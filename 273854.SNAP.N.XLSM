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2.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workbookPr showInkAnnotation="0" codeName="ThisWorkbook"/>
  <bookViews>
    <workbookView xWindow="19110" yWindow="0" windowWidth="18930" windowHeight="11610" tabRatio="900"/>
  </bookViews>
  <sheets>
    <sheet name="ImportantDisclosures" sheetId="25" r:id="rId1"/>
    <sheet name="MS v Con" sheetId="20" r:id="rId2"/>
    <sheet name="Model" sheetId="1" r:id="rId3"/>
    <sheet name="MW-Cache" sheetId="18" state="veryHidden" r:id="rId4"/>
    <sheet name="Revenue Model" sheetId="2" r:id="rId5"/>
    <sheet name="Expense Model" sheetId="3" r:id="rId6"/>
    <sheet name="Bear DCF" sheetId="12" r:id="rId7"/>
    <sheet name="Base DCF" sheetId="6" r:id="rId8"/>
    <sheet name="Bull DCF" sheetId="10" r:id="rId9"/>
    <sheet name="Outlinks" sheetId="4" r:id="rId10"/>
    <sheet name="IndexInformation" sheetId="26" r:id="rId11"/>
    <sheet name="ModPubIndex" sheetId="27" r:id="rId12"/>
  </sheets>
  <definedNames>
    <definedName name="__FDS_HYPERLINK_TOGGLE_STATE__" hidden="1">"ON"</definedName>
    <definedName name="__FDS_UNIQUE_RANGE_ID_GENERATOR_COUNTER" hidden="1">1</definedName>
    <definedName name="__FDS_USED_FOR_REUSING_RANGE_IDS_RECYCLE" localSheetId="1">{1,1,1,1,1,1,1,1,1,1,1,1,1,2,2,2,2,2,2,2,2,2,2,2,2,2}</definedName>
    <definedName name="__FDS_USED_FOR_REUSING_RANGE_IDS_RECYCLE">{1,1,1,1,1,1,1,1,1,1,1,1,1,2,2,2,2,2,2,2,2,2,2,2,2,2}</definedName>
    <definedName name="_1__FDSAUDITLINK__" localSheetId="1" hidden="1">{"fdsup://directions/FAT Viewer?action=UPDATE&amp;creator=factset&amp;DYN_ARGS=TRUE&amp;DOC_NAME=FAT:FQL_AUDITING_CLIENT_TEMPLATE.FAT&amp;display_string=Audit&amp;VAR:KEY=RUZAXIRCDI&amp;VAR:QUERY=RkZfRUJJVERBX09QRVIoUVRSLDQvMS8yMDA5LDYvMzAvMjAwOSwsLFVTRCk=&amp;WINDOW=FIRST_POPUP&amp;HEIGH","T=450&amp;WIDTH=450&amp;START_MAXIMIZED=FALSE&amp;VAR:CALENDAR=US&amp;VAR:SYMBOL=ZMH&amp;VAR:INDEX=0"}</definedName>
    <definedName name="_1__FDSAUDITLINK__" hidden="1">{"fdsup://Directions/FactSet Auditing Viewer?action=AUDIT_VALUE&amp;DB=129&amp;ID1=03783310&amp;VALUEID=02001&amp;SDATE=2009&amp;PERIODTYPE=ANN_STD&amp;window=popup_no_bar&amp;width=385&amp;height=120&amp;START_MAXIMIZED=FALSE&amp;creator=factset&amp;display_string=Audit"}</definedName>
    <definedName name="_10__FDSAUDITLINK__" localSheetId="1" hidden="1">{"fdsup://directions/FAT Viewer?action=UPDATE&amp;creator=factset&amp;DYN_ARGS=TRUE&amp;DOC_NAME=FAT:FQL_AUDITING_CLIENT_TEMPLATE.FAT&amp;display_string=Audit&amp;VAR:KEY=ZIZEXWFYJU&amp;VAR:QUERY=RkZfRUJJVERBX09QRVIoUVRSLDQvMS8yMDEwLDYvMzAvMjAxMCwsLFVTRCk=&amp;WINDOW=FIRST_POPUP&amp;HEIGH","T=450&amp;WIDTH=450&amp;START_MAXIMIZED=FALSE&amp;VAR:CALENDAR=US&amp;VAR:SYMBOL=XRX&amp;VAR:INDEX=0"}</definedName>
    <definedName name="_10__FDSAUDITLINK__" hidden="1">{"fdsup://directions/FAT Viewer?action=UPDATE&amp;creator=factset&amp;DYN_ARGS=TRUE&amp;DOC_NAME=FAT:FQL_AUDITING_CLIENT_TEMPLATE.FAT&amp;display_string=Audit&amp;VAR:KEY=ZIZEXWFYJU&amp;VAR:QUERY=RkZfRUJJVERBX09QRVIoUVRSLDQvMS8yMDEwLDYvMzAvMjAxMCwsLFVTRCk=&amp;WINDOW=FIRST_POPUP&amp;HEIGH","T=450&amp;WIDTH=450&amp;START_MAXIMIZED=FALSE&amp;VAR:CALENDAR=US&amp;VAR:SYMBOL=XRX&amp;VAR:INDEX=0"}</definedName>
    <definedName name="_100__FDSAUDITLINK__" localSheetId="1" hidden="1">{"fdsup://directions/FAT Viewer?action=UPDATE&amp;creator=factset&amp;DYN_ARGS=TRUE&amp;DOC_NAME=FAT:FQL_AUDITING_CLIENT_TEMPLATE.FAT&amp;display_string=Audit&amp;VAR:KEY=DAXSZEFETQ&amp;VAR:QUERY=RkZfRUJJVERBX09QRVIoUVRSLDQvMS8yMDEwLDYvMzAvMjAxMCwsLFVTRCk=&amp;WINDOW=FIRST_POPUP&amp;HEIGH","T=450&amp;WIDTH=450&amp;START_MAXIMIZED=FALSE&amp;VAR:CALENDAR=US&amp;VAR:SYMBOL=TXN&amp;VAR:INDEX=0"}</definedName>
    <definedName name="_100__FDSAUDITLINK__" hidden="1">{"fdsup://directions/FAT Viewer?action=UPDATE&amp;creator=factset&amp;DYN_ARGS=TRUE&amp;DOC_NAME=FAT:FQL_AUDITING_CLIENT_TEMPLATE.FAT&amp;display_string=Audit&amp;VAR:KEY=DAXSZEFETQ&amp;VAR:QUERY=RkZfRUJJVERBX09QRVIoUVRSLDQvMS8yMDEwLDYvMzAvMjAxMCwsLFVTRCk=&amp;WINDOW=FIRST_POPUP&amp;HEIGH","T=450&amp;WIDTH=450&amp;START_MAXIMIZED=FALSE&amp;VAR:CALENDAR=US&amp;VAR:SYMBOL=TXN&amp;VAR:INDEX=0"}</definedName>
    <definedName name="_1000__FDSAUDITLINK__" localSheetId="1" hidden="1">{"fdsup://Directions/FactSet Auditing Viewer?action=AUDIT_VALUE&amp;DB=129&amp;ID1=98849810&amp;VALUEID=01001&amp;SDATE=201002&amp;PERIODTYPE=QTR_STD&amp;window=popup_no_bar&amp;width=385&amp;height=120&amp;START_MAXIMIZED=FALSE&amp;creator=factset&amp;display_string=Audit"}</definedName>
    <definedName name="_1000__FDSAUDITLINK__" hidden="1">{"fdsup://Directions/FactSet Auditing Viewer?action=AUDIT_VALUE&amp;DB=129&amp;ID1=98849810&amp;VALUEID=01001&amp;SDATE=201002&amp;PERIODTYPE=QTR_STD&amp;window=popup_no_bar&amp;width=385&amp;height=120&amp;START_MAXIMIZED=FALSE&amp;creator=factset&amp;display_string=Audit"}</definedName>
    <definedName name="_1001__FDSAUDITLINK__" localSheetId="1" hidden="1">{"fdsup://Directions/FactSet Auditing Viewer?action=AUDIT_VALUE&amp;DB=129&amp;ID1=98433210&amp;VALUEID=01001&amp;SDATE=200902&amp;PERIODTYPE=QTR_STD&amp;window=popup_no_bar&amp;width=385&amp;height=120&amp;START_MAXIMIZED=FALSE&amp;creator=factset&amp;display_string=Audit"}</definedName>
    <definedName name="_1001__FDSAUDITLINK__" hidden="1">{"fdsup://Directions/FactSet Auditing Viewer?action=AUDIT_VALUE&amp;DB=129&amp;ID1=98433210&amp;VALUEID=01001&amp;SDATE=200902&amp;PERIODTYPE=QTR_STD&amp;window=popup_no_bar&amp;width=385&amp;height=120&amp;START_MAXIMIZED=FALSE&amp;creator=factset&amp;display_string=Audit"}</definedName>
    <definedName name="_1002__FDSAUDITLINK__" localSheetId="1" hidden="1">{"fdsup://Directions/FactSet Auditing Viewer?action=AUDIT_VALUE&amp;DB=129&amp;ID1=98433210&amp;VALUEID=01001&amp;SDATE=201002&amp;PERIODTYPE=QTR_STD&amp;window=popup_no_bar&amp;width=385&amp;height=120&amp;START_MAXIMIZED=FALSE&amp;creator=factset&amp;display_string=Audit"}</definedName>
    <definedName name="_1002__FDSAUDITLINK__" hidden="1">{"fdsup://Directions/FactSet Auditing Viewer?action=AUDIT_VALUE&amp;DB=129&amp;ID1=98433210&amp;VALUEID=01001&amp;SDATE=201002&amp;PERIODTYPE=QTR_STD&amp;window=popup_no_bar&amp;width=385&amp;height=120&amp;START_MAXIMIZED=FALSE&amp;creator=factset&amp;display_string=Audit"}</definedName>
    <definedName name="_1003__FDSAUDITLINK__" localSheetId="1" hidden="1">{"fdsup://Directions/FactSet Auditing Viewer?action=AUDIT_VALUE&amp;DB=129&amp;ID1=98412110&amp;VALUEID=01001&amp;SDATE=200902&amp;PERIODTYPE=QTR_STD&amp;window=popup_no_bar&amp;width=385&amp;height=120&amp;START_MAXIMIZED=FALSE&amp;creator=factset&amp;display_string=Audit"}</definedName>
    <definedName name="_1003__FDSAUDITLINK__" hidden="1">{"fdsup://Directions/FactSet Auditing Viewer?action=AUDIT_VALUE&amp;DB=129&amp;ID1=98412110&amp;VALUEID=01001&amp;SDATE=200902&amp;PERIODTYPE=QTR_STD&amp;window=popup_no_bar&amp;width=385&amp;height=120&amp;START_MAXIMIZED=FALSE&amp;creator=factset&amp;display_string=Audit"}</definedName>
    <definedName name="_1004__FDSAUDITLINK__" localSheetId="1" hidden="1">{"fdsup://Directions/FactSet Auditing Viewer?action=AUDIT_VALUE&amp;DB=129&amp;ID1=98412110&amp;VALUEID=01001&amp;SDATE=201002&amp;PERIODTYPE=QTR_STD&amp;window=popup_no_bar&amp;width=385&amp;height=120&amp;START_MAXIMIZED=FALSE&amp;creator=factset&amp;display_string=Audit"}</definedName>
    <definedName name="_1004__FDSAUDITLINK__" hidden="1">{"fdsup://Directions/FactSet Auditing Viewer?action=AUDIT_VALUE&amp;DB=129&amp;ID1=98412110&amp;VALUEID=01001&amp;SDATE=201002&amp;PERIODTYPE=QTR_STD&amp;window=popup_no_bar&amp;width=385&amp;height=120&amp;START_MAXIMIZED=FALSE&amp;creator=factset&amp;display_string=Audit"}</definedName>
    <definedName name="_1005__FDSAUDITLINK__" localSheetId="1" hidden="1">{"fdsup://Directions/FactSet Auditing Viewer?action=AUDIT_VALUE&amp;DB=129&amp;ID1=24903010&amp;VALUEID=01001&amp;SDATE=200902&amp;PERIODTYPE=QTR_STD&amp;window=popup_no_bar&amp;width=385&amp;height=120&amp;START_MAXIMIZED=FALSE&amp;creator=factset&amp;display_string=Audit"}</definedName>
    <definedName name="_1005__FDSAUDITLINK__" hidden="1">{"fdsup://Directions/FactSet Auditing Viewer?action=AUDIT_VALUE&amp;DB=129&amp;ID1=24903010&amp;VALUEID=01001&amp;SDATE=200902&amp;PERIODTYPE=QTR_STD&amp;window=popup_no_bar&amp;width=385&amp;height=120&amp;START_MAXIMIZED=FALSE&amp;creator=factset&amp;display_string=Audit"}</definedName>
    <definedName name="_1006__FDSAUDITLINK__" localSheetId="1" hidden="1">{"fdsup://Directions/FactSet Auditing Viewer?action=AUDIT_VALUE&amp;DB=129&amp;ID1=24903010&amp;VALUEID=01001&amp;SDATE=201002&amp;PERIODTYPE=QTR_STD&amp;window=popup_no_bar&amp;width=385&amp;height=120&amp;START_MAXIMIZED=FALSE&amp;creator=factset&amp;display_string=Audit"}</definedName>
    <definedName name="_1006__FDSAUDITLINK__" hidden="1">{"fdsup://Directions/FactSet Auditing Viewer?action=AUDIT_VALUE&amp;DB=129&amp;ID1=24903010&amp;VALUEID=01001&amp;SDATE=201002&amp;PERIODTYPE=QTR_STD&amp;window=popup_no_bar&amp;width=385&amp;height=120&amp;START_MAXIMIZED=FALSE&amp;creator=factset&amp;display_string=Audit"}</definedName>
    <definedName name="_1007__FDSAUDITLINK__" localSheetId="1" hidden="1">{"fdsup://Directions/FactSet Auditing Viewer?action=AUDIT_VALUE&amp;DB=129&amp;ID1=30231G10&amp;VALUEID=01001&amp;SDATE=200902&amp;PERIODTYPE=QTR_STD&amp;window=popup_no_bar&amp;width=385&amp;height=120&amp;START_MAXIMIZED=FALSE&amp;creator=factset&amp;display_string=Audit"}</definedName>
    <definedName name="_1007__FDSAUDITLINK__" hidden="1">{"fdsup://Directions/FactSet Auditing Viewer?action=AUDIT_VALUE&amp;DB=129&amp;ID1=30231G10&amp;VALUEID=01001&amp;SDATE=200902&amp;PERIODTYPE=QTR_STD&amp;window=popup_no_bar&amp;width=385&amp;height=120&amp;START_MAXIMIZED=FALSE&amp;creator=factset&amp;display_string=Audit"}</definedName>
    <definedName name="_1008__FDSAUDITLINK__" localSheetId="1" hidden="1">{"fdsup://Directions/FactSet Auditing Viewer?action=AUDIT_VALUE&amp;DB=129&amp;ID1=30231G10&amp;VALUEID=01001&amp;SDATE=201002&amp;PERIODTYPE=QTR_STD&amp;window=popup_no_bar&amp;width=385&amp;height=120&amp;START_MAXIMIZED=FALSE&amp;creator=factset&amp;display_string=Audit"}</definedName>
    <definedName name="_1008__FDSAUDITLINK__" hidden="1">{"fdsup://Directions/FactSet Auditing Viewer?action=AUDIT_VALUE&amp;DB=129&amp;ID1=30231G10&amp;VALUEID=01001&amp;SDATE=201002&amp;PERIODTYPE=QTR_STD&amp;window=popup_no_bar&amp;width=385&amp;height=120&amp;START_MAXIMIZED=FALSE&amp;creator=factset&amp;display_string=Audit"}</definedName>
    <definedName name="_1009__FDSAUDITLINK__" localSheetId="1" hidden="1">{"fdsup://Directions/FactSet Auditing Viewer?action=AUDIT_VALUE&amp;DB=129&amp;ID1=98391910&amp;VALUEID=01001&amp;SDATE=200901&amp;PERIODTYPE=QTR_STD&amp;window=popup_no_bar&amp;width=385&amp;height=120&amp;START_MAXIMIZED=FALSE&amp;creator=factset&amp;display_string=Audit"}</definedName>
    <definedName name="_1009__FDSAUDITLINK__" hidden="1">{"fdsup://Directions/FactSet Auditing Viewer?action=AUDIT_VALUE&amp;DB=129&amp;ID1=98391910&amp;VALUEID=01001&amp;SDATE=200901&amp;PERIODTYPE=QTR_STD&amp;window=popup_no_bar&amp;width=385&amp;height=120&amp;START_MAXIMIZED=FALSE&amp;creator=factset&amp;display_string=Audit"}</definedName>
    <definedName name="_101__FDSAUDITLINK__" localSheetId="1" hidden="1">{"fdsup://directions/FAT Viewer?action=UPDATE&amp;creator=factset&amp;DYN_ARGS=TRUE&amp;DOC_NAME=FAT:FQL_AUDITING_CLIENT_TEMPLATE.FAT&amp;display_string=Audit&amp;VAR:KEY=VSHUVEDCLQ&amp;VAR:QUERY=RkZfRUJJVERBX09QRVIoUVRSLDQvMS8yMDA5LDYvMzAvMjAwOSwsLFVTRCk=&amp;WINDOW=FIRST_POPUP&amp;HEIGH","T=450&amp;WIDTH=450&amp;START_MAXIMIZED=FALSE&amp;VAR:CALENDAR=US&amp;VAR:SYMBOL=TWX&amp;VAR:INDEX=0"}</definedName>
    <definedName name="_101__FDSAUDITLINK__" hidden="1">{"fdsup://directions/FAT Viewer?action=UPDATE&amp;creator=factset&amp;DYN_ARGS=TRUE&amp;DOC_NAME=FAT:FQL_AUDITING_CLIENT_TEMPLATE.FAT&amp;display_string=Audit&amp;VAR:KEY=VSHUVEDCLQ&amp;VAR:QUERY=RkZfRUJJVERBX09QRVIoUVRSLDQvMS8yMDA5LDYvMzAvMjAwOSwsLFVTRCk=&amp;WINDOW=FIRST_POPUP&amp;HEIGH","T=450&amp;WIDTH=450&amp;START_MAXIMIZED=FALSE&amp;VAR:CALENDAR=US&amp;VAR:SYMBOL=TWX&amp;VAR:INDEX=0"}</definedName>
    <definedName name="_1010__FDSAUDITLINK__" localSheetId="1" hidden="1">{"fdsup://Directions/FactSet Auditing Viewer?action=AUDIT_VALUE&amp;DB=129&amp;ID1=98391910&amp;VALUEID=01001&amp;SDATE=201001&amp;PERIODTYPE=QTR_STD&amp;window=popup_no_bar&amp;width=385&amp;height=120&amp;START_MAXIMIZED=FALSE&amp;creator=factset&amp;display_string=Audit"}</definedName>
    <definedName name="_1010__FDSAUDITLINK__" hidden="1">{"fdsup://Directions/FactSet Auditing Viewer?action=AUDIT_VALUE&amp;DB=129&amp;ID1=98391910&amp;VALUEID=01001&amp;SDATE=201001&amp;PERIODTYPE=QTR_STD&amp;window=popup_no_bar&amp;width=385&amp;height=120&amp;START_MAXIMIZED=FALSE&amp;creator=factset&amp;display_string=Audit"}</definedName>
    <definedName name="_1011__FDSAUDITLINK__" localSheetId="1" hidden="1">{"fdsup://Directions/FactSet Auditing Viewer?action=AUDIT_VALUE&amp;DB=129&amp;ID1=G9825510&amp;VALUEID=01001&amp;SDATE=200902&amp;PERIODTYPE=QTR_STD&amp;window=popup_no_bar&amp;width=385&amp;height=120&amp;START_MAXIMIZED=FALSE&amp;creator=factset&amp;display_string=Audit"}</definedName>
    <definedName name="_1011__FDSAUDITLINK__" hidden="1">{"fdsup://Directions/FactSet Auditing Viewer?action=AUDIT_VALUE&amp;DB=129&amp;ID1=G9825510&amp;VALUEID=01001&amp;SDATE=200902&amp;PERIODTYPE=QTR_STD&amp;window=popup_no_bar&amp;width=385&amp;height=120&amp;START_MAXIMIZED=FALSE&amp;creator=factset&amp;display_string=Audit"}</definedName>
    <definedName name="_1012__FDSAUDITLINK__" localSheetId="1" hidden="1">{"fdsup://Directions/FactSet Auditing Viewer?action=AUDIT_VALUE&amp;DB=129&amp;ID1=G9825510&amp;VALUEID=01001&amp;SDATE=201002&amp;PERIODTYPE=QTR_STD&amp;window=popup_no_bar&amp;width=385&amp;height=120&amp;START_MAXIMIZED=FALSE&amp;creator=factset&amp;display_string=Audit"}</definedName>
    <definedName name="_1012__FDSAUDITLINK__" hidden="1">{"fdsup://Directions/FactSet Auditing Viewer?action=AUDIT_VALUE&amp;DB=129&amp;ID1=G9825510&amp;VALUEID=01001&amp;SDATE=201002&amp;PERIODTYPE=QTR_STD&amp;window=popup_no_bar&amp;width=385&amp;height=120&amp;START_MAXIMIZED=FALSE&amp;creator=factset&amp;display_string=Audit"}</definedName>
    <definedName name="_1013__FDSAUDITLINK__" localSheetId="1" hidden="1">{"fdsup://Directions/FactSet Auditing Viewer?action=AUDIT_VALUE&amp;DB=129&amp;ID1=98389B10&amp;VALUEID=01001&amp;SDATE=200902&amp;PERIODTYPE=QTR_STD&amp;window=popup_no_bar&amp;width=385&amp;height=120&amp;START_MAXIMIZED=FALSE&amp;creator=factset&amp;display_string=Audit"}</definedName>
    <definedName name="_1013__FDSAUDITLINK__" hidden="1">{"fdsup://Directions/FactSet Auditing Viewer?action=AUDIT_VALUE&amp;DB=129&amp;ID1=98389B10&amp;VALUEID=01001&amp;SDATE=200902&amp;PERIODTYPE=QTR_STD&amp;window=popup_no_bar&amp;width=385&amp;height=120&amp;START_MAXIMIZED=FALSE&amp;creator=factset&amp;display_string=Audit"}</definedName>
    <definedName name="_1014__FDSAUDITLINK__" localSheetId="1" hidden="1">{"fdsup://Directions/FactSet Auditing Viewer?action=AUDIT_VALUE&amp;DB=129&amp;ID1=98389B10&amp;VALUEID=01001&amp;SDATE=201002&amp;PERIODTYPE=QTR_STD&amp;window=popup_no_bar&amp;width=385&amp;height=120&amp;START_MAXIMIZED=FALSE&amp;creator=factset&amp;display_string=Audit"}</definedName>
    <definedName name="_1014__FDSAUDITLINK__" hidden="1">{"fdsup://Directions/FactSet Auditing Viewer?action=AUDIT_VALUE&amp;DB=129&amp;ID1=98389B10&amp;VALUEID=01001&amp;SDATE=201002&amp;PERIODTYPE=QTR_STD&amp;window=popup_no_bar&amp;width=385&amp;height=120&amp;START_MAXIMIZED=FALSE&amp;creator=factset&amp;display_string=Audit"}</definedName>
    <definedName name="_1015__FDSAUDITLINK__" localSheetId="1" hidden="1">{"fdsup://Directions/FactSet Auditing Viewer?action=AUDIT_VALUE&amp;DB=129&amp;ID1=91290910&amp;VALUEID=01001&amp;SDATE=200902&amp;PERIODTYPE=QTR_STD&amp;window=popup_no_bar&amp;width=385&amp;height=120&amp;START_MAXIMIZED=FALSE&amp;creator=factset&amp;display_string=Audit"}</definedName>
    <definedName name="_1015__FDSAUDITLINK__" hidden="1">{"fdsup://Directions/FactSet Auditing Viewer?action=AUDIT_VALUE&amp;DB=129&amp;ID1=91290910&amp;VALUEID=01001&amp;SDATE=200902&amp;PERIODTYPE=QTR_STD&amp;window=popup_no_bar&amp;width=385&amp;height=120&amp;START_MAXIMIZED=FALSE&amp;creator=factset&amp;display_string=Audit"}</definedName>
    <definedName name="_1016__FDSAUDITLINK__" localSheetId="1" hidden="1">{"fdsup://Directions/FactSet Auditing Viewer?action=AUDIT_VALUE&amp;DB=129&amp;ID1=91290910&amp;VALUEID=01001&amp;SDATE=201002&amp;PERIODTYPE=QTR_STD&amp;window=popup_no_bar&amp;width=385&amp;height=120&amp;START_MAXIMIZED=FALSE&amp;creator=factset&amp;display_string=Audit"}</definedName>
    <definedName name="_1016__FDSAUDITLINK__" hidden="1">{"fdsup://Directions/FactSet Auditing Viewer?action=AUDIT_VALUE&amp;DB=129&amp;ID1=91290910&amp;VALUEID=01001&amp;SDATE=201002&amp;PERIODTYPE=QTR_STD&amp;window=popup_no_bar&amp;width=385&amp;height=120&amp;START_MAXIMIZED=FALSE&amp;creator=factset&amp;display_string=Audit"}</definedName>
    <definedName name="_1017__FDSAUDITLINK__" localSheetId="1" hidden="1">{"fdsup://Directions/FactSet Auditing Viewer?action=AUDIT_VALUE&amp;DB=129&amp;ID1=98313410&amp;VALUEID=01001&amp;SDATE=200902&amp;PERIODTYPE=QTR_STD&amp;window=popup_no_bar&amp;width=385&amp;height=120&amp;START_MAXIMIZED=FALSE&amp;creator=factset&amp;display_string=Audit"}</definedName>
    <definedName name="_1017__FDSAUDITLINK__" hidden="1">{"fdsup://Directions/FactSet Auditing Viewer?action=AUDIT_VALUE&amp;DB=129&amp;ID1=98313410&amp;VALUEID=01001&amp;SDATE=200902&amp;PERIODTYPE=QTR_STD&amp;window=popup_no_bar&amp;width=385&amp;height=120&amp;START_MAXIMIZED=FALSE&amp;creator=factset&amp;display_string=Audit"}</definedName>
    <definedName name="_1018__FDSAUDITLINK__" localSheetId="1" hidden="1">{"fdsup://Directions/FactSet Auditing Viewer?action=AUDIT_VALUE&amp;DB=129&amp;ID1=98313410&amp;VALUEID=01001&amp;SDATE=201002&amp;PERIODTYPE=QTR_STD&amp;window=popup_no_bar&amp;width=385&amp;height=120&amp;START_MAXIMIZED=FALSE&amp;creator=factset&amp;display_string=Audit"}</definedName>
    <definedName name="_1018__FDSAUDITLINK__" hidden="1">{"fdsup://Directions/FactSet Auditing Viewer?action=AUDIT_VALUE&amp;DB=129&amp;ID1=98313410&amp;VALUEID=01001&amp;SDATE=201002&amp;PERIODTYPE=QTR_STD&amp;window=popup_no_bar&amp;width=385&amp;height=120&amp;START_MAXIMIZED=FALSE&amp;creator=factset&amp;display_string=Audit"}</definedName>
    <definedName name="_1019__FDSAUDITLINK__" localSheetId="1" hidden="1">{"fdsup://Directions/FactSet Auditing Viewer?action=AUDIT_VALUE&amp;DB=129&amp;ID1=98310W10&amp;VALUEID=01001&amp;SDATE=200902&amp;PERIODTYPE=QTR_STD&amp;window=popup_no_bar&amp;width=385&amp;height=120&amp;START_MAXIMIZED=FALSE&amp;creator=factset&amp;display_string=Audit"}</definedName>
    <definedName name="_1019__FDSAUDITLINK__" hidden="1">{"fdsup://Directions/FactSet Auditing Viewer?action=AUDIT_VALUE&amp;DB=129&amp;ID1=98310W10&amp;VALUEID=01001&amp;SDATE=200902&amp;PERIODTYPE=QTR_STD&amp;window=popup_no_bar&amp;width=385&amp;height=120&amp;START_MAXIMIZED=FALSE&amp;creator=factset&amp;display_string=Audit"}</definedName>
    <definedName name="_102__FDSAUDITLINK__" localSheetId="1" hidden="1">{"fdsup://directions/FAT Viewer?action=UPDATE&amp;creator=factset&amp;DYN_ARGS=TRUE&amp;DOC_NAME=FAT:FQL_AUDITING_CLIENT_TEMPLATE.FAT&amp;display_string=Audit&amp;VAR:KEY=VEVYFMZADC&amp;VAR:QUERY=RkZfRUJJVERBX09QRVIoUVRSLDQvMS8yMDEwLDYvMzAvMjAxMCwsLFVTRCk=&amp;WINDOW=FIRST_POPUP&amp;HEIGH","T=450&amp;WIDTH=450&amp;START_MAXIMIZED=FALSE&amp;VAR:CALENDAR=US&amp;VAR:SYMBOL=TWX&amp;VAR:INDEX=0"}</definedName>
    <definedName name="_102__FDSAUDITLINK__" hidden="1">{"fdsup://directions/FAT Viewer?action=UPDATE&amp;creator=factset&amp;DYN_ARGS=TRUE&amp;DOC_NAME=FAT:FQL_AUDITING_CLIENT_TEMPLATE.FAT&amp;display_string=Audit&amp;VAR:KEY=VEVYFMZADC&amp;VAR:QUERY=RkZfRUJJVERBX09QRVIoUVRSLDQvMS8yMDEwLDYvMzAvMjAxMCwsLFVTRCk=&amp;WINDOW=FIRST_POPUP&amp;HEIGH","T=450&amp;WIDTH=450&amp;START_MAXIMIZED=FALSE&amp;VAR:CALENDAR=US&amp;VAR:SYMBOL=TWX&amp;VAR:INDEX=0"}</definedName>
    <definedName name="_1020__FDSAUDITLINK__" localSheetId="1" hidden="1">{"fdsup://Directions/FactSet Auditing Viewer?action=AUDIT_VALUE&amp;DB=129&amp;ID1=98310W10&amp;VALUEID=01001&amp;SDATE=201002&amp;PERIODTYPE=QTR_STD&amp;window=popup_no_bar&amp;width=385&amp;height=120&amp;START_MAXIMIZED=FALSE&amp;creator=factset&amp;display_string=Audit"}</definedName>
    <definedName name="_1020__FDSAUDITLINK__" hidden="1">{"fdsup://Directions/FactSet Auditing Viewer?action=AUDIT_VALUE&amp;DB=129&amp;ID1=98310W10&amp;VALUEID=01001&amp;SDATE=201002&amp;PERIODTYPE=QTR_STD&amp;window=popup_no_bar&amp;width=385&amp;height=120&amp;START_MAXIMIZED=FALSE&amp;creator=factset&amp;display_string=Audit"}</definedName>
    <definedName name="_1021__FDSAUDITLINK__" localSheetId="1" hidden="1">{"fdsup://Directions/FactSet Auditing Viewer?action=AUDIT_VALUE&amp;DB=129&amp;ID1=96216610&amp;VALUEID=01001&amp;SDATE=200902&amp;PERIODTYPE=QTR_STD&amp;window=popup_no_bar&amp;width=385&amp;height=120&amp;START_MAXIMIZED=FALSE&amp;creator=factset&amp;display_string=Audit"}</definedName>
    <definedName name="_1021__FDSAUDITLINK__" hidden="1">{"fdsup://Directions/FactSet Auditing Viewer?action=AUDIT_VALUE&amp;DB=129&amp;ID1=96216610&amp;VALUEID=01001&amp;SDATE=200902&amp;PERIODTYPE=QTR_STD&amp;window=popup_no_bar&amp;width=385&amp;height=120&amp;START_MAXIMIZED=FALSE&amp;creator=factset&amp;display_string=Audit"}</definedName>
    <definedName name="_1022__FDSAUDITLINK__" localSheetId="1" hidden="1">{"fdsup://Directions/FactSet Auditing Viewer?action=AUDIT_VALUE&amp;DB=129&amp;ID1=96216610&amp;VALUEID=01001&amp;SDATE=201002&amp;PERIODTYPE=QTR_STD&amp;window=popup_no_bar&amp;width=385&amp;height=120&amp;START_MAXIMIZED=FALSE&amp;creator=factset&amp;display_string=Audit"}</definedName>
    <definedName name="_1022__FDSAUDITLINK__" hidden="1">{"fdsup://Directions/FactSet Auditing Viewer?action=AUDIT_VALUE&amp;DB=129&amp;ID1=96216610&amp;VALUEID=01001&amp;SDATE=201002&amp;PERIODTYPE=QTR_STD&amp;window=popup_no_bar&amp;width=385&amp;height=120&amp;START_MAXIMIZED=FALSE&amp;creator=factset&amp;display_string=Audit"}</definedName>
    <definedName name="_1023__FDSAUDITLINK__" localSheetId="1" hidden="1">{"fdsup://Directions/FactSet Auditing Viewer?action=AUDIT_VALUE&amp;DB=129&amp;ID1=95980210&amp;VALUEID=01001&amp;SDATE=200902&amp;PERIODTYPE=QTR_STD&amp;window=popup_no_bar&amp;width=385&amp;height=120&amp;START_MAXIMIZED=FALSE&amp;creator=factset&amp;display_string=Audit"}</definedName>
    <definedName name="_1023__FDSAUDITLINK__" hidden="1">{"fdsup://Directions/FactSet Auditing Viewer?action=AUDIT_VALUE&amp;DB=129&amp;ID1=95980210&amp;VALUEID=01001&amp;SDATE=200902&amp;PERIODTYPE=QTR_STD&amp;window=popup_no_bar&amp;width=385&amp;height=120&amp;START_MAXIMIZED=FALSE&amp;creator=factset&amp;display_string=Audit"}</definedName>
    <definedName name="_1024__FDSAUDITLINK__" localSheetId="1" hidden="1">{"fdsup://Directions/FactSet Auditing Viewer?action=AUDIT_VALUE&amp;DB=129&amp;ID1=95980210&amp;VALUEID=01001&amp;SDATE=201002&amp;PERIODTYPE=QTR_STD&amp;window=popup_no_bar&amp;width=385&amp;height=120&amp;START_MAXIMIZED=FALSE&amp;creator=factset&amp;display_string=Audit"}</definedName>
    <definedName name="_1024__FDSAUDITLINK__" hidden="1">{"fdsup://Directions/FactSet Auditing Viewer?action=AUDIT_VALUE&amp;DB=129&amp;ID1=95980210&amp;VALUEID=01001&amp;SDATE=201002&amp;PERIODTYPE=QTR_STD&amp;window=popup_no_bar&amp;width=385&amp;height=120&amp;START_MAXIMIZED=FALSE&amp;creator=factset&amp;display_string=Audit"}</definedName>
    <definedName name="_1025__FDSAUDITLINK__" localSheetId="1" hidden="1">{"fdsup://Directions/FactSet Auditing Viewer?action=AUDIT_VALUE&amp;DB=129&amp;ID1=93964010&amp;VALUEID=01001&amp;SDATE=200902&amp;PERIODTYPE=QTR_STD&amp;window=popup_no_bar&amp;width=385&amp;height=120&amp;START_MAXIMIZED=FALSE&amp;creator=factset&amp;display_string=Audit"}</definedName>
    <definedName name="_1025__FDSAUDITLINK__" hidden="1">{"fdsup://Directions/FactSet Auditing Viewer?action=AUDIT_VALUE&amp;DB=129&amp;ID1=93964010&amp;VALUEID=01001&amp;SDATE=200902&amp;PERIODTYPE=QTR_STD&amp;window=popup_no_bar&amp;width=385&amp;height=120&amp;START_MAXIMIZED=FALSE&amp;creator=factset&amp;display_string=Audit"}</definedName>
    <definedName name="_1026__FDSAUDITLINK__" localSheetId="1" hidden="1">{"fdsup://Directions/FactSet Auditing Viewer?action=AUDIT_VALUE&amp;DB=129&amp;ID1=93964010&amp;VALUEID=01001&amp;SDATE=201002&amp;PERIODTYPE=QTR_STD&amp;window=popup_no_bar&amp;width=385&amp;height=120&amp;START_MAXIMIZED=FALSE&amp;creator=factset&amp;display_string=Audit"}</definedName>
    <definedName name="_1026__FDSAUDITLINK__" hidden="1">{"fdsup://Directions/FactSet Auditing Viewer?action=AUDIT_VALUE&amp;DB=129&amp;ID1=93964010&amp;VALUEID=01001&amp;SDATE=201002&amp;PERIODTYPE=QTR_STD&amp;window=popup_no_bar&amp;width=385&amp;height=120&amp;START_MAXIMIZED=FALSE&amp;creator=factset&amp;display_string=Audit"}</definedName>
    <definedName name="_1027__FDSAUDITLINK__" localSheetId="1" hidden="1">{"fdsup://Directions/FactSet Auditing Viewer?action=AUDIT_VALUE&amp;DB=129&amp;ID1=94268310&amp;VALUEID=01001&amp;SDATE=200902&amp;PERIODTYPE=QTR_STD&amp;window=popup_no_bar&amp;width=385&amp;height=120&amp;START_MAXIMIZED=FALSE&amp;creator=factset&amp;display_string=Audit"}</definedName>
    <definedName name="_1027__FDSAUDITLINK__" hidden="1">{"fdsup://Directions/FactSet Auditing Viewer?action=AUDIT_VALUE&amp;DB=129&amp;ID1=94268310&amp;VALUEID=01001&amp;SDATE=200902&amp;PERIODTYPE=QTR_STD&amp;window=popup_no_bar&amp;width=385&amp;height=120&amp;START_MAXIMIZED=FALSE&amp;creator=factset&amp;display_string=Audit"}</definedName>
    <definedName name="_1028__FDSAUDITLINK__" localSheetId="1" hidden="1">{"fdsup://Directions/FactSet Auditing Viewer?action=AUDIT_VALUE&amp;DB=129&amp;ID1=94268310&amp;VALUEID=01001&amp;SDATE=201002&amp;PERIODTYPE=QTR_STD&amp;window=popup_no_bar&amp;width=385&amp;height=120&amp;START_MAXIMIZED=FALSE&amp;creator=factset&amp;display_string=Audit"}</definedName>
    <definedName name="_1028__FDSAUDITLINK__" hidden="1">{"fdsup://Directions/FactSet Auditing Viewer?action=AUDIT_VALUE&amp;DB=129&amp;ID1=94268310&amp;VALUEID=01001&amp;SDATE=201002&amp;PERIODTYPE=QTR_STD&amp;window=popup_no_bar&amp;width=385&amp;height=120&amp;START_MAXIMIZED=FALSE&amp;creator=factset&amp;display_string=Audit"}</definedName>
    <definedName name="_1029__FDSAUDITLINK__" localSheetId="1" hidden="1">{"fdsup://Directions/FactSet Auditing Viewer?action=AUDIT_VALUE&amp;DB=129&amp;ID1=93114210&amp;VALUEID=01001&amp;SDATE=200901&amp;PERIODTYPE=QTR_STD&amp;window=popup_no_bar&amp;width=385&amp;height=120&amp;START_MAXIMIZED=FALSE&amp;creator=factset&amp;display_string=Audit"}</definedName>
    <definedName name="_1029__FDSAUDITLINK__" hidden="1">{"fdsup://Directions/FactSet Auditing Viewer?action=AUDIT_VALUE&amp;DB=129&amp;ID1=93114210&amp;VALUEID=01001&amp;SDATE=200901&amp;PERIODTYPE=QTR_STD&amp;window=popup_no_bar&amp;width=385&amp;height=120&amp;START_MAXIMIZED=FALSE&amp;creator=factset&amp;display_string=Audit"}</definedName>
    <definedName name="_103__FDSAUDITLINK__" localSheetId="1" hidden="1">{"fdsup://directions/FAT Viewer?action=UPDATE&amp;creator=factset&amp;DYN_ARGS=TRUE&amp;DOC_NAME=FAT:FQL_AUDITING_CLIENT_TEMPLATE.FAT&amp;display_string=Audit&amp;VAR:KEY=NWLUTQJCZQ&amp;VAR:QUERY=RkZfRUJJVERBX09QRVIoUVRSLDQvMS8yMDA5LDYvMzAvMjAwOSwsLFVTRCk=&amp;WINDOW=FIRST_POPUP&amp;HEIGH","T=450&amp;WIDTH=450&amp;START_MAXIMIZED=FALSE&amp;VAR:CALENDAR=US&amp;VAR:SYMBOL=TWC&amp;VAR:INDEX=0"}</definedName>
    <definedName name="_103__FDSAUDITLINK__" hidden="1">{"fdsup://directions/FAT Viewer?action=UPDATE&amp;creator=factset&amp;DYN_ARGS=TRUE&amp;DOC_NAME=FAT:FQL_AUDITING_CLIENT_TEMPLATE.FAT&amp;display_string=Audit&amp;VAR:KEY=NWLUTQJCZQ&amp;VAR:QUERY=RkZfRUJJVERBX09QRVIoUVRSLDQvMS8yMDA5LDYvMzAvMjAwOSwsLFVTRCk=&amp;WINDOW=FIRST_POPUP&amp;HEIGH","T=450&amp;WIDTH=450&amp;START_MAXIMIZED=FALSE&amp;VAR:CALENDAR=US&amp;VAR:SYMBOL=TWC&amp;VAR:INDEX=0"}</definedName>
    <definedName name="_1030__FDSAUDITLINK__" localSheetId="1" hidden="1">{"fdsup://Directions/FactSet Auditing Viewer?action=AUDIT_VALUE&amp;DB=129&amp;ID1=93114210&amp;VALUEID=01001&amp;SDATE=201001&amp;PERIODTYPE=QTR_STD&amp;window=popup_no_bar&amp;width=385&amp;height=120&amp;START_MAXIMIZED=FALSE&amp;creator=factset&amp;display_string=Audit"}</definedName>
    <definedName name="_1030__FDSAUDITLINK__" hidden="1">{"fdsup://Directions/FactSet Auditing Viewer?action=AUDIT_VALUE&amp;DB=129&amp;ID1=93114210&amp;VALUEID=01001&amp;SDATE=201001&amp;PERIODTYPE=QTR_STD&amp;window=popup_no_bar&amp;width=385&amp;height=120&amp;START_MAXIMIZED=FALSE&amp;creator=factset&amp;display_string=Audit"}</definedName>
    <definedName name="_1031__FDSAUDITLINK__" localSheetId="1" hidden="1">{"fdsup://Directions/FactSet Auditing Viewer?action=AUDIT_VALUE&amp;DB=129&amp;ID1=96945710&amp;VALUEID=01001&amp;SDATE=200902&amp;PERIODTYPE=QTR_STD&amp;window=popup_no_bar&amp;width=385&amp;height=120&amp;START_MAXIMIZED=FALSE&amp;creator=factset&amp;display_string=Audit"}</definedName>
    <definedName name="_1031__FDSAUDITLINK__" hidden="1">{"fdsup://Directions/FactSet Auditing Viewer?action=AUDIT_VALUE&amp;DB=129&amp;ID1=96945710&amp;VALUEID=01001&amp;SDATE=200902&amp;PERIODTYPE=QTR_STD&amp;window=popup_no_bar&amp;width=385&amp;height=120&amp;START_MAXIMIZED=FALSE&amp;creator=factset&amp;display_string=Audit"}</definedName>
    <definedName name="_1032__FDSAUDITLINK__" localSheetId="1" hidden="1">{"fdsup://Directions/FactSet Auditing Viewer?action=AUDIT_VALUE&amp;DB=129&amp;ID1=96945710&amp;VALUEID=01001&amp;SDATE=201002&amp;PERIODTYPE=QTR_STD&amp;window=popup_no_bar&amp;width=385&amp;height=120&amp;START_MAXIMIZED=FALSE&amp;creator=factset&amp;display_string=Audit"}</definedName>
    <definedName name="_1032__FDSAUDITLINK__" hidden="1">{"fdsup://Directions/FactSet Auditing Viewer?action=AUDIT_VALUE&amp;DB=129&amp;ID1=96945710&amp;VALUEID=01001&amp;SDATE=201002&amp;PERIODTYPE=QTR_STD&amp;window=popup_no_bar&amp;width=385&amp;height=120&amp;START_MAXIMIZED=FALSE&amp;creator=factset&amp;display_string=Audit"}</definedName>
    <definedName name="_1033__FDSAUDITLINK__" localSheetId="1" hidden="1">{"fdsup://Directions/FactSet Auditing Viewer?action=AUDIT_VALUE&amp;DB=129&amp;ID1=94106L10&amp;VALUEID=01001&amp;SDATE=200902&amp;PERIODTYPE=QTR_STD&amp;window=popup_no_bar&amp;width=385&amp;height=120&amp;START_MAXIMIZED=FALSE&amp;creator=factset&amp;display_string=Audit"}</definedName>
    <definedName name="_1033__FDSAUDITLINK__" hidden="1">{"fdsup://Directions/FactSet Auditing Viewer?action=AUDIT_VALUE&amp;DB=129&amp;ID1=94106L10&amp;VALUEID=01001&amp;SDATE=200902&amp;PERIODTYPE=QTR_STD&amp;window=popup_no_bar&amp;width=385&amp;height=120&amp;START_MAXIMIZED=FALSE&amp;creator=factset&amp;display_string=Audit"}</definedName>
    <definedName name="_1034__FDSAUDITLINK__" localSheetId="1" hidden="1">{"fdsup://Directions/FactSet Auditing Viewer?action=AUDIT_VALUE&amp;DB=129&amp;ID1=94106L10&amp;VALUEID=01001&amp;SDATE=201002&amp;PERIODTYPE=QTR_STD&amp;window=popup_no_bar&amp;width=385&amp;height=120&amp;START_MAXIMIZED=FALSE&amp;creator=factset&amp;display_string=Audit"}</definedName>
    <definedName name="_1034__FDSAUDITLINK__" hidden="1">{"fdsup://Directions/FactSet Auditing Viewer?action=AUDIT_VALUE&amp;DB=129&amp;ID1=94106L10&amp;VALUEID=01001&amp;SDATE=201002&amp;PERIODTYPE=QTR_STD&amp;window=popup_no_bar&amp;width=385&amp;height=120&amp;START_MAXIMIZED=FALSE&amp;creator=factset&amp;display_string=Audit"}</definedName>
    <definedName name="_1035__FDSAUDITLINK__" localSheetId="1" hidden="1">{"fdsup://Directions/FactSet Auditing Viewer?action=AUDIT_VALUE&amp;DB=129&amp;ID1=94973V10&amp;VALUEID=01001&amp;SDATE=200902&amp;PERIODTYPE=QTR_STD&amp;window=popup_no_bar&amp;width=385&amp;height=120&amp;START_MAXIMIZED=FALSE&amp;creator=factset&amp;display_string=Audit"}</definedName>
    <definedName name="_1035__FDSAUDITLINK__" hidden="1">{"fdsup://Directions/FactSet Auditing Viewer?action=AUDIT_VALUE&amp;DB=129&amp;ID1=94973V10&amp;VALUEID=01001&amp;SDATE=200902&amp;PERIODTYPE=QTR_STD&amp;window=popup_no_bar&amp;width=385&amp;height=120&amp;START_MAXIMIZED=FALSE&amp;creator=factset&amp;display_string=Audit"}</definedName>
    <definedName name="_1036__FDSAUDITLINK__" localSheetId="1" hidden="1">{"fdsup://Directions/FactSet Auditing Viewer?action=AUDIT_VALUE&amp;DB=129&amp;ID1=94973V10&amp;VALUEID=01001&amp;SDATE=201002&amp;PERIODTYPE=QTR_STD&amp;window=popup_no_bar&amp;width=385&amp;height=120&amp;START_MAXIMIZED=FALSE&amp;creator=factset&amp;display_string=Audit"}</definedName>
    <definedName name="_1036__FDSAUDITLINK__" hidden="1">{"fdsup://Directions/FactSet Auditing Viewer?action=AUDIT_VALUE&amp;DB=129&amp;ID1=94973V10&amp;VALUEID=01001&amp;SDATE=201002&amp;PERIODTYPE=QTR_STD&amp;window=popup_no_bar&amp;width=385&amp;height=120&amp;START_MAXIMIZED=FALSE&amp;creator=factset&amp;display_string=Audit"}</definedName>
    <definedName name="_1037__FDSAUDITLINK__" localSheetId="1" hidden="1">{"fdsup://Directions/FactSet Auditing Viewer?action=AUDIT_VALUE&amp;DB=129&amp;ID1=97381W10&amp;VALUEID=01001&amp;SDATE=200902&amp;PERIODTYPE=QTR_STD&amp;window=popup_no_bar&amp;width=385&amp;height=120&amp;START_MAXIMIZED=FALSE&amp;creator=factset&amp;display_string=Audit"}</definedName>
    <definedName name="_1037__FDSAUDITLINK__" hidden="1">{"fdsup://Directions/FactSet Auditing Viewer?action=AUDIT_VALUE&amp;DB=129&amp;ID1=97381W10&amp;VALUEID=01001&amp;SDATE=200902&amp;PERIODTYPE=QTR_STD&amp;window=popup_no_bar&amp;width=385&amp;height=120&amp;START_MAXIMIZED=FALSE&amp;creator=factset&amp;display_string=Audit"}</definedName>
    <definedName name="_1038__FDSAUDITLINK__" localSheetId="1" hidden="1">{"fdsup://Directions/FactSet Auditing Viewer?action=AUDIT_VALUE&amp;DB=129&amp;ID1=97381W10&amp;VALUEID=01001&amp;SDATE=201002&amp;PERIODTYPE=QTR_STD&amp;window=popup_no_bar&amp;width=385&amp;height=120&amp;START_MAXIMIZED=FALSE&amp;creator=factset&amp;display_string=Audit"}</definedName>
    <definedName name="_1038__FDSAUDITLINK__" hidden="1">{"fdsup://Directions/FactSet Auditing Viewer?action=AUDIT_VALUE&amp;DB=129&amp;ID1=97381W10&amp;VALUEID=01001&amp;SDATE=201002&amp;PERIODTYPE=QTR_STD&amp;window=popup_no_bar&amp;width=385&amp;height=120&amp;START_MAXIMIZED=FALSE&amp;creator=factset&amp;display_string=Audit"}</definedName>
    <definedName name="_1039__FDSAUDITLINK__" localSheetId="1" hidden="1">{"fdsup://Directions/FactSet Auditing Viewer?action=AUDIT_VALUE&amp;DB=129&amp;ID1=96332010&amp;VALUEID=01001&amp;SDATE=200902&amp;PERIODTYPE=QTR_STD&amp;window=popup_no_bar&amp;width=385&amp;height=120&amp;START_MAXIMIZED=FALSE&amp;creator=factset&amp;display_string=Audit"}</definedName>
    <definedName name="_1039__FDSAUDITLINK__" hidden="1">{"fdsup://Directions/FactSet Auditing Viewer?action=AUDIT_VALUE&amp;DB=129&amp;ID1=96332010&amp;VALUEID=01001&amp;SDATE=200902&amp;PERIODTYPE=QTR_STD&amp;window=popup_no_bar&amp;width=385&amp;height=120&amp;START_MAXIMIZED=FALSE&amp;creator=factset&amp;display_string=Audit"}</definedName>
    <definedName name="_104__FDSAUDITLINK__" localSheetId="1" hidden="1">{"fdsup://directions/FAT Viewer?action=UPDATE&amp;creator=factset&amp;DYN_ARGS=TRUE&amp;DOC_NAME=FAT:FQL_AUDITING_CLIENT_TEMPLATE.FAT&amp;display_string=Audit&amp;VAR:KEY=VQXYZCDERU&amp;VAR:QUERY=RkZfRUJJVERBX09QRVIoUVRSLDQvMS8yMDEwLDYvMzAvMjAxMCwsLFVTRCk=&amp;WINDOW=FIRST_POPUP&amp;HEIGH","T=450&amp;WIDTH=450&amp;START_MAXIMIZED=FALSE&amp;VAR:CALENDAR=US&amp;VAR:SYMBOL=TWC&amp;VAR:INDEX=0"}</definedName>
    <definedName name="_104__FDSAUDITLINK__" hidden="1">{"fdsup://directions/FAT Viewer?action=UPDATE&amp;creator=factset&amp;DYN_ARGS=TRUE&amp;DOC_NAME=FAT:FQL_AUDITING_CLIENT_TEMPLATE.FAT&amp;display_string=Audit&amp;VAR:KEY=VQXYZCDERU&amp;VAR:QUERY=RkZfRUJJVERBX09QRVIoUVRSLDQvMS8yMDEwLDYvMzAvMjAxMCwsLFVTRCk=&amp;WINDOW=FIRST_POPUP&amp;HEIGH","T=450&amp;WIDTH=450&amp;START_MAXIMIZED=FALSE&amp;VAR:CALENDAR=US&amp;VAR:SYMBOL=TWC&amp;VAR:INDEX=0"}</definedName>
    <definedName name="_1040__FDSAUDITLINK__" localSheetId="1" hidden="1">{"fdsup://Directions/FactSet Auditing Viewer?action=AUDIT_VALUE&amp;DB=129&amp;ID1=96332010&amp;VALUEID=01001&amp;SDATE=201002&amp;PERIODTYPE=QTR_STD&amp;window=popup_no_bar&amp;width=385&amp;height=120&amp;START_MAXIMIZED=FALSE&amp;creator=factset&amp;display_string=Audit"}</definedName>
    <definedName name="_1040__FDSAUDITLINK__" hidden="1">{"fdsup://Directions/FactSet Auditing Viewer?action=AUDIT_VALUE&amp;DB=129&amp;ID1=96332010&amp;VALUEID=01001&amp;SDATE=201002&amp;PERIODTYPE=QTR_STD&amp;window=popup_no_bar&amp;width=385&amp;height=120&amp;START_MAXIMIZED=FALSE&amp;creator=factset&amp;display_string=Audit"}</definedName>
    <definedName name="_1041__FDSAUDITLINK__" localSheetId="1" hidden="1">{"fdsup://Directions/FactSet Auditing Viewer?action=AUDIT_VALUE&amp;DB=129&amp;ID1=55271510&amp;VALUEID=01001&amp;SDATE=200902&amp;PERIODTYPE=QTR_STD&amp;window=popup_no_bar&amp;width=385&amp;height=120&amp;START_MAXIMIZED=FALSE&amp;creator=factset&amp;display_string=Audit"}</definedName>
    <definedName name="_1041__FDSAUDITLINK__" hidden="1">{"fdsup://Directions/FactSet Auditing Viewer?action=AUDIT_VALUE&amp;DB=129&amp;ID1=55271510&amp;VALUEID=01001&amp;SDATE=200902&amp;PERIODTYPE=QTR_STD&amp;window=popup_no_bar&amp;width=385&amp;height=120&amp;START_MAXIMIZED=FALSE&amp;creator=factset&amp;display_string=Audit"}</definedName>
    <definedName name="_1042__FDSAUDITLINK__" localSheetId="1" hidden="1">{"fdsup://Directions/FactSet Auditing Viewer?action=AUDIT_VALUE&amp;DB=129&amp;ID1=55271510&amp;VALUEID=01001&amp;SDATE=201002&amp;PERIODTYPE=QTR_STD&amp;window=popup_no_bar&amp;width=385&amp;height=120&amp;START_MAXIMIZED=FALSE&amp;creator=factset&amp;display_string=Audit"}</definedName>
    <definedName name="_1042__FDSAUDITLINK__" hidden="1">{"fdsup://Directions/FactSet Auditing Viewer?action=AUDIT_VALUE&amp;DB=129&amp;ID1=55271510&amp;VALUEID=01001&amp;SDATE=201002&amp;PERIODTYPE=QTR_STD&amp;window=popup_no_bar&amp;width=385&amp;height=120&amp;START_MAXIMIZED=FALSE&amp;creator=factset&amp;display_string=Audit"}</definedName>
    <definedName name="_1043__FDSAUDITLINK__" localSheetId="1" hidden="1">{"fdsup://Directions/FactSet Auditing Viewer?action=AUDIT_VALUE&amp;DB=129&amp;ID1=96683710&amp;VALUEID=01001&amp;SDATE=200902&amp;PERIODTYPE=QTR_STD&amp;window=popup_no_bar&amp;width=385&amp;height=120&amp;START_MAXIMIZED=FALSE&amp;creator=factset&amp;display_string=Audit"}</definedName>
    <definedName name="_1043__FDSAUDITLINK__" hidden="1">{"fdsup://Directions/FactSet Auditing Viewer?action=AUDIT_VALUE&amp;DB=129&amp;ID1=96683710&amp;VALUEID=01001&amp;SDATE=200902&amp;PERIODTYPE=QTR_STD&amp;window=popup_no_bar&amp;width=385&amp;height=120&amp;START_MAXIMIZED=FALSE&amp;creator=factset&amp;display_string=Audit"}</definedName>
    <definedName name="_1044__FDSAUDITLINK__" localSheetId="1" hidden="1">{"fdsup://Directions/FactSet Auditing Viewer?action=AUDIT_VALUE&amp;DB=129&amp;ID1=96683710&amp;VALUEID=01001&amp;SDATE=201002&amp;PERIODTYPE=QTR_STD&amp;window=popup_no_bar&amp;width=385&amp;height=120&amp;START_MAXIMIZED=FALSE&amp;creator=factset&amp;display_string=Audit"}</definedName>
    <definedName name="_1044__FDSAUDITLINK__" hidden="1">{"fdsup://Directions/FactSet Auditing Viewer?action=AUDIT_VALUE&amp;DB=129&amp;ID1=96683710&amp;VALUEID=01001&amp;SDATE=201002&amp;PERIODTYPE=QTR_STD&amp;window=popup_no_bar&amp;width=385&amp;height=120&amp;START_MAXIMIZED=FALSE&amp;creator=factset&amp;display_string=Audit"}</definedName>
    <definedName name="_1045__FDSAUDITLINK__" localSheetId="1" hidden="1">{"fdsup://Directions/FactSet Auditing Viewer?action=AUDIT_VALUE&amp;DB=129&amp;ID1=97665710&amp;VALUEID=01001&amp;SDATE=200902&amp;PERIODTYPE=QTR_STD&amp;window=popup_no_bar&amp;width=385&amp;height=120&amp;START_MAXIMIZED=FALSE&amp;creator=factset&amp;display_string=Audit"}</definedName>
    <definedName name="_1045__FDSAUDITLINK__" hidden="1">{"fdsup://Directions/FactSet Auditing Viewer?action=AUDIT_VALUE&amp;DB=129&amp;ID1=97665710&amp;VALUEID=01001&amp;SDATE=200902&amp;PERIODTYPE=QTR_STD&amp;window=popup_no_bar&amp;width=385&amp;height=120&amp;START_MAXIMIZED=FALSE&amp;creator=factset&amp;display_string=Audit"}</definedName>
    <definedName name="_1046__FDSAUDITLINK__" localSheetId="1" hidden="1">{"fdsup://Directions/FactSet Auditing Viewer?action=AUDIT_VALUE&amp;DB=129&amp;ID1=97665710&amp;VALUEID=01001&amp;SDATE=201002&amp;PERIODTYPE=QTR_STD&amp;window=popup_no_bar&amp;width=385&amp;height=120&amp;START_MAXIMIZED=FALSE&amp;creator=factset&amp;display_string=Audit"}</definedName>
    <definedName name="_1046__FDSAUDITLINK__" hidden="1">{"fdsup://Directions/FactSet Auditing Viewer?action=AUDIT_VALUE&amp;DB=129&amp;ID1=97665710&amp;VALUEID=01001&amp;SDATE=201002&amp;PERIODTYPE=QTR_STD&amp;window=popup_no_bar&amp;width=385&amp;height=120&amp;START_MAXIMIZED=FALSE&amp;creator=factset&amp;display_string=Audit"}</definedName>
    <definedName name="_1047__FDSAUDITLINK__" localSheetId="1" hidden="1">{"fdsup://Directions/FactSet Auditing Viewer?action=AUDIT_VALUE&amp;DB=129&amp;ID1=95810210&amp;VALUEID=01001&amp;SDATE=200904&amp;PERIODTYPE=QTR_STD&amp;window=popup_no_bar&amp;width=385&amp;height=120&amp;START_MAXIMIZED=FALSE&amp;creator=factset&amp;display_string=Audit"}</definedName>
    <definedName name="_1047__FDSAUDITLINK__" hidden="1">{"fdsup://Directions/FactSet Auditing Viewer?action=AUDIT_VALUE&amp;DB=129&amp;ID1=95810210&amp;VALUEID=01001&amp;SDATE=200904&amp;PERIODTYPE=QTR_STD&amp;window=popup_no_bar&amp;width=385&amp;height=120&amp;START_MAXIMIZED=FALSE&amp;creator=factset&amp;display_string=Audit"}</definedName>
    <definedName name="_1048__FDSAUDITLINK__" localSheetId="1" hidden="1">{"fdsup://Directions/FactSet Auditing Viewer?action=AUDIT_VALUE&amp;DB=129&amp;ID1=95810210&amp;VALUEID=01001&amp;SDATE=201004&amp;PERIODTYPE=QTR_STD&amp;window=popup_no_bar&amp;width=385&amp;height=120&amp;START_MAXIMIZED=FALSE&amp;creator=factset&amp;display_string=Audit"}</definedName>
    <definedName name="_1048__FDSAUDITLINK__" hidden="1">{"fdsup://Directions/FactSet Auditing Viewer?action=AUDIT_VALUE&amp;DB=129&amp;ID1=95810210&amp;VALUEID=01001&amp;SDATE=201004&amp;PERIODTYPE=QTR_STD&amp;window=popup_no_bar&amp;width=385&amp;height=120&amp;START_MAXIMIZED=FALSE&amp;creator=factset&amp;display_string=Audit"}</definedName>
    <definedName name="_1049__FDSAUDITLINK__" localSheetId="1" hidden="1">{"fdsup://Directions/FactSet Auditing Viewer?action=AUDIT_VALUE&amp;DB=129&amp;ID1=94184810&amp;VALUEID=01001&amp;SDATE=200902&amp;PERIODTYPE=QTR_STD&amp;window=popup_no_bar&amp;width=385&amp;height=120&amp;START_MAXIMIZED=FALSE&amp;creator=factset&amp;display_string=Audit"}</definedName>
    <definedName name="_1049__FDSAUDITLINK__" hidden="1">{"fdsup://Directions/FactSet Auditing Viewer?action=AUDIT_VALUE&amp;DB=129&amp;ID1=94184810&amp;VALUEID=01001&amp;SDATE=200902&amp;PERIODTYPE=QTR_STD&amp;window=popup_no_bar&amp;width=385&amp;height=120&amp;START_MAXIMIZED=FALSE&amp;creator=factset&amp;display_string=Audit"}</definedName>
    <definedName name="_105__FDSAUDITLINK__" localSheetId="1" hidden="1">{"fdsup://directions/FAT Viewer?action=UPDATE&amp;creator=factset&amp;DYN_ARGS=TRUE&amp;DOC_NAME=FAT:FQL_AUDITING_CLIENT_TEMPLATE.FAT&amp;display_string=Audit&amp;VAR:KEY=ZWPSTCJEBS&amp;VAR:QUERY=RkZfRUJJVERBX09QRVIoUVRSLDQvMS8yMDA5LDYvMzAvMjAwOSwsLFVTRCk=&amp;WINDOW=FIRST_POPUP&amp;HEIGH","T=450&amp;WIDTH=450&amp;START_MAXIMIZED=FALSE&amp;VAR:CALENDAR=US&amp;VAR:SYMBOL=TSS&amp;VAR:INDEX=0"}</definedName>
    <definedName name="_105__FDSAUDITLINK__" hidden="1">{"fdsup://directions/FAT Viewer?action=UPDATE&amp;creator=factset&amp;DYN_ARGS=TRUE&amp;DOC_NAME=FAT:FQL_AUDITING_CLIENT_TEMPLATE.FAT&amp;display_string=Audit&amp;VAR:KEY=ZWPSTCJEBS&amp;VAR:QUERY=RkZfRUJJVERBX09QRVIoUVRSLDQvMS8yMDA5LDYvMzAvMjAwOSwsLFVTRCk=&amp;WINDOW=FIRST_POPUP&amp;HEIGH","T=450&amp;WIDTH=450&amp;START_MAXIMIZED=FALSE&amp;VAR:CALENDAR=US&amp;VAR:SYMBOL=TSS&amp;VAR:INDEX=0"}</definedName>
    <definedName name="_1050__FDSAUDITLINK__" localSheetId="1" hidden="1">{"fdsup://Directions/FactSet Auditing Viewer?action=AUDIT_VALUE&amp;DB=129&amp;ID1=94184810&amp;VALUEID=01001&amp;SDATE=201002&amp;PERIODTYPE=QTR_STD&amp;window=popup_no_bar&amp;width=385&amp;height=120&amp;START_MAXIMIZED=FALSE&amp;creator=factset&amp;display_string=Audit"}</definedName>
    <definedName name="_1050__FDSAUDITLINK__" hidden="1">{"fdsup://Directions/FactSet Auditing Viewer?action=AUDIT_VALUE&amp;DB=129&amp;ID1=94184810&amp;VALUEID=01001&amp;SDATE=201002&amp;PERIODTYPE=QTR_STD&amp;window=popup_no_bar&amp;width=385&amp;height=120&amp;START_MAXIMIZED=FALSE&amp;creator=factset&amp;display_string=Audit"}</definedName>
    <definedName name="_1051__FDSAUDITLINK__" localSheetId="1" hidden="1">{"fdsup://Directions/FactSet Auditing Viewer?action=AUDIT_VALUE&amp;DB=129&amp;ID1=93142210&amp;VALUEID=01001&amp;SDATE=200903&amp;PERIODTYPE=QTR_STD&amp;window=popup_no_bar&amp;width=385&amp;height=120&amp;START_MAXIMIZED=FALSE&amp;creator=factset&amp;display_string=Audit"}</definedName>
    <definedName name="_1051__FDSAUDITLINK__" hidden="1">{"fdsup://Directions/FactSet Auditing Viewer?action=AUDIT_VALUE&amp;DB=129&amp;ID1=93142210&amp;VALUEID=01001&amp;SDATE=200903&amp;PERIODTYPE=QTR_STD&amp;window=popup_no_bar&amp;width=385&amp;height=120&amp;START_MAXIMIZED=FALSE&amp;creator=factset&amp;display_string=Audit"}</definedName>
    <definedName name="_1052__FDSAUDITLINK__" localSheetId="1" hidden="1">{"fdsup://Directions/FactSet Auditing Viewer?action=AUDIT_VALUE&amp;DB=129&amp;ID1=93142210&amp;VALUEID=01001&amp;SDATE=201003&amp;PERIODTYPE=QTR_STD&amp;window=popup_no_bar&amp;width=385&amp;height=120&amp;START_MAXIMIZED=FALSE&amp;creator=factset&amp;display_string=Audit"}</definedName>
    <definedName name="_1052__FDSAUDITLINK__" hidden="1">{"fdsup://Directions/FactSet Auditing Viewer?action=AUDIT_VALUE&amp;DB=129&amp;ID1=93142210&amp;VALUEID=01001&amp;SDATE=201003&amp;PERIODTYPE=QTR_STD&amp;window=popup_no_bar&amp;width=385&amp;height=120&amp;START_MAXIMIZED=FALSE&amp;creator=factset&amp;display_string=Audit"}</definedName>
    <definedName name="_1053__FDSAUDITLINK__" localSheetId="1" hidden="1">{"fdsup://Directions/FactSet Auditing Viewer?action=AUDIT_VALUE&amp;DB=129&amp;ID1=92343V10&amp;VALUEID=01001&amp;SDATE=200902&amp;PERIODTYPE=QTR_STD&amp;window=popup_no_bar&amp;width=385&amp;height=120&amp;START_MAXIMIZED=FALSE&amp;creator=factset&amp;display_string=Audit"}</definedName>
    <definedName name="_1053__FDSAUDITLINK__" hidden="1">{"fdsup://Directions/FactSet Auditing Viewer?action=AUDIT_VALUE&amp;DB=129&amp;ID1=92343V10&amp;VALUEID=01001&amp;SDATE=200902&amp;PERIODTYPE=QTR_STD&amp;window=popup_no_bar&amp;width=385&amp;height=120&amp;START_MAXIMIZED=FALSE&amp;creator=factset&amp;display_string=Audit"}</definedName>
    <definedName name="_1054__FDSAUDITLINK__" localSheetId="1" hidden="1">{"fdsup://Directions/FactSet Auditing Viewer?action=AUDIT_VALUE&amp;DB=129&amp;ID1=92343V10&amp;VALUEID=01001&amp;SDATE=201002&amp;PERIODTYPE=QTR_STD&amp;window=popup_no_bar&amp;width=385&amp;height=120&amp;START_MAXIMIZED=FALSE&amp;creator=factset&amp;display_string=Audit"}</definedName>
    <definedName name="_1054__FDSAUDITLINK__" hidden="1">{"fdsup://Directions/FactSet Auditing Viewer?action=AUDIT_VALUE&amp;DB=129&amp;ID1=92343V10&amp;VALUEID=01001&amp;SDATE=201002&amp;PERIODTYPE=QTR_STD&amp;window=popup_no_bar&amp;width=385&amp;height=120&amp;START_MAXIMIZED=FALSE&amp;creator=factset&amp;display_string=Audit"}</definedName>
    <definedName name="_1055__FDSAUDITLINK__" localSheetId="1" hidden="1">{"fdsup://Directions/FactSet Auditing Viewer?action=AUDIT_VALUE&amp;DB=129&amp;ID1=92276F10&amp;VALUEID=01001&amp;SDATE=200902&amp;PERIODTYPE=QTR_STD&amp;window=popup_no_bar&amp;width=385&amp;height=120&amp;START_MAXIMIZED=FALSE&amp;creator=factset&amp;display_string=Audit"}</definedName>
    <definedName name="_1055__FDSAUDITLINK__" hidden="1">{"fdsup://Directions/FactSet Auditing Viewer?action=AUDIT_VALUE&amp;DB=129&amp;ID1=92276F10&amp;VALUEID=01001&amp;SDATE=200902&amp;PERIODTYPE=QTR_STD&amp;window=popup_no_bar&amp;width=385&amp;height=120&amp;START_MAXIMIZED=FALSE&amp;creator=factset&amp;display_string=Audit"}</definedName>
    <definedName name="_1056__FDSAUDITLINK__" localSheetId="1" hidden="1">{"fdsup://Directions/FactSet Auditing Viewer?action=AUDIT_VALUE&amp;DB=129&amp;ID1=92276F10&amp;VALUEID=01001&amp;SDATE=201002&amp;PERIODTYPE=QTR_STD&amp;window=popup_no_bar&amp;width=385&amp;height=120&amp;START_MAXIMIZED=FALSE&amp;creator=factset&amp;display_string=Audit"}</definedName>
    <definedName name="_1056__FDSAUDITLINK__" hidden="1">{"fdsup://Directions/FactSet Auditing Viewer?action=AUDIT_VALUE&amp;DB=129&amp;ID1=92276F10&amp;VALUEID=01001&amp;SDATE=201002&amp;PERIODTYPE=QTR_STD&amp;window=popup_no_bar&amp;width=385&amp;height=120&amp;START_MAXIMIZED=FALSE&amp;creator=factset&amp;display_string=Audit"}</definedName>
    <definedName name="_1057__FDSAUDITLINK__" localSheetId="1" hidden="1">{"fdsup://Directions/FactSet Auditing Viewer?action=AUDIT_VALUE&amp;DB=129&amp;ID1=92343E10&amp;VALUEID=01001&amp;SDATE=200902&amp;PERIODTYPE=QTR_STD&amp;window=popup_no_bar&amp;width=385&amp;height=120&amp;START_MAXIMIZED=FALSE&amp;creator=factset&amp;display_string=Audit"}</definedName>
    <definedName name="_1057__FDSAUDITLINK__" hidden="1">{"fdsup://Directions/FactSet Auditing Viewer?action=AUDIT_VALUE&amp;DB=129&amp;ID1=92343E10&amp;VALUEID=01001&amp;SDATE=200902&amp;PERIODTYPE=QTR_STD&amp;window=popup_no_bar&amp;width=385&amp;height=120&amp;START_MAXIMIZED=FALSE&amp;creator=factset&amp;display_string=Audit"}</definedName>
    <definedName name="_1058__FDSAUDITLINK__" localSheetId="1" hidden="1">{"fdsup://Directions/FactSet Auditing Viewer?action=AUDIT_VALUE&amp;DB=129&amp;ID1=92343E10&amp;VALUEID=01001&amp;SDATE=201002&amp;PERIODTYPE=QTR_STD&amp;window=popup_no_bar&amp;width=385&amp;height=120&amp;START_MAXIMIZED=FALSE&amp;creator=factset&amp;display_string=Audit"}</definedName>
    <definedName name="_1058__FDSAUDITLINK__" hidden="1">{"fdsup://Directions/FactSet Auditing Viewer?action=AUDIT_VALUE&amp;DB=129&amp;ID1=92343E10&amp;VALUEID=01001&amp;SDATE=201002&amp;PERIODTYPE=QTR_STD&amp;window=popup_no_bar&amp;width=385&amp;height=120&amp;START_MAXIMIZED=FALSE&amp;creator=factset&amp;display_string=Audit"}</definedName>
    <definedName name="_1059__FDSAUDITLINK__" localSheetId="1" hidden="1">{"fdsup://Directions/FactSet Auditing Viewer?action=AUDIT_VALUE&amp;DB=129&amp;ID1=92904210&amp;VALUEID=01001&amp;SDATE=200902&amp;PERIODTYPE=QTR_STD&amp;window=popup_no_bar&amp;width=385&amp;height=120&amp;START_MAXIMIZED=FALSE&amp;creator=factset&amp;display_string=Audit"}</definedName>
    <definedName name="_1059__FDSAUDITLINK__" hidden="1">{"fdsup://Directions/FactSet Auditing Viewer?action=AUDIT_VALUE&amp;DB=129&amp;ID1=92904210&amp;VALUEID=01001&amp;SDATE=200902&amp;PERIODTYPE=QTR_STD&amp;window=popup_no_bar&amp;width=385&amp;height=120&amp;START_MAXIMIZED=FALSE&amp;creator=factset&amp;display_string=Audit"}</definedName>
    <definedName name="_106__FDSAUDITLINK__" localSheetId="1" hidden="1">{"fdsup://directions/FAT Viewer?action=UPDATE&amp;creator=factset&amp;DYN_ARGS=TRUE&amp;DOC_NAME=FAT:FQL_AUDITING_CLIENT_TEMPLATE.FAT&amp;display_string=Audit&amp;VAR:KEY=ZWRSXSVOTA&amp;VAR:QUERY=RkZfRUJJVERBX09QRVIoUVRSLDQvMS8yMDEwLDYvMzAvMjAxMCwsLFVTRCk=&amp;WINDOW=FIRST_POPUP&amp;HEIGH","T=450&amp;WIDTH=450&amp;START_MAXIMIZED=FALSE&amp;VAR:CALENDAR=US&amp;VAR:SYMBOL=TSS&amp;VAR:INDEX=0"}</definedName>
    <definedName name="_106__FDSAUDITLINK__" hidden="1">{"fdsup://directions/FAT Viewer?action=UPDATE&amp;creator=factset&amp;DYN_ARGS=TRUE&amp;DOC_NAME=FAT:FQL_AUDITING_CLIENT_TEMPLATE.FAT&amp;display_string=Audit&amp;VAR:KEY=ZWRSXSVOTA&amp;VAR:QUERY=RkZfRUJJVERBX09QRVIoUVRSLDQvMS8yMDEwLDYvMzAvMjAxMCwsLFVTRCk=&amp;WINDOW=FIRST_POPUP&amp;HEIGH","T=450&amp;WIDTH=450&amp;START_MAXIMIZED=FALSE&amp;VAR:CALENDAR=US&amp;VAR:SYMBOL=TSS&amp;VAR:INDEX=0"}</definedName>
    <definedName name="_1060__FDSAUDITLINK__" localSheetId="1" hidden="1">{"fdsup://Directions/FactSet Auditing Viewer?action=AUDIT_VALUE&amp;DB=129&amp;ID1=92904210&amp;VALUEID=01001&amp;SDATE=201002&amp;PERIODTYPE=QTR_STD&amp;window=popup_no_bar&amp;width=385&amp;height=120&amp;START_MAXIMIZED=FALSE&amp;creator=factset&amp;display_string=Audit"}</definedName>
    <definedName name="_1060__FDSAUDITLINK__" hidden="1">{"fdsup://Directions/FactSet Auditing Viewer?action=AUDIT_VALUE&amp;DB=129&amp;ID1=92904210&amp;VALUEID=01001&amp;SDATE=201002&amp;PERIODTYPE=QTR_STD&amp;window=popup_no_bar&amp;width=385&amp;height=120&amp;START_MAXIMIZED=FALSE&amp;creator=factset&amp;display_string=Audit"}</definedName>
    <definedName name="_1061__FDSAUDITLINK__" localSheetId="1" hidden="1">{"fdsup://Directions/FactSet Auditing Viewer?action=AUDIT_VALUE&amp;DB=129&amp;ID1=92916010&amp;VALUEID=01001&amp;SDATE=200902&amp;PERIODTYPE=QTR_STD&amp;window=popup_no_bar&amp;width=385&amp;height=120&amp;START_MAXIMIZED=FALSE&amp;creator=factset&amp;display_string=Audit"}</definedName>
    <definedName name="_1061__FDSAUDITLINK__" hidden="1">{"fdsup://Directions/FactSet Auditing Viewer?action=AUDIT_VALUE&amp;DB=129&amp;ID1=92916010&amp;VALUEID=01001&amp;SDATE=200902&amp;PERIODTYPE=QTR_STD&amp;window=popup_no_bar&amp;width=385&amp;height=120&amp;START_MAXIMIZED=FALSE&amp;creator=factset&amp;display_string=Audit"}</definedName>
    <definedName name="_1062__FDSAUDITLINK__" localSheetId="1" hidden="1">{"fdsup://Directions/FactSet Auditing Viewer?action=AUDIT_VALUE&amp;DB=129&amp;ID1=92916010&amp;VALUEID=01001&amp;SDATE=201002&amp;PERIODTYPE=QTR_STD&amp;window=popup_no_bar&amp;width=385&amp;height=120&amp;START_MAXIMIZED=FALSE&amp;creator=factset&amp;display_string=Audit"}</definedName>
    <definedName name="_1062__FDSAUDITLINK__" hidden="1">{"fdsup://Directions/FactSet Auditing Viewer?action=AUDIT_VALUE&amp;DB=129&amp;ID1=92916010&amp;VALUEID=01001&amp;SDATE=201002&amp;PERIODTYPE=QTR_STD&amp;window=popup_no_bar&amp;width=385&amp;height=120&amp;START_MAXIMIZED=FALSE&amp;creator=factset&amp;display_string=Audit"}</definedName>
    <definedName name="_1063__FDSAUDITLINK__" localSheetId="1" hidden="1">{"fdsup://Directions/FactSet Auditing Viewer?action=AUDIT_VALUE&amp;DB=129&amp;ID1=91913Y10&amp;VALUEID=01001&amp;SDATE=200902&amp;PERIODTYPE=QTR_STD&amp;window=popup_no_bar&amp;width=385&amp;height=120&amp;START_MAXIMIZED=FALSE&amp;creator=factset&amp;display_string=Audit"}</definedName>
    <definedName name="_1063__FDSAUDITLINK__" hidden="1">{"fdsup://Directions/FactSet Auditing Viewer?action=AUDIT_VALUE&amp;DB=129&amp;ID1=91913Y10&amp;VALUEID=01001&amp;SDATE=200902&amp;PERIODTYPE=QTR_STD&amp;window=popup_no_bar&amp;width=385&amp;height=120&amp;START_MAXIMIZED=FALSE&amp;creator=factset&amp;display_string=Audit"}</definedName>
    <definedName name="_1064__FDSAUDITLINK__" localSheetId="1" hidden="1">{"fdsup://Directions/FactSet Auditing Viewer?action=AUDIT_VALUE&amp;DB=129&amp;ID1=91913Y10&amp;VALUEID=01001&amp;SDATE=201002&amp;PERIODTYPE=QTR_STD&amp;window=popup_no_bar&amp;width=385&amp;height=120&amp;START_MAXIMIZED=FALSE&amp;creator=factset&amp;display_string=Audit"}</definedName>
    <definedName name="_1064__FDSAUDITLINK__" hidden="1">{"fdsup://Directions/FactSet Auditing Viewer?action=AUDIT_VALUE&amp;DB=129&amp;ID1=91913Y10&amp;VALUEID=01001&amp;SDATE=201002&amp;PERIODTYPE=QTR_STD&amp;window=popup_no_bar&amp;width=385&amp;height=120&amp;START_MAXIMIZED=FALSE&amp;creator=factset&amp;display_string=Audit"}</definedName>
    <definedName name="_1065__FDSAUDITLINK__" localSheetId="1" hidden="1">{"fdsup://Directions/FactSet Auditing Viewer?action=AUDIT_VALUE&amp;DB=129&amp;ID1=92553P20&amp;VALUEID=01001&amp;SDATE=200902&amp;PERIODTYPE=QTR_STD&amp;window=popup_no_bar&amp;width=385&amp;height=120&amp;START_MAXIMIZED=FALSE&amp;creator=factset&amp;display_string=Audit"}</definedName>
    <definedName name="_1065__FDSAUDITLINK__" hidden="1">{"fdsup://Directions/FactSet Auditing Viewer?action=AUDIT_VALUE&amp;DB=129&amp;ID1=92553P20&amp;VALUEID=01001&amp;SDATE=200902&amp;PERIODTYPE=QTR_STD&amp;window=popup_no_bar&amp;width=385&amp;height=120&amp;START_MAXIMIZED=FALSE&amp;creator=factset&amp;display_string=Audit"}</definedName>
    <definedName name="_1066__FDSAUDITLINK__" localSheetId="1" hidden="1">{"fdsup://Directions/FactSet Auditing Viewer?action=AUDIT_VALUE&amp;DB=129&amp;ID1=92553P20&amp;VALUEID=01001&amp;SDATE=201002&amp;PERIODTYPE=QTR_STD&amp;window=popup_no_bar&amp;width=385&amp;height=120&amp;START_MAXIMIZED=FALSE&amp;creator=factset&amp;display_string=Audit"}</definedName>
    <definedName name="_1066__FDSAUDITLINK__" hidden="1">{"fdsup://Directions/FactSet Auditing Viewer?action=AUDIT_VALUE&amp;DB=129&amp;ID1=92553P20&amp;VALUEID=01001&amp;SDATE=201002&amp;PERIODTYPE=QTR_STD&amp;window=popup_no_bar&amp;width=385&amp;height=120&amp;START_MAXIMIZED=FALSE&amp;creator=factset&amp;display_string=Audit"}</definedName>
    <definedName name="_1067__FDSAUDITLINK__" localSheetId="1" hidden="1">{"fdsup://Directions/FactSet Auditing Viewer?action=AUDIT_VALUE&amp;DB=129&amp;ID1=91820410&amp;VALUEID=01001&amp;SDATE=200902&amp;PERIODTYPE=QTR_STD&amp;window=popup_no_bar&amp;width=385&amp;height=120&amp;START_MAXIMIZED=FALSE&amp;creator=factset&amp;display_string=Audit"}</definedName>
    <definedName name="_1067__FDSAUDITLINK__" hidden="1">{"fdsup://Directions/FactSet Auditing Viewer?action=AUDIT_VALUE&amp;DB=129&amp;ID1=91820410&amp;VALUEID=01001&amp;SDATE=200902&amp;PERIODTYPE=QTR_STD&amp;window=popup_no_bar&amp;width=385&amp;height=120&amp;START_MAXIMIZED=FALSE&amp;creator=factset&amp;display_string=Audit"}</definedName>
    <definedName name="_1068__FDSAUDITLINK__" localSheetId="1" hidden="1">{"fdsup://Directions/FactSet Auditing Viewer?action=AUDIT_VALUE&amp;DB=129&amp;ID1=91820410&amp;VALUEID=01001&amp;SDATE=201002&amp;PERIODTYPE=QTR_STD&amp;window=popup_no_bar&amp;width=385&amp;height=120&amp;START_MAXIMIZED=FALSE&amp;creator=factset&amp;display_string=Audit"}</definedName>
    <definedName name="_1068__FDSAUDITLINK__" hidden="1">{"fdsup://Directions/FactSet Auditing Viewer?action=AUDIT_VALUE&amp;DB=129&amp;ID1=91820410&amp;VALUEID=01001&amp;SDATE=201002&amp;PERIODTYPE=QTR_STD&amp;window=popup_no_bar&amp;width=385&amp;height=120&amp;START_MAXIMIZED=FALSE&amp;creator=factset&amp;display_string=Audit"}</definedName>
    <definedName name="_1069__FDSAUDITLINK__" localSheetId="1" hidden="1">{"fdsup://Directions/FactSet Auditing Viewer?action=AUDIT_VALUE&amp;DB=129&amp;ID1=92220P10&amp;VALUEID=01001&amp;SDATE=200903&amp;PERIODTYPE=QTR_STD&amp;window=popup_no_bar&amp;width=385&amp;height=120&amp;START_MAXIMIZED=FALSE&amp;creator=factset&amp;display_string=Audit"}</definedName>
    <definedName name="_1069__FDSAUDITLINK__" hidden="1">{"fdsup://Directions/FactSet Auditing Viewer?action=AUDIT_VALUE&amp;DB=129&amp;ID1=92220P10&amp;VALUEID=01001&amp;SDATE=200903&amp;PERIODTYPE=QTR_STD&amp;window=popup_no_bar&amp;width=385&amp;height=120&amp;START_MAXIMIZED=FALSE&amp;creator=factset&amp;display_string=Audit"}</definedName>
    <definedName name="_107__FDSAUDITLINK__" localSheetId="1" hidden="1">{"fdsup://directions/FAT Viewer?action=UPDATE&amp;creator=factset&amp;DYN_ARGS=TRUE&amp;DOC_NAME=FAT:FQL_AUDITING_CLIENT_TEMPLATE.FAT&amp;display_string=Audit&amp;VAR:KEY=NYJWRGPEVS&amp;VAR:QUERY=RkZfRUJJVERBX09QRVIoUVRSLDQvMS8yMDA5LDYvMzAvMjAwOSwsLFVTRCk=&amp;WINDOW=FIRST_POPUP&amp;HEIGH","T=450&amp;WIDTH=450&amp;START_MAXIMIZED=FALSE&amp;VAR:CALENDAR=US&amp;VAR:SYMBOL=TSO&amp;VAR:INDEX=0"}</definedName>
    <definedName name="_107__FDSAUDITLINK__" hidden="1">{"fdsup://directions/FAT Viewer?action=UPDATE&amp;creator=factset&amp;DYN_ARGS=TRUE&amp;DOC_NAME=FAT:FQL_AUDITING_CLIENT_TEMPLATE.FAT&amp;display_string=Audit&amp;VAR:KEY=NYJWRGPEVS&amp;VAR:QUERY=RkZfRUJJVERBX09QRVIoUVRSLDQvMS8yMDA5LDYvMzAvMjAwOSwsLFVTRCk=&amp;WINDOW=FIRST_POPUP&amp;HEIGH","T=450&amp;WIDTH=450&amp;START_MAXIMIZED=FALSE&amp;VAR:CALENDAR=US&amp;VAR:SYMBOL=TSO&amp;VAR:INDEX=0"}</definedName>
    <definedName name="_1070__FDSAUDITLINK__" localSheetId="1" hidden="1">{"fdsup://Directions/FactSet Auditing Viewer?action=AUDIT_VALUE&amp;DB=129&amp;ID1=92220P10&amp;VALUEID=01001&amp;SDATE=201003&amp;PERIODTYPE=QTR_STD&amp;window=popup_no_bar&amp;width=385&amp;height=120&amp;START_MAXIMIZED=FALSE&amp;creator=factset&amp;display_string=Audit"}</definedName>
    <definedName name="_1070__FDSAUDITLINK__" hidden="1">{"fdsup://Directions/FactSet Auditing Viewer?action=AUDIT_VALUE&amp;DB=129&amp;ID1=92220P10&amp;VALUEID=01001&amp;SDATE=201003&amp;PERIODTYPE=QTR_STD&amp;window=popup_no_bar&amp;width=385&amp;height=120&amp;START_MAXIMIZED=FALSE&amp;creator=factset&amp;display_string=Audit"}</definedName>
    <definedName name="_1071__FDSAUDITLINK__" localSheetId="1" hidden="1">{"fdsup://Directions/FactSet Auditing Viewer?action=AUDIT_VALUE&amp;DB=129&amp;ID1=92826C83&amp;VALUEID=01001&amp;SDATE=200903&amp;PERIODTYPE=QTR_STD&amp;window=popup_no_bar&amp;width=385&amp;height=120&amp;START_MAXIMIZED=FALSE&amp;creator=factset&amp;display_string=Audit"}</definedName>
    <definedName name="_1071__FDSAUDITLINK__" hidden="1">{"fdsup://Directions/FactSet Auditing Viewer?action=AUDIT_VALUE&amp;DB=129&amp;ID1=92826C83&amp;VALUEID=01001&amp;SDATE=200903&amp;PERIODTYPE=QTR_STD&amp;window=popup_no_bar&amp;width=385&amp;height=120&amp;START_MAXIMIZED=FALSE&amp;creator=factset&amp;display_string=Audit"}</definedName>
    <definedName name="_1072__FDSAUDITLINK__" localSheetId="1" hidden="1">{"fdsup://Directions/FactSet Auditing Viewer?action=AUDIT_VALUE&amp;DB=129&amp;ID1=92826C83&amp;VALUEID=01001&amp;SDATE=201003&amp;PERIODTYPE=QTR_STD&amp;window=popup_no_bar&amp;width=385&amp;height=120&amp;START_MAXIMIZED=FALSE&amp;creator=factset&amp;display_string=Audit"}</definedName>
    <definedName name="_1072__FDSAUDITLINK__" hidden="1">{"fdsup://Directions/FactSet Auditing Viewer?action=AUDIT_VALUE&amp;DB=129&amp;ID1=92826C83&amp;VALUEID=01001&amp;SDATE=201003&amp;PERIODTYPE=QTR_STD&amp;window=popup_no_bar&amp;width=385&amp;height=120&amp;START_MAXIMIZED=FALSE&amp;creator=factset&amp;display_string=Audit"}</definedName>
    <definedName name="_1073__FDSAUDITLINK__" localSheetId="1" hidden="1">{"fdsup://Directions/FactSet Auditing Viewer?action=AUDIT_VALUE&amp;DB=129&amp;ID1=91301710&amp;VALUEID=01001&amp;SDATE=200902&amp;PERIODTYPE=QTR_STD&amp;window=popup_no_bar&amp;width=385&amp;height=120&amp;START_MAXIMIZED=FALSE&amp;creator=factset&amp;display_string=Audit"}</definedName>
    <definedName name="_1073__FDSAUDITLINK__" hidden="1">{"fdsup://Directions/FactSet Auditing Viewer?action=AUDIT_VALUE&amp;DB=129&amp;ID1=91301710&amp;VALUEID=01001&amp;SDATE=200902&amp;PERIODTYPE=QTR_STD&amp;window=popup_no_bar&amp;width=385&amp;height=120&amp;START_MAXIMIZED=FALSE&amp;creator=factset&amp;display_string=Audit"}</definedName>
    <definedName name="_1074__FDSAUDITLINK__" localSheetId="1" hidden="1">{"fdsup://Directions/FactSet Auditing Viewer?action=AUDIT_VALUE&amp;DB=129&amp;ID1=91301710&amp;VALUEID=01001&amp;SDATE=201002&amp;PERIODTYPE=QTR_STD&amp;window=popup_no_bar&amp;width=385&amp;height=120&amp;START_MAXIMIZED=FALSE&amp;creator=factset&amp;display_string=Audit"}</definedName>
    <definedName name="_1074__FDSAUDITLINK__" hidden="1">{"fdsup://Directions/FactSet Auditing Viewer?action=AUDIT_VALUE&amp;DB=129&amp;ID1=91301710&amp;VALUEID=01001&amp;SDATE=201002&amp;PERIODTYPE=QTR_STD&amp;window=popup_no_bar&amp;width=385&amp;height=120&amp;START_MAXIMIZED=FALSE&amp;creator=factset&amp;display_string=Audit"}</definedName>
    <definedName name="_1075__FDSAUDITLINK__" localSheetId="1" hidden="1">{"fdsup://Directions/FactSet Auditing Viewer?action=AUDIT_VALUE&amp;DB=129&amp;ID1=91704710&amp;VALUEID=01001&amp;SDATE=201001&amp;PERIODTYPE=QTR_STD&amp;window=popup_no_bar&amp;width=385&amp;height=120&amp;START_MAXIMIZED=FALSE&amp;creator=factset&amp;display_string=Audit"}</definedName>
    <definedName name="_1075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1076__FDSAUDITLINK__" localSheetId="1" hidden="1">{"fdsup://Directions/FactSet Auditing Viewer?action=AUDIT_VALUE&amp;DB=129&amp;ID1=91131210&amp;VALUEID=01001&amp;SDATE=200902&amp;PERIODTYPE=QTR_STD&amp;window=popup_no_bar&amp;width=385&amp;height=120&amp;START_MAXIMIZED=FALSE&amp;creator=factset&amp;display_string=Audit"}</definedName>
    <definedName name="_1076__FDSAUDITLINK__" hidden="1">{"fdsup://Directions/FactSet Auditing Viewer?action=AUDIT_VALUE&amp;DB=129&amp;ID1=91131210&amp;VALUEID=01001&amp;SDATE=200902&amp;PERIODTYPE=QTR_STD&amp;window=popup_no_bar&amp;width=385&amp;height=120&amp;START_MAXIMIZED=FALSE&amp;creator=factset&amp;display_string=Audit"}</definedName>
    <definedName name="_1077__FDSAUDITLINK__" localSheetId="1" hidden="1">{"fdsup://Directions/FactSet Auditing Viewer?action=AUDIT_VALUE&amp;DB=129&amp;ID1=91131210&amp;VALUEID=01001&amp;SDATE=201002&amp;PERIODTYPE=QTR_STD&amp;window=popup_no_bar&amp;width=385&amp;height=120&amp;START_MAXIMIZED=FALSE&amp;creator=factset&amp;display_string=Audit"}</definedName>
    <definedName name="_1077__FDSAUDITLINK__" hidden="1">{"fdsup://Directions/FactSet Auditing Viewer?action=AUDIT_VALUE&amp;DB=129&amp;ID1=91131210&amp;VALUEID=01001&amp;SDATE=201002&amp;PERIODTYPE=QTR_STD&amp;window=popup_no_bar&amp;width=385&amp;height=120&amp;START_MAXIMIZED=FALSE&amp;creator=factset&amp;display_string=Audit"}</definedName>
    <definedName name="_1078__FDSAUDITLINK__" localSheetId="1" hidden="1">{"fdsup://Directions/FactSet Auditing Viewer?action=AUDIT_VALUE&amp;DB=129&amp;ID1=90781810&amp;VALUEID=01001&amp;SDATE=200902&amp;PERIODTYPE=QTR_STD&amp;window=popup_no_bar&amp;width=385&amp;height=120&amp;START_MAXIMIZED=FALSE&amp;creator=factset&amp;display_string=Audit"}</definedName>
    <definedName name="_1078__FDSAUDITLINK__" hidden="1">{"fdsup://Directions/FactSet Auditing Viewer?action=AUDIT_VALUE&amp;DB=129&amp;ID1=90781810&amp;VALUEID=01001&amp;SDATE=200902&amp;PERIODTYPE=QTR_STD&amp;window=popup_no_bar&amp;width=385&amp;height=120&amp;START_MAXIMIZED=FALSE&amp;creator=factset&amp;display_string=Audit"}</definedName>
    <definedName name="_1079__FDSAUDITLINK__" localSheetId="1" hidden="1">{"fdsup://Directions/FactSet Auditing Viewer?action=AUDIT_VALUE&amp;DB=129&amp;ID1=90781810&amp;VALUEID=01001&amp;SDATE=201002&amp;PERIODTYPE=QTR_STD&amp;window=popup_no_bar&amp;width=385&amp;height=120&amp;START_MAXIMIZED=FALSE&amp;creator=factset&amp;display_string=Audit"}</definedName>
    <definedName name="_1079__FDSAUDITLINK__" hidden="1">{"fdsup://Directions/FactSet Auditing Viewer?action=AUDIT_VALUE&amp;DB=129&amp;ID1=90781810&amp;VALUEID=01001&amp;SDATE=201002&amp;PERIODTYPE=QTR_STD&amp;window=popup_no_bar&amp;width=385&amp;height=120&amp;START_MAXIMIZED=FALSE&amp;creator=factset&amp;display_string=Audit"}</definedName>
    <definedName name="_108__FDSAUDITLINK__" localSheetId="1" hidden="1">{"fdsup://directions/FAT Viewer?action=UPDATE&amp;creator=factset&amp;DYN_ARGS=TRUE&amp;DOC_NAME=FAT:FQL_AUDITING_CLIENT_TEMPLATE.FAT&amp;display_string=Audit&amp;VAR:KEY=LWZCVODYPU&amp;VAR:QUERY=RkZfRUJJVERBX09QRVIoUVRSLDQvMS8yMDEwLDYvMzAvMjAxMCwsLFVTRCk=&amp;WINDOW=FIRST_POPUP&amp;HEIGH","T=450&amp;WIDTH=450&amp;START_MAXIMIZED=FALSE&amp;VAR:CALENDAR=US&amp;VAR:SYMBOL=TSO&amp;VAR:INDEX=0"}</definedName>
    <definedName name="_108__FDSAUDITLINK__" hidden="1">{"fdsup://directions/FAT Viewer?action=UPDATE&amp;creator=factset&amp;DYN_ARGS=TRUE&amp;DOC_NAME=FAT:FQL_AUDITING_CLIENT_TEMPLATE.FAT&amp;display_string=Audit&amp;VAR:KEY=LWZCVODYPU&amp;VAR:QUERY=RkZfRUJJVERBX09QRVIoUVRSLDQvMS8yMDEwLDYvMzAvMjAxMCwsLFVTRCk=&amp;WINDOW=FIRST_POPUP&amp;HEIGH","T=450&amp;WIDTH=450&amp;START_MAXIMIZED=FALSE&amp;VAR:CALENDAR=US&amp;VAR:SYMBOL=TSO&amp;VAR:INDEX=0"}</definedName>
    <definedName name="_1080__FDSAUDITLINK__" localSheetId="1" hidden="1">{"fdsup://Directions/FactSet Auditing Viewer?action=AUDIT_VALUE&amp;DB=129&amp;ID1=91529Y10&amp;VALUEID=01001&amp;SDATE=201002&amp;PERIODTYPE=QTR_STD&amp;window=popup_no_bar&amp;width=385&amp;height=120&amp;START_MAXIMIZED=FALSE&amp;creator=factset&amp;display_string=Audit"}</definedName>
    <definedName name="_1080__FDSAUDITLINK__" hidden="1">{"fdsup://Directions/FactSet Auditing Viewer?action=AUDIT_VALUE&amp;DB=129&amp;ID1=91529Y10&amp;VALUEID=01001&amp;SDATE=201002&amp;PERIODTYPE=QTR_STD&amp;window=popup_no_bar&amp;width=385&amp;height=120&amp;START_MAXIMIZED=FALSE&amp;creator=factset&amp;display_string=Audit"}</definedName>
    <definedName name="_1081__FDSAUDITLINK__" localSheetId="1" hidden="1">{"fdsup://Directions/FactSet Auditing Viewer?action=AUDIT_VALUE&amp;DB=129&amp;ID1=91324P10&amp;VALUEID=01001&amp;SDATE=200902&amp;PERIODTYPE=QTR_STD&amp;window=popup_no_bar&amp;width=385&amp;height=120&amp;START_MAXIMIZED=FALSE&amp;creator=factset&amp;display_string=Audit"}</definedName>
    <definedName name="_1081__FDSAUDITLINK__" hidden="1">{"fdsup://Directions/FactSet Auditing Viewer?action=AUDIT_VALUE&amp;DB=129&amp;ID1=91324P10&amp;VALUEID=01001&amp;SDATE=200902&amp;PERIODTYPE=QTR_STD&amp;window=popup_no_bar&amp;width=385&amp;height=120&amp;START_MAXIMIZED=FALSE&amp;creator=factset&amp;display_string=Audit"}</definedName>
    <definedName name="_1082__FDSAUDITLINK__" localSheetId="1" hidden="1">{"fdsup://Directions/FactSet Auditing Viewer?action=AUDIT_VALUE&amp;DB=129&amp;ID1=91324P10&amp;VALUEID=01001&amp;SDATE=201002&amp;PERIODTYPE=QTR_STD&amp;window=popup_no_bar&amp;width=385&amp;height=120&amp;START_MAXIMIZED=FALSE&amp;creator=factset&amp;display_string=Audit"}</definedName>
    <definedName name="_1082__FDSAUDITLINK__" hidden="1">{"fdsup://Directions/FactSet Auditing Viewer?action=AUDIT_VALUE&amp;DB=129&amp;ID1=91324P10&amp;VALUEID=01001&amp;SDATE=201002&amp;PERIODTYPE=QTR_STD&amp;window=popup_no_bar&amp;width=385&amp;height=120&amp;START_MAXIMIZED=FALSE&amp;creator=factset&amp;display_string=Audit"}</definedName>
    <definedName name="_1083__FDSAUDITLINK__" localSheetId="1" hidden="1">{"fdsup://Directions/FactSet Auditing Viewer?action=AUDIT_VALUE&amp;DB=129&amp;ID1=H8912810&amp;VALUEID=01001&amp;SDATE=200903&amp;PERIODTYPE=QTR_STD&amp;window=popup_no_bar&amp;width=385&amp;height=120&amp;START_MAXIMIZED=FALSE&amp;creator=factset&amp;display_string=Audit"}</definedName>
    <definedName name="_1083__FDSAUDITLINK__" hidden="1">{"fdsup://Directions/FactSet Auditing Viewer?action=AUDIT_VALUE&amp;DB=129&amp;ID1=H8912810&amp;VALUEID=01001&amp;SDATE=200903&amp;PERIODTYPE=QTR_STD&amp;window=popup_no_bar&amp;width=385&amp;height=120&amp;START_MAXIMIZED=FALSE&amp;creator=factset&amp;display_string=Audit"}</definedName>
    <definedName name="_1084__FDSAUDITLINK__" localSheetId="1" hidden="1">{"fdsup://Directions/FactSet Auditing Viewer?action=AUDIT_VALUE&amp;DB=129&amp;ID1=H8912810&amp;VALUEID=01001&amp;SDATE=201003&amp;PERIODTYPE=QTR_STD&amp;window=popup_no_bar&amp;width=385&amp;height=120&amp;START_MAXIMIZED=FALSE&amp;creator=factset&amp;display_string=Audit"}</definedName>
    <definedName name="_1084__FDSAUDITLINK__" hidden="1">{"fdsup://Directions/FactSet Auditing Viewer?action=AUDIT_VALUE&amp;DB=129&amp;ID1=H8912810&amp;VALUEID=01001&amp;SDATE=201003&amp;PERIODTYPE=QTR_STD&amp;window=popup_no_bar&amp;width=385&amp;height=120&amp;START_MAXIMIZED=FALSE&amp;creator=factset&amp;display_string=Audit"}</definedName>
    <definedName name="_1085__FDSAUDITLINK__" localSheetId="1" hidden="1">{"fdsup://Directions/FactSet Auditing Viewer?action=AUDIT_VALUE&amp;DB=129&amp;ID1=88320310&amp;VALUEID=01001&amp;SDATE=200902&amp;PERIODTYPE=QTR_STD&amp;window=popup_no_bar&amp;width=385&amp;height=120&amp;START_MAXIMIZED=FALSE&amp;creator=factset&amp;display_string=Audit"}</definedName>
    <definedName name="_1085__FDSAUDITLINK__" hidden="1">{"fdsup://Directions/FactSet Auditing Viewer?action=AUDIT_VALUE&amp;DB=129&amp;ID1=88320310&amp;VALUEID=01001&amp;SDATE=200902&amp;PERIODTYPE=QTR_STD&amp;window=popup_no_bar&amp;width=385&amp;height=120&amp;START_MAXIMIZED=FALSE&amp;creator=factset&amp;display_string=Audit"}</definedName>
    <definedName name="_1086__FDSAUDITLINK__" localSheetId="1" hidden="1">{"fdsup://Directions/FactSet Auditing Viewer?action=AUDIT_VALUE&amp;DB=129&amp;ID1=88320310&amp;VALUEID=01001&amp;SDATE=201002&amp;PERIODTYPE=QTR_STD&amp;window=popup_no_bar&amp;width=385&amp;height=120&amp;START_MAXIMIZED=FALSE&amp;creator=factset&amp;display_string=Audit"}</definedName>
    <definedName name="_1086__FDSAUDITLINK__" hidden="1">{"fdsup://Directions/FactSet Auditing Viewer?action=AUDIT_VALUE&amp;DB=129&amp;ID1=88320310&amp;VALUEID=01001&amp;SDATE=201002&amp;PERIODTYPE=QTR_STD&amp;window=popup_no_bar&amp;width=385&amp;height=120&amp;START_MAXIMIZED=FALSE&amp;creator=factset&amp;display_string=Audit"}</definedName>
    <definedName name="_1087__FDSAUDITLINK__" localSheetId="1" hidden="1">{"fdsup://Directions/FactSet Auditing Viewer?action=AUDIT_VALUE&amp;DB=129&amp;ID1=88250810&amp;VALUEID=01001&amp;SDATE=200902&amp;PERIODTYPE=QTR_STD&amp;window=popup_no_bar&amp;width=385&amp;height=120&amp;START_MAXIMIZED=FALSE&amp;creator=factset&amp;display_string=Audit"}</definedName>
    <definedName name="_1087__FDSAUDITLINK__" hidden="1">{"fdsup://Directions/FactSet Auditing Viewer?action=AUDIT_VALUE&amp;DB=129&amp;ID1=88250810&amp;VALUEID=01001&amp;SDATE=200902&amp;PERIODTYPE=QTR_STD&amp;window=popup_no_bar&amp;width=385&amp;height=120&amp;START_MAXIMIZED=FALSE&amp;creator=factset&amp;display_string=Audit"}</definedName>
    <definedName name="_1088__FDSAUDITLINK__" localSheetId="1" hidden="1">{"fdsup://Directions/FactSet Auditing Viewer?action=AUDIT_VALUE&amp;DB=129&amp;ID1=88250810&amp;VALUEID=01001&amp;SDATE=201002&amp;PERIODTYPE=QTR_STD&amp;window=popup_no_bar&amp;width=385&amp;height=120&amp;START_MAXIMIZED=FALSE&amp;creator=factset&amp;display_string=Audit"}</definedName>
    <definedName name="_1088__FDSAUDITLINK__" hidden="1">{"fdsup://Directions/FactSet Auditing Viewer?action=AUDIT_VALUE&amp;DB=129&amp;ID1=88250810&amp;VALUEID=01001&amp;SDATE=201002&amp;PERIODTYPE=QTR_STD&amp;window=popup_no_bar&amp;width=385&amp;height=120&amp;START_MAXIMIZED=FALSE&amp;creator=factset&amp;display_string=Audit"}</definedName>
    <definedName name="_1089__FDSAUDITLINK__" localSheetId="1" hidden="1">{"fdsup://Directions/FactSet Auditing Viewer?action=AUDIT_VALUE&amp;DB=129&amp;ID1=88731730&amp;VALUEID=01001&amp;SDATE=200902&amp;PERIODTYPE=QTR_STD&amp;window=popup_no_bar&amp;width=385&amp;height=120&amp;START_MAXIMIZED=FALSE&amp;creator=factset&amp;display_string=Audit"}</definedName>
    <definedName name="_1089__FDSAUDITLINK__" hidden="1">{"fdsup://Directions/FactSet Auditing Viewer?action=AUDIT_VALUE&amp;DB=129&amp;ID1=88731730&amp;VALUEID=01001&amp;SDATE=200902&amp;PERIODTYPE=QTR_STD&amp;window=popup_no_bar&amp;width=385&amp;height=120&amp;START_MAXIMIZED=FALSE&amp;creator=factset&amp;display_string=Audit"}</definedName>
    <definedName name="_109__FDSAUDITLINK__" localSheetId="1" hidden="1">{"fdsup://directions/FAT Viewer?action=UPDATE&amp;creator=factset&amp;DYN_ARGS=TRUE&amp;DOC_NAME=FAT:FQL_AUDITING_CLIENT_TEMPLATE.FAT&amp;display_string=Audit&amp;VAR:KEY=LWDSJWJWDE&amp;VAR:QUERY=RkZfRUJJVERBX09QRVIoUVRSLDQvMS8yMDA5LDYvMzAvMjAwOSwsLFVTRCk=&amp;WINDOW=FIRST_POPUP&amp;HEIGH","T=450&amp;WIDTH=450&amp;START_MAXIMIZED=FALSE&amp;VAR:CALENDAR=US&amp;VAR:SYMBOL=TSN&amp;VAR:INDEX=0"}</definedName>
    <definedName name="_109__FDSAUDITLINK__" hidden="1">{"fdsup://directions/FAT Viewer?action=UPDATE&amp;creator=factset&amp;DYN_ARGS=TRUE&amp;DOC_NAME=FAT:FQL_AUDITING_CLIENT_TEMPLATE.FAT&amp;display_string=Audit&amp;VAR:KEY=LWDSJWJWDE&amp;VAR:QUERY=RkZfRUJJVERBX09QRVIoUVRSLDQvMS8yMDA5LDYvMzAvMjAwOSwsLFVTRCk=&amp;WINDOW=FIRST_POPUP&amp;HEIGH","T=450&amp;WIDTH=450&amp;START_MAXIMIZED=FALSE&amp;VAR:CALENDAR=US&amp;VAR:SYMBOL=TSN&amp;VAR:INDEX=0"}</definedName>
    <definedName name="_1090__FDSAUDITLINK__" localSheetId="1" hidden="1">{"fdsup://Directions/FactSet Auditing Viewer?action=AUDIT_VALUE&amp;DB=129&amp;ID1=88731730&amp;VALUEID=01001&amp;SDATE=201002&amp;PERIODTYPE=QTR_STD&amp;window=popup_no_bar&amp;width=385&amp;height=120&amp;START_MAXIMIZED=FALSE&amp;creator=factset&amp;display_string=Audit"}</definedName>
    <definedName name="_1090__FDSAUDITLINK__" hidden="1">{"fdsup://Directions/FactSet Auditing Viewer?action=AUDIT_VALUE&amp;DB=129&amp;ID1=88731730&amp;VALUEID=01001&amp;SDATE=201002&amp;PERIODTYPE=QTR_STD&amp;window=popup_no_bar&amp;width=385&amp;height=120&amp;START_MAXIMIZED=FALSE&amp;creator=factset&amp;display_string=Audit"}</definedName>
    <definedName name="_1091__FDSAUDITLINK__" localSheetId="1" hidden="1">{"fdsup://Directions/FactSet Auditing Viewer?action=AUDIT_VALUE&amp;DB=129&amp;ID1=88732J20&amp;VALUEID=01001&amp;SDATE=200902&amp;PERIODTYPE=QTR_STD&amp;window=popup_no_bar&amp;width=385&amp;height=120&amp;START_MAXIMIZED=FALSE&amp;creator=factset&amp;display_string=Audit"}</definedName>
    <definedName name="_1091__FDSAUDITLINK__" hidden="1">{"fdsup://Directions/FactSet Auditing Viewer?action=AUDIT_VALUE&amp;DB=129&amp;ID1=88732J20&amp;VALUEID=01001&amp;SDATE=200902&amp;PERIODTYPE=QTR_STD&amp;window=popup_no_bar&amp;width=385&amp;height=120&amp;START_MAXIMIZED=FALSE&amp;creator=factset&amp;display_string=Audit"}</definedName>
    <definedName name="_1092__FDSAUDITLINK__" localSheetId="1" hidden="1">{"fdsup://Directions/FactSet Auditing Viewer?action=AUDIT_VALUE&amp;DB=129&amp;ID1=88732J20&amp;VALUEID=01001&amp;SDATE=201002&amp;PERIODTYPE=QTR_STD&amp;window=popup_no_bar&amp;width=385&amp;height=120&amp;START_MAXIMIZED=FALSE&amp;creator=factset&amp;display_string=Audit"}</definedName>
    <definedName name="_1092__FDSAUDITLINK__" hidden="1">{"fdsup://Directions/FactSet Auditing Viewer?action=AUDIT_VALUE&amp;DB=129&amp;ID1=88732J20&amp;VALUEID=01001&amp;SDATE=201002&amp;PERIODTYPE=QTR_STD&amp;window=popup_no_bar&amp;width=385&amp;height=120&amp;START_MAXIMIZED=FALSE&amp;creator=factset&amp;display_string=Audit"}</definedName>
    <definedName name="_1093__FDSAUDITLINK__" localSheetId="1" hidden="1">{"fdsup://Directions/FactSet Auditing Viewer?action=AUDIT_VALUE&amp;DB=129&amp;ID1=89190610&amp;VALUEID=01001&amp;SDATE=200902&amp;PERIODTYPE=QTR_STD&amp;window=popup_no_bar&amp;width=385&amp;height=120&amp;START_MAXIMIZED=FALSE&amp;creator=factset&amp;display_string=Audit"}</definedName>
    <definedName name="_1093__FDSAUDITLINK__" hidden="1">{"fdsup://Directions/FactSet Auditing Viewer?action=AUDIT_VALUE&amp;DB=129&amp;ID1=89190610&amp;VALUEID=01001&amp;SDATE=200902&amp;PERIODTYPE=QTR_STD&amp;window=popup_no_bar&amp;width=385&amp;height=120&amp;START_MAXIMIZED=FALSE&amp;creator=factset&amp;display_string=Audit"}</definedName>
    <definedName name="_1094__FDSAUDITLINK__" localSheetId="1" hidden="1">{"fdsup://Directions/FactSet Auditing Viewer?action=AUDIT_VALUE&amp;DB=129&amp;ID1=89190610&amp;VALUEID=01001&amp;SDATE=201002&amp;PERIODTYPE=QTR_STD&amp;window=popup_no_bar&amp;width=385&amp;height=120&amp;START_MAXIMIZED=FALSE&amp;creator=factset&amp;display_string=Audit"}</definedName>
    <definedName name="_1094__FDSAUDITLINK__" hidden="1">{"fdsup://Directions/FactSet Auditing Viewer?action=AUDIT_VALUE&amp;DB=129&amp;ID1=89190610&amp;VALUEID=01001&amp;SDATE=201002&amp;PERIODTYPE=QTR_STD&amp;window=popup_no_bar&amp;width=385&amp;height=120&amp;START_MAXIMIZED=FALSE&amp;creator=factset&amp;display_string=Audit"}</definedName>
    <definedName name="_1095__FDSAUDITLINK__" localSheetId="1" hidden="1">{"fdsup://Directions/FactSet Auditing Viewer?action=AUDIT_VALUE&amp;DB=129&amp;ID1=88160910&amp;VALUEID=01001&amp;SDATE=200902&amp;PERIODTYPE=QTR_STD&amp;window=popup_no_bar&amp;width=385&amp;height=120&amp;START_MAXIMIZED=FALSE&amp;creator=factset&amp;display_string=Audit"}</definedName>
    <definedName name="_1095__FDSAUDITLINK__" hidden="1">{"fdsup://Directions/FactSet Auditing Viewer?action=AUDIT_VALUE&amp;DB=129&amp;ID1=88160910&amp;VALUEID=01001&amp;SDATE=200902&amp;PERIODTYPE=QTR_STD&amp;window=popup_no_bar&amp;width=385&amp;height=120&amp;START_MAXIMIZED=FALSE&amp;creator=factset&amp;display_string=Audit"}</definedName>
    <definedName name="_1096__FDSAUDITLINK__" localSheetId="1" hidden="1">{"fdsup://Directions/FactSet Auditing Viewer?action=AUDIT_VALUE&amp;DB=129&amp;ID1=88160910&amp;VALUEID=01001&amp;SDATE=201002&amp;PERIODTYPE=QTR_STD&amp;window=popup_no_bar&amp;width=385&amp;height=120&amp;START_MAXIMIZED=FALSE&amp;creator=factset&amp;display_string=Audit"}</definedName>
    <definedName name="_1096__FDSAUDITLINK__" hidden="1">{"fdsup://Directions/FactSet Auditing Viewer?action=AUDIT_VALUE&amp;DB=129&amp;ID1=88160910&amp;VALUEID=01001&amp;SDATE=201002&amp;PERIODTYPE=QTR_STD&amp;window=popup_no_bar&amp;width=385&amp;height=120&amp;START_MAXIMIZED=FALSE&amp;creator=factset&amp;display_string=Audit"}</definedName>
    <definedName name="_1097__FDSAUDITLINK__" localSheetId="1" hidden="1">{"fdsup://Directions/FactSet Auditing Viewer?action=AUDIT_VALUE&amp;DB=129&amp;ID1=90249410&amp;VALUEID=01001&amp;SDATE=200903&amp;PERIODTYPE=QTR_STD&amp;window=popup_no_bar&amp;width=385&amp;height=120&amp;START_MAXIMIZED=FALSE&amp;creator=factset&amp;display_string=Audit"}</definedName>
    <definedName name="_1097__FDSAUDITLINK__" hidden="1">{"fdsup://Directions/FactSet Auditing Viewer?action=AUDIT_VALUE&amp;DB=129&amp;ID1=90249410&amp;VALUEID=01001&amp;SDATE=200903&amp;PERIODTYPE=QTR_STD&amp;window=popup_no_bar&amp;width=385&amp;height=120&amp;START_MAXIMIZED=FALSE&amp;creator=factset&amp;display_string=Audit"}</definedName>
    <definedName name="_1098__FDSAUDITLINK__" localSheetId="1" hidden="1">{"fdsup://Directions/FactSet Auditing Viewer?action=AUDIT_VALUE&amp;DB=129&amp;ID1=90249410&amp;VALUEID=01001&amp;SDATE=201003&amp;PERIODTYPE=QTR_STD&amp;window=popup_no_bar&amp;width=385&amp;height=120&amp;START_MAXIMIZED=FALSE&amp;creator=factset&amp;display_string=Audit"}</definedName>
    <definedName name="_1098__FDSAUDITLINK__" hidden="1">{"fdsup://Directions/FactSet Auditing Viewer?action=AUDIT_VALUE&amp;DB=129&amp;ID1=90249410&amp;VALUEID=01001&amp;SDATE=201003&amp;PERIODTYPE=QTR_STD&amp;window=popup_no_bar&amp;width=385&amp;height=120&amp;START_MAXIMIZED=FALSE&amp;creator=factset&amp;display_string=Audit"}</definedName>
    <definedName name="_1099__FDSAUDITLINK__" localSheetId="1" hidden="1">{"fdsup://Directions/FactSet Auditing Viewer?action=AUDIT_VALUE&amp;DB=129&amp;ID1=89417E10&amp;VALUEID=01001&amp;SDATE=200902&amp;PERIODTYPE=QTR_STD&amp;window=popup_no_bar&amp;width=385&amp;height=120&amp;START_MAXIMIZED=FALSE&amp;creator=factset&amp;display_string=Audit"}</definedName>
    <definedName name="_1099__FDSAUDITLINK__" hidden="1">{"fdsup://Directions/FactSet Auditing Viewer?action=AUDIT_VALUE&amp;DB=129&amp;ID1=89417E10&amp;VALUEID=01001&amp;SDATE=200902&amp;PERIODTYPE=QTR_STD&amp;window=popup_no_bar&amp;width=385&amp;height=120&amp;START_MAXIMIZED=FALSE&amp;creator=factset&amp;display_string=Audit"}</definedName>
    <definedName name="_11__FDSAUDITLINK__" localSheetId="1" hidden="1">{"fdsup://directions/FAT Viewer?action=UPDATE&amp;creator=factset&amp;DYN_ARGS=TRUE&amp;DOC_NAME=FAT:FQL_AUDITING_CLIENT_TEMPLATE.FAT&amp;display_string=Audit&amp;VAR:KEY=ZQFCZEROFC&amp;VAR:QUERY=RkZfRUJJVERBX09QRVIoUVRSLDQvMS8yMDA5LDYvMzAvMjAwOSwsLFVTRCk=&amp;WINDOW=FIRST_POPUP&amp;HEIGH","T=450&amp;WIDTH=450&amp;START_MAXIMIZED=FALSE&amp;VAR:CALENDAR=US&amp;VAR:SYMBOL=XRAY&amp;VAR:INDEX=0"}</definedName>
    <definedName name="_11__FDSAUDITLINK__" hidden="1">{"fdsup://directions/FAT Viewer?action=UPDATE&amp;creator=factset&amp;DYN_ARGS=TRUE&amp;DOC_NAME=FAT:FQL_AUDITING_CLIENT_TEMPLATE.FAT&amp;display_string=Audit&amp;VAR:KEY=ZQFCZEROFC&amp;VAR:QUERY=RkZfRUJJVERBX09QRVIoUVRSLDQvMS8yMDA5LDYvMzAvMjAwOSwsLFVTRCk=&amp;WINDOW=FIRST_POPUP&amp;HEIGH","T=450&amp;WIDTH=450&amp;START_MAXIMIZED=FALSE&amp;VAR:CALENDAR=US&amp;VAR:SYMBOL=XRAY&amp;VAR:INDEX=0"}</definedName>
    <definedName name="_110__FDSAUDITLINK__" localSheetId="1" hidden="1">{"fdsup://directions/FAT Viewer?action=UPDATE&amp;creator=factset&amp;DYN_ARGS=TRUE&amp;DOC_NAME=FAT:FQL_AUDITING_CLIENT_TEMPLATE.FAT&amp;display_string=Audit&amp;VAR:KEY=PADORCNILO&amp;VAR:QUERY=RkZfRUJJVERBX09QRVIoUVRSLDQvMS8yMDEwLDYvMzAvMjAxMCwsLFVTRCk=&amp;WINDOW=FIRST_POPUP&amp;HEIGH","T=450&amp;WIDTH=450&amp;START_MAXIMIZED=FALSE&amp;VAR:CALENDAR=US&amp;VAR:SYMBOL=TSN&amp;VAR:INDEX=0"}</definedName>
    <definedName name="_110__FDSAUDITLINK__" hidden="1">{"fdsup://directions/FAT Viewer?action=UPDATE&amp;creator=factset&amp;DYN_ARGS=TRUE&amp;DOC_NAME=FAT:FQL_AUDITING_CLIENT_TEMPLATE.FAT&amp;display_string=Audit&amp;VAR:KEY=PADORCNILO&amp;VAR:QUERY=RkZfRUJJVERBX09QRVIoUVRSLDQvMS8yMDEwLDYvMzAvMjAxMCwsLFVTRCk=&amp;WINDOW=FIRST_POPUP&amp;HEIGH","T=450&amp;WIDTH=450&amp;START_MAXIMIZED=FALSE&amp;VAR:CALENDAR=US&amp;VAR:SYMBOL=TSN&amp;VAR:INDEX=0"}</definedName>
    <definedName name="_1100__FDSAUDITLINK__" localSheetId="1" hidden="1">{"fdsup://Directions/FactSet Auditing Viewer?action=AUDIT_VALUE&amp;DB=129&amp;ID1=89417E10&amp;VALUEID=01001&amp;SDATE=201002&amp;PERIODTYPE=QTR_STD&amp;window=popup_no_bar&amp;width=385&amp;height=120&amp;START_MAXIMIZED=FALSE&amp;creator=factset&amp;display_string=Audit"}</definedName>
    <definedName name="_1100__FDSAUDITLINK__" hidden="1">{"fdsup://Directions/FactSet Auditing Viewer?action=AUDIT_VALUE&amp;DB=129&amp;ID1=89417E10&amp;VALUEID=01001&amp;SDATE=201002&amp;PERIODTYPE=QTR_STD&amp;window=popup_no_bar&amp;width=385&amp;height=120&amp;START_MAXIMIZED=FALSE&amp;creator=factset&amp;display_string=Audit"}</definedName>
    <definedName name="_1101__FDSAUDITLINK__" localSheetId="1" hidden="1">{"fdsup://Directions/FactSet Auditing Viewer?action=AUDIT_VALUE&amp;DB=129&amp;ID1=74144T10&amp;VALUEID=01001&amp;SDATE=200902&amp;PERIODTYPE=QTR_STD&amp;window=popup_no_bar&amp;width=385&amp;height=120&amp;START_MAXIMIZED=FALSE&amp;creator=factset&amp;display_string=Audit"}</definedName>
    <definedName name="_1101__FDSAUDITLINK__" hidden="1">{"fdsup://Directions/FactSet Auditing Viewer?action=AUDIT_VALUE&amp;DB=129&amp;ID1=74144T10&amp;VALUEID=01001&amp;SDATE=200902&amp;PERIODTYPE=QTR_STD&amp;window=popup_no_bar&amp;width=385&amp;height=120&amp;START_MAXIMIZED=FALSE&amp;creator=factset&amp;display_string=Audit"}</definedName>
    <definedName name="_1102__FDSAUDITLINK__" localSheetId="1" hidden="1">{"fdsup://Directions/FactSet Auditing Viewer?action=AUDIT_VALUE&amp;DB=129&amp;ID1=74144T10&amp;VALUEID=01001&amp;SDATE=201002&amp;PERIODTYPE=QTR_STD&amp;window=popup_no_bar&amp;width=385&amp;height=120&amp;START_MAXIMIZED=FALSE&amp;creator=factset&amp;display_string=Audit"}</definedName>
    <definedName name="_1102__FDSAUDITLINK__" hidden="1">{"fdsup://Directions/FactSet Auditing Viewer?action=AUDIT_VALUE&amp;DB=129&amp;ID1=74144T10&amp;VALUEID=01001&amp;SDATE=201002&amp;PERIODTYPE=QTR_STD&amp;window=popup_no_bar&amp;width=385&amp;height=120&amp;START_MAXIMIZED=FALSE&amp;creator=factset&amp;display_string=Audit"}</definedName>
    <definedName name="_1103__FDSAUDITLINK__" localSheetId="1" hidden="1">{"fdsup://Directions/FactSet Auditing Viewer?action=AUDIT_VALUE&amp;DB=129&amp;ID1=88355610&amp;VALUEID=01001&amp;SDATE=200902&amp;PERIODTYPE=QTR_STD&amp;window=popup_no_bar&amp;width=385&amp;height=120&amp;START_MAXIMIZED=FALSE&amp;creator=factset&amp;display_string=Audit"}</definedName>
    <definedName name="_1103__FDSAUDITLINK__" hidden="1">{"fdsup://Directions/FactSet Auditing Viewer?action=AUDIT_VALUE&amp;DB=129&amp;ID1=88355610&amp;VALUEID=01001&amp;SDATE=200902&amp;PERIODTYPE=QTR_STD&amp;window=popup_no_bar&amp;width=385&amp;height=120&amp;START_MAXIMIZED=FALSE&amp;creator=factset&amp;display_string=Audit"}</definedName>
    <definedName name="_1104__FDSAUDITLINK__" localSheetId="1" hidden="1">{"fdsup://Directions/FactSet Auditing Viewer?action=AUDIT_VALUE&amp;DB=129&amp;ID1=88355610&amp;VALUEID=01001&amp;SDATE=201002&amp;PERIODTYPE=QTR_STD&amp;window=popup_no_bar&amp;width=385&amp;height=120&amp;START_MAXIMIZED=FALSE&amp;creator=factset&amp;display_string=Audit"}</definedName>
    <definedName name="_1104__FDSAUDITLINK__" hidden="1">{"fdsup://Directions/FactSet Auditing Viewer?action=AUDIT_VALUE&amp;DB=129&amp;ID1=88355610&amp;VALUEID=01001&amp;SDATE=201002&amp;PERIODTYPE=QTR_STD&amp;window=popup_no_bar&amp;width=385&amp;height=120&amp;START_MAXIMIZED=FALSE&amp;creator=factset&amp;display_string=Audit"}</definedName>
    <definedName name="_1105__FDSAUDITLINK__" localSheetId="1" hidden="1">{"fdsup://Directions/FactSet Auditing Viewer?action=AUDIT_VALUE&amp;DB=129&amp;ID1=89102710&amp;VALUEID=01001&amp;SDATE=200902&amp;PERIODTYPE=QTR_STD&amp;window=popup_no_bar&amp;width=385&amp;height=120&amp;START_MAXIMIZED=FALSE&amp;creator=factset&amp;display_string=Audit"}</definedName>
    <definedName name="_1105__FDSAUDITLINK__" hidden="1">{"fdsup://Directions/FactSet Auditing Viewer?action=AUDIT_VALUE&amp;DB=129&amp;ID1=89102710&amp;VALUEID=01001&amp;SDATE=200902&amp;PERIODTYPE=QTR_STD&amp;window=popup_no_bar&amp;width=385&amp;height=120&amp;START_MAXIMIZED=FALSE&amp;creator=factset&amp;display_string=Audit"}</definedName>
    <definedName name="_1106__FDSAUDITLINK__" localSheetId="1" hidden="1">{"fdsup://Directions/FactSet Auditing Viewer?action=AUDIT_VALUE&amp;DB=129&amp;ID1=89102710&amp;VALUEID=01001&amp;SDATE=201002&amp;PERIODTYPE=QTR_STD&amp;window=popup_no_bar&amp;width=385&amp;height=120&amp;START_MAXIMIZED=FALSE&amp;creator=factset&amp;display_string=Audit"}</definedName>
    <definedName name="_1106__FDSAUDITLINK__" hidden="1">{"fdsup://Directions/FactSet Auditing Viewer?action=AUDIT_VALUE&amp;DB=129&amp;ID1=89102710&amp;VALUEID=01001&amp;SDATE=201002&amp;PERIODTYPE=QTR_STD&amp;window=popup_no_bar&amp;width=385&amp;height=120&amp;START_MAXIMIZED=FALSE&amp;creator=factset&amp;display_string=Audit"}</definedName>
    <definedName name="_1107__FDSAUDITLINK__" localSheetId="1" hidden="1">{"fdsup://Directions/FactSet Auditing Viewer?action=AUDIT_VALUE&amp;DB=129&amp;ID1=87966410&amp;VALUEID=01001&amp;SDATE=200902&amp;PERIODTYPE=QTR_STD&amp;window=popup_no_bar&amp;width=385&amp;height=120&amp;START_MAXIMIZED=FALSE&amp;creator=factset&amp;display_string=Audit"}</definedName>
    <definedName name="_1107__FDSAUDITLINK__" hidden="1">{"fdsup://Directions/FactSet Auditing Viewer?action=AUDIT_VALUE&amp;DB=129&amp;ID1=87966410&amp;VALUEID=01001&amp;SDATE=200902&amp;PERIODTYPE=QTR_STD&amp;window=popup_no_bar&amp;width=385&amp;height=120&amp;START_MAXIMIZED=FALSE&amp;creator=factset&amp;display_string=Audit"}</definedName>
    <definedName name="_1108__FDSAUDITLINK__" localSheetId="1" hidden="1">{"fdsup://Directions/FactSet Auditing Viewer?action=AUDIT_VALUE&amp;DB=129&amp;ID1=87966410&amp;VALUEID=01001&amp;SDATE=201002&amp;PERIODTYPE=QTR_STD&amp;window=popup_no_bar&amp;width=385&amp;height=120&amp;START_MAXIMIZED=FALSE&amp;creator=factset&amp;display_string=Audit"}</definedName>
    <definedName name="_1108__FDSAUDITLINK__" hidden="1">{"fdsup://Directions/FactSet Auditing Viewer?action=AUDIT_VALUE&amp;DB=129&amp;ID1=87966410&amp;VALUEID=01001&amp;SDATE=201002&amp;PERIODTYPE=QTR_STD&amp;window=popup_no_bar&amp;width=385&amp;height=120&amp;START_MAXIMIZED=FALSE&amp;creator=factset&amp;display_string=Audit"}</definedName>
    <definedName name="_1109__FDSAUDITLINK__" localSheetId="1" hidden="1">{"fdsup://Directions/FactSet Auditing Viewer?action=AUDIT_VALUE&amp;DB=129&amp;ID1=87254010&amp;VALUEID=01001&amp;SDATE=200901&amp;PERIODTYPE=QTR_STD&amp;window=popup_no_bar&amp;width=385&amp;height=120&amp;START_MAXIMIZED=FALSE&amp;creator=factset&amp;display_string=Audit"}</definedName>
    <definedName name="_1109__FDSAUDITLINK__" hidden="1">{"fdsup://Directions/FactSet Auditing Viewer?action=AUDIT_VALUE&amp;DB=129&amp;ID1=87254010&amp;VALUEID=01001&amp;SDATE=200901&amp;PERIODTYPE=QTR_STD&amp;window=popup_no_bar&amp;width=385&amp;height=120&amp;START_MAXIMIZED=FALSE&amp;creator=factset&amp;display_string=Audit"}</definedName>
    <definedName name="_111__FDSAUDITLINK__" localSheetId="1" hidden="1">{"fdsup://directions/FAT Viewer?action=UPDATE&amp;creator=factset&amp;DYN_ARGS=TRUE&amp;DOC_NAME=FAT:FQL_AUDITING_CLIENT_TEMPLATE.FAT&amp;display_string=Audit&amp;VAR:KEY=ZGHSXAFWLQ&amp;VAR:QUERY=RkZfRUJJVERBX09QRVIoUVRSLDQvMS8yMDA5LDYvMzAvMjAwOSwsLFVTRCk=&amp;WINDOW=FIRST_POPUP&amp;HEIGH","T=450&amp;WIDTH=450&amp;START_MAXIMIZED=FALSE&amp;VAR:CALENDAR=US&amp;VAR:SYMBOL=TRV&amp;VAR:INDEX=0"}</definedName>
    <definedName name="_111__FDSAUDITLINK__" hidden="1">{"fdsup://directions/FAT Viewer?action=UPDATE&amp;creator=factset&amp;DYN_ARGS=TRUE&amp;DOC_NAME=FAT:FQL_AUDITING_CLIENT_TEMPLATE.FAT&amp;display_string=Audit&amp;VAR:KEY=ZGHSXAFWLQ&amp;VAR:QUERY=RkZfRUJJVERBX09QRVIoUVRSLDQvMS8yMDA5LDYvMzAvMjAwOSwsLFVTRCk=&amp;WINDOW=FIRST_POPUP&amp;HEIGH","T=450&amp;WIDTH=450&amp;START_MAXIMIZED=FALSE&amp;VAR:CALENDAR=US&amp;VAR:SYMBOL=TRV&amp;VAR:INDEX=0"}</definedName>
    <definedName name="_1110__FDSAUDITLINK__" localSheetId="1" hidden="1">{"fdsup://Directions/FactSet Auditing Viewer?action=AUDIT_VALUE&amp;DB=129&amp;ID1=87254010&amp;VALUEID=01001&amp;SDATE=201001&amp;PERIODTYPE=QTR_STD&amp;window=popup_no_bar&amp;width=385&amp;height=120&amp;START_MAXIMIZED=FALSE&amp;creator=factset&amp;display_string=Audit"}</definedName>
    <definedName name="_1110__FDSAUDITLINK__" hidden="1">{"fdsup://Directions/FactSet Auditing Viewer?action=AUDIT_VALUE&amp;DB=129&amp;ID1=87254010&amp;VALUEID=01001&amp;SDATE=201001&amp;PERIODTYPE=QTR_STD&amp;window=popup_no_bar&amp;width=385&amp;height=120&amp;START_MAXIMIZED=FALSE&amp;creator=factset&amp;display_string=Audit"}</definedName>
    <definedName name="_1111__FDSAUDITLINK__" localSheetId="1" hidden="1">{"fdsup://Directions/FactSet Auditing Viewer?action=AUDIT_VALUE&amp;DB=129&amp;ID1=88654710&amp;VALUEID=01001&amp;SDATE=200901&amp;PERIODTYPE=QTR_STD&amp;window=popup_no_bar&amp;width=385&amp;height=120&amp;START_MAXIMIZED=FALSE&amp;creator=factset&amp;display_string=Audit"}</definedName>
    <definedName name="_1111__FDSAUDITLINK__" hidden="1">{"fdsup://Directions/FactSet Auditing Viewer?action=AUDIT_VALUE&amp;DB=129&amp;ID1=88654710&amp;VALUEID=01001&amp;SDATE=200901&amp;PERIODTYPE=QTR_STD&amp;window=popup_no_bar&amp;width=385&amp;height=120&amp;START_MAXIMIZED=FALSE&amp;creator=factset&amp;display_string=Audit"}</definedName>
    <definedName name="_1112__FDSAUDITLINK__" localSheetId="1" hidden="1">{"fdsup://Directions/FactSet Auditing Viewer?action=AUDIT_VALUE&amp;DB=129&amp;ID1=88654710&amp;VALUEID=01001&amp;SDATE=201001&amp;PERIODTYPE=QTR_STD&amp;window=popup_no_bar&amp;width=385&amp;height=120&amp;START_MAXIMIZED=FALSE&amp;creator=factset&amp;display_string=Audit"}</definedName>
    <definedName name="_1112__FDSAUDITLINK__" hidden="1">{"fdsup://Directions/FactSet Auditing Viewer?action=AUDIT_VALUE&amp;DB=129&amp;ID1=88654710&amp;VALUEID=01001&amp;SDATE=201001&amp;PERIODTYPE=QTR_STD&amp;window=popup_no_bar&amp;width=385&amp;height=120&amp;START_MAXIMIZED=FALSE&amp;creator=factset&amp;display_string=Audit"}</definedName>
    <definedName name="_1113__FDSAUDITLINK__" localSheetId="1" hidden="1">{"fdsup://Directions/FactSet Auditing Viewer?action=AUDIT_VALUE&amp;DB=129&amp;ID1=88833920&amp;VALUEID=01001&amp;SDATE=200902&amp;PERIODTYPE=QTR_STD&amp;window=popup_no_bar&amp;width=385&amp;height=120&amp;START_MAXIMIZED=FALSE&amp;creator=factset&amp;display_string=Audit"}</definedName>
    <definedName name="_1113__FDSAUDITLINK__" hidden="1">{"fdsup://Directions/FactSet Auditing Viewer?action=AUDIT_VALUE&amp;DB=129&amp;ID1=88833920&amp;VALUEID=01001&amp;SDATE=200902&amp;PERIODTYPE=QTR_STD&amp;window=popup_no_bar&amp;width=385&amp;height=120&amp;START_MAXIMIZED=FALSE&amp;creator=factset&amp;display_string=Audit"}</definedName>
    <definedName name="_1114__FDSAUDITLINK__" localSheetId="1" hidden="1">{"fdsup://Directions/FactSet Auditing Viewer?action=AUDIT_VALUE&amp;DB=129&amp;ID1=88833920&amp;VALUEID=01001&amp;SDATE=201002&amp;PERIODTYPE=QTR_STD&amp;window=popup_no_bar&amp;width=385&amp;height=120&amp;START_MAXIMIZED=FALSE&amp;creator=factset&amp;display_string=Audit"}</definedName>
    <definedName name="_1114__FDSAUDITLINK__" hidden="1">{"fdsup://Directions/FactSet Auditing Viewer?action=AUDIT_VALUE&amp;DB=129&amp;ID1=88833920&amp;VALUEID=01001&amp;SDATE=201002&amp;PERIODTYPE=QTR_STD&amp;window=popup_no_bar&amp;width=385&amp;height=120&amp;START_MAXIMIZED=FALSE&amp;creator=factset&amp;display_string=Audit"}</definedName>
    <definedName name="_1115__FDSAUDITLINK__" localSheetId="1" hidden="1">{"fdsup://Directions/FactSet Auditing Viewer?action=AUDIT_VALUE&amp;DB=129&amp;ID1=88033G10&amp;VALUEID=01001&amp;SDATE=200902&amp;PERIODTYPE=QTR_STD&amp;window=popup_no_bar&amp;width=385&amp;height=120&amp;START_MAXIMIZED=FALSE&amp;creator=factset&amp;display_string=Audit"}</definedName>
    <definedName name="_1115__FDSAUDITLINK__" hidden="1">{"fdsup://Directions/FactSet Auditing Viewer?action=AUDIT_VALUE&amp;DB=129&amp;ID1=88033G10&amp;VALUEID=01001&amp;SDATE=200902&amp;PERIODTYPE=QTR_STD&amp;window=popup_no_bar&amp;width=385&amp;height=120&amp;START_MAXIMIZED=FALSE&amp;creator=factset&amp;display_string=Audit"}</definedName>
    <definedName name="_1116__FDSAUDITLINK__" localSheetId="1" hidden="1">{"fdsup://Directions/FactSet Auditing Viewer?action=AUDIT_VALUE&amp;DB=129&amp;ID1=88033G10&amp;VALUEID=01001&amp;SDATE=201002&amp;PERIODTYPE=QTR_STD&amp;window=popup_no_bar&amp;width=385&amp;height=120&amp;START_MAXIMIZED=FALSE&amp;creator=factset&amp;display_string=Audit"}</definedName>
    <definedName name="_1116__FDSAUDITLINK__" hidden="1">{"fdsup://Directions/FactSet Auditing Viewer?action=AUDIT_VALUE&amp;DB=129&amp;ID1=88033G10&amp;VALUEID=01001&amp;SDATE=201002&amp;PERIODTYPE=QTR_STD&amp;window=popup_no_bar&amp;width=385&amp;height=120&amp;START_MAXIMIZED=FALSE&amp;creator=factset&amp;display_string=Audit"}</definedName>
    <definedName name="_1117__FDSAUDITLINK__" localSheetId="1" hidden="1">{"fdsup://Directions/FactSet Auditing Viewer?action=AUDIT_VALUE&amp;DB=129&amp;ID1=87612E10&amp;VALUEID=01001&amp;SDATE=201001&amp;PERIODTYPE=QTR_STD&amp;window=popup_no_bar&amp;width=385&amp;height=120&amp;START_MAXIMIZED=FALSE&amp;creator=factset&amp;display_string=Audit"}</definedName>
    <definedName name="_1117__FDSAUDITLINK__" hidden="1">{"fdsup://Directions/FactSet Auditing Viewer?action=AUDIT_VALUE&amp;DB=129&amp;ID1=87612E10&amp;VALUEID=01001&amp;SDATE=201001&amp;PERIODTYPE=QTR_STD&amp;window=popup_no_bar&amp;width=385&amp;height=120&amp;START_MAXIMIZED=FALSE&amp;creator=factset&amp;display_string=Audit"}</definedName>
    <definedName name="_1118__FDSAUDITLINK__" localSheetId="1" hidden="1">{"fdsup://Directions/FactSet Auditing Viewer?action=AUDIT_VALUE&amp;DB=129&amp;ID1=88077010&amp;VALUEID=01001&amp;SDATE=200902&amp;PERIODTYPE=QTR_STD&amp;window=popup_no_bar&amp;width=385&amp;height=120&amp;START_MAXIMIZED=FALSE&amp;creator=factset&amp;display_string=Audit"}</definedName>
    <definedName name="_1118__FDSAUDITLINK__" hidden="1">{"fdsup://Directions/FactSet Auditing Viewer?action=AUDIT_VALUE&amp;DB=129&amp;ID1=88077010&amp;VALUEID=01001&amp;SDATE=200902&amp;PERIODTYPE=QTR_STD&amp;window=popup_no_bar&amp;width=385&amp;height=120&amp;START_MAXIMIZED=FALSE&amp;creator=factset&amp;display_string=Audit"}</definedName>
    <definedName name="_1119__FDSAUDITLINK__" localSheetId="1" hidden="1">{"fdsup://Directions/FactSet Auditing Viewer?action=AUDIT_VALUE&amp;DB=129&amp;ID1=88077010&amp;VALUEID=01001&amp;SDATE=201002&amp;PERIODTYPE=QTR_STD&amp;window=popup_no_bar&amp;width=385&amp;height=120&amp;START_MAXIMIZED=FALSE&amp;creator=factset&amp;display_string=Audit"}</definedName>
    <definedName name="_1119__FDSAUDITLINK__" hidden="1">{"fdsup://Directions/FactSet Auditing Viewer?action=AUDIT_VALUE&amp;DB=129&amp;ID1=88077010&amp;VALUEID=01001&amp;SDATE=201002&amp;PERIODTYPE=QTR_STD&amp;window=popup_no_bar&amp;width=385&amp;height=120&amp;START_MAXIMIZED=FALSE&amp;creator=factset&amp;display_string=Audit"}</definedName>
    <definedName name="_112__FDSAUDITLINK__" localSheetId="1" hidden="1">{"fdsup://directions/FAT Viewer?action=UPDATE&amp;creator=factset&amp;DYN_ARGS=TRUE&amp;DOC_NAME=FAT:FQL_AUDITING_CLIENT_TEMPLATE.FAT&amp;display_string=Audit&amp;VAR:KEY=TUBUJIJIPM&amp;VAR:QUERY=RkZfRUJJVERBX09QRVIoUVRSLDQvMS8yMDEwLDYvMzAvMjAxMCwsLFVTRCk=&amp;WINDOW=FIRST_POPUP&amp;HEIGH","T=450&amp;WIDTH=450&amp;START_MAXIMIZED=FALSE&amp;VAR:CALENDAR=US&amp;VAR:SYMBOL=TRV&amp;VAR:INDEX=0"}</definedName>
    <definedName name="_112__FDSAUDITLINK__" hidden="1">{"fdsup://directions/FAT Viewer?action=UPDATE&amp;creator=factset&amp;DYN_ARGS=TRUE&amp;DOC_NAME=FAT:FQL_AUDITING_CLIENT_TEMPLATE.FAT&amp;display_string=Audit&amp;VAR:KEY=TUBUJIJIPM&amp;VAR:QUERY=RkZfRUJJVERBX09QRVIoUVRSLDQvMS8yMDEwLDYvMzAvMjAxMCwsLFVTRCk=&amp;WINDOW=FIRST_POPUP&amp;HEIGH","T=450&amp;WIDTH=450&amp;START_MAXIMIZED=FALSE&amp;VAR:CALENDAR=US&amp;VAR:SYMBOL=TRV&amp;VAR:INDEX=0"}</definedName>
    <definedName name="_1120__FDSAUDITLINK__" localSheetId="1" hidden="1">{"fdsup://Directions/FactSet Auditing Viewer?action=AUDIT_VALUE&amp;DB=129&amp;ID1=45822P10&amp;VALUEID=01001&amp;SDATE=200902&amp;PERIODTYPE=QTR_STD&amp;window=popup_no_bar&amp;width=385&amp;height=120&amp;START_MAXIMIZED=FALSE&amp;creator=factset&amp;display_string=Audit"}</definedName>
    <definedName name="_1120__FDSAUDITLINK__" hidden="1">{"fdsup://Directions/FactSet Auditing Viewer?action=AUDIT_VALUE&amp;DB=129&amp;ID1=45822P10&amp;VALUEID=01001&amp;SDATE=200902&amp;PERIODTYPE=QTR_STD&amp;window=popup_no_bar&amp;width=385&amp;height=120&amp;START_MAXIMIZED=FALSE&amp;creator=factset&amp;display_string=Audit"}</definedName>
    <definedName name="_1121__FDSAUDITLINK__" localSheetId="1" hidden="1">{"fdsup://Directions/FactSet Auditing Viewer?action=AUDIT_VALUE&amp;DB=129&amp;ID1=45822P10&amp;VALUEID=01001&amp;SDATE=201002&amp;PERIODTYPE=QTR_STD&amp;window=popup_no_bar&amp;width=385&amp;height=120&amp;START_MAXIMIZED=FALSE&amp;creator=factset&amp;display_string=Audit"}</definedName>
    <definedName name="_1121__FDSAUDITLINK__" hidden="1">{"fdsup://Directions/FactSet Auditing Viewer?action=AUDIT_VALUE&amp;DB=129&amp;ID1=45822P10&amp;VALUEID=01001&amp;SDATE=201002&amp;PERIODTYPE=QTR_STD&amp;window=popup_no_bar&amp;width=385&amp;height=120&amp;START_MAXIMIZED=FALSE&amp;creator=factset&amp;display_string=Audit"}</definedName>
    <definedName name="_1122__FDSAUDITLINK__" localSheetId="1" hidden="1">{"fdsup://Directions/FactSet Auditing Viewer?action=AUDIT_VALUE&amp;DB=129&amp;ID1=87237510&amp;VALUEID=01001&amp;SDATE=200902&amp;PERIODTYPE=QTR_STD&amp;window=popup_no_bar&amp;width=385&amp;height=120&amp;START_MAXIMIZED=FALSE&amp;creator=factset&amp;display_string=Audit"}</definedName>
    <definedName name="_1122__FDSAUDITLINK__" hidden="1">{"fdsup://Directions/FactSet Auditing Viewer?action=AUDIT_VALUE&amp;DB=129&amp;ID1=87237510&amp;VALUEID=01001&amp;SDATE=200902&amp;PERIODTYPE=QTR_STD&amp;window=popup_no_bar&amp;width=385&amp;height=120&amp;START_MAXIMIZED=FALSE&amp;creator=factset&amp;display_string=Audit"}</definedName>
    <definedName name="_1123__FDSAUDITLINK__" localSheetId="1" hidden="1">{"fdsup://Directions/FactSet Auditing Viewer?action=AUDIT_VALUE&amp;DB=129&amp;ID1=87237510&amp;VALUEID=01001&amp;SDATE=201002&amp;PERIODTYPE=QTR_STD&amp;window=popup_no_bar&amp;width=385&amp;height=120&amp;START_MAXIMIZED=FALSE&amp;creator=factset&amp;display_string=Audit"}</definedName>
    <definedName name="_1123__FDSAUDITLINK__" hidden="1">{"fdsup://Directions/FactSet Auditing Viewer?action=AUDIT_VALUE&amp;DB=129&amp;ID1=87237510&amp;VALUEID=01001&amp;SDATE=201002&amp;PERIODTYPE=QTR_STD&amp;window=popup_no_bar&amp;width=385&amp;height=120&amp;START_MAXIMIZED=FALSE&amp;creator=factset&amp;display_string=Audit"}</definedName>
    <definedName name="_1124__FDSAUDITLINK__" localSheetId="1" hidden="1">{"fdsup://Directions/FactSet Auditing Viewer?action=AUDIT_VALUE&amp;DB=129&amp;ID1=88076W10&amp;VALUEID=01001&amp;SDATE=200902&amp;PERIODTYPE=QTR_STD&amp;window=popup_no_bar&amp;width=385&amp;height=120&amp;START_MAXIMIZED=FALSE&amp;creator=factset&amp;display_string=Audit"}</definedName>
    <definedName name="_1124__FDSAUDITLINK__" hidden="1">{"fdsup://Directions/FactSet Auditing Viewer?action=AUDIT_VALUE&amp;DB=129&amp;ID1=88076W10&amp;VALUEID=01001&amp;SDATE=200902&amp;PERIODTYPE=QTR_STD&amp;window=popup_no_bar&amp;width=385&amp;height=120&amp;START_MAXIMIZED=FALSE&amp;creator=factset&amp;display_string=Audit"}</definedName>
    <definedName name="_1125__FDSAUDITLINK__" localSheetId="1" hidden="1">{"fdsup://Directions/FactSet Auditing Viewer?action=AUDIT_VALUE&amp;DB=129&amp;ID1=88076W10&amp;VALUEID=01001&amp;SDATE=201002&amp;PERIODTYPE=QTR_STD&amp;window=popup_no_bar&amp;width=385&amp;height=120&amp;START_MAXIMIZED=FALSE&amp;creator=factset&amp;display_string=Audit"}</definedName>
    <definedName name="_1125__FDSAUDITLINK__" hidden="1">{"fdsup://Directions/FactSet Auditing Viewer?action=AUDIT_VALUE&amp;DB=129&amp;ID1=88076W10&amp;VALUEID=01001&amp;SDATE=201002&amp;PERIODTYPE=QTR_STD&amp;window=popup_no_bar&amp;width=385&amp;height=120&amp;START_MAXIMIZED=FALSE&amp;creator=factset&amp;display_string=Audit"}</definedName>
    <definedName name="_1126__FDSAUDITLINK__" localSheetId="1" hidden="1">{"fdsup://Directions/FactSet Auditing Viewer?action=AUDIT_VALUE&amp;DB=129&amp;ID1=60871R20&amp;VALUEID=01001&amp;SDATE=200902&amp;PERIODTYPE=QTR_STD&amp;window=popup_no_bar&amp;width=385&amp;height=120&amp;START_MAXIMIZED=FALSE&amp;creator=factset&amp;display_string=Audit"}</definedName>
    <definedName name="_1126__FDSAUDITLINK__" hidden="1">{"fdsup://Directions/FactSet Auditing Viewer?action=AUDIT_VALUE&amp;DB=129&amp;ID1=60871R20&amp;VALUEID=01001&amp;SDATE=200902&amp;PERIODTYPE=QTR_STD&amp;window=popup_no_bar&amp;width=385&amp;height=120&amp;START_MAXIMIZED=FALSE&amp;creator=factset&amp;display_string=Audit"}</definedName>
    <definedName name="_1127__FDSAUDITLINK__" localSheetId="1" hidden="1">{"fdsup://Directions/FactSet Auditing Viewer?action=AUDIT_VALUE&amp;DB=129&amp;ID1=60871R20&amp;VALUEID=01001&amp;SDATE=201002&amp;PERIODTYPE=QTR_STD&amp;window=popup_no_bar&amp;width=385&amp;height=120&amp;START_MAXIMIZED=FALSE&amp;creator=factset&amp;display_string=Audit"}</definedName>
    <definedName name="_1127__FDSAUDITLINK__" hidden="1">{"fdsup://Directions/FactSet Auditing Viewer?action=AUDIT_VALUE&amp;DB=129&amp;ID1=60871R20&amp;VALUEID=01001&amp;SDATE=201002&amp;PERIODTYPE=QTR_STD&amp;window=popup_no_bar&amp;width=385&amp;height=120&amp;START_MAXIMIZED=FALSE&amp;creator=factset&amp;display_string=Audit"}</definedName>
    <definedName name="_1128__FDSAUDITLINK__" localSheetId="1" hidden="1">{"fdsup://Directions/FactSet Auditing Viewer?action=AUDIT_VALUE&amp;DB=129&amp;ID1=00206R10&amp;VALUEID=01001&amp;SDATE=200902&amp;PERIODTYPE=QTR_STD&amp;window=popup_no_bar&amp;width=385&amp;height=120&amp;START_MAXIMIZED=FALSE&amp;creator=factset&amp;display_string=Audit"}</definedName>
    <definedName name="_1128__FDSAUDITLINK__" hidden="1">{"fdsup://Directions/FactSet Auditing Viewer?action=AUDIT_VALUE&amp;DB=129&amp;ID1=00206R10&amp;VALUEID=01001&amp;SDATE=200902&amp;PERIODTYPE=QTR_STD&amp;window=popup_no_bar&amp;width=385&amp;height=120&amp;START_MAXIMIZED=FALSE&amp;creator=factset&amp;display_string=Audit"}</definedName>
    <definedName name="_1129__FDSAUDITLINK__" localSheetId="1" hidden="1">{"fdsup://Directions/FactSet Auditing Viewer?action=AUDIT_VALUE&amp;DB=129&amp;ID1=00206R10&amp;VALUEID=01001&amp;SDATE=201002&amp;PERIODTYPE=QTR_STD&amp;window=popup_no_bar&amp;width=385&amp;height=120&amp;START_MAXIMIZED=FALSE&amp;creator=factset&amp;display_string=Audit"}</definedName>
    <definedName name="_1129__FDSAUDITLINK__" hidden="1">{"fdsup://Directions/FactSet Auditing Viewer?action=AUDIT_VALUE&amp;DB=129&amp;ID1=00206R10&amp;VALUEID=01001&amp;SDATE=201002&amp;PERIODTYPE=QTR_STD&amp;window=popup_no_bar&amp;width=385&amp;height=120&amp;START_MAXIMIZED=FALSE&amp;creator=factset&amp;display_string=Audit"}</definedName>
    <definedName name="_113__FDSAUDITLINK__" localSheetId="1" hidden="1">{"fdsup://directions/FAT Viewer?action=UPDATE&amp;creator=factset&amp;DYN_ARGS=TRUE&amp;DOC_NAME=FAT:FQL_AUDITING_CLIENT_TEMPLATE.FAT&amp;display_string=Audit&amp;VAR:KEY=DKBCBOVIHE&amp;VAR:QUERY=RkZfRUJJVERBX09QRVIoUVRSLDQvMS8yMDA5LDYvMzAvMjAwOSwsLFVTRCk=&amp;WINDOW=FIRST_POPUP&amp;HEIGH","T=450&amp;WIDTH=450&amp;START_MAXIMIZED=FALSE&amp;VAR:CALENDAR=US&amp;VAR:SYMBOL=TROW&amp;VAR:INDEX=0"}</definedName>
    <definedName name="_113__FDSAUDITLINK__" hidden="1">{"fdsup://directions/FAT Viewer?action=UPDATE&amp;creator=factset&amp;DYN_ARGS=TRUE&amp;DOC_NAME=FAT:FQL_AUDITING_CLIENT_TEMPLATE.FAT&amp;display_string=Audit&amp;VAR:KEY=DKBCBOVIHE&amp;VAR:QUERY=RkZfRUJJVERBX09QRVIoUVRSLDQvMS8yMDA5LDYvMzAvMjAwOSwsLFVTRCk=&amp;WINDOW=FIRST_POPUP&amp;HEIGH","T=450&amp;WIDTH=450&amp;START_MAXIMIZED=FALSE&amp;VAR:CALENDAR=US&amp;VAR:SYMBOL=TROW&amp;VAR:INDEX=0"}</definedName>
    <definedName name="_1130__FDSAUDITLINK__" localSheetId="1" hidden="1">{"fdsup://Directions/FactSet Auditing Viewer?action=AUDIT_VALUE&amp;DB=129&amp;ID1=87182910&amp;VALUEID=01001&amp;SDATE=201004&amp;PERIODTYPE=QTR_STD&amp;window=popup_no_bar&amp;width=385&amp;height=120&amp;START_MAXIMIZED=FALSE&amp;creator=factset&amp;display_string=Audit"}</definedName>
    <definedName name="_1130__FDSAUDITLINK__" hidden="1">{"fdsup://Directions/FactSet Auditing Viewer?action=AUDIT_VALUE&amp;DB=129&amp;ID1=87182910&amp;VALUEID=01001&amp;SDATE=201004&amp;PERIODTYPE=QTR_STD&amp;window=popup_no_bar&amp;width=385&amp;height=120&amp;START_MAXIMIZED=FALSE&amp;creator=factset&amp;display_string=Audit"}</definedName>
    <definedName name="_1131__FDSAUDITLINK__" localSheetId="1" hidden="1">{"fdsup://Directions/FactSet Auditing Viewer?action=AUDIT_VALUE&amp;DB=129&amp;ID1=87150310&amp;VALUEID=01001&amp;SDATE=200901&amp;PERIODTYPE=QTR_STD&amp;window=popup_no_bar&amp;width=385&amp;height=120&amp;START_MAXIMIZED=FALSE&amp;creator=factset&amp;display_string=Audit"}</definedName>
    <definedName name="_1131__FDSAUDITLINK__" hidden="1">{"fdsup://Directions/FactSet Auditing Viewer?action=AUDIT_VALUE&amp;DB=129&amp;ID1=87150310&amp;VALUEID=01001&amp;SDATE=200901&amp;PERIODTYPE=QTR_STD&amp;window=popup_no_bar&amp;width=385&amp;height=120&amp;START_MAXIMIZED=FALSE&amp;creator=factset&amp;display_string=Audit"}</definedName>
    <definedName name="_1132__FDSAUDITLINK__" localSheetId="1" hidden="1">{"fdsup://Directions/FactSet Auditing Viewer?action=AUDIT_VALUE&amp;DB=129&amp;ID1=87150310&amp;VALUEID=01001&amp;SDATE=201001&amp;PERIODTYPE=QTR_STD&amp;window=popup_no_bar&amp;width=385&amp;height=120&amp;START_MAXIMIZED=FALSE&amp;creator=factset&amp;display_string=Audit"}</definedName>
    <definedName name="_1132__FDSAUDITLINK__" hidden="1">{"fdsup://Directions/FactSet Auditing Viewer?action=AUDIT_VALUE&amp;DB=129&amp;ID1=87150310&amp;VALUEID=01001&amp;SDATE=201001&amp;PERIODTYPE=QTR_STD&amp;window=popup_no_bar&amp;width=385&amp;height=120&amp;START_MAXIMIZED=FALSE&amp;creator=factset&amp;display_string=Audit"}</definedName>
    <definedName name="_1133__FDSAUDITLINK__" localSheetId="1" hidden="1">{"fdsup://Directions/FactSet Auditing Viewer?action=AUDIT_VALUE&amp;DB=129&amp;ID1=86366710&amp;VALUEID=01001&amp;SDATE=200902&amp;PERIODTYPE=QTR_STD&amp;window=popup_no_bar&amp;width=385&amp;height=120&amp;START_MAXIMIZED=FALSE&amp;creator=factset&amp;display_string=Audit"}</definedName>
    <definedName name="_1133__FDSAUDITLINK__" hidden="1">{"fdsup://Directions/FactSet Auditing Viewer?action=AUDIT_VALUE&amp;DB=129&amp;ID1=86366710&amp;VALUEID=01001&amp;SDATE=200902&amp;PERIODTYPE=QTR_STD&amp;window=popup_no_bar&amp;width=385&amp;height=120&amp;START_MAXIMIZED=FALSE&amp;creator=factset&amp;display_string=Audit"}</definedName>
    <definedName name="_1134__FDSAUDITLINK__" localSheetId="1" hidden="1">{"fdsup://Directions/FactSet Auditing Viewer?action=AUDIT_VALUE&amp;DB=129&amp;ID1=86366710&amp;VALUEID=01001&amp;SDATE=201002&amp;PERIODTYPE=QTR_STD&amp;window=popup_no_bar&amp;width=385&amp;height=120&amp;START_MAXIMIZED=FALSE&amp;creator=factset&amp;display_string=Audit"}</definedName>
    <definedName name="_1134__FDSAUDITLINK__" hidden="1">{"fdsup://Directions/FactSet Auditing Viewer?action=AUDIT_VALUE&amp;DB=129&amp;ID1=86366710&amp;VALUEID=01001&amp;SDATE=201002&amp;PERIODTYPE=QTR_STD&amp;window=popup_no_bar&amp;width=385&amp;height=120&amp;START_MAXIMIZED=FALSE&amp;creator=factset&amp;display_string=Audit"}</definedName>
    <definedName name="_1135__FDSAUDITLINK__" localSheetId="1" hidden="1">{"fdsup://Directions/FactSet Auditing Viewer?action=AUDIT_VALUE&amp;DB=129&amp;ID1=78651420&amp;VALUEID=01001&amp;SDATE=200902&amp;PERIODTYPE=QTR_STD&amp;window=popup_no_bar&amp;width=385&amp;height=120&amp;START_MAXIMIZED=FALSE&amp;creator=factset&amp;display_string=Audit"}</definedName>
    <definedName name="_1135__FDSAUDITLINK__" hidden="1">{"fdsup://Directions/FactSet Auditing Viewer?action=AUDIT_VALUE&amp;DB=129&amp;ID1=78651420&amp;VALUEID=01001&amp;SDATE=200902&amp;PERIODTYPE=QTR_STD&amp;window=popup_no_bar&amp;width=385&amp;height=120&amp;START_MAXIMIZED=FALSE&amp;creator=factset&amp;display_string=Audit"}</definedName>
    <definedName name="_1136__FDSAUDITLINK__" localSheetId="1" hidden="1">{"fdsup://Directions/FactSet Auditing Viewer?action=AUDIT_VALUE&amp;DB=129&amp;ID1=78651420&amp;VALUEID=01001&amp;SDATE=201002&amp;PERIODTYPE=QTR_STD&amp;window=popup_no_bar&amp;width=385&amp;height=120&amp;START_MAXIMIZED=FALSE&amp;creator=factset&amp;display_string=Audit"}</definedName>
    <definedName name="_1136__FDSAUDITLINK__" hidden="1">{"fdsup://Directions/FactSet Auditing Viewer?action=AUDIT_VALUE&amp;DB=129&amp;ID1=78651420&amp;VALUEID=01001&amp;SDATE=201002&amp;PERIODTYPE=QTR_STD&amp;window=popup_no_bar&amp;width=385&amp;height=120&amp;START_MAXIMIZED=FALSE&amp;creator=factset&amp;display_string=Audit"}</definedName>
    <definedName name="_1137__FDSAUDITLINK__" localSheetId="1" hidden="1">{"fdsup://Directions/FactSet Auditing Viewer?action=AUDIT_VALUE&amp;DB=129&amp;ID1=84546710&amp;VALUEID=01001&amp;SDATE=200902&amp;PERIODTYPE=QTR_STD&amp;window=popup_no_bar&amp;width=385&amp;height=120&amp;START_MAXIMIZED=FALSE&amp;creator=factset&amp;display_string=Audit"}</definedName>
    <definedName name="_1137__FDSAUDITLINK__" hidden="1">{"fdsup://Directions/FactSet Auditing Viewer?action=AUDIT_VALUE&amp;DB=129&amp;ID1=84546710&amp;VALUEID=01001&amp;SDATE=200902&amp;PERIODTYPE=QTR_STD&amp;window=popup_no_bar&amp;width=385&amp;height=120&amp;START_MAXIMIZED=FALSE&amp;creator=factset&amp;display_string=Audit"}</definedName>
    <definedName name="_1138__FDSAUDITLINK__" localSheetId="1" hidden="1">{"fdsup://Directions/FactSet Auditing Viewer?action=AUDIT_VALUE&amp;DB=129&amp;ID1=84546710&amp;VALUEID=01001&amp;SDATE=201002&amp;PERIODTYPE=QTR_STD&amp;window=popup_no_bar&amp;width=385&amp;height=120&amp;START_MAXIMIZED=FALSE&amp;creator=factset&amp;display_string=Audit"}</definedName>
    <definedName name="_1138__FDSAUDITLINK__" hidden="1">{"fdsup://Directions/FactSet Auditing Viewer?action=AUDIT_VALUE&amp;DB=129&amp;ID1=84546710&amp;VALUEID=01001&amp;SDATE=201002&amp;PERIODTYPE=QTR_STD&amp;window=popup_no_bar&amp;width=385&amp;height=120&amp;START_MAXIMIZED=FALSE&amp;creator=factset&amp;display_string=Audit"}</definedName>
    <definedName name="_1139__FDSAUDITLINK__" localSheetId="1" hidden="1">{"fdsup://Directions/FactSet Auditing Viewer?action=AUDIT_VALUE&amp;DB=129&amp;ID1=85450210&amp;VALUEID=01001&amp;SDATE=200902&amp;PERIODTYPE=QTR_STD&amp;window=popup_no_bar&amp;width=385&amp;height=120&amp;START_MAXIMIZED=FALSE&amp;creator=factset&amp;display_string=Audit"}</definedName>
    <definedName name="_1139__FDSAUDITLINK__" hidden="1">{"fdsup://Directions/FactSet Auditing Viewer?action=AUDIT_VALUE&amp;DB=129&amp;ID1=85450210&amp;VALUEID=01001&amp;SDATE=200902&amp;PERIODTYPE=QTR_STD&amp;window=popup_no_bar&amp;width=385&amp;height=120&amp;START_MAXIMIZED=FALSE&amp;creator=factset&amp;display_string=Audit"}</definedName>
    <definedName name="_114__FDSAUDITLINK__" localSheetId="1" hidden="1">{"fdsup://directions/FAT Viewer?action=UPDATE&amp;creator=factset&amp;DYN_ARGS=TRUE&amp;DOC_NAME=FAT:FQL_AUDITING_CLIENT_TEMPLATE.FAT&amp;display_string=Audit&amp;VAR:KEY=TWJUFWZYLY&amp;VAR:QUERY=RkZfRUJJVERBX09QRVIoUVRSLDQvMS8yMDEwLDYvMzAvMjAxMCwsLFVTRCk=&amp;WINDOW=FIRST_POPUP&amp;HEIGH","T=450&amp;WIDTH=450&amp;START_MAXIMIZED=FALSE&amp;VAR:CALENDAR=US&amp;VAR:SYMBOL=TROW&amp;VAR:INDEX=0"}</definedName>
    <definedName name="_114__FDSAUDITLINK__" hidden="1">{"fdsup://directions/FAT Viewer?action=UPDATE&amp;creator=factset&amp;DYN_ARGS=TRUE&amp;DOC_NAME=FAT:FQL_AUDITING_CLIENT_TEMPLATE.FAT&amp;display_string=Audit&amp;VAR:KEY=TWJUFWZYLY&amp;VAR:QUERY=RkZfRUJJVERBX09QRVIoUVRSLDQvMS8yMDEwLDYvMzAvMjAxMCwsLFVTRCk=&amp;WINDOW=FIRST_POPUP&amp;HEIGH","T=450&amp;WIDTH=450&amp;START_MAXIMIZED=FALSE&amp;VAR:CALENDAR=US&amp;VAR:SYMBOL=TROW&amp;VAR:INDEX=0"}</definedName>
    <definedName name="_1140__FDSAUDITLINK__" localSheetId="1" hidden="1">{"fdsup://Directions/FactSet Auditing Viewer?action=AUDIT_VALUE&amp;DB=129&amp;ID1=85450210&amp;VALUEID=01001&amp;SDATE=201002&amp;PERIODTYPE=QTR_STD&amp;window=popup_no_bar&amp;width=385&amp;height=120&amp;START_MAXIMIZED=FALSE&amp;creator=factset&amp;display_string=Audit"}</definedName>
    <definedName name="_1140__FDSAUDITLINK__" hidden="1">{"fdsup://Directions/FactSet Auditing Viewer?action=AUDIT_VALUE&amp;DB=129&amp;ID1=85450210&amp;VALUEID=01001&amp;SDATE=201002&amp;PERIODTYPE=QTR_STD&amp;window=popup_no_bar&amp;width=385&amp;height=120&amp;START_MAXIMIZED=FALSE&amp;creator=factset&amp;display_string=Audit"}</definedName>
    <definedName name="_1141__FDSAUDITLINK__" localSheetId="1" hidden="1">{"fdsup://Directions/FactSet Auditing Viewer?action=AUDIT_VALUE&amp;DB=129&amp;ID1=86853610&amp;VALUEID=01001&amp;SDATE=200901&amp;PERIODTYPE=QTR_STD&amp;window=popup_no_bar&amp;width=385&amp;height=120&amp;START_MAXIMIZED=FALSE&amp;creator=factset&amp;display_string=Audit"}</definedName>
    <definedName name="_1141__FDSAUDITLINK__" hidden="1">{"fdsup://Directions/FactSet Auditing Viewer?action=AUDIT_VALUE&amp;DB=129&amp;ID1=86853610&amp;VALUEID=01001&amp;SDATE=200901&amp;PERIODTYPE=QTR_STD&amp;window=popup_no_bar&amp;width=385&amp;height=120&amp;START_MAXIMIZED=FALSE&amp;creator=factset&amp;display_string=Audit"}</definedName>
    <definedName name="_1142__FDSAUDITLINK__" localSheetId="1" hidden="1">{"fdsup://Directions/FactSet Auditing Viewer?action=AUDIT_VALUE&amp;DB=129&amp;ID1=86853610&amp;VALUEID=01001&amp;SDATE=201001&amp;PERIODTYPE=QTR_STD&amp;window=popup_no_bar&amp;width=385&amp;height=120&amp;START_MAXIMIZED=FALSE&amp;creator=factset&amp;display_string=Audit"}</definedName>
    <definedName name="_1142__FDSAUDITLINK__" hidden="1">{"fdsup://Directions/FactSet Auditing Viewer?action=AUDIT_VALUE&amp;DB=129&amp;ID1=86853610&amp;VALUEID=01001&amp;SDATE=201001&amp;PERIODTYPE=QTR_STD&amp;window=popup_no_bar&amp;width=385&amp;height=120&amp;START_MAXIMIZED=FALSE&amp;creator=factset&amp;display_string=Audit"}</definedName>
    <definedName name="_1143__FDSAUDITLINK__" localSheetId="1" hidden="1">{"fdsup://Directions/FactSet Auditing Viewer?action=AUDIT_VALUE&amp;DB=129&amp;ID1=86764P10&amp;VALUEID=01001&amp;SDATE=200902&amp;PERIODTYPE=QTR_STD&amp;window=popup_no_bar&amp;width=385&amp;height=120&amp;START_MAXIMIZED=FALSE&amp;creator=factset&amp;display_string=Audit"}</definedName>
    <definedName name="_1143__FDSAUDITLINK__" hidden="1">{"fdsup://Directions/FactSet Auditing Viewer?action=AUDIT_VALUE&amp;DB=129&amp;ID1=86764P10&amp;VALUEID=01001&amp;SDATE=200902&amp;PERIODTYPE=QTR_STD&amp;window=popup_no_bar&amp;width=385&amp;height=120&amp;START_MAXIMIZED=FALSE&amp;creator=factset&amp;display_string=Audit"}</definedName>
    <definedName name="_1144__FDSAUDITLINK__" localSheetId="1" hidden="1">{"fdsup://Directions/FactSet Auditing Viewer?action=AUDIT_VALUE&amp;DB=129&amp;ID1=86764P10&amp;VALUEID=01001&amp;SDATE=201002&amp;PERIODTYPE=QTR_STD&amp;window=popup_no_bar&amp;width=385&amp;height=120&amp;START_MAXIMIZED=FALSE&amp;creator=factset&amp;display_string=Audit"}</definedName>
    <definedName name="_1144__FDSAUDITLINK__" hidden="1">{"fdsup://Directions/FactSet Auditing Viewer?action=AUDIT_VALUE&amp;DB=129&amp;ID1=86764P10&amp;VALUEID=01001&amp;SDATE=201002&amp;PERIODTYPE=QTR_STD&amp;window=popup_no_bar&amp;width=385&amp;height=120&amp;START_MAXIMIZED=FALSE&amp;creator=factset&amp;display_string=Audit"}</definedName>
    <definedName name="_1145__FDSAUDITLINK__" localSheetId="1" hidden="1">{"fdsup://Directions/FactSet Auditing Viewer?action=AUDIT_VALUE&amp;DB=129&amp;ID1=21036P10&amp;VALUEID=01001&amp;SDATE=200901&amp;PERIODTYPE=QTR_STD&amp;window=popup_no_bar&amp;width=385&amp;height=120&amp;START_MAXIMIZED=FALSE&amp;creator=factset&amp;display_string=Audit"}</definedName>
    <definedName name="_1145__FDSAUDITLINK__" hidden="1">{"fdsup://Directions/FactSet Auditing Viewer?action=AUDIT_VALUE&amp;DB=129&amp;ID1=21036P10&amp;VALUEID=01001&amp;SDATE=200901&amp;PERIODTYPE=QTR_STD&amp;window=popup_no_bar&amp;width=385&amp;height=120&amp;START_MAXIMIZED=FALSE&amp;creator=factset&amp;display_string=Audit"}</definedName>
    <definedName name="_1146__FDSAUDITLINK__" localSheetId="1" hidden="1">{"fdsup://Directions/FactSet Auditing Viewer?action=AUDIT_VALUE&amp;DB=129&amp;ID1=21036P10&amp;VALUEID=01001&amp;SDATE=201001&amp;PERIODTYPE=QTR_STD&amp;window=popup_no_bar&amp;width=385&amp;height=120&amp;START_MAXIMIZED=FALSE&amp;creator=factset&amp;display_string=Audit"}</definedName>
    <definedName name="_1146__FDSAUDITLINK__" hidden="1">{"fdsup://Directions/FactSet Auditing Viewer?action=AUDIT_VALUE&amp;DB=129&amp;ID1=21036P10&amp;VALUEID=01001&amp;SDATE=201001&amp;PERIODTYPE=QTR_STD&amp;window=popup_no_bar&amp;width=385&amp;height=120&amp;START_MAXIMIZED=FALSE&amp;creator=factset&amp;display_string=Audit"}</definedName>
    <definedName name="_1147__FDSAUDITLINK__" localSheetId="1" hidden="1">{"fdsup://Directions/FactSet Auditing Viewer?action=AUDIT_VALUE&amp;DB=129&amp;ID1=79084910&amp;VALUEID=01001&amp;SDATE=200902&amp;PERIODTYPE=QTR_STD&amp;window=popup_no_bar&amp;width=385&amp;height=120&amp;START_MAXIMIZED=FALSE&amp;creator=factset&amp;display_string=Audit"}</definedName>
    <definedName name="_1147__FDSAUDITLINK__" hidden="1">{"fdsup://Directions/FactSet Auditing Viewer?action=AUDIT_VALUE&amp;DB=129&amp;ID1=79084910&amp;VALUEID=01001&amp;SDATE=200902&amp;PERIODTYPE=QTR_STD&amp;window=popup_no_bar&amp;width=385&amp;height=120&amp;START_MAXIMIZED=FALSE&amp;creator=factset&amp;display_string=Audit"}</definedName>
    <definedName name="_1148__FDSAUDITLINK__" localSheetId="1" hidden="1">{"fdsup://Directions/FactSet Auditing Viewer?action=AUDIT_VALUE&amp;DB=129&amp;ID1=79084910&amp;VALUEID=01001&amp;SDATE=201002&amp;PERIODTYPE=QTR_STD&amp;window=popup_no_bar&amp;width=385&amp;height=120&amp;START_MAXIMIZED=FALSE&amp;creator=factset&amp;display_string=Audit"}</definedName>
    <definedName name="_1148__FDSAUDITLINK__" hidden="1">{"fdsup://Directions/FactSet Auditing Viewer?action=AUDIT_VALUE&amp;DB=129&amp;ID1=79084910&amp;VALUEID=01001&amp;SDATE=201002&amp;PERIODTYPE=QTR_STD&amp;window=popup_no_bar&amp;width=385&amp;height=120&amp;START_MAXIMIZED=FALSE&amp;creator=factset&amp;display_string=Audit"}</definedName>
    <definedName name="_1149__FDSAUDITLINK__" localSheetId="1" hidden="1">{"fdsup://Directions/FactSet Auditing Viewer?action=AUDIT_VALUE&amp;DB=129&amp;ID1=81685110&amp;VALUEID=01001&amp;SDATE=200902&amp;PERIODTYPE=QTR_STD&amp;window=popup_no_bar&amp;width=385&amp;height=120&amp;START_MAXIMIZED=FALSE&amp;creator=factset&amp;display_string=Audit"}</definedName>
    <definedName name="_1149__FDSAUDITLINK__" hidden="1">{"fdsup://Directions/FactSet Auditing Viewer?action=AUDIT_VALUE&amp;DB=129&amp;ID1=81685110&amp;VALUEID=01001&amp;SDATE=200902&amp;PERIODTYPE=QTR_STD&amp;window=popup_no_bar&amp;width=385&amp;height=120&amp;START_MAXIMIZED=FALSE&amp;creator=factset&amp;display_string=Audit"}</definedName>
    <definedName name="_115__FDSAUDITLINK__" localSheetId="1" hidden="1">{"fdsup://directions/FAT Viewer?action=UPDATE&amp;creator=factset&amp;DYN_ARGS=TRUE&amp;DOC_NAME=FAT:FQL_AUDITING_CLIENT_TEMPLATE.FAT&amp;display_string=Audit&amp;VAR:KEY=TIXOXOJCVI&amp;VAR:QUERY=RkZfRUJJVERBX09QRVIoUVRSLDQvMS8yMDA5LDYvMzAvMjAwOSwsLFVTRCk=&amp;WINDOW=FIRST_POPUP&amp;HEIGH","T=450&amp;WIDTH=450&amp;START_MAXIMIZED=FALSE&amp;VAR:CALENDAR=US&amp;VAR:SYMBOL=TMO&amp;VAR:INDEX=0"}</definedName>
    <definedName name="_115__FDSAUDITLINK__" hidden="1">{"fdsup://directions/FAT Viewer?action=UPDATE&amp;creator=factset&amp;DYN_ARGS=TRUE&amp;DOC_NAME=FAT:FQL_AUDITING_CLIENT_TEMPLATE.FAT&amp;display_string=Audit&amp;VAR:KEY=TIXOXOJCVI&amp;VAR:QUERY=RkZfRUJJVERBX09QRVIoUVRSLDQvMS8yMDA5LDYvMzAvMjAwOSwsLFVTRCk=&amp;WINDOW=FIRST_POPUP&amp;HEIGH","T=450&amp;WIDTH=450&amp;START_MAXIMIZED=FALSE&amp;VAR:CALENDAR=US&amp;VAR:SYMBOL=TMO&amp;VAR:INDEX=0"}</definedName>
    <definedName name="_1150__FDSAUDITLINK__" localSheetId="1" hidden="1">{"fdsup://Directions/FactSet Auditing Viewer?action=AUDIT_VALUE&amp;DB=129&amp;ID1=81685110&amp;VALUEID=01001&amp;SDATE=201002&amp;PERIODTYPE=QTR_STD&amp;window=popup_no_bar&amp;width=385&amp;height=120&amp;START_MAXIMIZED=FALSE&amp;creator=factset&amp;display_string=Audit"}</definedName>
    <definedName name="_1150__FDSAUDITLINK__" hidden="1">{"fdsup://Directions/FactSet Auditing Viewer?action=AUDIT_VALUE&amp;DB=129&amp;ID1=81685110&amp;VALUEID=01001&amp;SDATE=201002&amp;PERIODTYPE=QTR_STD&amp;window=popup_no_bar&amp;width=385&amp;height=120&amp;START_MAXIMIZED=FALSE&amp;creator=factset&amp;display_string=Audit"}</definedName>
    <definedName name="_1151__FDSAUDITLINK__" localSheetId="1" hidden="1">{"fdsup://Directions/FactSet Auditing Viewer?action=AUDIT_VALUE&amp;DB=129&amp;ID1=85891210&amp;VALUEID=01001&amp;SDATE=200902&amp;PERIODTYPE=QTR_STD&amp;window=popup_no_bar&amp;width=385&amp;height=120&amp;START_MAXIMIZED=FALSE&amp;creator=factset&amp;display_string=Audit"}</definedName>
    <definedName name="_1151__FDSAUDITLINK__" hidden="1">{"fdsup://Directions/FactSet Auditing Viewer?action=AUDIT_VALUE&amp;DB=129&amp;ID1=85891210&amp;VALUEID=01001&amp;SDATE=200902&amp;PERIODTYPE=QTR_STD&amp;window=popup_no_bar&amp;width=385&amp;height=120&amp;START_MAXIMIZED=FALSE&amp;creator=factset&amp;display_string=Audit"}</definedName>
    <definedName name="_1152__FDSAUDITLINK__" localSheetId="1" hidden="1">{"fdsup://Directions/FactSet Auditing Viewer?action=AUDIT_VALUE&amp;DB=129&amp;ID1=85891210&amp;VALUEID=01001&amp;SDATE=201002&amp;PERIODTYPE=QTR_STD&amp;window=popup_no_bar&amp;width=385&amp;height=120&amp;START_MAXIMIZED=FALSE&amp;creator=factset&amp;display_string=Audit"}</definedName>
    <definedName name="_1152__FDSAUDITLINK__" hidden="1">{"fdsup://Directions/FactSet Auditing Viewer?action=AUDIT_VALUE&amp;DB=129&amp;ID1=85891210&amp;VALUEID=01001&amp;SDATE=201002&amp;PERIODTYPE=QTR_STD&amp;window=popup_no_bar&amp;width=385&amp;height=120&amp;START_MAXIMIZED=FALSE&amp;creator=factset&amp;display_string=Audit"}</definedName>
    <definedName name="_1153__FDSAUDITLINK__" localSheetId="1" hidden="1">{"fdsup://Directions/FactSet Auditing Viewer?action=AUDIT_VALUE&amp;DB=129&amp;ID1=85503010&amp;VALUEID=01001&amp;SDATE=200901&amp;PERIODTYPE=QTR_STD&amp;window=popup_no_bar&amp;width=385&amp;height=120&amp;START_MAXIMIZED=FALSE&amp;creator=factset&amp;display_string=Audit"}</definedName>
    <definedName name="_1153__FDSAUDITLINK__" hidden="1">{"fdsup://Directions/FactSet Auditing Viewer?action=AUDIT_VALUE&amp;DB=129&amp;ID1=85503010&amp;VALUEID=01001&amp;SDATE=200901&amp;PERIODTYPE=QTR_STD&amp;window=popup_no_bar&amp;width=385&amp;height=120&amp;START_MAXIMIZED=FALSE&amp;creator=factset&amp;display_string=Audit"}</definedName>
    <definedName name="_1154__FDSAUDITLINK__" localSheetId="1" hidden="1">{"fdsup://Directions/FactSet Auditing Viewer?action=AUDIT_VALUE&amp;DB=129&amp;ID1=85503010&amp;VALUEID=01001&amp;SDATE=201001&amp;PERIODTYPE=QTR_STD&amp;window=popup_no_bar&amp;width=385&amp;height=120&amp;START_MAXIMIZED=FALSE&amp;creator=factset&amp;display_string=Audit"}</definedName>
    <definedName name="_1154__FDSAUDITLINK__" hidden="1">{"fdsup://Directions/FactSet Auditing Viewer?action=AUDIT_VALUE&amp;DB=129&amp;ID1=85503010&amp;VALUEID=01001&amp;SDATE=201001&amp;PERIODTYPE=QTR_STD&amp;window=popup_no_bar&amp;width=385&amp;height=120&amp;START_MAXIMIZED=FALSE&amp;creator=factset&amp;display_string=Audit"}</definedName>
    <definedName name="_1155__FDSAUDITLINK__" localSheetId="1" hidden="1">{"fdsup://Directions/FactSet Auditing Viewer?action=AUDIT_VALUE&amp;DB=129&amp;ID1=82880610&amp;VALUEID=01001&amp;SDATE=200902&amp;PERIODTYPE=QTR_STD&amp;window=popup_no_bar&amp;width=385&amp;height=120&amp;START_MAXIMIZED=FALSE&amp;creator=factset&amp;display_string=Audit"}</definedName>
    <definedName name="_1155__FDSAUDITLINK__" hidden="1">{"fdsup://Directions/FactSet Auditing Viewer?action=AUDIT_VALUE&amp;DB=129&amp;ID1=82880610&amp;VALUEID=01001&amp;SDATE=200902&amp;PERIODTYPE=QTR_STD&amp;window=popup_no_bar&amp;width=385&amp;height=120&amp;START_MAXIMIZED=FALSE&amp;creator=factset&amp;display_string=Audit"}</definedName>
    <definedName name="_1156__FDSAUDITLINK__" localSheetId="1" hidden="1">{"fdsup://Directions/FactSet Auditing Viewer?action=AUDIT_VALUE&amp;DB=129&amp;ID1=82880610&amp;VALUEID=01001&amp;SDATE=201002&amp;PERIODTYPE=QTR_STD&amp;window=popup_no_bar&amp;width=385&amp;height=120&amp;START_MAXIMIZED=FALSE&amp;creator=factset&amp;display_string=Audit"}</definedName>
    <definedName name="_1156__FDSAUDITLINK__" hidden="1">{"fdsup://Directions/FactSet Auditing Viewer?action=AUDIT_VALUE&amp;DB=129&amp;ID1=82880610&amp;VALUEID=01001&amp;SDATE=201002&amp;PERIODTYPE=QTR_STD&amp;window=popup_no_bar&amp;width=385&amp;height=120&amp;START_MAXIMIZED=FALSE&amp;creator=factset&amp;display_string=Audit"}</definedName>
    <definedName name="_1157__FDSAUDITLINK__" localSheetId="1" hidden="1">{"fdsup://Directions/FactSet Auditing Viewer?action=AUDIT_VALUE&amp;DB=129&amp;ID1=84258710&amp;VALUEID=01001&amp;SDATE=200902&amp;PERIODTYPE=QTR_STD&amp;window=popup_no_bar&amp;width=385&amp;height=120&amp;START_MAXIMIZED=FALSE&amp;creator=factset&amp;display_string=Audit"}</definedName>
    <definedName name="_1157__FDSAUDITLINK__" hidden="1">{"fdsup://Directions/FactSet Auditing Viewer?action=AUDIT_VALUE&amp;DB=129&amp;ID1=84258710&amp;VALUEID=01001&amp;SDATE=200902&amp;PERIODTYPE=QTR_STD&amp;window=popup_no_bar&amp;width=385&amp;height=120&amp;START_MAXIMIZED=FALSE&amp;creator=factset&amp;display_string=Audit"}</definedName>
    <definedName name="_1158__FDSAUDITLINK__" localSheetId="1" hidden="1">{"fdsup://Directions/FactSet Auditing Viewer?action=AUDIT_VALUE&amp;DB=129&amp;ID1=84258710&amp;VALUEID=01001&amp;SDATE=201002&amp;PERIODTYPE=QTR_STD&amp;window=popup_no_bar&amp;width=385&amp;height=120&amp;START_MAXIMIZED=FALSE&amp;creator=factset&amp;display_string=Audit"}</definedName>
    <definedName name="_1158__FDSAUDITLINK__" hidden="1">{"fdsup://Directions/FactSet Auditing Viewer?action=AUDIT_VALUE&amp;DB=129&amp;ID1=84258710&amp;VALUEID=01001&amp;SDATE=201002&amp;PERIODTYPE=QTR_STD&amp;window=popup_no_bar&amp;width=385&amp;height=120&amp;START_MAXIMIZED=FALSE&amp;creator=factset&amp;display_string=Audit"}</definedName>
    <definedName name="_1159__FDSAUDITLINK__" localSheetId="1" hidden="1">{"fdsup://Directions/FactSet Auditing Viewer?action=AUDIT_VALUE&amp;DB=129&amp;ID1=81106510&amp;VALUEID=01001&amp;SDATE=200902&amp;PERIODTYPE=QTR_STD&amp;window=popup_no_bar&amp;width=385&amp;height=120&amp;START_MAXIMIZED=FALSE&amp;creator=factset&amp;display_string=Audit"}</definedName>
    <definedName name="_1159__FDSAUDITLINK__" hidden="1">{"fdsup://Directions/FactSet Auditing Viewer?action=AUDIT_VALUE&amp;DB=129&amp;ID1=81106510&amp;VALUEID=01001&amp;SDATE=200902&amp;PERIODTYPE=QTR_STD&amp;window=popup_no_bar&amp;width=385&amp;height=120&amp;START_MAXIMIZED=FALSE&amp;creator=factset&amp;display_string=Audit"}</definedName>
    <definedName name="_116__FDSAUDITLINK__" localSheetId="1" hidden="1">{"fdsup://directions/FAT Viewer?action=UPDATE&amp;creator=factset&amp;DYN_ARGS=TRUE&amp;DOC_NAME=FAT:FQL_AUDITING_CLIENT_TEMPLATE.FAT&amp;display_string=Audit&amp;VAR:KEY=LILAJMDMNG&amp;VAR:QUERY=RkZfRUJJVERBX09QRVIoUVRSLDQvMS8yMDEwLDYvMzAvMjAxMCwsLFVTRCk=&amp;WINDOW=FIRST_POPUP&amp;HEIGH","T=450&amp;WIDTH=450&amp;START_MAXIMIZED=FALSE&amp;VAR:CALENDAR=US&amp;VAR:SYMBOL=TMO&amp;VAR:INDEX=0"}</definedName>
    <definedName name="_116__FDSAUDITLINK__" hidden="1">{"fdsup://directions/FAT Viewer?action=UPDATE&amp;creator=factset&amp;DYN_ARGS=TRUE&amp;DOC_NAME=FAT:FQL_AUDITING_CLIENT_TEMPLATE.FAT&amp;display_string=Audit&amp;VAR:KEY=LILAJMDMNG&amp;VAR:QUERY=RkZfRUJJVERBX09QRVIoUVRSLDQvMS8yMDEwLDYvMzAvMjAxMCwsLFVTRCk=&amp;WINDOW=FIRST_POPUP&amp;HEIGH","T=450&amp;WIDTH=450&amp;START_MAXIMIZED=FALSE&amp;VAR:CALENDAR=US&amp;VAR:SYMBOL=TMO&amp;VAR:INDEX=0"}</definedName>
    <definedName name="_1160__FDSAUDITLINK__" localSheetId="1" hidden="1">{"fdsup://Directions/FactSet Auditing Viewer?action=AUDIT_VALUE&amp;DB=129&amp;ID1=81106510&amp;VALUEID=01001&amp;SDATE=201002&amp;PERIODTYPE=QTR_STD&amp;window=popup_no_bar&amp;width=385&amp;height=120&amp;START_MAXIMIZED=FALSE&amp;creator=factset&amp;display_string=Audit"}</definedName>
    <definedName name="_1160__FDSAUDITLINK__" hidden="1">{"fdsup://Directions/FactSet Auditing Viewer?action=AUDIT_VALUE&amp;DB=129&amp;ID1=81106510&amp;VALUEID=01001&amp;SDATE=201002&amp;PERIODTYPE=QTR_STD&amp;window=popup_no_bar&amp;width=385&amp;height=120&amp;START_MAXIMIZED=FALSE&amp;creator=factset&amp;display_string=Audit"}</definedName>
    <definedName name="_1161__FDSAUDITLINK__" localSheetId="1" hidden="1">{"fdsup://Directions/FactSet Auditing Viewer?action=AUDIT_VALUE&amp;DB=129&amp;ID1=80004C10&amp;VALUEID=01001&amp;SDATE=200902&amp;PERIODTYPE=QTR_STD&amp;window=popup_no_bar&amp;width=385&amp;height=120&amp;START_MAXIMIZED=FALSE&amp;creator=factset&amp;display_string=Audit"}</definedName>
    <definedName name="_1161__FDSAUDITLINK__" hidden="1">{"fdsup://Directions/FactSet Auditing Viewer?action=AUDIT_VALUE&amp;DB=129&amp;ID1=80004C10&amp;VALUEID=01001&amp;SDATE=200902&amp;PERIODTYPE=QTR_STD&amp;window=popup_no_bar&amp;width=385&amp;height=120&amp;START_MAXIMIZED=FALSE&amp;creator=factset&amp;display_string=Audit"}</definedName>
    <definedName name="_1162__FDSAUDITLINK__" localSheetId="1" hidden="1">{"fdsup://Directions/FactSet Auditing Viewer?action=AUDIT_VALUE&amp;DB=129&amp;ID1=80004C10&amp;VALUEID=01001&amp;SDATE=201002&amp;PERIODTYPE=QTR_STD&amp;window=popup_no_bar&amp;width=385&amp;height=120&amp;START_MAXIMIZED=FALSE&amp;creator=factset&amp;display_string=Audit"}</definedName>
    <definedName name="_1162__FDSAUDITLINK__" hidden="1">{"fdsup://Directions/FactSet Auditing Viewer?action=AUDIT_VALUE&amp;DB=129&amp;ID1=80004C10&amp;VALUEID=01001&amp;SDATE=201002&amp;PERIODTYPE=QTR_STD&amp;window=popup_no_bar&amp;width=385&amp;height=120&amp;START_MAXIMIZED=FALSE&amp;creator=factset&amp;display_string=Audit"}</definedName>
    <definedName name="_1163__FDSAUDITLINK__" localSheetId="1" hidden="1">{"fdsup://Directions/FactSet Auditing Viewer?action=AUDIT_VALUE&amp;DB=129&amp;ID1=83303410&amp;VALUEID=01001&amp;SDATE=200902&amp;PERIODTYPE=QTR_STD&amp;window=popup_no_bar&amp;width=385&amp;height=120&amp;START_MAXIMIZED=FALSE&amp;creator=factset&amp;display_string=Audit"}</definedName>
    <definedName name="_1163__FDSAUDITLINK__" hidden="1">{"fdsup://Directions/FactSet Auditing Viewer?action=AUDIT_VALUE&amp;DB=129&amp;ID1=83303410&amp;VALUEID=01001&amp;SDATE=200902&amp;PERIODTYPE=QTR_STD&amp;window=popup_no_bar&amp;width=385&amp;height=120&amp;START_MAXIMIZED=FALSE&amp;creator=factset&amp;display_string=Audit"}</definedName>
    <definedName name="_1164__FDSAUDITLINK__" localSheetId="1" hidden="1">{"fdsup://Directions/FactSet Auditing Viewer?action=AUDIT_VALUE&amp;DB=129&amp;ID1=83303410&amp;VALUEID=01001&amp;SDATE=201002&amp;PERIODTYPE=QTR_STD&amp;window=popup_no_bar&amp;width=385&amp;height=120&amp;START_MAXIMIZED=FALSE&amp;creator=factset&amp;display_string=Audit"}</definedName>
    <definedName name="_1164__FDSAUDITLINK__" hidden="1">{"fdsup://Directions/FactSet Auditing Viewer?action=AUDIT_VALUE&amp;DB=129&amp;ID1=83303410&amp;VALUEID=01001&amp;SDATE=201002&amp;PERIODTYPE=QTR_STD&amp;window=popup_no_bar&amp;width=385&amp;height=120&amp;START_MAXIMIZED=FALSE&amp;creator=factset&amp;display_string=Audit"}</definedName>
    <definedName name="_1165__FDSAUDITLINK__" localSheetId="1" hidden="1">{"fdsup://Directions/FactSet Auditing Viewer?action=AUDIT_VALUE&amp;DB=129&amp;ID1=78442P10&amp;VALUEID=01001&amp;SDATE=200902&amp;PERIODTYPE=QTR_STD&amp;window=popup_no_bar&amp;width=385&amp;height=120&amp;START_MAXIMIZED=FALSE&amp;creator=factset&amp;display_string=Audit"}</definedName>
    <definedName name="_1165__FDSAUDITLINK__" hidden="1">{"fdsup://Directions/FactSet Auditing Viewer?action=AUDIT_VALUE&amp;DB=129&amp;ID1=78442P10&amp;VALUEID=01001&amp;SDATE=200902&amp;PERIODTYPE=QTR_STD&amp;window=popup_no_bar&amp;width=385&amp;height=120&amp;START_MAXIMIZED=FALSE&amp;creator=factset&amp;display_string=Audit"}</definedName>
    <definedName name="_1166__FDSAUDITLINK__" localSheetId="1" hidden="1">{"fdsup://Directions/FactSet Auditing Viewer?action=AUDIT_VALUE&amp;DB=129&amp;ID1=78442P10&amp;VALUEID=01001&amp;SDATE=201002&amp;PERIODTYPE=QTR_STD&amp;window=popup_no_bar&amp;width=385&amp;height=120&amp;START_MAXIMIZED=FALSE&amp;creator=factset&amp;display_string=Audit"}</definedName>
    <definedName name="_1166__FDSAUDITLINK__" hidden="1">{"fdsup://Directions/FactSet Auditing Viewer?action=AUDIT_VALUE&amp;DB=129&amp;ID1=78442P10&amp;VALUEID=01001&amp;SDATE=201002&amp;PERIODTYPE=QTR_STD&amp;window=popup_no_bar&amp;width=385&amp;height=120&amp;START_MAXIMIZED=FALSE&amp;creator=factset&amp;display_string=Audit"}</definedName>
    <definedName name="_1167__FDSAUDITLINK__" localSheetId="1" hidden="1">{"fdsup://Directions/FactSet Auditing Viewer?action=AUDIT_VALUE&amp;DB=129&amp;ID1=80311110&amp;VALUEID=01001&amp;SDATE=201004&amp;PERIODTYPE=QTR_STD&amp;window=popup_no_bar&amp;width=385&amp;height=120&amp;START_MAXIMIZED=FALSE&amp;creator=factset&amp;display_string=Audit"}</definedName>
    <definedName name="_1167__FDSAUDITLINK__" hidden="1">{"fdsup://Directions/FactSet Auditing Viewer?action=AUDIT_VALUE&amp;DB=129&amp;ID1=80311110&amp;VALUEID=01001&amp;SDATE=201004&amp;PERIODTYPE=QTR_STD&amp;window=popup_no_bar&amp;width=385&amp;height=120&amp;START_MAXIMIZED=FALSE&amp;creator=factset&amp;display_string=Audit"}</definedName>
    <definedName name="_1168__FDSAUDITLINK__" localSheetId="1" hidden="1">{"fdsup://Directions/FactSet Auditing Viewer?action=AUDIT_VALUE&amp;DB=129&amp;ID1=80685710&amp;VALUEID=01001&amp;SDATE=200902&amp;PERIODTYPE=QTR_STD&amp;window=popup_no_bar&amp;width=385&amp;height=120&amp;START_MAXIMIZED=FALSE&amp;creator=factset&amp;display_string=Audit"}</definedName>
    <definedName name="_1168__FDSAUDITLINK__" hidden="1">{"fdsup://Directions/FactSet Auditing Viewer?action=AUDIT_VALUE&amp;DB=129&amp;ID1=80685710&amp;VALUEID=01001&amp;SDATE=200902&amp;PERIODTYPE=QTR_STD&amp;window=popup_no_bar&amp;width=385&amp;height=120&amp;START_MAXIMIZED=FALSE&amp;creator=factset&amp;display_string=Audit"}</definedName>
    <definedName name="_1169__FDSAUDITLINK__" localSheetId="1" hidden="1">{"fdsup://Directions/FactSet Auditing Viewer?action=AUDIT_VALUE&amp;DB=129&amp;ID1=80685710&amp;VALUEID=01001&amp;SDATE=201002&amp;PERIODTYPE=QTR_STD&amp;window=popup_no_bar&amp;width=385&amp;height=120&amp;START_MAXIMIZED=FALSE&amp;creator=factset&amp;display_string=Audit"}</definedName>
    <definedName name="_1169__FDSAUDITLINK__" hidden="1">{"fdsup://Directions/FactSet Auditing Viewer?action=AUDIT_VALUE&amp;DB=129&amp;ID1=80685710&amp;VALUEID=01001&amp;SDATE=201002&amp;PERIODTYPE=QTR_STD&amp;window=popup_no_bar&amp;width=385&amp;height=120&amp;START_MAXIMIZED=FALSE&amp;creator=factset&amp;display_string=Audit"}</definedName>
    <definedName name="_117__FDSAUDITLINK__" localSheetId="1" hidden="1">{"fdsup://directions/FAT Viewer?action=UPDATE&amp;creator=factset&amp;DYN_ARGS=TRUE&amp;DOC_NAME=FAT:FQL_AUDITING_CLIENT_TEMPLATE.FAT&amp;display_string=Audit&amp;VAR:KEY=NMJSXEJUNC&amp;VAR:QUERY=RkZfRUJJVERBX09QRVIoUVRSLDQvMS8yMDA5LDYvMzAvMjAwOSwsLFVTRCk=&amp;WINDOW=FIRST_POPUP&amp;HEIGH","T=450&amp;WIDTH=450&amp;START_MAXIMIZED=FALSE&amp;VAR:CALENDAR=US&amp;VAR:SYMBOL=TMK&amp;VAR:INDEX=0"}</definedName>
    <definedName name="_117__FDSAUDITLINK__" hidden="1">{"fdsup://directions/FAT Viewer?action=UPDATE&amp;creator=factset&amp;DYN_ARGS=TRUE&amp;DOC_NAME=FAT:FQL_AUDITING_CLIENT_TEMPLATE.FAT&amp;display_string=Audit&amp;VAR:KEY=NMJSXEJUNC&amp;VAR:QUERY=RkZfRUJJVERBX09QRVIoUVRSLDQvMS8yMDA5LDYvMzAvMjAwOSwsLFVTRCk=&amp;WINDOW=FIRST_POPUP&amp;HEIGH","T=450&amp;WIDTH=450&amp;START_MAXIMIZED=FALSE&amp;VAR:CALENDAR=US&amp;VAR:SYMBOL=TMK&amp;VAR:INDEX=0"}</definedName>
    <definedName name="_1170__FDSAUDITLINK__" localSheetId="1" hidden="1">{"fdsup://Directions/FactSet Auditing Viewer?action=AUDIT_VALUE&amp;DB=129&amp;ID1=83269640&amp;VALUEID=01001&amp;SDATE=200804&amp;PERIODTYPE=QTR_STD&amp;window=popup_no_bar&amp;width=385&amp;height=120&amp;START_MAXIMIZED=FALSE&amp;creator=factset&amp;display_string=Audit"}</definedName>
    <definedName name="_1170__FDSAUDITLINK__" hidden="1">{"fdsup://Directions/FactSet Auditing Viewer?action=AUDIT_VALUE&amp;DB=129&amp;ID1=83269640&amp;VALUEID=01001&amp;SDATE=200804&amp;PERIODTYPE=QTR_STD&amp;window=popup_no_bar&amp;width=385&amp;height=120&amp;START_MAXIMIZED=FALSE&amp;creator=factset&amp;display_string=Audit"}</definedName>
    <definedName name="_1171__FDSAUDITLINK__" localSheetId="1" hidden="1">{"fdsup://Directions/FactSet Auditing Viewer?action=AUDIT_VALUE&amp;DB=129&amp;ID1=83269640&amp;VALUEID=01001&amp;SDATE=200904&amp;PERIODTYPE=QTR_STD&amp;window=popup_no_bar&amp;width=385&amp;height=120&amp;START_MAXIMIZED=FALSE&amp;creator=factset&amp;display_string=Audit"}</definedName>
    <definedName name="_1171__FDSAUDITLINK__" hidden="1">{"fdsup://Directions/FactSet Auditing Viewer?action=AUDIT_VALUE&amp;DB=129&amp;ID1=83269640&amp;VALUEID=01001&amp;SDATE=200904&amp;PERIODTYPE=QTR_STD&amp;window=popup_no_bar&amp;width=385&amp;height=120&amp;START_MAXIMIZED=FALSE&amp;creator=factset&amp;display_string=Audit"}</definedName>
    <definedName name="_1172__FDSAUDITLINK__" localSheetId="1" hidden="1">{"fdsup://Directions/FactSet Auditing Viewer?action=AUDIT_VALUE&amp;DB=129&amp;ID1=82655210&amp;VALUEID=01001&amp;SDATE=200902&amp;PERIODTYPE=QTR_STD&amp;window=popup_no_bar&amp;width=385&amp;height=120&amp;START_MAXIMIZED=FALSE&amp;creator=factset&amp;display_string=Audit"}</definedName>
    <definedName name="_1172__FDSAUDITLINK__" hidden="1">{"fdsup://Directions/FactSet Auditing Viewer?action=AUDIT_VALUE&amp;DB=129&amp;ID1=82655210&amp;VALUEID=01001&amp;SDATE=200902&amp;PERIODTYPE=QTR_STD&amp;window=popup_no_bar&amp;width=385&amp;height=120&amp;START_MAXIMIZED=FALSE&amp;creator=factset&amp;display_string=Audit"}</definedName>
    <definedName name="_1173__FDSAUDITLINK__" localSheetId="1" hidden="1">{"fdsup://Directions/FactSet Auditing Viewer?action=AUDIT_VALUE&amp;DB=129&amp;ID1=82655210&amp;VALUEID=01001&amp;SDATE=201002&amp;PERIODTYPE=QTR_STD&amp;window=popup_no_bar&amp;width=385&amp;height=120&amp;START_MAXIMIZED=FALSE&amp;creator=factset&amp;display_string=Audit"}</definedName>
    <definedName name="_1173__FDSAUDITLINK__" hidden="1">{"fdsup://Directions/FactSet Auditing Viewer?action=AUDIT_VALUE&amp;DB=129&amp;ID1=82655210&amp;VALUEID=01001&amp;SDATE=201002&amp;PERIODTYPE=QTR_STD&amp;window=popup_no_bar&amp;width=385&amp;height=120&amp;START_MAXIMIZED=FALSE&amp;creator=factset&amp;display_string=Audit"}</definedName>
    <definedName name="_1174__FDSAUDITLINK__" localSheetId="1" hidden="1">{"fdsup://Directions/FactSet Auditing Viewer?action=AUDIT_VALUE&amp;DB=129&amp;ID1=82434810&amp;VALUEID=01001&amp;SDATE=200902&amp;PERIODTYPE=QTR_STD&amp;window=popup_no_bar&amp;width=385&amp;height=120&amp;START_MAXIMIZED=FALSE&amp;creator=factset&amp;display_string=Audit"}</definedName>
    <definedName name="_1174__FDSAUDITLINK__" hidden="1">{"fdsup://Directions/FactSet Auditing Viewer?action=AUDIT_VALUE&amp;DB=129&amp;ID1=82434810&amp;VALUEID=01001&amp;SDATE=200902&amp;PERIODTYPE=QTR_STD&amp;window=popup_no_bar&amp;width=385&amp;height=120&amp;START_MAXIMIZED=FALSE&amp;creator=factset&amp;display_string=Audit"}</definedName>
    <definedName name="_1175__FDSAUDITLINK__" localSheetId="1" hidden="1">{"fdsup://Directions/FactSet Auditing Viewer?action=AUDIT_VALUE&amp;DB=129&amp;ID1=82434810&amp;VALUEID=01001&amp;SDATE=201002&amp;PERIODTYPE=QTR_STD&amp;window=popup_no_bar&amp;width=385&amp;height=120&amp;START_MAXIMIZED=FALSE&amp;creator=factset&amp;display_string=Audit"}</definedName>
    <definedName name="_1175__FDSAUDITLINK__" hidden="1">{"fdsup://Directions/FactSet Auditing Viewer?action=AUDIT_VALUE&amp;DB=129&amp;ID1=82434810&amp;VALUEID=01001&amp;SDATE=201002&amp;PERIODTYPE=QTR_STD&amp;window=popup_no_bar&amp;width=385&amp;height=120&amp;START_MAXIMIZED=FALSE&amp;creator=factset&amp;display_string=Audit"}</definedName>
    <definedName name="_1176__FDSAUDITLINK__" localSheetId="1" hidden="1">{"fdsup://Directions/FactSet Auditing Viewer?action=AUDIT_VALUE&amp;DB=129&amp;ID1=81235010&amp;VALUEID=01001&amp;SDATE=200901&amp;PERIODTYPE=QTR_STD&amp;window=popup_no_bar&amp;width=385&amp;height=120&amp;START_MAXIMIZED=FALSE&amp;creator=factset&amp;display_string=Audit"}</definedName>
    <definedName name="_1176__FDSAUDITLINK__" hidden="1">{"fdsup://Directions/FactSet Auditing Viewer?action=AUDIT_VALUE&amp;DB=129&amp;ID1=81235010&amp;VALUEID=01001&amp;SDATE=200901&amp;PERIODTYPE=QTR_STD&amp;window=popup_no_bar&amp;width=385&amp;height=120&amp;START_MAXIMIZED=FALSE&amp;creator=factset&amp;display_string=Audit"}</definedName>
    <definedName name="_1177__FDSAUDITLINK__" localSheetId="1" hidden="1">{"fdsup://Directions/FactSet Auditing Viewer?action=AUDIT_VALUE&amp;DB=129&amp;ID1=81235010&amp;VALUEID=01001&amp;SDATE=201001&amp;PERIODTYPE=QTR_STD&amp;window=popup_no_bar&amp;width=385&amp;height=120&amp;START_MAXIMIZED=FALSE&amp;creator=factset&amp;display_string=Audit"}</definedName>
    <definedName name="_1177__FDSAUDITLINK__" hidden="1">{"fdsup://Directions/FactSet Auditing Viewer?action=AUDIT_VALUE&amp;DB=129&amp;ID1=81235010&amp;VALUEID=01001&amp;SDATE=201001&amp;PERIODTYPE=QTR_STD&amp;window=popup_no_bar&amp;width=385&amp;height=120&amp;START_MAXIMIZED=FALSE&amp;creator=factset&amp;display_string=Audit"}</definedName>
    <definedName name="_1178__FDSAUDITLINK__" localSheetId="1" hidden="1">{"fdsup://Directions/FactSet Auditing Viewer?action=AUDIT_VALUE&amp;DB=129&amp;ID1=81211K10&amp;VALUEID=01001&amp;SDATE=200902&amp;PERIODTYPE=QTR_STD&amp;window=popup_no_bar&amp;width=385&amp;height=120&amp;START_MAXIMIZED=FALSE&amp;creator=factset&amp;display_string=Audit"}</definedName>
    <definedName name="_1178__FDSAUDITLINK__" hidden="1">{"fdsup://Directions/FactSet Auditing Viewer?action=AUDIT_VALUE&amp;DB=129&amp;ID1=81211K10&amp;VALUEID=01001&amp;SDATE=200902&amp;PERIODTYPE=QTR_STD&amp;window=popup_no_bar&amp;width=385&amp;height=120&amp;START_MAXIMIZED=FALSE&amp;creator=factset&amp;display_string=Audit"}</definedName>
    <definedName name="_1179__FDSAUDITLINK__" localSheetId="1" hidden="1">{"fdsup://Directions/FactSet Auditing Viewer?action=AUDIT_VALUE&amp;DB=129&amp;ID1=81211K10&amp;VALUEID=01001&amp;SDATE=201002&amp;PERIODTYPE=QTR_STD&amp;window=popup_no_bar&amp;width=385&amp;height=120&amp;START_MAXIMIZED=FALSE&amp;creator=factset&amp;display_string=Audit"}</definedName>
    <definedName name="_1179__FDSAUDITLINK__" hidden="1">{"fdsup://Directions/FactSet Auditing Viewer?action=AUDIT_VALUE&amp;DB=129&amp;ID1=81211K10&amp;VALUEID=01001&amp;SDATE=201002&amp;PERIODTYPE=QTR_STD&amp;window=popup_no_bar&amp;width=385&amp;height=120&amp;START_MAXIMIZED=FALSE&amp;creator=factset&amp;display_string=Audit"}</definedName>
    <definedName name="_118__FDSAUDITLINK__" localSheetId="1" hidden="1">{"fdsup://directions/FAT Viewer?action=UPDATE&amp;creator=factset&amp;DYN_ARGS=TRUE&amp;DOC_NAME=FAT:FQL_AUDITING_CLIENT_TEMPLATE.FAT&amp;display_string=Audit&amp;VAR:KEY=PIBGBGDUDO&amp;VAR:QUERY=RkZfRUJJVERBX09QRVIoUVRSLDQvMS8yMDEwLDYvMzAvMjAxMCwsLFVTRCk=&amp;WINDOW=FIRST_POPUP&amp;HEIGH","T=450&amp;WIDTH=450&amp;START_MAXIMIZED=FALSE&amp;VAR:CALENDAR=US&amp;VAR:SYMBOL=TMK&amp;VAR:INDEX=0"}</definedName>
    <definedName name="_118__FDSAUDITLINK__" hidden="1">{"fdsup://directions/FAT Viewer?action=UPDATE&amp;creator=factset&amp;DYN_ARGS=TRUE&amp;DOC_NAME=FAT:FQL_AUDITING_CLIENT_TEMPLATE.FAT&amp;display_string=Audit&amp;VAR:KEY=PIBGBGDUDO&amp;VAR:QUERY=RkZfRUJJVERBX09QRVIoUVRSLDQvMS8yMDEwLDYvMzAvMjAxMCwsLFVTRCk=&amp;WINDOW=FIRST_POPUP&amp;HEIGH","T=450&amp;WIDTH=450&amp;START_MAXIMIZED=FALSE&amp;VAR:CALENDAR=US&amp;VAR:SYMBOL=TMK&amp;VAR:INDEX=0"}</definedName>
    <definedName name="_1180__FDSAUDITLINK__" localSheetId="1" hidden="1">{"fdsup://Directions/FactSet Auditing Viewer?action=AUDIT_VALUE&amp;DB=129&amp;ID1=84756010&amp;VALUEID=01001&amp;SDATE=200902&amp;PERIODTYPE=QTR_STD&amp;window=popup_no_bar&amp;width=385&amp;height=120&amp;START_MAXIMIZED=FALSE&amp;creator=factset&amp;display_string=Audit"}</definedName>
    <definedName name="_1180__FDSAUDITLINK__" hidden="1">{"fdsup://Directions/FactSet Auditing Viewer?action=AUDIT_VALUE&amp;DB=129&amp;ID1=84756010&amp;VALUEID=01001&amp;SDATE=200902&amp;PERIODTYPE=QTR_STD&amp;window=popup_no_bar&amp;width=385&amp;height=120&amp;START_MAXIMIZED=FALSE&amp;creator=factset&amp;display_string=Audit"}</definedName>
    <definedName name="_1181__FDSAUDITLINK__" localSheetId="1" hidden="1">{"fdsup://Directions/FactSet Auditing Viewer?action=AUDIT_VALUE&amp;DB=129&amp;ID1=84756010&amp;VALUEID=01001&amp;SDATE=201002&amp;PERIODTYPE=QTR_STD&amp;window=popup_no_bar&amp;width=385&amp;height=120&amp;START_MAXIMIZED=FALSE&amp;creator=factset&amp;display_string=Audit"}</definedName>
    <definedName name="_1181__FDSAUDITLINK__" hidden="1">{"fdsup://Directions/FactSet Auditing Viewer?action=AUDIT_VALUE&amp;DB=129&amp;ID1=84756010&amp;VALUEID=01001&amp;SDATE=201002&amp;PERIODTYPE=QTR_STD&amp;window=popup_no_bar&amp;width=385&amp;height=120&amp;START_MAXIMIZED=FALSE&amp;creator=factset&amp;display_string=Audit"}</definedName>
    <definedName name="_1182__FDSAUDITLINK__" localSheetId="1" hidden="1">{"fdsup://Directions/FactSet Auditing Viewer?action=AUDIT_VALUE&amp;DB=129&amp;ID1=80851310&amp;VALUEID=01001&amp;SDATE=200902&amp;PERIODTYPE=QTR_STD&amp;window=popup_no_bar&amp;width=385&amp;height=120&amp;START_MAXIMIZED=FALSE&amp;creator=factset&amp;display_string=Audit"}</definedName>
    <definedName name="_1182__FDSAUDITLINK__" hidden="1">{"fdsup://Directions/FactSet Auditing Viewer?action=AUDIT_VALUE&amp;DB=129&amp;ID1=80851310&amp;VALUEID=01001&amp;SDATE=200902&amp;PERIODTYPE=QTR_STD&amp;window=popup_no_bar&amp;width=385&amp;height=120&amp;START_MAXIMIZED=FALSE&amp;creator=factset&amp;display_string=Audit"}</definedName>
    <definedName name="_1183__FDSAUDITLINK__" localSheetId="1" hidden="1">{"fdsup://Directions/FactSet Auditing Viewer?action=AUDIT_VALUE&amp;DB=129&amp;ID1=80851310&amp;VALUEID=01001&amp;SDATE=201002&amp;PERIODTYPE=QTR_STD&amp;window=popup_no_bar&amp;width=385&amp;height=120&amp;START_MAXIMIZED=FALSE&amp;creator=factset&amp;display_string=Audit"}</definedName>
    <definedName name="_1183__FDSAUDITLINK__" hidden="1">{"fdsup://Directions/FactSet Auditing Viewer?action=AUDIT_VALUE&amp;DB=129&amp;ID1=80851310&amp;VALUEID=01001&amp;SDATE=201002&amp;PERIODTYPE=QTR_STD&amp;window=popup_no_bar&amp;width=385&amp;height=120&amp;START_MAXIMIZED=FALSE&amp;creator=factset&amp;display_string=Audit"}</definedName>
    <definedName name="_1184__FDSAUDITLINK__" localSheetId="1" hidden="1">{"fdsup://Directions/FactSet Auditing Viewer?action=AUDIT_VALUE&amp;DB=129&amp;ID1=80589M10&amp;VALUEID=01001&amp;SDATE=200902&amp;PERIODTYPE=QTR_STD&amp;window=popup_no_bar&amp;width=385&amp;height=120&amp;START_MAXIMIZED=FALSE&amp;creator=factset&amp;display_string=Audit"}</definedName>
    <definedName name="_1184__FDSAUDITLINK__" hidden="1">{"fdsup://Directions/FactSet Auditing Viewer?action=AUDIT_VALUE&amp;DB=129&amp;ID1=80589M10&amp;VALUEID=01001&amp;SDATE=200902&amp;PERIODTYPE=QTR_STD&amp;window=popup_no_bar&amp;width=385&amp;height=120&amp;START_MAXIMIZED=FALSE&amp;creator=factset&amp;display_string=Audit"}</definedName>
    <definedName name="_1185__FDSAUDITLINK__" localSheetId="1" hidden="1">{"fdsup://Directions/FactSet Auditing Viewer?action=AUDIT_VALUE&amp;DB=129&amp;ID1=80589M10&amp;VALUEID=01001&amp;SDATE=201002&amp;PERIODTYPE=QTR_STD&amp;window=popup_no_bar&amp;width=385&amp;height=120&amp;START_MAXIMIZED=FALSE&amp;creator=factset&amp;display_string=Audit"}</definedName>
    <definedName name="_1185__FDSAUDITLINK__" hidden="1">{"fdsup://Directions/FactSet Auditing Viewer?action=AUDIT_VALUE&amp;DB=129&amp;ID1=80589M10&amp;VALUEID=01001&amp;SDATE=201002&amp;PERIODTYPE=QTR_STD&amp;window=popup_no_bar&amp;width=385&amp;height=120&amp;START_MAXIMIZED=FALSE&amp;creator=factset&amp;display_string=Audit"}</definedName>
    <definedName name="_1186__FDSAUDITLINK__" localSheetId="1" hidden="1">{"fdsup://Directions/FactSet Auditing Viewer?action=AUDIT_VALUE&amp;DB=129&amp;ID1=85524410&amp;VALUEID=01001&amp;SDATE=200903&amp;PERIODTYPE=QTR_STD&amp;window=popup_no_bar&amp;width=385&amp;height=120&amp;START_MAXIMIZED=FALSE&amp;creator=factset&amp;display_string=Audit"}</definedName>
    <definedName name="_1186__FDSAUDITLINK__" hidden="1">{"fdsup://Directions/FactSet Auditing Viewer?action=AUDIT_VALUE&amp;DB=129&amp;ID1=85524410&amp;VALUEID=01001&amp;SDATE=200903&amp;PERIODTYPE=QTR_STD&amp;window=popup_no_bar&amp;width=385&amp;height=120&amp;START_MAXIMIZED=FALSE&amp;creator=factset&amp;display_string=Audit"}</definedName>
    <definedName name="_1187__FDSAUDITLINK__" localSheetId="1" hidden="1">{"fdsup://Directions/FactSet Auditing Viewer?action=AUDIT_VALUE&amp;DB=129&amp;ID1=85524410&amp;VALUEID=01001&amp;SDATE=201003&amp;PERIODTYPE=QTR_STD&amp;window=popup_no_bar&amp;width=385&amp;height=120&amp;START_MAXIMIZED=FALSE&amp;creator=factset&amp;display_string=Audit"}</definedName>
    <definedName name="_1187__FDSAUDITLINK__" hidden="1">{"fdsup://Directions/FactSet Auditing Viewer?action=AUDIT_VALUE&amp;DB=129&amp;ID1=85524410&amp;VALUEID=01001&amp;SDATE=201003&amp;PERIODTYPE=QTR_STD&amp;window=popup_no_bar&amp;width=385&amp;height=120&amp;START_MAXIMIZED=FALSE&amp;creator=factset&amp;display_string=Audit"}</definedName>
    <definedName name="_1188__FDSAUDITLINK__" localSheetId="1" hidden="1">{"fdsup://Directions/FactSet Auditing Viewer?action=AUDIT_VALUE&amp;DB=129&amp;ID1=78390X10&amp;VALUEID=01001&amp;SDATE=200901&amp;PERIODTYPE=QTR_STD&amp;window=popup_no_bar&amp;width=385&amp;height=120&amp;START_MAXIMIZED=FALSE&amp;creator=factset&amp;display_string=Audit"}</definedName>
    <definedName name="_1188__FDSAUDITLINK__" hidden="1">{"fdsup://Directions/FactSet Auditing Viewer?action=AUDIT_VALUE&amp;DB=129&amp;ID1=78390X10&amp;VALUEID=01001&amp;SDATE=200901&amp;PERIODTYPE=QTR_STD&amp;window=popup_no_bar&amp;width=385&amp;height=120&amp;START_MAXIMIZED=FALSE&amp;creator=factset&amp;display_string=Audit"}</definedName>
    <definedName name="_1189__FDSAUDITLINK__" localSheetId="1" hidden="1">{"fdsup://Directions/FactSet Auditing Viewer?action=AUDIT_VALUE&amp;DB=129&amp;ID1=78390X10&amp;VALUEID=01001&amp;SDATE=201001&amp;PERIODTYPE=QTR_STD&amp;window=popup_no_bar&amp;width=385&amp;height=120&amp;START_MAXIMIZED=FALSE&amp;creator=factset&amp;display_string=Audit"}</definedName>
    <definedName name="_1189__FDSAUDITLINK__" hidden="1">{"fdsup://Directions/FactSet Auditing Viewer?action=AUDIT_VALUE&amp;DB=129&amp;ID1=78390X10&amp;VALUEID=01001&amp;SDATE=201001&amp;PERIODTYPE=QTR_STD&amp;window=popup_no_bar&amp;width=385&amp;height=120&amp;START_MAXIMIZED=FALSE&amp;creator=factset&amp;display_string=Audit"}</definedName>
    <definedName name="_119__FDSAUDITLINK__" localSheetId="1" hidden="1">{"fdsup://directions/FAT Viewer?action=UPDATE&amp;creator=factset&amp;DYN_ARGS=TRUE&amp;DOC_NAME=FAT:FQL_AUDITING_CLIENT_TEMPLATE.FAT&amp;display_string=Audit&amp;VAR:KEY=LOZKTUZOVS&amp;VAR:QUERY=RkZfRUJJVERBX09QRVIoUVRSLDQvMS8yMDA5LDYvMzAvMjAwOSwsLFVTRCk=&amp;WINDOW=FIRST_POPUP&amp;HEIGH","T=450&amp;WIDTH=450&amp;START_MAXIMIZED=FALSE&amp;VAR:CALENDAR=US&amp;VAR:SYMBOL=TLAB&amp;VAR:INDEX=0"}</definedName>
    <definedName name="_119__FDSAUDITLINK__" hidden="1">{"fdsup://directions/FAT Viewer?action=UPDATE&amp;creator=factset&amp;DYN_ARGS=TRUE&amp;DOC_NAME=FAT:FQL_AUDITING_CLIENT_TEMPLATE.FAT&amp;display_string=Audit&amp;VAR:KEY=LOZKTUZOVS&amp;VAR:QUERY=RkZfRUJJVERBX09QRVIoUVRSLDQvMS8yMDA5LDYvMzAvMjAwOSwsLFVTRCk=&amp;WINDOW=FIRST_POPUP&amp;HEIGH","T=450&amp;WIDTH=450&amp;START_MAXIMIZED=FALSE&amp;VAR:CALENDAR=US&amp;VAR:SYMBOL=TLAB&amp;VAR:INDEX=0"}</definedName>
    <definedName name="_1190__FDSAUDITLINK__" localSheetId="1" hidden="1">{"fdsup://Directions/FactSet Auditing Viewer?action=AUDIT_VALUE&amp;DB=129&amp;ID1=85206110&amp;VALUEID=01001&amp;SDATE=200902&amp;PERIODTYPE=QTR_STD&amp;window=popup_no_bar&amp;width=385&amp;height=120&amp;START_MAXIMIZED=FALSE&amp;creator=factset&amp;display_string=Audit"}</definedName>
    <definedName name="_1190__FDSAUDITLINK__" hidden="1">{"fdsup://Directions/FactSet Auditing Viewer?action=AUDIT_VALUE&amp;DB=129&amp;ID1=85206110&amp;VALUEID=01001&amp;SDATE=200902&amp;PERIODTYPE=QTR_STD&amp;window=popup_no_bar&amp;width=385&amp;height=120&amp;START_MAXIMIZED=FALSE&amp;creator=factset&amp;display_string=Audit"}</definedName>
    <definedName name="_1191__FDSAUDITLINK__" localSheetId="1" hidden="1">{"fdsup://Directions/FactSet Auditing Viewer?action=AUDIT_VALUE&amp;DB=129&amp;ID1=75511150&amp;VALUEID=01001&amp;SDATE=200902&amp;PERIODTYPE=QTR_STD&amp;window=popup_no_bar&amp;width=385&amp;height=120&amp;START_MAXIMIZED=FALSE&amp;creator=factset&amp;display_string=Audit"}</definedName>
    <definedName name="_1191__FDSAUDITLINK__" hidden="1">{"fdsup://Directions/FactSet Auditing Viewer?action=AUDIT_VALUE&amp;DB=129&amp;ID1=75511150&amp;VALUEID=01001&amp;SDATE=200902&amp;PERIODTYPE=QTR_STD&amp;window=popup_no_bar&amp;width=385&amp;height=120&amp;START_MAXIMIZED=FALSE&amp;creator=factset&amp;display_string=Audit"}</definedName>
    <definedName name="_1192__FDSAUDITLINK__" localSheetId="1" hidden="1">{"fdsup://Directions/FactSet Auditing Viewer?action=AUDIT_VALUE&amp;DB=129&amp;ID1=75511150&amp;VALUEID=01001&amp;SDATE=201002&amp;PERIODTYPE=QTR_STD&amp;window=popup_no_bar&amp;width=385&amp;height=120&amp;START_MAXIMIZED=FALSE&amp;creator=factset&amp;display_string=Audit"}</definedName>
    <definedName name="_1192__FDSAUDITLINK__" hidden="1">{"fdsup://Directions/FactSet Auditing Viewer?action=AUDIT_VALUE&amp;DB=129&amp;ID1=75511150&amp;VALUEID=01001&amp;SDATE=201002&amp;PERIODTYPE=QTR_STD&amp;window=popup_no_bar&amp;width=385&amp;height=120&amp;START_MAXIMIZED=FALSE&amp;creator=factset&amp;display_string=Audit"}</definedName>
    <definedName name="_1193__FDSAUDITLINK__" localSheetId="1" hidden="1">{"fdsup://Directions/FactSet Auditing Viewer?action=AUDIT_VALUE&amp;DB=129&amp;ID1=75043810&amp;VALUEID=01001&amp;SDATE=200902&amp;PERIODTYPE=QTR_STD&amp;window=popup_no_bar&amp;width=385&amp;height=120&amp;START_MAXIMIZED=FALSE&amp;creator=factset&amp;display_string=Audit"}</definedName>
    <definedName name="_1193__FDSAUDITLINK__" hidden="1">{"fdsup://Directions/FactSet Auditing Viewer?action=AUDIT_VALUE&amp;DB=129&amp;ID1=75043810&amp;VALUEID=01001&amp;SDATE=200902&amp;PERIODTYPE=QTR_STD&amp;window=popup_no_bar&amp;width=385&amp;height=120&amp;START_MAXIMIZED=FALSE&amp;creator=factset&amp;display_string=Audit"}</definedName>
    <definedName name="_1194__FDSAUDITLINK__" localSheetId="1" hidden="1">{"fdsup://Directions/FactSet Auditing Viewer?action=AUDIT_VALUE&amp;DB=129&amp;ID1=75043810&amp;VALUEID=01001&amp;SDATE=201002&amp;PERIODTYPE=QTR_STD&amp;window=popup_no_bar&amp;width=385&amp;height=120&amp;START_MAXIMIZED=FALSE&amp;creator=factset&amp;display_string=Audit"}</definedName>
    <definedName name="_1194__FDSAUDITLINK__" hidden="1">{"fdsup://Directions/FactSet Auditing Viewer?action=AUDIT_VALUE&amp;DB=129&amp;ID1=75043810&amp;VALUEID=01001&amp;SDATE=201002&amp;PERIODTYPE=QTR_STD&amp;window=popup_no_bar&amp;width=385&amp;height=120&amp;START_MAXIMIZED=FALSE&amp;creator=factset&amp;display_string=Audit"}</definedName>
    <definedName name="_1195__FDSAUDITLINK__" localSheetId="1" hidden="1">{"fdsup://Directions/FactSet Auditing Viewer?action=AUDIT_VALUE&amp;DB=129&amp;ID1=76075910&amp;VALUEID=01001&amp;SDATE=200902&amp;PERIODTYPE=QTR_STD&amp;window=popup_no_bar&amp;width=385&amp;height=120&amp;START_MAXIMIZED=FALSE&amp;creator=factset&amp;display_string=Audit"}</definedName>
    <definedName name="_1195__FDSAUDITLINK__" hidden="1">{"fdsup://Directions/FactSet Auditing Viewer?action=AUDIT_VALUE&amp;DB=129&amp;ID1=76075910&amp;VALUEID=01001&amp;SDATE=200902&amp;PERIODTYPE=QTR_STD&amp;window=popup_no_bar&amp;width=385&amp;height=120&amp;START_MAXIMIZED=FALSE&amp;creator=factset&amp;display_string=Audit"}</definedName>
    <definedName name="_1196__FDSAUDITLINK__" localSheetId="1" hidden="1">{"fdsup://Directions/FactSet Auditing Viewer?action=AUDIT_VALUE&amp;DB=129&amp;ID1=76075910&amp;VALUEID=01001&amp;SDATE=201002&amp;PERIODTYPE=QTR_STD&amp;window=popup_no_bar&amp;width=385&amp;height=120&amp;START_MAXIMIZED=FALSE&amp;creator=factset&amp;display_string=Audit"}</definedName>
    <definedName name="_1196__FDSAUDITLINK__" hidden="1">{"fdsup://Directions/FactSet Auditing Viewer?action=AUDIT_VALUE&amp;DB=129&amp;ID1=76075910&amp;VALUEID=01001&amp;SDATE=201002&amp;PERIODTYPE=QTR_STD&amp;window=popup_no_bar&amp;width=385&amp;height=120&amp;START_MAXIMIZED=FALSE&amp;creator=factset&amp;display_string=Audit"}</definedName>
    <definedName name="_1197__FDSAUDITLINK__" localSheetId="1" hidden="1">{"fdsup://Directions/FactSet Auditing Viewer?action=AUDIT_VALUE&amp;DB=129&amp;ID1=25786710&amp;VALUEID=01001&amp;SDATE=200902&amp;PERIODTYPE=QTR_STD&amp;window=popup_no_bar&amp;width=385&amp;height=120&amp;START_MAXIMIZED=FALSE&amp;creator=factset&amp;display_string=Audit"}</definedName>
    <definedName name="_1197__FDSAUDITLINK__" hidden="1">{"fdsup://Directions/FactSet Auditing Viewer?action=AUDIT_VALUE&amp;DB=129&amp;ID1=25786710&amp;VALUEID=01001&amp;SDATE=200902&amp;PERIODTYPE=QTR_STD&amp;window=popup_no_bar&amp;width=385&amp;height=120&amp;START_MAXIMIZED=FALSE&amp;creator=factset&amp;display_string=Audit"}</definedName>
    <definedName name="_1198__FDSAUDITLINK__" localSheetId="1" hidden="1">{"fdsup://Directions/FactSet Auditing Viewer?action=AUDIT_VALUE&amp;DB=129&amp;ID1=25786710&amp;VALUEID=01001&amp;SDATE=201002&amp;PERIODTYPE=QTR_STD&amp;window=popup_no_bar&amp;width=385&amp;height=120&amp;START_MAXIMIZED=FALSE&amp;creator=factset&amp;display_string=Audit"}</definedName>
    <definedName name="_1198__FDSAUDITLINK__" hidden="1">{"fdsup://Directions/FactSet Auditing Viewer?action=AUDIT_VALUE&amp;DB=129&amp;ID1=25786710&amp;VALUEID=01001&amp;SDATE=201002&amp;PERIODTYPE=QTR_STD&amp;window=popup_no_bar&amp;width=385&amp;height=120&amp;START_MAXIMIZED=FALSE&amp;creator=factset&amp;display_string=Audit"}</definedName>
    <definedName name="_1199__FDSAUDITLINK__" localSheetId="1" hidden="1">{"fdsup://Directions/FactSet Auditing Viewer?action=AUDIT_VALUE&amp;DB=129&amp;ID1=75281A10&amp;VALUEID=01001&amp;SDATE=200902&amp;PERIODTYPE=QTR_STD&amp;window=popup_no_bar&amp;width=385&amp;height=120&amp;START_MAXIMIZED=FALSE&amp;creator=factset&amp;display_string=Audit"}</definedName>
    <definedName name="_1199__FDSAUDITLINK__" hidden="1">{"fdsup://Directions/FactSet Auditing Viewer?action=AUDIT_VALUE&amp;DB=129&amp;ID1=75281A10&amp;VALUEID=01001&amp;SDATE=200902&amp;PERIODTYPE=QTR_STD&amp;window=popup_no_bar&amp;width=385&amp;height=120&amp;START_MAXIMIZED=FALSE&amp;creator=factset&amp;display_string=Audit"}</definedName>
    <definedName name="_12__FDSAUDITLINK__" localSheetId="1" hidden="1">{"fdsup://directions/FAT Viewer?action=UPDATE&amp;creator=factset&amp;DYN_ARGS=TRUE&amp;DOC_NAME=FAT:FQL_AUDITING_CLIENT_TEMPLATE.FAT&amp;display_string=Audit&amp;VAR:KEY=PUHKZEZKZC&amp;VAR:QUERY=RkZfRUJJVERBX09QRVIoUVRSLDQvMS8yMDEwLDYvMzAvMjAxMCwsLFVTRCk=&amp;WINDOW=FIRST_POPUP&amp;HEIGH","T=450&amp;WIDTH=450&amp;START_MAXIMIZED=FALSE&amp;VAR:CALENDAR=US&amp;VAR:SYMBOL=XRAY&amp;VAR:INDEX=0"}</definedName>
    <definedName name="_12__FDSAUDITLINK__" hidden="1">{"fdsup://Directions/FactSet Auditing Viewer?action=AUDIT_VALUE&amp;DB=129&amp;ID1=45814010&amp;VALUEID=02001&amp;SDATE=2009&amp;PERIODTYPE=ANN_STD&amp;window=popup_no_bar&amp;width=385&amp;height=120&amp;START_MAXIMIZED=FALSE&amp;creator=factset&amp;display_string=Audit"}</definedName>
    <definedName name="_120__FDSAUDITLINK__" localSheetId="1" hidden="1">{"fdsup://directions/FAT Viewer?action=UPDATE&amp;creator=factset&amp;DYN_ARGS=TRUE&amp;DOC_NAME=FAT:FQL_AUDITING_CLIENT_TEMPLATE.FAT&amp;display_string=Audit&amp;VAR:KEY=BMPMZKPGHQ&amp;VAR:QUERY=RkZfRUJJVERBX09QRVIoUVRSLDQvMS8yMDEwLDYvMzAvMjAxMCwsLFVTRCk=&amp;WINDOW=FIRST_POPUP&amp;HEIGH","T=450&amp;WIDTH=450&amp;START_MAXIMIZED=FALSE&amp;VAR:CALENDAR=US&amp;VAR:SYMBOL=TLAB&amp;VAR:INDEX=0"}</definedName>
    <definedName name="_120__FDSAUDITLINK__" hidden="1">{"fdsup://directions/FAT Viewer?action=UPDATE&amp;creator=factset&amp;DYN_ARGS=TRUE&amp;DOC_NAME=FAT:FQL_AUDITING_CLIENT_TEMPLATE.FAT&amp;display_string=Audit&amp;VAR:KEY=BMPMZKPGHQ&amp;VAR:QUERY=RkZfRUJJVERBX09QRVIoUVRSLDQvMS8yMDEwLDYvMzAvMjAxMCwsLFVTRCk=&amp;WINDOW=FIRST_POPUP&amp;HEIGH","T=450&amp;WIDTH=450&amp;START_MAXIMIZED=FALSE&amp;VAR:CALENDAR=US&amp;VAR:SYMBOL=TLAB&amp;VAR:INDEX=0"}</definedName>
    <definedName name="_1200__FDSAUDITLINK__" localSheetId="1" hidden="1">{"fdsup://Directions/FactSet Auditing Viewer?action=AUDIT_VALUE&amp;DB=129&amp;ID1=75281A10&amp;VALUEID=01001&amp;SDATE=201002&amp;PERIODTYPE=QTR_STD&amp;window=popup_no_bar&amp;width=385&amp;height=120&amp;START_MAXIMIZED=FALSE&amp;creator=factset&amp;display_string=Audit"}</definedName>
    <definedName name="_1200__FDSAUDITLINK__" hidden="1">{"fdsup://Directions/FactSet Auditing Viewer?action=AUDIT_VALUE&amp;DB=129&amp;ID1=75281A10&amp;VALUEID=01001&amp;SDATE=201002&amp;PERIODTYPE=QTR_STD&amp;window=popup_no_bar&amp;width=385&amp;height=120&amp;START_MAXIMIZED=FALSE&amp;creator=factset&amp;display_string=Audit"}</definedName>
    <definedName name="_1201__FDSAUDITLINK__" localSheetId="1" hidden="1">{"fdsup://Directions/FactSet Auditing Viewer?action=AUDIT_VALUE&amp;DB=129&amp;ID1=77829610&amp;VALUEID=01001&amp;SDATE=200901&amp;PERIODTYPE=QTR_STD&amp;window=popup_no_bar&amp;width=385&amp;height=120&amp;START_MAXIMIZED=FALSE&amp;creator=factset&amp;display_string=Audit"}</definedName>
    <definedName name="_1201__FDSAUDITLINK__" hidden="1">{"fdsup://Directions/FactSet Auditing Viewer?action=AUDIT_VALUE&amp;DB=129&amp;ID1=77829610&amp;VALUEID=01001&amp;SDATE=200901&amp;PERIODTYPE=QTR_STD&amp;window=popup_no_bar&amp;width=385&amp;height=120&amp;START_MAXIMIZED=FALSE&amp;creator=factset&amp;display_string=Audit"}</definedName>
    <definedName name="_1202__FDSAUDITLINK__" localSheetId="1" hidden="1">{"fdsup://Directions/FactSet Auditing Viewer?action=AUDIT_VALUE&amp;DB=129&amp;ID1=77829610&amp;VALUEID=01001&amp;SDATE=201001&amp;PERIODTYPE=QTR_STD&amp;window=popup_no_bar&amp;width=385&amp;height=120&amp;START_MAXIMIZED=FALSE&amp;creator=factset&amp;display_string=Audit"}</definedName>
    <definedName name="_1202__FDSAUDITLINK__" hidden="1">{"fdsup://Directions/FactSet Auditing Viewer?action=AUDIT_VALUE&amp;DB=129&amp;ID1=77829610&amp;VALUEID=01001&amp;SDATE=201001&amp;PERIODTYPE=QTR_STD&amp;window=popup_no_bar&amp;width=385&amp;height=120&amp;START_MAXIMIZED=FALSE&amp;creator=factset&amp;display_string=Audit"}</definedName>
    <definedName name="_1203__FDSAUDITLINK__" localSheetId="1" hidden="1">{"fdsup://Directions/FactSet Auditing Viewer?action=AUDIT_VALUE&amp;DB=129&amp;ID1=77669610&amp;VALUEID=01001&amp;SDATE=200902&amp;PERIODTYPE=QTR_STD&amp;window=popup_no_bar&amp;width=385&amp;height=120&amp;START_MAXIMIZED=FALSE&amp;creator=factset&amp;display_string=Audit"}</definedName>
    <definedName name="_1203__FDSAUDITLINK__" hidden="1">{"fdsup://Directions/FactSet Auditing Viewer?action=AUDIT_VALUE&amp;DB=129&amp;ID1=77669610&amp;VALUEID=01001&amp;SDATE=200902&amp;PERIODTYPE=QTR_STD&amp;window=popup_no_bar&amp;width=385&amp;height=120&amp;START_MAXIMIZED=FALSE&amp;creator=factset&amp;display_string=Audit"}</definedName>
    <definedName name="_1204__FDSAUDITLINK__" localSheetId="1" hidden="1">{"fdsup://Directions/FactSet Auditing Viewer?action=AUDIT_VALUE&amp;DB=129&amp;ID1=77669610&amp;VALUEID=01001&amp;SDATE=201002&amp;PERIODTYPE=QTR_STD&amp;window=popup_no_bar&amp;width=385&amp;height=120&amp;START_MAXIMIZED=FALSE&amp;creator=factset&amp;display_string=Audit"}</definedName>
    <definedName name="_1204__FDSAUDITLINK__" hidden="1">{"fdsup://Directions/FactSet Auditing Viewer?action=AUDIT_VALUE&amp;DB=129&amp;ID1=77669610&amp;VALUEID=01001&amp;SDATE=201002&amp;PERIODTYPE=QTR_STD&amp;window=popup_no_bar&amp;width=385&amp;height=120&amp;START_MAXIMIZED=FALSE&amp;creator=factset&amp;display_string=Audit"}</definedName>
    <definedName name="_1205__FDSAUDITLINK__" localSheetId="1" hidden="1">{"fdsup://Directions/FactSet Auditing Viewer?action=AUDIT_VALUE&amp;DB=129&amp;ID1=77390310&amp;VALUEID=01001&amp;SDATE=200903&amp;PERIODTYPE=QTR_STD&amp;window=popup_no_bar&amp;width=385&amp;height=120&amp;START_MAXIMIZED=FALSE&amp;creator=factset&amp;display_string=Audit"}</definedName>
    <definedName name="_1205__FDSAUDITLINK__" hidden="1">{"fdsup://Directions/FactSet Auditing Viewer?action=AUDIT_VALUE&amp;DB=129&amp;ID1=77390310&amp;VALUEID=01001&amp;SDATE=200903&amp;PERIODTYPE=QTR_STD&amp;window=popup_no_bar&amp;width=385&amp;height=120&amp;START_MAXIMIZED=FALSE&amp;creator=factset&amp;display_string=Audit"}</definedName>
    <definedName name="_1206__FDSAUDITLINK__" localSheetId="1" hidden="1">{"fdsup://Directions/FactSet Auditing Viewer?action=AUDIT_VALUE&amp;DB=129&amp;ID1=77390310&amp;VALUEID=01001&amp;SDATE=201003&amp;PERIODTYPE=QTR_STD&amp;window=popup_no_bar&amp;width=385&amp;height=120&amp;START_MAXIMIZED=FALSE&amp;creator=factset&amp;display_string=Audit"}</definedName>
    <definedName name="_1206__FDSAUDITLINK__" hidden="1">{"fdsup://Directions/FactSet Auditing Viewer?action=AUDIT_VALUE&amp;DB=129&amp;ID1=77390310&amp;VALUEID=01001&amp;SDATE=201003&amp;PERIODTYPE=QTR_STD&amp;window=popup_no_bar&amp;width=385&amp;height=120&amp;START_MAXIMIZED=FALSE&amp;creator=factset&amp;display_string=Audit"}</definedName>
    <definedName name="_1207__FDSAUDITLINK__" localSheetId="1" hidden="1">{"fdsup://Directions/FactSet Auditing Viewer?action=AUDIT_VALUE&amp;DB=129&amp;ID1=73157210&amp;VALUEID=01001&amp;SDATE=200901&amp;PERIODTYPE=QTR_STD&amp;window=popup_no_bar&amp;width=385&amp;height=120&amp;START_MAXIMIZED=FALSE&amp;creator=factset&amp;display_string=Audit"}</definedName>
    <definedName name="_1207__FDSAUDITLINK__" hidden="1">{"fdsup://Directions/FactSet Auditing Viewer?action=AUDIT_VALUE&amp;DB=129&amp;ID1=73157210&amp;VALUEID=01001&amp;SDATE=200901&amp;PERIODTYPE=QTR_STD&amp;window=popup_no_bar&amp;width=385&amp;height=120&amp;START_MAXIMIZED=FALSE&amp;creator=factset&amp;display_string=Audit"}</definedName>
    <definedName name="_1208__FDSAUDITLINK__" localSheetId="1" hidden="1">{"fdsup://Directions/FactSet Auditing Viewer?action=AUDIT_VALUE&amp;DB=129&amp;ID1=73157210&amp;VALUEID=01001&amp;SDATE=201001&amp;PERIODTYPE=QTR_STD&amp;window=popup_no_bar&amp;width=385&amp;height=120&amp;START_MAXIMIZED=FALSE&amp;creator=factset&amp;display_string=Audit"}</definedName>
    <definedName name="_1208__FDSAUDITLINK__" hidden="1">{"fdsup://Directions/FactSet Auditing Viewer?action=AUDIT_VALUE&amp;DB=129&amp;ID1=73157210&amp;VALUEID=01001&amp;SDATE=201001&amp;PERIODTYPE=QTR_STD&amp;window=popup_no_bar&amp;width=385&amp;height=120&amp;START_MAXIMIZED=FALSE&amp;creator=factset&amp;display_string=Audit"}</definedName>
    <definedName name="_1209__FDSAUDITLINK__" localSheetId="1" hidden="1">{"fdsup://Directions/FactSet Auditing Viewer?action=AUDIT_VALUE&amp;DB=129&amp;ID1=75657710&amp;VALUEID=01001&amp;SDATE=200901&amp;PERIODTYPE=QTR_STD&amp;window=popup_no_bar&amp;width=385&amp;height=120&amp;START_MAXIMIZED=FALSE&amp;creator=factset&amp;display_string=Audit"}</definedName>
    <definedName name="_1209__FDSAUDITLINK__" hidden="1">{"fdsup://Directions/FactSet Auditing Viewer?action=AUDIT_VALUE&amp;DB=129&amp;ID1=75657710&amp;VALUEID=01001&amp;SDATE=200901&amp;PERIODTYPE=QTR_STD&amp;window=popup_no_bar&amp;width=385&amp;height=120&amp;START_MAXIMIZED=FALSE&amp;creator=factset&amp;display_string=Audit"}</definedName>
    <definedName name="_121__FDSAUDITLINK__" localSheetId="1" hidden="1">{"fdsup://directions/FAT Viewer?action=UPDATE&amp;creator=factset&amp;DYN_ARGS=TRUE&amp;DOC_NAME=FAT:FQL_AUDITING_CLIENT_TEMPLATE.FAT&amp;display_string=Audit&amp;VAR:KEY=JWFYBQTANE&amp;VAR:QUERY=RkZfRUJJVERBX09QRVIoUVRSLDQvMS8yMDA5LDYvMzAvMjAwOSwsLFVTRCk=&amp;WINDOW=FIRST_POPUP&amp;HEIGH","T=450&amp;WIDTH=450&amp;START_MAXIMIZED=FALSE&amp;VAR:CALENDAR=US&amp;VAR:SYMBOL=TJX&amp;VAR:INDEX=0"}</definedName>
    <definedName name="_121__FDSAUDITLINK__" hidden="1">{"fdsup://directions/FAT Viewer?action=UPDATE&amp;creator=factset&amp;DYN_ARGS=TRUE&amp;DOC_NAME=FAT:FQL_AUDITING_CLIENT_TEMPLATE.FAT&amp;display_string=Audit&amp;VAR:KEY=JWFYBQTANE&amp;VAR:QUERY=RkZfRUJJVERBX09QRVIoUVRSLDQvMS8yMDA5LDYvMzAvMjAwOSwsLFVTRCk=&amp;WINDOW=FIRST_POPUP&amp;HEIGH","T=450&amp;WIDTH=450&amp;START_MAXIMIZED=FALSE&amp;VAR:CALENDAR=US&amp;VAR:SYMBOL=TJX&amp;VAR:INDEX=0"}</definedName>
    <definedName name="_1210__FDSAUDITLINK__" localSheetId="1" hidden="1">{"fdsup://Directions/FactSet Auditing Viewer?action=AUDIT_VALUE&amp;DB=129&amp;ID1=75657710&amp;VALUEID=01001&amp;SDATE=201001&amp;PERIODTYPE=QTR_STD&amp;window=popup_no_bar&amp;width=385&amp;height=120&amp;START_MAXIMIZED=FALSE&amp;creator=factset&amp;display_string=Audit"}</definedName>
    <definedName name="_1210__FDSAUDITLINK__" hidden="1">{"fdsup://Directions/FactSet Auditing Viewer?action=AUDIT_VALUE&amp;DB=129&amp;ID1=75657710&amp;VALUEID=01001&amp;SDATE=201001&amp;PERIODTYPE=QTR_STD&amp;window=popup_no_bar&amp;width=385&amp;height=120&amp;START_MAXIMIZED=FALSE&amp;creator=factset&amp;display_string=Audit"}</definedName>
    <definedName name="_1211__FDSAUDITLINK__" localSheetId="1" hidden="1">{"fdsup://Directions/FactSet Auditing Viewer?action=AUDIT_VALUE&amp;DB=129&amp;ID1=77032310&amp;VALUEID=01001&amp;SDATE=200902&amp;PERIODTYPE=QTR_STD&amp;window=popup_no_bar&amp;width=385&amp;height=120&amp;START_MAXIMIZED=FALSE&amp;creator=factset&amp;display_string=Audit"}</definedName>
    <definedName name="_1211__FDSAUDITLINK__" hidden="1">{"fdsup://Directions/FactSet Auditing Viewer?action=AUDIT_VALUE&amp;DB=129&amp;ID1=77032310&amp;VALUEID=01001&amp;SDATE=200902&amp;PERIODTYPE=QTR_STD&amp;window=popup_no_bar&amp;width=385&amp;height=120&amp;START_MAXIMIZED=FALSE&amp;creator=factset&amp;display_string=Audit"}</definedName>
    <definedName name="_1212__FDSAUDITLINK__" localSheetId="1" hidden="1">{"fdsup://Directions/FactSet Auditing Viewer?action=AUDIT_VALUE&amp;DB=129&amp;ID1=77032310&amp;VALUEID=01001&amp;SDATE=201002&amp;PERIODTYPE=QTR_STD&amp;window=popup_no_bar&amp;width=385&amp;height=120&amp;START_MAXIMIZED=FALSE&amp;creator=factset&amp;display_string=Audit"}</definedName>
    <definedName name="_1212__FDSAUDITLINK__" hidden="1">{"fdsup://Directions/FactSet Auditing Viewer?action=AUDIT_VALUE&amp;DB=129&amp;ID1=77032310&amp;VALUEID=01001&amp;SDATE=201002&amp;PERIODTYPE=QTR_STD&amp;window=popup_no_bar&amp;width=385&amp;height=120&amp;START_MAXIMIZED=FALSE&amp;creator=factset&amp;display_string=Audit"}</definedName>
    <definedName name="_1213__FDSAUDITLINK__" localSheetId="1" hidden="1">{"fdsup://Directions/FactSet Auditing Viewer?action=AUDIT_VALUE&amp;DB=129&amp;ID1=77938210&amp;VALUEID=01001&amp;SDATE=200902&amp;PERIODTYPE=QTR_STD&amp;window=popup_no_bar&amp;width=385&amp;height=120&amp;START_MAXIMIZED=FALSE&amp;creator=factset&amp;display_string=Audit"}</definedName>
    <definedName name="_1213__FDSAUDITLINK__" hidden="1">{"fdsup://Directions/FactSet Auditing Viewer?action=AUDIT_VALUE&amp;DB=129&amp;ID1=77938210&amp;VALUEID=01001&amp;SDATE=200902&amp;PERIODTYPE=QTR_STD&amp;window=popup_no_bar&amp;width=385&amp;height=120&amp;START_MAXIMIZED=FALSE&amp;creator=factset&amp;display_string=Audit"}</definedName>
    <definedName name="_1214__FDSAUDITLINK__" localSheetId="1" hidden="1">{"fdsup://Directions/FactSet Auditing Viewer?action=AUDIT_VALUE&amp;DB=129&amp;ID1=77938210&amp;VALUEID=01001&amp;SDATE=201002&amp;PERIODTYPE=QTR_STD&amp;window=popup_no_bar&amp;width=385&amp;height=120&amp;START_MAXIMIZED=FALSE&amp;creator=factset&amp;display_string=Audit"}</definedName>
    <definedName name="_1214__FDSAUDITLINK__" hidden="1">{"fdsup://Directions/FactSet Auditing Viewer?action=AUDIT_VALUE&amp;DB=129&amp;ID1=77938210&amp;VALUEID=01001&amp;SDATE=201002&amp;PERIODTYPE=QTR_STD&amp;window=popup_no_bar&amp;width=385&amp;height=120&amp;START_MAXIMIZED=FALSE&amp;creator=factset&amp;display_string=Audit"}</definedName>
    <definedName name="_1215__FDSAUDITLINK__" localSheetId="1" hidden="1">{"fdsup://Directions/FactSet Auditing Viewer?action=AUDIT_VALUE&amp;DB=129&amp;ID1=76171310&amp;VALUEID=01001&amp;SDATE=200902&amp;PERIODTYPE=QTR_STD&amp;window=popup_no_bar&amp;width=385&amp;height=120&amp;START_MAXIMIZED=FALSE&amp;creator=factset&amp;display_string=Audit"}</definedName>
    <definedName name="_1215__FDSAUDITLINK__" hidden="1">{"fdsup://Directions/FactSet Auditing Viewer?action=AUDIT_VALUE&amp;DB=129&amp;ID1=76171310&amp;VALUEID=01001&amp;SDATE=200902&amp;PERIODTYPE=QTR_STD&amp;window=popup_no_bar&amp;width=385&amp;height=120&amp;START_MAXIMIZED=FALSE&amp;creator=factset&amp;display_string=Audit"}</definedName>
    <definedName name="_1216__FDSAUDITLINK__" localSheetId="1" hidden="1">{"fdsup://Directions/FactSet Auditing Viewer?action=AUDIT_VALUE&amp;DB=129&amp;ID1=76171310&amp;VALUEID=01001&amp;SDATE=201002&amp;PERIODTYPE=QTR_STD&amp;window=popup_no_bar&amp;width=385&amp;height=120&amp;START_MAXIMIZED=FALSE&amp;creator=factset&amp;display_string=Audit"}</definedName>
    <definedName name="_1216__FDSAUDITLINK__" hidden="1">{"fdsup://Directions/FactSet Auditing Viewer?action=AUDIT_VALUE&amp;DB=129&amp;ID1=76171310&amp;VALUEID=01001&amp;SDATE=201002&amp;PERIODTYPE=QTR_STD&amp;window=popup_no_bar&amp;width=385&amp;height=120&amp;START_MAXIMIZED=FALSE&amp;creator=factset&amp;display_string=Audit"}</definedName>
    <definedName name="_1217__FDSAUDITLINK__" localSheetId="1" hidden="1">{"fdsup://Directions/FactSet Auditing Viewer?action=AUDIT_VALUE&amp;DB=129&amp;ID1=78354910&amp;VALUEID=01001&amp;SDATE=200902&amp;PERIODTYPE=QTR_STD&amp;window=popup_no_bar&amp;width=385&amp;height=120&amp;START_MAXIMIZED=FALSE&amp;creator=factset&amp;display_string=Audit"}</definedName>
    <definedName name="_1217__FDSAUDITLINK__" hidden="1">{"fdsup://Directions/FactSet Auditing Viewer?action=AUDIT_VALUE&amp;DB=129&amp;ID1=78354910&amp;VALUEID=01001&amp;SDATE=200902&amp;PERIODTYPE=QTR_STD&amp;window=popup_no_bar&amp;width=385&amp;height=120&amp;START_MAXIMIZED=FALSE&amp;creator=factset&amp;display_string=Audit"}</definedName>
    <definedName name="_1218__FDSAUDITLINK__" localSheetId="1" hidden="1">{"fdsup://Directions/FactSet Auditing Viewer?action=AUDIT_VALUE&amp;DB=129&amp;ID1=78354910&amp;VALUEID=01001&amp;SDATE=201002&amp;PERIODTYPE=QTR_STD&amp;window=popup_no_bar&amp;width=385&amp;height=120&amp;START_MAXIMIZED=FALSE&amp;creator=factset&amp;display_string=Audit"}</definedName>
    <definedName name="_1218__FDSAUDITLINK__" hidden="1">{"fdsup://Directions/FactSet Auditing Viewer?action=AUDIT_VALUE&amp;DB=129&amp;ID1=78354910&amp;VALUEID=01001&amp;SDATE=201002&amp;PERIODTYPE=QTR_STD&amp;window=popup_no_bar&amp;width=385&amp;height=120&amp;START_MAXIMIZED=FALSE&amp;creator=factset&amp;display_string=Audit"}</definedName>
    <definedName name="_1219__FDSAUDITLINK__" localSheetId="1" hidden="1">{"fdsup://Directions/FactSet Auditing Viewer?action=AUDIT_VALUE&amp;DB=129&amp;ID1=74727710&amp;VALUEID=01001&amp;SDATE=200901&amp;PERIODTYPE=QTR_STD&amp;window=popup_no_bar&amp;width=385&amp;height=120&amp;START_MAXIMIZED=FALSE&amp;creator=factset&amp;display_string=Audit"}</definedName>
    <definedName name="_1219__FDSAUDITLINK__" hidden="1">{"fdsup://Directions/FactSet Auditing Viewer?action=AUDIT_VALUE&amp;DB=129&amp;ID1=74727710&amp;VALUEID=01001&amp;SDATE=200901&amp;PERIODTYPE=QTR_STD&amp;window=popup_no_bar&amp;width=385&amp;height=120&amp;START_MAXIMIZED=FALSE&amp;creator=factset&amp;display_string=Audit"}</definedName>
    <definedName name="_122__FDSAUDITLINK__" localSheetId="1" hidden="1">{"fdsup://directions/FAT Viewer?action=UPDATE&amp;creator=factset&amp;DYN_ARGS=TRUE&amp;DOC_NAME=FAT:FQL_AUDITING_CLIENT_TEMPLATE.FAT&amp;display_string=Audit&amp;VAR:KEY=VGXQFCRYZS&amp;VAR:QUERY=RkZfRUJJVERBX09QRVIoUVRSLDQvMS8yMDEwLDYvMzAvMjAxMCwsLFVTRCk=&amp;WINDOW=FIRST_POPUP&amp;HEIGH","T=450&amp;WIDTH=450&amp;START_MAXIMIZED=FALSE&amp;VAR:CALENDAR=US&amp;VAR:SYMBOL=TJX&amp;VAR:INDEX=0"}</definedName>
    <definedName name="_122__FDSAUDITLINK__" hidden="1">{"fdsup://directions/FAT Viewer?action=UPDATE&amp;creator=factset&amp;DYN_ARGS=TRUE&amp;DOC_NAME=FAT:FQL_AUDITING_CLIENT_TEMPLATE.FAT&amp;display_string=Audit&amp;VAR:KEY=VGXQFCRYZS&amp;VAR:QUERY=RkZfRUJJVERBX09QRVIoUVRSLDQvMS8yMDEwLDYvMzAvMjAxMCwsLFVTRCk=&amp;WINDOW=FIRST_POPUP&amp;HEIGH","T=450&amp;WIDTH=450&amp;START_MAXIMIZED=FALSE&amp;VAR:CALENDAR=US&amp;VAR:SYMBOL=TJX&amp;VAR:INDEX=0"}</definedName>
    <definedName name="_1220__FDSAUDITLINK__" localSheetId="1" hidden="1">{"fdsup://Directions/FactSet Auditing Viewer?action=AUDIT_VALUE&amp;DB=129&amp;ID1=74727710&amp;VALUEID=01001&amp;SDATE=201001&amp;PERIODTYPE=QTR_STD&amp;window=popup_no_bar&amp;width=385&amp;height=120&amp;START_MAXIMIZED=FALSE&amp;creator=factset&amp;display_string=Audit"}</definedName>
    <definedName name="_1220__FDSAUDITLINK__" hidden="1">{"fdsup://Directions/FactSet Auditing Viewer?action=AUDIT_VALUE&amp;DB=129&amp;ID1=74727710&amp;VALUEID=01001&amp;SDATE=201001&amp;PERIODTYPE=QTR_STD&amp;window=popup_no_bar&amp;width=385&amp;height=120&amp;START_MAXIMIZED=FALSE&amp;creator=factset&amp;display_string=Audit"}</definedName>
    <definedName name="_1221__FDSAUDITLINK__" localSheetId="1" hidden="1">{"fdsup://Directions/FactSet Auditing Viewer?action=AUDIT_VALUE&amp;DB=129&amp;ID1=74733V10&amp;VALUEID=01001&amp;SDATE=200902&amp;PERIODTYPE=QTR_STD&amp;window=popup_no_bar&amp;width=385&amp;height=120&amp;START_MAXIMIZED=FALSE&amp;creator=factset&amp;display_string=Audit"}</definedName>
    <definedName name="_1221__FDSAUDITLINK__" hidden="1">{"fdsup://Directions/FactSet Auditing Viewer?action=AUDIT_VALUE&amp;DB=129&amp;ID1=74733V10&amp;VALUEID=01001&amp;SDATE=200902&amp;PERIODTYPE=QTR_STD&amp;window=popup_no_bar&amp;width=385&amp;height=120&amp;START_MAXIMIZED=FALSE&amp;creator=factset&amp;display_string=Audit"}</definedName>
    <definedName name="_1222__FDSAUDITLINK__" localSheetId="1" hidden="1">{"fdsup://Directions/FactSet Auditing Viewer?action=AUDIT_VALUE&amp;DB=129&amp;ID1=74733V10&amp;VALUEID=01001&amp;SDATE=201002&amp;PERIODTYPE=QTR_STD&amp;window=popup_no_bar&amp;width=385&amp;height=120&amp;START_MAXIMIZED=FALSE&amp;creator=factset&amp;display_string=Audit"}</definedName>
    <definedName name="_1222__FDSAUDITLINK__" hidden="1">{"fdsup://Directions/FactSet Auditing Viewer?action=AUDIT_VALUE&amp;DB=129&amp;ID1=74733V10&amp;VALUEID=01001&amp;SDATE=201002&amp;PERIODTYPE=QTR_STD&amp;window=popup_no_bar&amp;width=385&amp;height=120&amp;START_MAXIMIZED=FALSE&amp;creator=factset&amp;display_string=Audit"}</definedName>
    <definedName name="_1223__FDSAUDITLINK__" localSheetId="1" hidden="1">{"fdsup://Directions/FactSet Auditing Viewer?action=AUDIT_VALUE&amp;DB=129&amp;ID1=74752510&amp;VALUEID=01001&amp;SDATE=200903&amp;PERIODTYPE=QTR_STD&amp;window=popup_no_bar&amp;width=385&amp;height=120&amp;START_MAXIMIZED=FALSE&amp;creator=factset&amp;display_string=Audit"}</definedName>
    <definedName name="_1223__FDSAUDITLINK__" hidden="1">{"fdsup://Directions/FactSet Auditing Viewer?action=AUDIT_VALUE&amp;DB=129&amp;ID1=74752510&amp;VALUEID=01001&amp;SDATE=200903&amp;PERIODTYPE=QTR_STD&amp;window=popup_no_bar&amp;width=385&amp;height=120&amp;START_MAXIMIZED=FALSE&amp;creator=factset&amp;display_string=Audit"}</definedName>
    <definedName name="_1224__FDSAUDITLINK__" localSheetId="1" hidden="1">{"fdsup://Directions/FactSet Auditing Viewer?action=AUDIT_VALUE&amp;DB=129&amp;ID1=74752510&amp;VALUEID=01001&amp;SDATE=201003&amp;PERIODTYPE=QTR_STD&amp;window=popup_no_bar&amp;width=385&amp;height=120&amp;START_MAXIMIZED=FALSE&amp;creator=factset&amp;display_string=Audit"}</definedName>
    <definedName name="_1224__FDSAUDITLINK__" hidden="1">{"fdsup://Directions/FactSet Auditing Viewer?action=AUDIT_VALUE&amp;DB=129&amp;ID1=74752510&amp;VALUEID=01001&amp;SDATE=201003&amp;PERIODTYPE=QTR_STD&amp;window=popup_no_bar&amp;width=385&amp;height=120&amp;START_MAXIMIZED=FALSE&amp;creator=factset&amp;display_string=Audit"}</definedName>
    <definedName name="_1225__FDSAUDITLINK__" localSheetId="1" hidden="1">{"fdsup://Directions/FactSet Auditing Viewer?action=AUDIT_VALUE&amp;DB=129&amp;ID1=74912110&amp;VALUEID=01001&amp;SDATE=200902&amp;PERIODTYPE=QTR_STD&amp;window=popup_no_bar&amp;width=385&amp;height=120&amp;START_MAXIMIZED=FALSE&amp;creator=factset&amp;display_string=Audit"}</definedName>
    <definedName name="_1225__FDSAUDITLINK__" hidden="1">{"fdsup://Directions/FactSet Auditing Viewer?action=AUDIT_VALUE&amp;DB=129&amp;ID1=74912110&amp;VALUEID=01001&amp;SDATE=200902&amp;PERIODTYPE=QTR_STD&amp;window=popup_no_bar&amp;width=385&amp;height=120&amp;START_MAXIMIZED=FALSE&amp;creator=factset&amp;display_string=Audit"}</definedName>
    <definedName name="_1226__FDSAUDITLINK__" localSheetId="1" hidden="1">{"fdsup://Directions/FactSet Auditing Viewer?action=AUDIT_VALUE&amp;DB=129&amp;ID1=74912110&amp;VALUEID=01001&amp;SDATE=201002&amp;PERIODTYPE=QTR_STD&amp;window=popup_no_bar&amp;width=385&amp;height=120&amp;START_MAXIMIZED=FALSE&amp;creator=factset&amp;display_string=Audit"}</definedName>
    <definedName name="_1226__FDSAUDITLINK__" hidden="1">{"fdsup://Directions/FactSet Auditing Viewer?action=AUDIT_VALUE&amp;DB=129&amp;ID1=74912110&amp;VALUEID=01001&amp;SDATE=201002&amp;PERIODTYPE=QTR_STD&amp;window=popup_no_bar&amp;width=385&amp;height=120&amp;START_MAXIMIZED=FALSE&amp;creator=factset&amp;display_string=Audit"}</definedName>
    <definedName name="_1227__FDSAUDITLINK__" localSheetId="1" hidden="1">{"fdsup://Directions/FactSet Auditing Viewer?action=AUDIT_VALUE&amp;DB=129&amp;ID1=72378710&amp;VALUEID=01001&amp;SDATE=200902&amp;PERIODTYPE=QTR_STD&amp;window=popup_no_bar&amp;width=385&amp;height=120&amp;START_MAXIMIZED=FALSE&amp;creator=factset&amp;display_string=Audit"}</definedName>
    <definedName name="_1227__FDSAUDITLINK__" hidden="1">{"fdsup://Directions/FactSet Auditing Viewer?action=AUDIT_VALUE&amp;DB=129&amp;ID1=72378710&amp;VALUEID=01001&amp;SDATE=200902&amp;PERIODTYPE=QTR_STD&amp;window=popup_no_bar&amp;width=385&amp;height=120&amp;START_MAXIMIZED=FALSE&amp;creator=factset&amp;display_string=Audit"}</definedName>
    <definedName name="_1228__FDSAUDITLINK__" localSheetId="1" hidden="1">{"fdsup://Directions/FactSet Auditing Viewer?action=AUDIT_VALUE&amp;DB=129&amp;ID1=72378710&amp;VALUEID=01001&amp;SDATE=201002&amp;PERIODTYPE=QTR_STD&amp;window=popup_no_bar&amp;width=385&amp;height=120&amp;START_MAXIMIZED=FALSE&amp;creator=factset&amp;display_string=Audit"}</definedName>
    <definedName name="_1228__FDSAUDITLINK__" hidden="1">{"fdsup://Directions/FactSet Auditing Viewer?action=AUDIT_VALUE&amp;DB=129&amp;ID1=72378710&amp;VALUEID=01001&amp;SDATE=201002&amp;PERIODTYPE=QTR_STD&amp;window=popup_no_bar&amp;width=385&amp;height=120&amp;START_MAXIMIZED=FALSE&amp;creator=factset&amp;display_string=Audit"}</definedName>
    <definedName name="_1229__FDSAUDITLINK__" localSheetId="1" hidden="1">{"fdsup://Directions/FactSet Auditing Viewer?action=AUDIT_VALUE&amp;DB=129&amp;ID1=74005P10&amp;VALUEID=01001&amp;SDATE=200902&amp;PERIODTYPE=QTR_STD&amp;window=popup_no_bar&amp;width=385&amp;height=120&amp;START_MAXIMIZED=FALSE&amp;creator=factset&amp;display_string=Audit"}</definedName>
    <definedName name="_1229__FDSAUDITLINK__" hidden="1">{"fdsup://Directions/FactSet Auditing Viewer?action=AUDIT_VALUE&amp;DB=129&amp;ID1=74005P10&amp;VALUEID=01001&amp;SDATE=200902&amp;PERIODTYPE=QTR_STD&amp;window=popup_no_bar&amp;width=385&amp;height=120&amp;START_MAXIMIZED=FALSE&amp;creator=factset&amp;display_string=Audit"}</definedName>
    <definedName name="_123__FDSAUDITLINK__" localSheetId="1" hidden="1">{"fdsup://directions/FAT Viewer?action=UPDATE&amp;creator=factset&amp;DYN_ARGS=TRUE&amp;DOC_NAME=FAT:FQL_AUDITING_CLIENT_TEMPLATE.FAT&amp;display_string=Audit&amp;VAR:KEY=HURAZUZURW&amp;VAR:QUERY=RkZfRUJJVERBX09QRVIoUVRSLDQvMS8yMDA5LDYvMzAvMjAwOSwsLFVTRCk=&amp;WINDOW=FIRST_POPUP&amp;HEIGH","T=450&amp;WIDTH=450&amp;START_MAXIMIZED=FALSE&amp;VAR:CALENDAR=US&amp;VAR:SYMBOL=TIF&amp;VAR:INDEX=0"}</definedName>
    <definedName name="_123__FDSAUDITLINK__" hidden="1">{"fdsup://directions/FAT Viewer?action=UPDATE&amp;creator=factset&amp;DYN_ARGS=TRUE&amp;DOC_NAME=FAT:FQL_AUDITING_CLIENT_TEMPLATE.FAT&amp;display_string=Audit&amp;VAR:KEY=HURAZUZURW&amp;VAR:QUERY=RkZfRUJJVERBX09QRVIoUVRSLDQvMS8yMDA5LDYvMzAvMjAwOSwsLFVTRCk=&amp;WINDOW=FIRST_POPUP&amp;HEIGH","T=450&amp;WIDTH=450&amp;START_MAXIMIZED=FALSE&amp;VAR:CALENDAR=US&amp;VAR:SYMBOL=TIF&amp;VAR:INDEX=0"}</definedName>
    <definedName name="_1230__FDSAUDITLINK__" localSheetId="1" hidden="1">{"fdsup://Directions/FactSet Auditing Viewer?action=AUDIT_VALUE&amp;DB=129&amp;ID1=74005P10&amp;VALUEID=01001&amp;SDATE=201002&amp;PERIODTYPE=QTR_STD&amp;window=popup_no_bar&amp;width=385&amp;height=120&amp;START_MAXIMIZED=FALSE&amp;creator=factset&amp;display_string=Audit"}</definedName>
    <definedName name="_1230__FDSAUDITLINK__" hidden="1">{"fdsup://Directions/FactSet Auditing Viewer?action=AUDIT_VALUE&amp;DB=129&amp;ID1=74005P10&amp;VALUEID=01001&amp;SDATE=201002&amp;PERIODTYPE=QTR_STD&amp;window=popup_no_bar&amp;width=385&amp;height=120&amp;START_MAXIMIZED=FALSE&amp;creator=factset&amp;display_string=Audit"}</definedName>
    <definedName name="_1231__FDSAUDITLINK__" localSheetId="1" hidden="1">{"fdsup://Directions/FactSet Auditing Viewer?action=AUDIT_VALUE&amp;DB=129&amp;ID1=74762E10&amp;VALUEID=01001&amp;SDATE=200902&amp;PERIODTYPE=QTR_STD&amp;window=popup_no_bar&amp;width=385&amp;height=120&amp;START_MAXIMIZED=FALSE&amp;creator=factset&amp;display_string=Audit"}</definedName>
    <definedName name="_1231__FDSAUDITLINK__" hidden="1">{"fdsup://Directions/FactSet Auditing Viewer?action=AUDIT_VALUE&amp;DB=129&amp;ID1=74762E10&amp;VALUEID=01001&amp;SDATE=200902&amp;PERIODTYPE=QTR_STD&amp;window=popup_no_bar&amp;width=385&amp;height=120&amp;START_MAXIMIZED=FALSE&amp;creator=factset&amp;display_string=Audit"}</definedName>
    <definedName name="_1232__FDSAUDITLINK__" localSheetId="1" hidden="1">{"fdsup://Directions/FactSet Auditing Viewer?action=AUDIT_VALUE&amp;DB=129&amp;ID1=74762E10&amp;VALUEID=01001&amp;SDATE=201002&amp;PERIODTYPE=QTR_STD&amp;window=popup_no_bar&amp;width=385&amp;height=120&amp;START_MAXIMIZED=FALSE&amp;creator=factset&amp;display_string=Audit"}</definedName>
    <definedName name="_1232__FDSAUDITLINK__" hidden="1">{"fdsup://Directions/FactSet Auditing Viewer?action=AUDIT_VALUE&amp;DB=129&amp;ID1=74762E10&amp;VALUEID=01001&amp;SDATE=201002&amp;PERIODTYPE=QTR_STD&amp;window=popup_no_bar&amp;width=385&amp;height=120&amp;START_MAXIMIZED=FALSE&amp;creator=factset&amp;display_string=Audit"}</definedName>
    <definedName name="_1233__FDSAUDITLINK__" localSheetId="1" hidden="1">{"fdsup://Directions/FactSet Auditing Viewer?action=AUDIT_VALUE&amp;DB=129&amp;ID1=69525710&amp;VALUEID=01001&amp;SDATE=200902&amp;PERIODTYPE=QTR_STD&amp;window=popup_no_bar&amp;width=385&amp;height=120&amp;START_MAXIMIZED=FALSE&amp;creator=factset&amp;display_string=Audit"}</definedName>
    <definedName name="_1233__FDSAUDITLINK__" hidden="1">{"fdsup://Directions/FactSet Auditing Viewer?action=AUDIT_VALUE&amp;DB=129&amp;ID1=69525710&amp;VALUEID=01001&amp;SDATE=200902&amp;PERIODTYPE=QTR_STD&amp;window=popup_no_bar&amp;width=385&amp;height=120&amp;START_MAXIMIZED=FALSE&amp;creator=factset&amp;display_string=Audit"}</definedName>
    <definedName name="_1234__FDSAUDITLINK__" localSheetId="1" hidden="1">{"fdsup://Directions/FactSet Auditing Viewer?action=AUDIT_VALUE&amp;DB=129&amp;ID1=69525710&amp;VALUEID=01001&amp;SDATE=201002&amp;PERIODTYPE=QTR_STD&amp;window=popup_no_bar&amp;width=385&amp;height=120&amp;START_MAXIMIZED=FALSE&amp;creator=factset&amp;display_string=Audit"}</definedName>
    <definedName name="_1234__FDSAUDITLINK__" hidden="1">{"fdsup://Directions/FactSet Auditing Viewer?action=AUDIT_VALUE&amp;DB=129&amp;ID1=69525710&amp;VALUEID=01001&amp;SDATE=201002&amp;PERIODTYPE=QTR_STD&amp;window=popup_no_bar&amp;width=385&amp;height=120&amp;START_MAXIMIZED=FALSE&amp;creator=factset&amp;display_string=Audit"}</definedName>
    <definedName name="_1235__FDSAUDITLINK__" localSheetId="1" hidden="1">{"fdsup://Directions/FactSet Auditing Viewer?action=AUDIT_VALUE&amp;DB=129&amp;ID1=74460D10&amp;VALUEID=01001&amp;SDATE=201002&amp;PERIODTYPE=QTR_STD&amp;window=popup_no_bar&amp;width=385&amp;height=120&amp;START_MAXIMIZED=FALSE&amp;creator=factset&amp;display_string=Audit"}</definedName>
    <definedName name="_1235__FDSAUDITLINK__" hidden="1">{"fdsup://Directions/FactSet Auditing Viewer?action=AUDIT_VALUE&amp;DB=129&amp;ID1=74460D10&amp;VALUEID=01001&amp;SDATE=201002&amp;PERIODTYPE=QTR_STD&amp;window=popup_no_bar&amp;width=385&amp;height=120&amp;START_MAXIMIZED=FALSE&amp;creator=factset&amp;display_string=Audit"}</definedName>
    <definedName name="_1236__FDSAUDITLINK__" localSheetId="1" hidden="1">{"fdsup://Directions/FactSet Auditing Viewer?action=AUDIT_VALUE&amp;DB=129&amp;ID1=74432010&amp;VALUEID=01001&amp;SDATE=200902&amp;PERIODTYPE=QTR_STD&amp;window=popup_no_bar&amp;width=385&amp;height=120&amp;START_MAXIMIZED=FALSE&amp;creator=factset&amp;display_string=Audit"}</definedName>
    <definedName name="_1236__FDSAUDITLINK__" hidden="1">{"fdsup://Directions/FactSet Auditing Viewer?action=AUDIT_VALUE&amp;DB=129&amp;ID1=74432010&amp;VALUEID=01001&amp;SDATE=200902&amp;PERIODTYPE=QTR_STD&amp;window=popup_no_bar&amp;width=385&amp;height=120&amp;START_MAXIMIZED=FALSE&amp;creator=factset&amp;display_string=Audit"}</definedName>
    <definedName name="_1237__FDSAUDITLINK__" localSheetId="1" hidden="1">{"fdsup://Directions/FactSet Auditing Viewer?action=AUDIT_VALUE&amp;DB=129&amp;ID1=74432010&amp;VALUEID=01001&amp;SDATE=201002&amp;PERIODTYPE=QTR_STD&amp;window=popup_no_bar&amp;width=385&amp;height=120&amp;START_MAXIMIZED=FALSE&amp;creator=factset&amp;display_string=Audit"}</definedName>
    <definedName name="_1237__FDSAUDITLINK__" hidden="1">{"fdsup://Directions/FactSet Auditing Viewer?action=AUDIT_VALUE&amp;DB=129&amp;ID1=74432010&amp;VALUEID=01001&amp;SDATE=201002&amp;PERIODTYPE=QTR_STD&amp;window=popup_no_bar&amp;width=385&amp;height=120&amp;START_MAXIMIZED=FALSE&amp;creator=factset&amp;display_string=Audit"}</definedName>
    <definedName name="_1238__FDSAUDITLINK__" localSheetId="1" hidden="1">{"fdsup://Directions/FactSet Auditing Viewer?action=AUDIT_VALUE&amp;DB=129&amp;ID1=69351T10&amp;VALUEID=01001&amp;SDATE=200902&amp;PERIODTYPE=QTR_STD&amp;window=popup_no_bar&amp;width=385&amp;height=120&amp;START_MAXIMIZED=FALSE&amp;creator=factset&amp;display_string=Audit"}</definedName>
    <definedName name="_1238__FDSAUDITLINK__" hidden="1">{"fdsup://Directions/FactSet Auditing Viewer?action=AUDIT_VALUE&amp;DB=129&amp;ID1=69351T10&amp;VALUEID=01001&amp;SDATE=200902&amp;PERIODTYPE=QTR_STD&amp;window=popup_no_bar&amp;width=385&amp;height=120&amp;START_MAXIMIZED=FALSE&amp;creator=factset&amp;display_string=Audit"}</definedName>
    <definedName name="_1239__FDSAUDITLINK__" localSheetId="1" hidden="1">{"fdsup://Directions/FactSet Auditing Viewer?action=AUDIT_VALUE&amp;DB=129&amp;ID1=69351T10&amp;VALUEID=01001&amp;SDATE=201002&amp;PERIODTYPE=QTR_STD&amp;window=popup_no_bar&amp;width=385&amp;height=120&amp;START_MAXIMIZED=FALSE&amp;creator=factset&amp;display_string=Audit"}</definedName>
    <definedName name="_1239__FDSAUDITLINK__" hidden="1">{"fdsup://Directions/FactSet Auditing Viewer?action=AUDIT_VALUE&amp;DB=129&amp;ID1=69351T10&amp;VALUEID=01001&amp;SDATE=201002&amp;PERIODTYPE=QTR_STD&amp;window=popup_no_bar&amp;width=385&amp;height=120&amp;START_MAXIMIZED=FALSE&amp;creator=factset&amp;display_string=Audit"}</definedName>
    <definedName name="_124__FDSAUDITLINK__" localSheetId="1" hidden="1">{"fdsup://directions/FAT Viewer?action=UPDATE&amp;creator=factset&amp;DYN_ARGS=TRUE&amp;DOC_NAME=FAT:FQL_AUDITING_CLIENT_TEMPLATE.FAT&amp;display_string=Audit&amp;VAR:KEY=TYDCNKZMLE&amp;VAR:QUERY=RkZfRUJJVERBX09QRVIoUVRSLDQvMS8yMDEwLDYvMzAvMjAxMCwsLFVTRCk=&amp;WINDOW=FIRST_POPUP&amp;HEIGH","T=450&amp;WIDTH=450&amp;START_MAXIMIZED=FALSE&amp;VAR:CALENDAR=US&amp;VAR:SYMBOL=TIF&amp;VAR:INDEX=0"}</definedName>
    <definedName name="_124__FDSAUDITLINK__" hidden="1">{"fdsup://directions/FAT Viewer?action=UPDATE&amp;creator=factset&amp;DYN_ARGS=TRUE&amp;DOC_NAME=FAT:FQL_AUDITING_CLIENT_TEMPLATE.FAT&amp;display_string=Audit&amp;VAR:KEY=TYDCNKZMLE&amp;VAR:QUERY=RkZfRUJJVERBX09QRVIoUVRSLDQvMS8yMDEwLDYvMzAvMjAxMCwsLFVTRCk=&amp;WINDOW=FIRST_POPUP&amp;HEIGH","T=450&amp;WIDTH=450&amp;START_MAXIMIZED=FALSE&amp;VAR:CALENDAR=US&amp;VAR:SYMBOL=TIF&amp;VAR:INDEX=0"}</definedName>
    <definedName name="_1240__FDSAUDITLINK__" localSheetId="1" hidden="1">{"fdsup://Directions/FactSet Auditing Viewer?action=AUDIT_VALUE&amp;DB=129&amp;ID1=69350610&amp;VALUEID=01001&amp;SDATE=200902&amp;PERIODTYPE=QTR_STD&amp;window=popup_no_bar&amp;width=385&amp;height=120&amp;START_MAXIMIZED=FALSE&amp;creator=factset&amp;display_string=Audit"}</definedName>
    <definedName name="_1240__FDSAUDITLINK__" hidden="1">{"fdsup://Directions/FactSet Auditing Viewer?action=AUDIT_VALUE&amp;DB=129&amp;ID1=69350610&amp;VALUEID=01001&amp;SDATE=200902&amp;PERIODTYPE=QTR_STD&amp;window=popup_no_bar&amp;width=385&amp;height=120&amp;START_MAXIMIZED=FALSE&amp;creator=factset&amp;display_string=Audit"}</definedName>
    <definedName name="_1241__FDSAUDITLINK__" localSheetId="1" hidden="1">{"fdsup://Directions/FactSet Auditing Viewer?action=AUDIT_VALUE&amp;DB=129&amp;ID1=69350610&amp;VALUEID=01001&amp;SDATE=201002&amp;PERIODTYPE=QTR_STD&amp;window=popup_no_bar&amp;width=385&amp;height=120&amp;START_MAXIMIZED=FALSE&amp;creator=factset&amp;display_string=Audit"}</definedName>
    <definedName name="_1241__FDSAUDITLINK__" hidden="1">{"fdsup://Directions/FactSet Auditing Viewer?action=AUDIT_VALUE&amp;DB=129&amp;ID1=69350610&amp;VALUEID=01001&amp;SDATE=201002&amp;PERIODTYPE=QTR_STD&amp;window=popup_no_bar&amp;width=385&amp;height=120&amp;START_MAXIMIZED=FALSE&amp;creator=factset&amp;display_string=Audit"}</definedName>
    <definedName name="_1242__FDSAUDITLINK__" localSheetId="1" hidden="1">{"fdsup://Directions/FactSet Auditing Viewer?action=AUDIT_VALUE&amp;DB=129&amp;ID1=71329110&amp;VALUEID=01001&amp;SDATE=200902&amp;PERIODTYPE=QTR_STD&amp;window=popup_no_bar&amp;width=385&amp;height=120&amp;START_MAXIMIZED=FALSE&amp;creator=factset&amp;display_string=Audit"}</definedName>
    <definedName name="_1242__FDSAUDITLINK__" hidden="1">{"fdsup://Directions/FactSet Auditing Viewer?action=AUDIT_VALUE&amp;DB=129&amp;ID1=71329110&amp;VALUEID=01001&amp;SDATE=200902&amp;PERIODTYPE=QTR_STD&amp;window=popup_no_bar&amp;width=385&amp;height=120&amp;START_MAXIMIZED=FALSE&amp;creator=factset&amp;display_string=Audit"}</definedName>
    <definedName name="_1243__FDSAUDITLINK__" localSheetId="1" hidden="1">{"fdsup://Directions/FactSet Auditing Viewer?action=AUDIT_VALUE&amp;DB=129&amp;ID1=71329110&amp;VALUEID=01001&amp;SDATE=201002&amp;PERIODTYPE=QTR_STD&amp;window=popup_no_bar&amp;width=385&amp;height=120&amp;START_MAXIMIZED=FALSE&amp;creator=factset&amp;display_string=Audit"}</definedName>
    <definedName name="_1243__FDSAUDITLINK__" hidden="1">{"fdsup://Directions/FactSet Auditing Viewer?action=AUDIT_VALUE&amp;DB=129&amp;ID1=71329110&amp;VALUEID=01001&amp;SDATE=201002&amp;PERIODTYPE=QTR_STD&amp;window=popup_no_bar&amp;width=385&amp;height=120&amp;START_MAXIMIZED=FALSE&amp;creator=factset&amp;display_string=Audit"}</definedName>
    <definedName name="_1244__FDSAUDITLINK__" localSheetId="1" hidden="1">{"fdsup://Directions/FactSet Auditing Viewer?action=AUDIT_VALUE&amp;DB=129&amp;ID1=72348410&amp;VALUEID=01001&amp;SDATE=200902&amp;PERIODTYPE=QTR_STD&amp;window=popup_no_bar&amp;width=385&amp;height=120&amp;START_MAXIMIZED=FALSE&amp;creator=factset&amp;display_string=Audit"}</definedName>
    <definedName name="_1244__FDSAUDITLINK__" hidden="1">{"fdsup://Directions/FactSet Auditing Viewer?action=AUDIT_VALUE&amp;DB=129&amp;ID1=72348410&amp;VALUEID=01001&amp;SDATE=200902&amp;PERIODTYPE=QTR_STD&amp;window=popup_no_bar&amp;width=385&amp;height=120&amp;START_MAXIMIZED=FALSE&amp;creator=factset&amp;display_string=Audit"}</definedName>
    <definedName name="_1245__FDSAUDITLINK__" localSheetId="1" hidden="1">{"fdsup://Directions/FactSet Auditing Viewer?action=AUDIT_VALUE&amp;DB=129&amp;ID1=72348410&amp;VALUEID=01001&amp;SDATE=201002&amp;PERIODTYPE=QTR_STD&amp;window=popup_no_bar&amp;width=385&amp;height=120&amp;START_MAXIMIZED=FALSE&amp;creator=factset&amp;display_string=Audit"}</definedName>
    <definedName name="_1245__FDSAUDITLINK__" hidden="1">{"fdsup://Directions/FactSet Auditing Viewer?action=AUDIT_VALUE&amp;DB=129&amp;ID1=72348410&amp;VALUEID=01001&amp;SDATE=201002&amp;PERIODTYPE=QTR_STD&amp;window=popup_no_bar&amp;width=385&amp;height=120&amp;START_MAXIMIZED=FALSE&amp;creator=factset&amp;display_string=Audit"}</definedName>
    <definedName name="_1246__FDSAUDITLINK__" localSheetId="1" hidden="1">{"fdsup://Directions/FactSet Auditing Viewer?action=AUDIT_VALUE&amp;DB=129&amp;ID1=71817210&amp;VALUEID=01001&amp;SDATE=200902&amp;PERIODTYPE=QTR_STD&amp;window=popup_no_bar&amp;width=385&amp;height=120&amp;START_MAXIMIZED=FALSE&amp;creator=factset&amp;display_string=Audit"}</definedName>
    <definedName name="_1246__FDSAUDITLINK__" hidden="1">{"fdsup://Directions/FactSet Auditing Viewer?action=AUDIT_VALUE&amp;DB=129&amp;ID1=71817210&amp;VALUEID=01001&amp;SDATE=200902&amp;PERIODTYPE=QTR_STD&amp;window=popup_no_bar&amp;width=385&amp;height=120&amp;START_MAXIMIZED=FALSE&amp;creator=factset&amp;display_string=Audit"}</definedName>
    <definedName name="_1247__FDSAUDITLINK__" localSheetId="1" hidden="1">{"fdsup://Directions/FactSet Auditing Viewer?action=AUDIT_VALUE&amp;DB=129&amp;ID1=71817210&amp;VALUEID=01001&amp;SDATE=201002&amp;PERIODTYPE=QTR_STD&amp;window=popup_no_bar&amp;width=385&amp;height=120&amp;START_MAXIMIZED=FALSE&amp;creator=factset&amp;display_string=Audit"}</definedName>
    <definedName name="_1247__FDSAUDITLINK__" hidden="1">{"fdsup://Directions/FactSet Auditing Viewer?action=AUDIT_VALUE&amp;DB=129&amp;ID1=71817210&amp;VALUEID=01001&amp;SDATE=201002&amp;PERIODTYPE=QTR_STD&amp;window=popup_no_bar&amp;width=385&amp;height=120&amp;START_MAXIMIZED=FALSE&amp;creator=factset&amp;display_string=Audit"}</definedName>
    <definedName name="_1248__FDSAUDITLINK__" localSheetId="1" hidden="1">{"fdsup://Directions/FactSet Auditing Viewer?action=AUDIT_VALUE&amp;DB=129&amp;ID1=69642930&amp;VALUEID=01001&amp;SDATE=200903&amp;PERIODTYPE=QTR_STD&amp;window=popup_no_bar&amp;width=385&amp;height=120&amp;START_MAXIMIZED=FALSE&amp;creator=factset&amp;display_string=Audit"}</definedName>
    <definedName name="_1248__FDSAUDITLINK__" hidden="1">{"fdsup://Directions/FactSet Auditing Viewer?action=AUDIT_VALUE&amp;DB=129&amp;ID1=69642930&amp;VALUEID=01001&amp;SDATE=200903&amp;PERIODTYPE=QTR_STD&amp;window=popup_no_bar&amp;width=385&amp;height=120&amp;START_MAXIMIZED=FALSE&amp;creator=factset&amp;display_string=Audit"}</definedName>
    <definedName name="_1249__FDSAUDITLINK__" localSheetId="1" hidden="1">{"fdsup://Directions/FactSet Auditing Viewer?action=AUDIT_VALUE&amp;DB=129&amp;ID1=69642930&amp;VALUEID=01001&amp;SDATE=201003&amp;PERIODTYPE=QTR_STD&amp;window=popup_no_bar&amp;width=385&amp;height=120&amp;START_MAXIMIZED=FALSE&amp;creator=factset&amp;display_string=Audit"}</definedName>
    <definedName name="_1249__FDSAUDITLINK__" hidden="1">{"fdsup://Directions/FactSet Auditing Viewer?action=AUDIT_VALUE&amp;DB=129&amp;ID1=69642930&amp;VALUEID=01001&amp;SDATE=201003&amp;PERIODTYPE=QTR_STD&amp;window=popup_no_bar&amp;width=385&amp;height=120&amp;START_MAXIMIZED=FALSE&amp;creator=factset&amp;display_string=Audit"}</definedName>
    <definedName name="_125__FDSAUDITLINK__" localSheetId="1" hidden="1">{"fdsup://directions/FAT Viewer?action=UPDATE&amp;creator=factset&amp;DYN_ARGS=TRUE&amp;DOC_NAME=FAT:FQL_AUDITING_CLIENT_TEMPLATE.FAT&amp;display_string=Audit&amp;VAR:KEY=XSVCLKPKFQ&amp;VAR:QUERY=RkZfRUJJVERBX09QRVIoUVRSLDQvMS8yMDA5LDYvMzAvMjAwOSwsLFVTRCk=&amp;WINDOW=FIRST_POPUP&amp;HEIGH","T=450&amp;WIDTH=450&amp;START_MAXIMIZED=FALSE&amp;VAR:CALENDAR=US&amp;VAR:SYMBOL=TIE&amp;VAR:INDEX=0"}</definedName>
    <definedName name="_125__FDSAUDITLINK__" hidden="1">{"fdsup://directions/FAT Viewer?action=UPDATE&amp;creator=factset&amp;DYN_ARGS=TRUE&amp;DOC_NAME=FAT:FQL_AUDITING_CLIENT_TEMPLATE.FAT&amp;display_string=Audit&amp;VAR:KEY=XSVCLKPKFQ&amp;VAR:QUERY=RkZfRUJJVERBX09QRVIoUVRSLDQvMS8yMDA5LDYvMzAvMjAwOSwsLFVTRCk=&amp;WINDOW=FIRST_POPUP&amp;HEIGH","T=450&amp;WIDTH=450&amp;START_MAXIMIZED=FALSE&amp;VAR:CALENDAR=US&amp;VAR:SYMBOL=TIE&amp;VAR:INDEX=0"}</definedName>
    <definedName name="_1250__FDSAUDITLINK__" localSheetId="1" hidden="1">{"fdsup://Directions/FactSet Auditing Viewer?action=AUDIT_VALUE&amp;DB=129&amp;ID1=74341010&amp;VALUEID=01001&amp;SDATE=200902&amp;PERIODTYPE=QTR_STD&amp;window=popup_no_bar&amp;width=385&amp;height=120&amp;START_MAXIMIZED=FALSE&amp;creator=factset&amp;display_string=Audit"}</definedName>
    <definedName name="_1250__FDSAUDITLINK__" hidden="1">{"fdsup://Directions/FactSet Auditing Viewer?action=AUDIT_VALUE&amp;DB=129&amp;ID1=74341010&amp;VALUEID=01001&amp;SDATE=200902&amp;PERIODTYPE=QTR_STD&amp;window=popup_no_bar&amp;width=385&amp;height=120&amp;START_MAXIMIZED=FALSE&amp;creator=factset&amp;display_string=Audit"}</definedName>
    <definedName name="_1251__FDSAUDITLINK__" localSheetId="1" hidden="1">{"fdsup://Directions/FactSet Auditing Viewer?action=AUDIT_VALUE&amp;DB=129&amp;ID1=74341010&amp;VALUEID=01001&amp;SDATE=201002&amp;PERIODTYPE=QTR_STD&amp;window=popup_no_bar&amp;width=385&amp;height=120&amp;START_MAXIMIZED=FALSE&amp;creator=factset&amp;display_string=Audit"}</definedName>
    <definedName name="_1251__FDSAUDITLINK__" hidden="1">{"fdsup://Directions/FactSet Auditing Viewer?action=AUDIT_VALUE&amp;DB=129&amp;ID1=74341010&amp;VALUEID=01001&amp;SDATE=201002&amp;PERIODTYPE=QTR_STD&amp;window=popup_no_bar&amp;width=385&amp;height=120&amp;START_MAXIMIZED=FALSE&amp;creator=factset&amp;display_string=Audit"}</definedName>
    <definedName name="_1252__FDSAUDITLINK__" localSheetId="1" hidden="1">{"fdsup://Directions/FactSet Auditing Viewer?action=AUDIT_VALUE&amp;DB=129&amp;ID1=71404610&amp;VALUEID=01001&amp;SDATE=200902&amp;PERIODTYPE=QTR_STD&amp;window=popup_no_bar&amp;width=385&amp;height=120&amp;START_MAXIMIZED=FALSE&amp;creator=factset&amp;display_string=Audit"}</definedName>
    <definedName name="_1252__FDSAUDITLINK__" hidden="1">{"fdsup://Directions/FactSet Auditing Viewer?action=AUDIT_VALUE&amp;DB=129&amp;ID1=71404610&amp;VALUEID=01001&amp;SDATE=200902&amp;PERIODTYPE=QTR_STD&amp;window=popup_no_bar&amp;width=385&amp;height=120&amp;START_MAXIMIZED=FALSE&amp;creator=factset&amp;display_string=Audit"}</definedName>
    <definedName name="_1253__FDSAUDITLINK__" localSheetId="1" hidden="1">{"fdsup://Directions/FactSet Auditing Viewer?action=AUDIT_VALUE&amp;DB=129&amp;ID1=71404610&amp;VALUEID=01001&amp;SDATE=201002&amp;PERIODTYPE=QTR_STD&amp;window=popup_no_bar&amp;width=385&amp;height=120&amp;START_MAXIMIZED=FALSE&amp;creator=factset&amp;display_string=Audit"}</definedName>
    <definedName name="_1253__FDSAUDITLINK__" hidden="1">{"fdsup://Directions/FactSet Auditing Viewer?action=AUDIT_VALUE&amp;DB=129&amp;ID1=71404610&amp;VALUEID=01001&amp;SDATE=201002&amp;PERIODTYPE=QTR_STD&amp;window=popup_no_bar&amp;width=385&amp;height=120&amp;START_MAXIMIZED=FALSE&amp;creator=factset&amp;display_string=Audit"}</definedName>
    <definedName name="_1254__FDSAUDITLINK__" localSheetId="1" hidden="1">{"fdsup://Directions/FactSet Auditing Viewer?action=AUDIT_VALUE&amp;DB=129&amp;ID1=74586710&amp;VALUEID=01001&amp;SDATE=200902&amp;PERIODTYPE=QTR_STD&amp;window=popup_no_bar&amp;width=385&amp;height=120&amp;START_MAXIMIZED=FALSE&amp;creator=factset&amp;display_string=Audit"}</definedName>
    <definedName name="_1254__FDSAUDITLINK__" hidden="1">{"fdsup://Directions/FactSet Auditing Viewer?action=AUDIT_VALUE&amp;DB=129&amp;ID1=74586710&amp;VALUEID=01001&amp;SDATE=200902&amp;PERIODTYPE=QTR_STD&amp;window=popup_no_bar&amp;width=385&amp;height=120&amp;START_MAXIMIZED=FALSE&amp;creator=factset&amp;display_string=Audit"}</definedName>
    <definedName name="_1255__FDSAUDITLINK__" localSheetId="1" hidden="1">{"fdsup://Directions/FactSet Auditing Viewer?action=AUDIT_VALUE&amp;DB=129&amp;ID1=74586710&amp;VALUEID=01001&amp;SDATE=201002&amp;PERIODTYPE=QTR_STD&amp;window=popup_no_bar&amp;width=385&amp;height=120&amp;START_MAXIMIZED=FALSE&amp;creator=factset&amp;display_string=Audit"}</definedName>
    <definedName name="_1255__FDSAUDITLINK__" hidden="1">{"fdsup://Directions/FactSet Auditing Viewer?action=AUDIT_VALUE&amp;DB=129&amp;ID1=74586710&amp;VALUEID=01001&amp;SDATE=201002&amp;PERIODTYPE=QTR_STD&amp;window=popup_no_bar&amp;width=385&amp;height=120&amp;START_MAXIMIZED=FALSE&amp;creator=factset&amp;display_string=Audit"}</definedName>
    <definedName name="_1256__FDSAUDITLINK__" localSheetId="1" hidden="1">{"fdsup://Directions/FactSet Auditing Viewer?action=AUDIT_VALUE&amp;DB=129&amp;ID1=70109410&amp;VALUEID=01001&amp;SDATE=200904&amp;PERIODTYPE=QTR_STD&amp;window=popup_no_bar&amp;width=385&amp;height=120&amp;START_MAXIMIZED=FALSE&amp;creator=factset&amp;display_string=Audit"}</definedName>
    <definedName name="_1256__FDSAUDITLINK__" hidden="1">{"fdsup://Directions/FactSet Auditing Viewer?action=AUDIT_VALUE&amp;DB=129&amp;ID1=70109410&amp;VALUEID=01001&amp;SDATE=200904&amp;PERIODTYPE=QTR_STD&amp;window=popup_no_bar&amp;width=385&amp;height=120&amp;START_MAXIMIZED=FALSE&amp;creator=factset&amp;display_string=Audit"}</definedName>
    <definedName name="_1257__FDSAUDITLINK__" localSheetId="1" hidden="1">{"fdsup://Directions/FactSet Auditing Viewer?action=AUDIT_VALUE&amp;DB=129&amp;ID1=70109410&amp;VALUEID=01001&amp;SDATE=201004&amp;PERIODTYPE=QTR_STD&amp;window=popup_no_bar&amp;width=385&amp;height=120&amp;START_MAXIMIZED=FALSE&amp;creator=factset&amp;display_string=Audit"}</definedName>
    <definedName name="_1257__FDSAUDITLINK__" hidden="1">{"fdsup://Directions/FactSet Auditing Viewer?action=AUDIT_VALUE&amp;DB=129&amp;ID1=70109410&amp;VALUEID=01001&amp;SDATE=201004&amp;PERIODTYPE=QTR_STD&amp;window=popup_no_bar&amp;width=385&amp;height=120&amp;START_MAXIMIZED=FALSE&amp;creator=factset&amp;display_string=Audit"}</definedName>
    <definedName name="_1258__FDSAUDITLINK__" localSheetId="1" hidden="1">{"fdsup://Directions/FactSet Auditing Viewer?action=AUDIT_VALUE&amp;DB=129&amp;ID1=74331510&amp;VALUEID=01001&amp;SDATE=200902&amp;PERIODTYPE=QTR_STD&amp;window=popup_no_bar&amp;width=385&amp;height=120&amp;START_MAXIMIZED=FALSE&amp;creator=factset&amp;display_string=Audit"}</definedName>
    <definedName name="_1258__FDSAUDITLINK__" hidden="1">{"fdsup://Directions/FactSet Auditing Viewer?action=AUDIT_VALUE&amp;DB=129&amp;ID1=74331510&amp;VALUEID=01001&amp;SDATE=200902&amp;PERIODTYPE=QTR_STD&amp;window=popup_no_bar&amp;width=385&amp;height=120&amp;START_MAXIMIZED=FALSE&amp;creator=factset&amp;display_string=Audit"}</definedName>
    <definedName name="_1259__FDSAUDITLINK__" localSheetId="1" hidden="1">{"fdsup://Directions/FactSet Auditing Viewer?action=AUDIT_VALUE&amp;DB=129&amp;ID1=74331510&amp;VALUEID=01001&amp;SDATE=201002&amp;PERIODTYPE=QTR_STD&amp;window=popup_no_bar&amp;width=385&amp;height=120&amp;START_MAXIMIZED=FALSE&amp;creator=factset&amp;display_string=Audit"}</definedName>
    <definedName name="_1259__FDSAUDITLINK__" hidden="1">{"fdsup://Directions/FactSet Auditing Viewer?action=AUDIT_VALUE&amp;DB=129&amp;ID1=74331510&amp;VALUEID=01001&amp;SDATE=201002&amp;PERIODTYPE=QTR_STD&amp;window=popup_no_bar&amp;width=385&amp;height=120&amp;START_MAXIMIZED=FALSE&amp;creator=factset&amp;display_string=Audit"}</definedName>
    <definedName name="_126__FDSAUDITLINK__" localSheetId="1" hidden="1">{"fdsup://directions/FAT Viewer?action=UPDATE&amp;creator=factset&amp;DYN_ARGS=TRUE&amp;DOC_NAME=FAT:FQL_AUDITING_CLIENT_TEMPLATE.FAT&amp;display_string=Audit&amp;VAR:KEY=FUJEFOPWTI&amp;VAR:QUERY=RkZfRUJJVERBX09QRVIoUVRSLDQvMS8yMDEwLDYvMzAvMjAxMCwsLFVTRCk=&amp;WINDOW=FIRST_POPUP&amp;HEIGH","T=450&amp;WIDTH=450&amp;START_MAXIMIZED=FALSE&amp;VAR:CALENDAR=US&amp;VAR:SYMBOL=TIE&amp;VAR:INDEX=0"}</definedName>
    <definedName name="_126__FDSAUDITLINK__" hidden="1">{"fdsup://directions/FAT Viewer?action=UPDATE&amp;creator=factset&amp;DYN_ARGS=TRUE&amp;DOC_NAME=FAT:FQL_AUDITING_CLIENT_TEMPLATE.FAT&amp;display_string=Audit&amp;VAR:KEY=FUJEFOPWTI&amp;VAR:QUERY=RkZfRUJJVERBX09QRVIoUVRSLDQvMS8yMDEwLDYvMzAvMjAxMCwsLFVTRCk=&amp;WINDOW=FIRST_POPUP&amp;HEIGH","T=450&amp;WIDTH=450&amp;START_MAXIMIZED=FALSE&amp;VAR:CALENDAR=US&amp;VAR:SYMBOL=TIE&amp;VAR:INDEX=0"}</definedName>
    <definedName name="_1260__FDSAUDITLINK__" localSheetId="1" hidden="1">{"fdsup://Directions/FactSet Auditing Viewer?action=AUDIT_VALUE&amp;DB=129&amp;ID1=74326310&amp;VALUEID=01001&amp;SDATE=200902&amp;PERIODTYPE=QTR_STD&amp;window=popup_no_bar&amp;width=385&amp;height=120&amp;START_MAXIMIZED=FALSE&amp;creator=factset&amp;display_string=Audit"}</definedName>
    <definedName name="_1260__FDSAUDITLINK__" hidden="1">{"fdsup://Directions/FactSet Auditing Viewer?action=AUDIT_VALUE&amp;DB=129&amp;ID1=74326310&amp;VALUEID=01001&amp;SDATE=200902&amp;PERIODTYPE=QTR_STD&amp;window=popup_no_bar&amp;width=385&amp;height=120&amp;START_MAXIMIZED=FALSE&amp;creator=factset&amp;display_string=Audit"}</definedName>
    <definedName name="_1261__FDSAUDITLINK__" localSheetId="1" hidden="1">{"fdsup://Directions/FactSet Auditing Viewer?action=AUDIT_VALUE&amp;DB=129&amp;ID1=74326310&amp;VALUEID=01001&amp;SDATE=201002&amp;PERIODTYPE=QTR_STD&amp;window=popup_no_bar&amp;width=385&amp;height=120&amp;START_MAXIMIZED=FALSE&amp;creator=factset&amp;display_string=Audit"}</definedName>
    <definedName name="_1261__FDSAUDITLINK__" hidden="1">{"fdsup://Directions/FactSet Auditing Viewer?action=AUDIT_VALUE&amp;DB=129&amp;ID1=74326310&amp;VALUEID=01001&amp;SDATE=201002&amp;PERIODTYPE=QTR_STD&amp;window=popup_no_bar&amp;width=385&amp;height=120&amp;START_MAXIMIZED=FALSE&amp;creator=factset&amp;display_string=Audit"}</definedName>
    <definedName name="_1262__FDSAUDITLINK__" localSheetId="1" hidden="1">{"fdsup://Directions/FactSet Auditing Viewer?action=AUDIT_VALUE&amp;DB=129&amp;ID1=74271810&amp;VALUEID=01001&amp;SDATE=201004&amp;PERIODTYPE=QTR_STD&amp;window=popup_no_bar&amp;width=385&amp;height=120&amp;START_MAXIMIZED=FALSE&amp;creator=factset&amp;display_string=Audit"}</definedName>
    <definedName name="_1262__FDSAUDITLINK__" hidden="1">{"fdsup://Directions/FactSet Auditing Viewer?action=AUDIT_VALUE&amp;DB=129&amp;ID1=74271810&amp;VALUEID=01001&amp;SDATE=201004&amp;PERIODTYPE=QTR_STD&amp;window=popup_no_bar&amp;width=385&amp;height=120&amp;START_MAXIMIZED=FALSE&amp;creator=factset&amp;display_string=Audit"}</definedName>
    <definedName name="_1263__FDSAUDITLINK__" localSheetId="1" hidden="1">{"fdsup://Directions/FactSet Auditing Viewer?action=AUDIT_VALUE&amp;DB=129&amp;ID1=74251V10&amp;VALUEID=01001&amp;SDATE=200902&amp;PERIODTYPE=QTR_STD&amp;window=popup_no_bar&amp;width=385&amp;height=120&amp;START_MAXIMIZED=FALSE&amp;creator=factset&amp;display_string=Audit"}</definedName>
    <definedName name="_1263__FDSAUDITLINK__" hidden="1">{"fdsup://Directions/FactSet Auditing Viewer?action=AUDIT_VALUE&amp;DB=129&amp;ID1=74251V10&amp;VALUEID=01001&amp;SDATE=200902&amp;PERIODTYPE=QTR_STD&amp;window=popup_no_bar&amp;width=385&amp;height=120&amp;START_MAXIMIZED=FALSE&amp;creator=factset&amp;display_string=Audit"}</definedName>
    <definedName name="_1264__FDSAUDITLINK__" localSheetId="1" hidden="1">{"fdsup://Directions/FactSet Auditing Viewer?action=AUDIT_VALUE&amp;DB=129&amp;ID1=74251V10&amp;VALUEID=01001&amp;SDATE=201002&amp;PERIODTYPE=QTR_STD&amp;window=popup_no_bar&amp;width=385&amp;height=120&amp;START_MAXIMIZED=FALSE&amp;creator=factset&amp;display_string=Audit"}</definedName>
    <definedName name="_1264__FDSAUDITLINK__" hidden="1">{"fdsup://Directions/FactSet Auditing Viewer?action=AUDIT_VALUE&amp;DB=129&amp;ID1=74251V10&amp;VALUEID=01001&amp;SDATE=201002&amp;PERIODTYPE=QTR_STD&amp;window=popup_no_bar&amp;width=385&amp;height=120&amp;START_MAXIMIZED=FALSE&amp;creator=factset&amp;display_string=Audit"}</definedName>
    <definedName name="_1265__FDSAUDITLINK__" localSheetId="1" hidden="1">{"fdsup://Directions/FactSet Auditing Viewer?action=AUDIT_VALUE&amp;DB=129&amp;ID1=71708110&amp;VALUEID=01001&amp;SDATE=200902&amp;PERIODTYPE=QTR_STD&amp;window=popup_no_bar&amp;width=385&amp;height=120&amp;START_MAXIMIZED=FALSE&amp;creator=factset&amp;display_string=Audit"}</definedName>
    <definedName name="_1265__FDSAUDITLINK__" hidden="1">{"fdsup://Directions/FactSet Auditing Viewer?action=AUDIT_VALUE&amp;DB=129&amp;ID1=71708110&amp;VALUEID=01001&amp;SDATE=200902&amp;PERIODTYPE=QTR_STD&amp;window=popup_no_bar&amp;width=385&amp;height=120&amp;START_MAXIMIZED=FALSE&amp;creator=factset&amp;display_string=Audit"}</definedName>
    <definedName name="_1266__FDSAUDITLINK__" localSheetId="1" hidden="1">{"fdsup://Directions/FactSet Auditing Viewer?action=AUDIT_VALUE&amp;DB=129&amp;ID1=71708110&amp;VALUEID=01001&amp;SDATE=201002&amp;PERIODTYPE=QTR_STD&amp;window=popup_no_bar&amp;width=385&amp;height=120&amp;START_MAXIMIZED=FALSE&amp;creator=factset&amp;display_string=Audit"}</definedName>
    <definedName name="_1266__FDSAUDITLINK__" hidden="1">{"fdsup://Directions/FactSet Auditing Viewer?action=AUDIT_VALUE&amp;DB=129&amp;ID1=71708110&amp;VALUEID=01001&amp;SDATE=201002&amp;PERIODTYPE=QTR_STD&amp;window=popup_no_bar&amp;width=385&amp;height=120&amp;START_MAXIMIZED=FALSE&amp;creator=factset&amp;display_string=Audit"}</definedName>
    <definedName name="_1267__FDSAUDITLINK__" localSheetId="1" hidden="1">{"fdsup://Directions/FactSet Auditing Viewer?action=AUDIT_VALUE&amp;DB=129&amp;ID1=71344810&amp;VALUEID=01001&amp;SDATE=200902&amp;PERIODTYPE=QTR_STD&amp;window=popup_no_bar&amp;width=385&amp;height=120&amp;START_MAXIMIZED=FALSE&amp;creator=factset&amp;display_string=Audit"}</definedName>
    <definedName name="_1267__FDSAUDITLINK__" hidden="1">{"fdsup://Directions/FactSet Auditing Viewer?action=AUDIT_VALUE&amp;DB=129&amp;ID1=71344810&amp;VALUEID=01001&amp;SDATE=200902&amp;PERIODTYPE=QTR_STD&amp;window=popup_no_bar&amp;width=385&amp;height=120&amp;START_MAXIMIZED=FALSE&amp;creator=factset&amp;display_string=Audit"}</definedName>
    <definedName name="_1268__FDSAUDITLINK__" localSheetId="1" hidden="1">{"fdsup://Directions/FactSet Auditing Viewer?action=AUDIT_VALUE&amp;DB=129&amp;ID1=71344810&amp;VALUEID=01001&amp;SDATE=201002&amp;PERIODTYPE=QTR_STD&amp;window=popup_no_bar&amp;width=385&amp;height=120&amp;START_MAXIMIZED=FALSE&amp;creator=factset&amp;display_string=Audit"}</definedName>
    <definedName name="_1268__FDSAUDITLINK__" hidden="1">{"fdsup://Directions/FactSet Auditing Viewer?action=AUDIT_VALUE&amp;DB=129&amp;ID1=71344810&amp;VALUEID=01001&amp;SDATE=201002&amp;PERIODTYPE=QTR_STD&amp;window=popup_no_bar&amp;width=385&amp;height=120&amp;START_MAXIMIZED=FALSE&amp;creator=factset&amp;display_string=Audit"}</definedName>
    <definedName name="_1269__FDSAUDITLINK__" localSheetId="1" hidden="1">{"fdsup://Directions/FactSet Auditing Viewer?action=AUDIT_VALUE&amp;DB=129&amp;ID1=74457310&amp;VALUEID=01001&amp;SDATE=200902&amp;PERIODTYPE=QTR_STD&amp;window=popup_no_bar&amp;width=385&amp;height=120&amp;START_MAXIMIZED=FALSE&amp;creator=factset&amp;display_string=Audit"}</definedName>
    <definedName name="_1269__FDSAUDITLINK__" hidden="1">{"fdsup://Directions/FactSet Auditing Viewer?action=AUDIT_VALUE&amp;DB=129&amp;ID1=74457310&amp;VALUEID=01001&amp;SDATE=200902&amp;PERIODTYPE=QTR_STD&amp;window=popup_no_bar&amp;width=385&amp;height=120&amp;START_MAXIMIZED=FALSE&amp;creator=factset&amp;display_string=Audit"}</definedName>
    <definedName name="_127__FDSAUDITLINK__" localSheetId="1" hidden="1">{"fdsup://directions/FAT Viewer?action=UPDATE&amp;creator=factset&amp;DYN_ARGS=TRUE&amp;DOC_NAME=FAT:FQL_AUDITING_CLIENT_TEMPLATE.FAT&amp;display_string=Audit&amp;VAR:KEY=TOBSLWLMLC&amp;VAR:QUERY=RkZfRUJJVERBX09QRVIoUVRSLDQvMS8yMDA5LDYvMzAvMjAwOSwsLFVTRCk=&amp;WINDOW=FIRST_POPUP&amp;HEIGH","T=450&amp;WIDTH=450&amp;START_MAXIMIZED=FALSE&amp;VAR:CALENDAR=US&amp;VAR:SYMBOL=THC&amp;VAR:INDEX=0"}</definedName>
    <definedName name="_127__FDSAUDITLINK__" hidden="1">{"fdsup://directions/FAT Viewer?action=UPDATE&amp;creator=factset&amp;DYN_ARGS=TRUE&amp;DOC_NAME=FAT:FQL_AUDITING_CLIENT_TEMPLATE.FAT&amp;display_string=Audit&amp;VAR:KEY=TOBSLWLMLC&amp;VAR:QUERY=RkZfRUJJVERBX09QRVIoUVRSLDQvMS8yMDA5LDYvMzAvMjAwOSwsLFVTRCk=&amp;WINDOW=FIRST_POPUP&amp;HEIGH","T=450&amp;WIDTH=450&amp;START_MAXIMIZED=FALSE&amp;VAR:CALENDAR=US&amp;VAR:SYMBOL=THC&amp;VAR:INDEX=0"}</definedName>
    <definedName name="_1270__FDSAUDITLINK__" localSheetId="1" hidden="1">{"fdsup://Directions/FactSet Auditing Viewer?action=AUDIT_VALUE&amp;DB=129&amp;ID1=74457310&amp;VALUEID=01001&amp;SDATE=201002&amp;PERIODTYPE=QTR_STD&amp;window=popup_no_bar&amp;width=385&amp;height=120&amp;START_MAXIMIZED=FALSE&amp;creator=factset&amp;display_string=Audit"}</definedName>
    <definedName name="_1270__FDSAUDITLINK__" hidden="1">{"fdsup://Directions/FactSet Auditing Viewer?action=AUDIT_VALUE&amp;DB=129&amp;ID1=74457310&amp;VALUEID=01001&amp;SDATE=201002&amp;PERIODTYPE=QTR_STD&amp;window=popup_no_bar&amp;width=385&amp;height=120&amp;START_MAXIMIZED=FALSE&amp;creator=factset&amp;display_string=Audit"}</definedName>
    <definedName name="_1271__FDSAUDITLINK__" localSheetId="1" hidden="1">{"fdsup://Directions/FactSet Auditing Viewer?action=AUDIT_VALUE&amp;DB=129&amp;ID1=70339510&amp;VALUEID=01001&amp;SDATE=200904&amp;PERIODTYPE=QTR_STD&amp;window=popup_no_bar&amp;width=385&amp;height=120&amp;START_MAXIMIZED=FALSE&amp;creator=factset&amp;display_string=Audit"}</definedName>
    <definedName name="_1271__FDSAUDITLINK__" hidden="1">{"fdsup://Directions/FactSet Auditing Viewer?action=AUDIT_VALUE&amp;DB=129&amp;ID1=70339510&amp;VALUEID=01001&amp;SDATE=200904&amp;PERIODTYPE=QTR_STD&amp;window=popup_no_bar&amp;width=385&amp;height=120&amp;START_MAXIMIZED=FALSE&amp;creator=factset&amp;display_string=Audit"}</definedName>
    <definedName name="_1272__FDSAUDITLINK__" localSheetId="1" hidden="1">{"fdsup://Directions/FactSet Auditing Viewer?action=AUDIT_VALUE&amp;DB=129&amp;ID1=59170810&amp;VALUEID=01001&amp;SDATE=200902&amp;PERIODTYPE=QTR_STD&amp;window=popup_no_bar&amp;width=385&amp;height=120&amp;START_MAXIMIZED=FALSE&amp;creator=factset&amp;display_string=Audit"}</definedName>
    <definedName name="_1272__FDSAUDITLINK__" hidden="1">{"fdsup://Directions/FactSet Auditing Viewer?action=AUDIT_VALUE&amp;DB=129&amp;ID1=59170810&amp;VALUEID=01001&amp;SDATE=200902&amp;PERIODTYPE=QTR_STD&amp;window=popup_no_bar&amp;width=385&amp;height=120&amp;START_MAXIMIZED=FALSE&amp;creator=factset&amp;display_string=Audit"}</definedName>
    <definedName name="_1273__FDSAUDITLINK__" localSheetId="1" hidden="1">{"fdsup://Directions/FactSet Auditing Viewer?action=AUDIT_VALUE&amp;DB=129&amp;ID1=59170810&amp;VALUEID=01001&amp;SDATE=201002&amp;PERIODTYPE=QTR_STD&amp;window=popup_no_bar&amp;width=385&amp;height=120&amp;START_MAXIMIZED=FALSE&amp;creator=factset&amp;display_string=Audit"}</definedName>
    <definedName name="_1273__FDSAUDITLINK__" hidden="1">{"fdsup://Directions/FactSet Auditing Viewer?action=AUDIT_VALUE&amp;DB=129&amp;ID1=59170810&amp;VALUEID=01001&amp;SDATE=201002&amp;PERIODTYPE=QTR_STD&amp;window=popup_no_bar&amp;width=385&amp;height=120&amp;START_MAXIMIZED=FALSE&amp;creator=factset&amp;display_string=Audit"}</definedName>
    <definedName name="_1274__FDSAUDITLINK__" localSheetId="1" hidden="1">{"fdsup://Directions/FactSet Auditing Viewer?action=AUDIT_VALUE&amp;DB=129&amp;ID1=74018910&amp;VALUEID=01001&amp;SDATE=200901&amp;PERIODTYPE=QTR_STD&amp;window=popup_no_bar&amp;width=385&amp;height=120&amp;START_MAXIMIZED=FALSE&amp;creator=factset&amp;display_string=Audit"}</definedName>
    <definedName name="_1274__FDSAUDITLINK__" hidden="1">{"fdsup://Directions/FactSet Auditing Viewer?action=AUDIT_VALUE&amp;DB=129&amp;ID1=74018910&amp;VALUEID=01001&amp;SDATE=200901&amp;PERIODTYPE=QTR_STD&amp;window=popup_no_bar&amp;width=385&amp;height=120&amp;START_MAXIMIZED=FALSE&amp;creator=factset&amp;display_string=Audit"}</definedName>
    <definedName name="_1275__FDSAUDITLINK__" localSheetId="1" hidden="1">{"fdsup://Directions/FactSet Auditing Viewer?action=AUDIT_VALUE&amp;DB=129&amp;ID1=74018910&amp;VALUEID=01001&amp;SDATE=201001&amp;PERIODTYPE=QTR_STD&amp;window=popup_no_bar&amp;width=385&amp;height=120&amp;START_MAXIMIZED=FALSE&amp;creator=factset&amp;display_string=Audit"}</definedName>
    <definedName name="_1275__FDSAUDITLINK__" hidden="1">{"fdsup://Directions/FactSet Auditing Viewer?action=AUDIT_VALUE&amp;DB=129&amp;ID1=74018910&amp;VALUEID=01001&amp;SDATE=201001&amp;PERIODTYPE=QTR_STD&amp;window=popup_no_bar&amp;width=385&amp;height=120&amp;START_MAXIMIZED=FALSE&amp;creator=factset&amp;display_string=Audit"}</definedName>
    <definedName name="_1276__FDSAUDITLINK__" localSheetId="1" hidden="1">{"fdsup://Directions/FactSet Auditing Viewer?action=AUDIT_VALUE&amp;DB=129&amp;ID1=74150340&amp;VALUEID=01001&amp;SDATE=200902&amp;PERIODTYPE=QTR_STD&amp;window=popup_no_bar&amp;width=385&amp;height=120&amp;START_MAXIMIZED=FALSE&amp;creator=factset&amp;display_string=Audit"}</definedName>
    <definedName name="_1276__FDSAUDITLINK__" hidden="1">{"fdsup://Directions/FactSet Auditing Viewer?action=AUDIT_VALUE&amp;DB=129&amp;ID1=74150340&amp;VALUEID=01001&amp;SDATE=200902&amp;PERIODTYPE=QTR_STD&amp;window=popup_no_bar&amp;width=385&amp;height=120&amp;START_MAXIMIZED=FALSE&amp;creator=factset&amp;display_string=Audit"}</definedName>
    <definedName name="_1277__FDSAUDITLINK__" localSheetId="1" hidden="1">{"fdsup://Directions/FactSet Auditing Viewer?action=AUDIT_VALUE&amp;DB=129&amp;ID1=74150340&amp;VALUEID=01001&amp;SDATE=201002&amp;PERIODTYPE=QTR_STD&amp;window=popup_no_bar&amp;width=385&amp;height=120&amp;START_MAXIMIZED=FALSE&amp;creator=factset&amp;display_string=Audit"}</definedName>
    <definedName name="_1277__FDSAUDITLINK__" hidden="1">{"fdsup://Directions/FactSet Auditing Viewer?action=AUDIT_VALUE&amp;DB=129&amp;ID1=74150340&amp;VALUEID=01001&amp;SDATE=201002&amp;PERIODTYPE=QTR_STD&amp;window=popup_no_bar&amp;width=385&amp;height=120&amp;START_MAXIMIZED=FALSE&amp;creator=factset&amp;display_string=Audit"}</definedName>
    <definedName name="_1278__FDSAUDITLINK__" localSheetId="1" hidden="1">{"fdsup://Directions/FactSet Auditing Viewer?action=AUDIT_VALUE&amp;DB=129&amp;ID1=72925110&amp;VALUEID=01001&amp;SDATE=200902&amp;PERIODTYPE=QTR_STD&amp;window=popup_no_bar&amp;width=385&amp;height=120&amp;START_MAXIMIZED=FALSE&amp;creator=factset&amp;display_string=Audit"}</definedName>
    <definedName name="_1278__FDSAUDITLINK__" hidden="1">{"fdsup://Directions/FactSet Auditing Viewer?action=AUDIT_VALUE&amp;DB=129&amp;ID1=72925110&amp;VALUEID=01001&amp;SDATE=200902&amp;PERIODTYPE=QTR_STD&amp;window=popup_no_bar&amp;width=385&amp;height=120&amp;START_MAXIMIZED=FALSE&amp;creator=factset&amp;display_string=Audit"}</definedName>
    <definedName name="_1279__FDSAUDITLINK__" localSheetId="1" hidden="1">{"fdsup://Directions/FactSet Auditing Viewer?action=AUDIT_VALUE&amp;DB=129&amp;ID1=72925110&amp;VALUEID=01001&amp;SDATE=201002&amp;PERIODTYPE=QTR_STD&amp;window=popup_no_bar&amp;width=385&amp;height=120&amp;START_MAXIMIZED=FALSE&amp;creator=factset&amp;display_string=Audit"}</definedName>
    <definedName name="_1279__FDSAUDITLINK__" hidden="1">{"fdsup://Directions/FactSet Auditing Viewer?action=AUDIT_VALUE&amp;DB=129&amp;ID1=72925110&amp;VALUEID=01001&amp;SDATE=201002&amp;PERIODTYPE=QTR_STD&amp;window=popup_no_bar&amp;width=385&amp;height=120&amp;START_MAXIMIZED=FALSE&amp;creator=factset&amp;display_string=Audit"}</definedName>
    <definedName name="_128__FDSAUDITLINK__" localSheetId="1" hidden="1">{"fdsup://directions/FAT Viewer?action=UPDATE&amp;creator=factset&amp;DYN_ARGS=TRUE&amp;DOC_NAME=FAT:FQL_AUDITING_CLIENT_TEMPLATE.FAT&amp;display_string=Audit&amp;VAR:KEY=LSPGVEPGDO&amp;VAR:QUERY=RkZfRUJJVERBX09QRVIoUVRSLDQvMS8yMDEwLDYvMzAvMjAxMCwsLFVTRCk=&amp;WINDOW=FIRST_POPUP&amp;HEIGH","T=450&amp;WIDTH=450&amp;START_MAXIMIZED=FALSE&amp;VAR:CALENDAR=US&amp;VAR:SYMBOL=THC&amp;VAR:INDEX=0"}</definedName>
    <definedName name="_128__FDSAUDITLINK__" hidden="1">{"fdsup://directions/FAT Viewer?action=UPDATE&amp;creator=factset&amp;DYN_ARGS=TRUE&amp;DOC_NAME=FAT:FQL_AUDITING_CLIENT_TEMPLATE.FAT&amp;display_string=Audit&amp;VAR:KEY=LSPGVEPGDO&amp;VAR:QUERY=RkZfRUJJVERBX09QRVIoUVRSLDQvMS8yMDEwLDYvMzAvMjAxMCwsLFVTRCk=&amp;WINDOW=FIRST_POPUP&amp;HEIGH","T=450&amp;WIDTH=450&amp;START_MAXIMIZED=FALSE&amp;VAR:CALENDAR=US&amp;VAR:SYMBOL=THC&amp;VAR:INDEX=0"}</definedName>
    <definedName name="_1280__FDSAUDITLINK__" localSheetId="1" hidden="1">{"fdsup://Directions/FactSet Auditing Viewer?action=AUDIT_VALUE&amp;DB=129&amp;ID1=69331C10&amp;VALUEID=01001&amp;SDATE=200902&amp;PERIODTYPE=QTR_STD&amp;window=popup_no_bar&amp;width=385&amp;height=120&amp;START_MAXIMIZED=FALSE&amp;creator=factset&amp;display_string=Audit"}</definedName>
    <definedName name="_1280__FDSAUDITLINK__" hidden="1">{"fdsup://Directions/FactSet Auditing Viewer?action=AUDIT_VALUE&amp;DB=129&amp;ID1=69331C10&amp;VALUEID=01001&amp;SDATE=200902&amp;PERIODTYPE=QTR_STD&amp;window=popup_no_bar&amp;width=385&amp;height=120&amp;START_MAXIMIZED=FALSE&amp;creator=factset&amp;display_string=Audit"}</definedName>
    <definedName name="_1281__FDSAUDITLINK__" localSheetId="1" hidden="1">{"fdsup://Directions/FactSet Auditing Viewer?action=AUDIT_VALUE&amp;DB=129&amp;ID1=69331C10&amp;VALUEID=01001&amp;SDATE=201002&amp;PERIODTYPE=QTR_STD&amp;window=popup_no_bar&amp;width=385&amp;height=120&amp;START_MAXIMIZED=FALSE&amp;creator=factset&amp;display_string=Audit"}</definedName>
    <definedName name="_1281__FDSAUDITLINK__" hidden="1">{"fdsup://Directions/FactSet Auditing Viewer?action=AUDIT_VALUE&amp;DB=129&amp;ID1=69331C10&amp;VALUEID=01001&amp;SDATE=201002&amp;PERIODTYPE=QTR_STD&amp;window=popup_no_bar&amp;width=385&amp;height=120&amp;START_MAXIMIZED=FALSE&amp;creator=factset&amp;display_string=Audit"}</definedName>
    <definedName name="_1282__FDSAUDITLINK__" localSheetId="1" hidden="1">{"fdsup://Directions/FactSet Auditing Viewer?action=AUDIT_VALUE&amp;DB=129&amp;ID1=69371810&amp;VALUEID=01001&amp;SDATE=200902&amp;PERIODTYPE=QTR_STD&amp;window=popup_no_bar&amp;width=385&amp;height=120&amp;START_MAXIMIZED=FALSE&amp;creator=factset&amp;display_string=Audit"}</definedName>
    <definedName name="_1282__FDSAUDITLINK__" hidden="1">{"fdsup://Directions/FactSet Auditing Viewer?action=AUDIT_VALUE&amp;DB=129&amp;ID1=69371810&amp;VALUEID=01001&amp;SDATE=200902&amp;PERIODTYPE=QTR_STD&amp;window=popup_no_bar&amp;width=385&amp;height=120&amp;START_MAXIMIZED=FALSE&amp;creator=factset&amp;display_string=Audit"}</definedName>
    <definedName name="_1283__FDSAUDITLINK__" localSheetId="1" hidden="1">{"fdsup://Directions/FactSet Auditing Viewer?action=AUDIT_VALUE&amp;DB=129&amp;ID1=69371810&amp;VALUEID=01001&amp;SDATE=201002&amp;PERIODTYPE=QTR_STD&amp;window=popup_no_bar&amp;width=385&amp;height=120&amp;START_MAXIMIZED=FALSE&amp;creator=factset&amp;display_string=Audit"}</definedName>
    <definedName name="_1283__FDSAUDITLINK__" hidden="1">{"fdsup://Directions/FactSet Auditing Viewer?action=AUDIT_VALUE&amp;DB=129&amp;ID1=69371810&amp;VALUEID=01001&amp;SDATE=201002&amp;PERIODTYPE=QTR_STD&amp;window=popup_no_bar&amp;width=385&amp;height=120&amp;START_MAXIMIZED=FALSE&amp;creator=factset&amp;display_string=Audit"}</definedName>
    <definedName name="_1284__FDSAUDITLINK__" localSheetId="1" hidden="1">{"fdsup://Directions/FactSet Auditing Viewer?action=AUDIT_VALUE&amp;DB=129&amp;ID1=72447910&amp;VALUEID=01001&amp;SDATE=200902&amp;PERIODTYPE=QTR_STD&amp;window=popup_no_bar&amp;width=385&amp;height=120&amp;START_MAXIMIZED=FALSE&amp;creator=factset&amp;display_string=Audit"}</definedName>
    <definedName name="_1284__FDSAUDITLINK__" hidden="1">{"fdsup://Directions/FactSet Auditing Viewer?action=AUDIT_VALUE&amp;DB=129&amp;ID1=72447910&amp;VALUEID=01001&amp;SDATE=200902&amp;PERIODTYPE=QTR_STD&amp;window=popup_no_bar&amp;width=385&amp;height=120&amp;START_MAXIMIZED=FALSE&amp;creator=factset&amp;display_string=Audit"}</definedName>
    <definedName name="_1285__FDSAUDITLINK__" localSheetId="1" hidden="1">{"fdsup://Directions/FactSet Auditing Viewer?action=AUDIT_VALUE&amp;DB=129&amp;ID1=72447910&amp;VALUEID=01001&amp;SDATE=201002&amp;PERIODTYPE=QTR_STD&amp;window=popup_no_bar&amp;width=385&amp;height=120&amp;START_MAXIMIZED=FALSE&amp;creator=factset&amp;display_string=Audit"}</definedName>
    <definedName name="_1285__FDSAUDITLINK__" hidden="1">{"fdsup://Directions/FactSet Auditing Viewer?action=AUDIT_VALUE&amp;DB=129&amp;ID1=72447910&amp;VALUEID=01001&amp;SDATE=201002&amp;PERIODTYPE=QTR_STD&amp;window=popup_no_bar&amp;width=385&amp;height=120&amp;START_MAXIMIZED=FALSE&amp;creator=factset&amp;display_string=Audit"}</definedName>
    <definedName name="_1286__FDSAUDITLINK__" localSheetId="1" hidden="1">{"fdsup://Directions/FactSet Auditing Viewer?action=AUDIT_VALUE&amp;DB=129&amp;ID1=70432610&amp;VALUEID=01001&amp;SDATE=200804&amp;PERIODTYPE=QTR_STD&amp;window=popup_no_bar&amp;width=385&amp;height=120&amp;START_MAXIMIZED=FALSE&amp;creator=factset&amp;display_string=Audit"}</definedName>
    <definedName name="_1286__FDSAUDITLINK__" hidden="1">{"fdsup://Directions/FactSet Auditing Viewer?action=AUDIT_VALUE&amp;DB=129&amp;ID1=70432610&amp;VALUEID=01001&amp;SDATE=200804&amp;PERIODTYPE=QTR_STD&amp;window=popup_no_bar&amp;width=385&amp;height=120&amp;START_MAXIMIZED=FALSE&amp;creator=factset&amp;display_string=Audit"}</definedName>
    <definedName name="_1287__FDSAUDITLINK__" localSheetId="1" hidden="1">{"fdsup://Directions/FactSet Auditing Viewer?action=AUDIT_VALUE&amp;DB=129&amp;ID1=70432610&amp;VALUEID=01001&amp;SDATE=200904&amp;PERIODTYPE=QTR_STD&amp;window=popup_no_bar&amp;width=385&amp;height=120&amp;START_MAXIMIZED=FALSE&amp;creator=factset&amp;display_string=Audit"}</definedName>
    <definedName name="_1287__FDSAUDITLINK__" hidden="1">{"fdsup://Directions/FactSet Auditing Viewer?action=AUDIT_VALUE&amp;DB=129&amp;ID1=70432610&amp;VALUEID=01001&amp;SDATE=200904&amp;PERIODTYPE=QTR_STD&amp;window=popup_no_bar&amp;width=385&amp;height=120&amp;START_MAXIMIZED=FALSE&amp;creator=factset&amp;display_string=Audit"}</definedName>
    <definedName name="_1288__FDSAUDITLINK__" localSheetId="1" hidden="1">{"fdsup://Directions/FactSet Auditing Viewer?action=AUDIT_VALUE&amp;DB=129&amp;ID1=67459910&amp;VALUEID=01001&amp;SDATE=200902&amp;PERIODTYPE=QTR_STD&amp;window=popup_no_bar&amp;width=385&amp;height=120&amp;START_MAXIMIZED=FALSE&amp;creator=factset&amp;display_string=Audit"}</definedName>
    <definedName name="_1288__FDSAUDITLINK__" hidden="1">{"fdsup://Directions/FactSet Auditing Viewer?action=AUDIT_VALUE&amp;DB=129&amp;ID1=67459910&amp;VALUEID=01001&amp;SDATE=200902&amp;PERIODTYPE=QTR_STD&amp;window=popup_no_bar&amp;width=385&amp;height=120&amp;START_MAXIMIZED=FALSE&amp;creator=factset&amp;display_string=Audit"}</definedName>
    <definedName name="_1289__FDSAUDITLINK__" localSheetId="1" hidden="1">{"fdsup://Directions/FactSet Auditing Viewer?action=AUDIT_VALUE&amp;DB=129&amp;ID1=67459910&amp;VALUEID=01001&amp;SDATE=201002&amp;PERIODTYPE=QTR_STD&amp;window=popup_no_bar&amp;width=385&amp;height=120&amp;START_MAXIMIZED=FALSE&amp;creator=factset&amp;display_string=Audit"}</definedName>
    <definedName name="_1289__FDSAUDITLINK__" hidden="1">{"fdsup://Directions/FactSet Auditing Viewer?action=AUDIT_VALUE&amp;DB=129&amp;ID1=67459910&amp;VALUEID=01001&amp;SDATE=201002&amp;PERIODTYPE=QTR_STD&amp;window=popup_no_bar&amp;width=385&amp;height=120&amp;START_MAXIMIZED=FALSE&amp;creator=factset&amp;display_string=Audit"}</definedName>
    <definedName name="_129__FDSAUDITLINK__" localSheetId="1" hidden="1">{"fdsup://directions/FAT Viewer?action=UPDATE&amp;creator=factset&amp;DYN_ARGS=TRUE&amp;DOC_NAME=FAT:FQL_AUDITING_CLIENT_TEMPLATE.FAT&amp;display_string=Audit&amp;VAR:KEY=JYPWHKZYNU&amp;VAR:QUERY=RkZfRUJJVERBX09QRVIoUVRSLDQvMS8yMDA5LDYvMzAvMjAwOSwsLFVTRCk=&amp;WINDOW=FIRST_POPUP&amp;HEIGH","T=450&amp;WIDTH=450&amp;START_MAXIMIZED=FALSE&amp;VAR:CALENDAR=US&amp;VAR:SYMBOL=TGT&amp;VAR:INDEX=0"}</definedName>
    <definedName name="_129__FDSAUDITLINK__" hidden="1">{"fdsup://directions/FAT Viewer?action=UPDATE&amp;creator=factset&amp;DYN_ARGS=TRUE&amp;DOC_NAME=FAT:FQL_AUDITING_CLIENT_TEMPLATE.FAT&amp;display_string=Audit&amp;VAR:KEY=JYPWHKZYNU&amp;VAR:QUERY=RkZfRUJJVERBX09QRVIoUVRSLDQvMS8yMDA5LDYvMzAvMjAwOSwsLFVTRCk=&amp;WINDOW=FIRST_POPUP&amp;HEIGH","T=450&amp;WIDTH=450&amp;START_MAXIMIZED=FALSE&amp;VAR:CALENDAR=US&amp;VAR:SYMBOL=TGT&amp;VAR:INDEX=0"}</definedName>
    <definedName name="_1290__FDSAUDITLINK__" localSheetId="1" hidden="1">{"fdsup://Directions/FactSet Auditing Viewer?action=AUDIT_VALUE&amp;DB=129&amp;ID1=68609110&amp;VALUEID=01001&amp;SDATE=200902&amp;PERIODTYPE=QTR_STD&amp;window=popup_no_bar&amp;width=385&amp;height=120&amp;START_MAXIMIZED=FALSE&amp;creator=factset&amp;display_string=Audit"}</definedName>
    <definedName name="_1290__FDSAUDITLINK__" hidden="1">{"fdsup://Directions/FactSet Auditing Viewer?action=AUDIT_VALUE&amp;DB=129&amp;ID1=68609110&amp;VALUEID=01001&amp;SDATE=200902&amp;PERIODTYPE=QTR_STD&amp;window=popup_no_bar&amp;width=385&amp;height=120&amp;START_MAXIMIZED=FALSE&amp;creator=factset&amp;display_string=Audit"}</definedName>
    <definedName name="_1291__FDSAUDITLINK__" localSheetId="1" hidden="1">{"fdsup://Directions/FactSet Auditing Viewer?action=AUDIT_VALUE&amp;DB=129&amp;ID1=68609110&amp;VALUEID=01001&amp;SDATE=201002&amp;PERIODTYPE=QTR_STD&amp;window=popup_no_bar&amp;width=385&amp;height=120&amp;START_MAXIMIZED=FALSE&amp;creator=factset&amp;display_string=Audit"}</definedName>
    <definedName name="_1291__FDSAUDITLINK__" hidden="1">{"fdsup://Directions/FactSet Auditing Viewer?action=AUDIT_VALUE&amp;DB=129&amp;ID1=68609110&amp;VALUEID=01001&amp;SDATE=201002&amp;PERIODTYPE=QTR_STD&amp;window=popup_no_bar&amp;width=385&amp;height=120&amp;START_MAXIMIZED=FALSE&amp;creator=factset&amp;display_string=Audit"}</definedName>
    <definedName name="_1292__FDSAUDITLINK__" localSheetId="1" hidden="1">{"fdsup://Directions/FactSet Auditing Viewer?action=AUDIT_VALUE&amp;DB=129&amp;ID1=68389X10&amp;VALUEID=01001&amp;SDATE=200804&amp;PERIODTYPE=QTR_STD&amp;window=popup_no_bar&amp;width=385&amp;height=120&amp;START_MAXIMIZED=FALSE&amp;creator=factset&amp;display_string=Audit"}</definedName>
    <definedName name="_1292__FDSAUDITLINK__" hidden="1">{"fdsup://Directions/FactSet Auditing Viewer?action=AUDIT_VALUE&amp;DB=129&amp;ID1=68389X10&amp;VALUEID=01001&amp;SDATE=200804&amp;PERIODTYPE=QTR_STD&amp;window=popup_no_bar&amp;width=385&amp;height=120&amp;START_MAXIMIZED=FALSE&amp;creator=factset&amp;display_string=Audit"}</definedName>
    <definedName name="_1293__FDSAUDITLINK__" localSheetId="1" hidden="1">{"fdsup://Directions/FactSet Auditing Viewer?action=AUDIT_VALUE&amp;DB=129&amp;ID1=68389X10&amp;VALUEID=01001&amp;SDATE=200904&amp;PERIODTYPE=QTR_STD&amp;window=popup_no_bar&amp;width=385&amp;height=120&amp;START_MAXIMIZED=FALSE&amp;creator=factset&amp;display_string=Audit"}</definedName>
    <definedName name="_1293__FDSAUDITLINK__" hidden="1">{"fdsup://Directions/FactSet Auditing Viewer?action=AUDIT_VALUE&amp;DB=129&amp;ID1=68389X10&amp;VALUEID=01001&amp;SDATE=200904&amp;PERIODTYPE=QTR_STD&amp;window=popup_no_bar&amp;width=385&amp;height=120&amp;START_MAXIMIZED=FALSE&amp;creator=factset&amp;display_string=Audit"}</definedName>
    <definedName name="_1294__FDSAUDITLINK__" localSheetId="1" hidden="1">{"fdsup://Directions/FactSet Auditing Viewer?action=AUDIT_VALUE&amp;DB=129&amp;ID1=68191910&amp;VALUEID=01001&amp;SDATE=200902&amp;PERIODTYPE=QTR_STD&amp;window=popup_no_bar&amp;width=385&amp;height=120&amp;START_MAXIMIZED=FALSE&amp;creator=factset&amp;display_string=Audit"}</definedName>
    <definedName name="_1294__FDSAUDITLINK__" hidden="1">{"fdsup://Directions/FactSet Auditing Viewer?action=AUDIT_VALUE&amp;DB=129&amp;ID1=68191910&amp;VALUEID=01001&amp;SDATE=200902&amp;PERIODTYPE=QTR_STD&amp;window=popup_no_bar&amp;width=385&amp;height=120&amp;START_MAXIMIZED=FALSE&amp;creator=factset&amp;display_string=Audit"}</definedName>
    <definedName name="_1295__FDSAUDITLINK__" localSheetId="1" hidden="1">{"fdsup://Directions/FactSet Auditing Viewer?action=AUDIT_VALUE&amp;DB=129&amp;ID1=68191910&amp;VALUEID=01001&amp;SDATE=201002&amp;PERIODTYPE=QTR_STD&amp;window=popup_no_bar&amp;width=385&amp;height=120&amp;START_MAXIMIZED=FALSE&amp;creator=factset&amp;display_string=Audit"}</definedName>
    <definedName name="_1295__FDSAUDITLINK__" hidden="1">{"fdsup://Directions/FactSet Auditing Viewer?action=AUDIT_VALUE&amp;DB=129&amp;ID1=68191910&amp;VALUEID=01001&amp;SDATE=201002&amp;PERIODTYPE=QTR_STD&amp;window=popup_no_bar&amp;width=385&amp;height=120&amp;START_MAXIMIZED=FALSE&amp;creator=factset&amp;display_string=Audit"}</definedName>
    <definedName name="_1296__FDSAUDITLINK__" localSheetId="1" hidden="1">{"fdsup://Directions/FactSet Auditing Viewer?action=AUDIT_VALUE&amp;DB=129&amp;ID1=68268010&amp;VALUEID=01001&amp;SDATE=200902&amp;PERIODTYPE=QTR_STD&amp;window=popup_no_bar&amp;width=385&amp;height=120&amp;START_MAXIMIZED=FALSE&amp;creator=factset&amp;display_string=Audit"}</definedName>
    <definedName name="_1296__FDSAUDITLINK__" hidden="1">{"fdsup://Directions/FactSet Auditing Viewer?action=AUDIT_VALUE&amp;DB=129&amp;ID1=68268010&amp;VALUEID=01001&amp;SDATE=200902&amp;PERIODTYPE=QTR_STD&amp;window=popup_no_bar&amp;width=385&amp;height=120&amp;START_MAXIMIZED=FALSE&amp;creator=factset&amp;display_string=Audit"}</definedName>
    <definedName name="_1297__FDSAUDITLINK__" localSheetId="1" hidden="1">{"fdsup://Directions/FactSet Auditing Viewer?action=AUDIT_VALUE&amp;DB=129&amp;ID1=68268010&amp;VALUEID=01001&amp;SDATE=201002&amp;PERIODTYPE=QTR_STD&amp;window=popup_no_bar&amp;width=385&amp;height=120&amp;START_MAXIMIZED=FALSE&amp;creator=factset&amp;display_string=Audit"}</definedName>
    <definedName name="_1297__FDSAUDITLINK__" hidden="1">{"fdsup://Directions/FactSet Auditing Viewer?action=AUDIT_VALUE&amp;DB=129&amp;ID1=68268010&amp;VALUEID=01001&amp;SDATE=201002&amp;PERIODTYPE=QTR_STD&amp;window=popup_no_bar&amp;width=385&amp;height=120&amp;START_MAXIMIZED=FALSE&amp;creator=factset&amp;display_string=Audit"}</definedName>
    <definedName name="_1298__FDSAUDITLINK__" localSheetId="1" hidden="1">{"fdsup://Directions/FactSet Auditing Viewer?action=AUDIT_VALUE&amp;DB=129&amp;ID1=69076840&amp;VALUEID=01001&amp;SDATE=200902&amp;PERIODTYPE=QTR_STD&amp;window=popup_no_bar&amp;width=385&amp;height=120&amp;START_MAXIMIZED=FALSE&amp;creator=factset&amp;display_string=Audit"}</definedName>
    <definedName name="_1298__FDSAUDITLINK__" hidden="1">{"fdsup://Directions/FactSet Auditing Viewer?action=AUDIT_VALUE&amp;DB=129&amp;ID1=69076840&amp;VALUEID=01001&amp;SDATE=200902&amp;PERIODTYPE=QTR_STD&amp;window=popup_no_bar&amp;width=385&amp;height=120&amp;START_MAXIMIZED=FALSE&amp;creator=factset&amp;display_string=Audit"}</definedName>
    <definedName name="_1299__FDSAUDITLINK__" localSheetId="1" hidden="1">{"fdsup://Directions/FactSet Auditing Viewer?action=AUDIT_VALUE&amp;DB=129&amp;ID1=69076840&amp;VALUEID=01001&amp;SDATE=201002&amp;PERIODTYPE=QTR_STD&amp;window=popup_no_bar&amp;width=385&amp;height=120&amp;START_MAXIMIZED=FALSE&amp;creator=factset&amp;display_string=Audit"}</definedName>
    <definedName name="_1299__FDSAUDITLINK__" hidden="1">{"fdsup://Directions/FactSet Auditing Viewer?action=AUDIT_VALUE&amp;DB=129&amp;ID1=69076840&amp;VALUEID=01001&amp;SDATE=201002&amp;PERIODTYPE=QTR_STD&amp;window=popup_no_bar&amp;width=385&amp;height=120&amp;START_MAXIMIZED=FALSE&amp;creator=factset&amp;display_string=Audit"}</definedName>
    <definedName name="_13__FDSAUDITLINK__" localSheetId="1" hidden="1">{"fdsup://directions/FAT Viewer?action=UPDATE&amp;creator=factset&amp;DYN_ARGS=TRUE&amp;DOC_NAME=FAT:FQL_AUDITING_CLIENT_TEMPLATE.FAT&amp;display_string=Audit&amp;VAR:KEY=BINEHMDYHG&amp;VAR:QUERY=RkZfRUJJVERBX09QRVIoUVRSLDQvMS8yMDA5LDYvMzAvMjAwOSwsLFVTRCk=&amp;WINDOW=FIRST_POPUP&amp;HEIGH","T=450&amp;WIDTH=450&amp;START_MAXIMIZED=FALSE&amp;VAR:CALENDAR=US&amp;VAR:SYMBOL=XOM&amp;VAR:INDEX=0"}</definedName>
    <definedName name="_13__FDSAUDITLINK__" hidden="1">{"fdsup://Directions/FactSet Auditing Viewer?action=AUDIT_VALUE&amp;DB=129&amp;ID1=595937&amp;VALUEID=02001&amp;SDATE=2009&amp;PERIODTYPE=ANN_STD&amp;window=popup_no_bar&amp;width=385&amp;height=120&amp;START_MAXIMIZED=FALSE&amp;creator=factset&amp;display_string=Audit"}</definedName>
    <definedName name="_130__FDSAUDITLINK__" localSheetId="1" hidden="1">{"fdsup://directions/FAT Viewer?action=UPDATE&amp;creator=factset&amp;DYN_ARGS=TRUE&amp;DOC_NAME=FAT:FQL_AUDITING_CLIENT_TEMPLATE.FAT&amp;display_string=Audit&amp;VAR:KEY=PKBKPYHWZE&amp;VAR:QUERY=RkZfRUJJVERBX09QRVIoUVRSLDQvMS8yMDEwLDYvMzAvMjAxMCwsLFVTRCk=&amp;WINDOW=FIRST_POPUP&amp;HEIGH","T=450&amp;WIDTH=450&amp;START_MAXIMIZED=FALSE&amp;VAR:CALENDAR=US&amp;VAR:SYMBOL=TGT&amp;VAR:INDEX=0"}</definedName>
    <definedName name="_130__FDSAUDITLINK__" hidden="1">{"fdsup://directions/FAT Viewer?action=UPDATE&amp;creator=factset&amp;DYN_ARGS=TRUE&amp;DOC_NAME=FAT:FQL_AUDITING_CLIENT_TEMPLATE.FAT&amp;display_string=Audit&amp;VAR:KEY=PKBKPYHWZE&amp;VAR:QUERY=RkZfRUJJVERBX09QRVIoUVRSLDQvMS8yMDEwLDYvMzAvMjAxMCwsLFVTRCk=&amp;WINDOW=FIRST_POPUP&amp;HEIGH","T=450&amp;WIDTH=450&amp;START_MAXIMIZED=FALSE&amp;VAR:CALENDAR=US&amp;VAR:SYMBOL=TGT&amp;VAR:INDEX=0"}</definedName>
    <definedName name="_1300__FDSAUDITLINK__" localSheetId="1" hidden="1">{"fdsup://Directions/FactSet Auditing Viewer?action=AUDIT_VALUE&amp;DB=129&amp;ID1=67622010&amp;VALUEID=01001&amp;SDATE=200902&amp;PERIODTYPE=QTR_STD&amp;window=popup_no_bar&amp;width=385&amp;height=120&amp;START_MAXIMIZED=FALSE&amp;creator=factset&amp;display_string=Audit"}</definedName>
    <definedName name="_1300__FDSAUDITLINK__" hidden="1">{"fdsup://Directions/FactSet Auditing Viewer?action=AUDIT_VALUE&amp;DB=129&amp;ID1=67622010&amp;VALUEID=01001&amp;SDATE=200902&amp;PERIODTYPE=QTR_STD&amp;window=popup_no_bar&amp;width=385&amp;height=120&amp;START_MAXIMIZED=FALSE&amp;creator=factset&amp;display_string=Audit"}</definedName>
    <definedName name="_1301__FDSAUDITLINK__" localSheetId="1" hidden="1">{"fdsup://Directions/FactSet Auditing Viewer?action=AUDIT_VALUE&amp;DB=129&amp;ID1=67622010&amp;VALUEID=01001&amp;SDATE=201002&amp;PERIODTYPE=QTR_STD&amp;window=popup_no_bar&amp;width=385&amp;height=120&amp;START_MAXIMIZED=FALSE&amp;creator=factset&amp;display_string=Audit"}</definedName>
    <definedName name="_1301__FDSAUDITLINK__" hidden="1">{"fdsup://Directions/FactSet Auditing Viewer?action=AUDIT_VALUE&amp;DB=129&amp;ID1=67622010&amp;VALUEID=01001&amp;SDATE=201002&amp;PERIODTYPE=QTR_STD&amp;window=popup_no_bar&amp;width=385&amp;height=120&amp;START_MAXIMIZED=FALSE&amp;creator=factset&amp;display_string=Audit"}</definedName>
    <definedName name="_1302__FDSAUDITLINK__" localSheetId="1" hidden="1">{"fdsup://Directions/FactSet Auditing Viewer?action=AUDIT_VALUE&amp;DB=129&amp;ID1=62949110&amp;VALUEID=01001&amp;SDATE=200902&amp;PERIODTYPE=QTR_STD&amp;window=popup_no_bar&amp;width=385&amp;height=120&amp;START_MAXIMIZED=FALSE&amp;creator=factset&amp;display_string=Audit"}</definedName>
    <definedName name="_1302__FDSAUDITLINK__" hidden="1">{"fdsup://Directions/FactSet Auditing Viewer?action=AUDIT_VALUE&amp;DB=129&amp;ID1=62949110&amp;VALUEID=01001&amp;SDATE=200902&amp;PERIODTYPE=QTR_STD&amp;window=popup_no_bar&amp;width=385&amp;height=120&amp;START_MAXIMIZED=FALSE&amp;creator=factset&amp;display_string=Audit"}</definedName>
    <definedName name="_1303__FDSAUDITLINK__" localSheetId="1" hidden="1">{"fdsup://Directions/FactSet Auditing Viewer?action=AUDIT_VALUE&amp;DB=129&amp;ID1=62949110&amp;VALUEID=01001&amp;SDATE=201002&amp;PERIODTYPE=QTR_STD&amp;window=popup_no_bar&amp;width=385&amp;height=120&amp;START_MAXIMIZED=FALSE&amp;creator=factset&amp;display_string=Audit"}</definedName>
    <definedName name="_1303__FDSAUDITLINK__" hidden="1">{"fdsup://Directions/FactSet Auditing Viewer?action=AUDIT_VALUE&amp;DB=129&amp;ID1=62949110&amp;VALUEID=01001&amp;SDATE=201002&amp;PERIODTYPE=QTR_STD&amp;window=popup_no_bar&amp;width=385&amp;height=120&amp;START_MAXIMIZED=FALSE&amp;creator=factset&amp;display_string=Audit"}</definedName>
    <definedName name="_1304__FDSAUDITLINK__" localSheetId="1" hidden="1">{"fdsup://Directions/FactSet Auditing Viewer?action=AUDIT_VALUE&amp;DB=129&amp;ID1=65011110&amp;VALUEID=01001&amp;SDATE=201002&amp;PERIODTYPE=QTR_STD&amp;window=popup_no_bar&amp;width=385&amp;height=120&amp;START_MAXIMIZED=FALSE&amp;creator=factset&amp;display_string=Audit"}</definedName>
    <definedName name="_1304__FDSAUDITLINK__" hidden="1">{"fdsup://Directions/FactSet Auditing Viewer?action=AUDIT_VALUE&amp;DB=129&amp;ID1=65011110&amp;VALUEID=01001&amp;SDATE=201002&amp;PERIODTYPE=QTR_STD&amp;window=popup_no_bar&amp;width=385&amp;height=120&amp;START_MAXIMIZED=FALSE&amp;creator=factset&amp;display_string=Audit"}</definedName>
    <definedName name="_1305__FDSAUDITLINK__" localSheetId="1" hidden="1">{"fdsup://Directions/FactSet Auditing Viewer?action=AUDIT_VALUE&amp;DB=129&amp;ID1=65248E10&amp;VALUEID=01001&amp;SDATE=200904&amp;PERIODTYPE=QTR_STD&amp;window=popup_no_bar&amp;width=385&amp;height=120&amp;START_MAXIMIZED=FALSE&amp;creator=factset&amp;display_string=Audit"}</definedName>
    <definedName name="_1305__FDSAUDITLINK__" hidden="1">{"fdsup://Directions/FactSet Auditing Viewer?action=AUDIT_VALUE&amp;DB=129&amp;ID1=65248E10&amp;VALUEID=01001&amp;SDATE=200904&amp;PERIODTYPE=QTR_STD&amp;window=popup_no_bar&amp;width=385&amp;height=120&amp;START_MAXIMIZED=FALSE&amp;creator=factset&amp;display_string=Audit"}</definedName>
    <definedName name="_1306__FDSAUDITLINK__" localSheetId="1" hidden="1">{"fdsup://Directions/FactSet Auditing Viewer?action=AUDIT_VALUE&amp;DB=129&amp;ID1=65248E10&amp;VALUEID=01001&amp;SDATE=201004&amp;PERIODTYPE=QTR_STD&amp;window=popup_no_bar&amp;width=385&amp;height=120&amp;START_MAXIMIZED=FALSE&amp;creator=factset&amp;display_string=Audit"}</definedName>
    <definedName name="_1306__FDSAUDITLINK__" hidden="1">{"fdsup://Directions/FactSet Auditing Viewer?action=AUDIT_VALUE&amp;DB=129&amp;ID1=65248E10&amp;VALUEID=01001&amp;SDATE=201004&amp;PERIODTYPE=QTR_STD&amp;window=popup_no_bar&amp;width=385&amp;height=120&amp;START_MAXIMIZED=FALSE&amp;creator=factset&amp;display_string=Audit"}</definedName>
    <definedName name="_1307__FDSAUDITLINK__" localSheetId="1" hidden="1">{"fdsup://Directions/FactSet Auditing Viewer?action=AUDIT_VALUE&amp;DB=129&amp;ID1=65122910&amp;VALUEID=01001&amp;SDATE=200902&amp;PERIODTYPE=QTR_STD&amp;window=popup_no_bar&amp;width=385&amp;height=120&amp;START_MAXIMIZED=FALSE&amp;creator=factset&amp;display_string=Audit"}</definedName>
    <definedName name="_1307__FDSAUDITLINK__" hidden="1">{"fdsup://Directions/FactSet Auditing Viewer?action=AUDIT_VALUE&amp;DB=129&amp;ID1=65122910&amp;VALUEID=01001&amp;SDATE=200902&amp;PERIODTYPE=QTR_STD&amp;window=popup_no_bar&amp;width=385&amp;height=120&amp;START_MAXIMIZED=FALSE&amp;creator=factset&amp;display_string=Audit"}</definedName>
    <definedName name="_1308__FDSAUDITLINK__" localSheetId="1" hidden="1">{"fdsup://Directions/FactSet Auditing Viewer?action=AUDIT_VALUE&amp;DB=129&amp;ID1=65122910&amp;VALUEID=01001&amp;SDATE=201002&amp;PERIODTYPE=QTR_STD&amp;window=popup_no_bar&amp;width=385&amp;height=120&amp;START_MAXIMIZED=FALSE&amp;creator=factset&amp;display_string=Audit"}</definedName>
    <definedName name="_1308__FDSAUDITLINK__" hidden="1">{"fdsup://Directions/FactSet Auditing Viewer?action=AUDIT_VALUE&amp;DB=129&amp;ID1=65122910&amp;VALUEID=01001&amp;SDATE=201002&amp;PERIODTYPE=QTR_STD&amp;window=popup_no_bar&amp;width=385&amp;height=120&amp;START_MAXIMIZED=FALSE&amp;creator=factset&amp;display_string=Audit"}</definedName>
    <definedName name="_1309__FDSAUDITLINK__" localSheetId="1" hidden="1">{"fdsup://Directions/FactSet Auditing Viewer?action=AUDIT_VALUE&amp;DB=129&amp;ID1=67000810&amp;VALUEID=01001&amp;SDATE=200902&amp;PERIODTYPE=QTR_STD&amp;window=popup_no_bar&amp;width=385&amp;height=120&amp;START_MAXIMIZED=FALSE&amp;creator=factset&amp;display_string=Audit"}</definedName>
    <definedName name="_1309__FDSAUDITLINK__" hidden="1">{"fdsup://Directions/FactSet Auditing Viewer?action=AUDIT_VALUE&amp;DB=129&amp;ID1=67000810&amp;VALUEID=01001&amp;SDATE=200902&amp;PERIODTYPE=QTR_STD&amp;window=popup_no_bar&amp;width=385&amp;height=120&amp;START_MAXIMIZED=FALSE&amp;creator=factset&amp;display_string=Audit"}</definedName>
    <definedName name="_131__FDSAUDITLINK__" localSheetId="1" hidden="1">{"fdsup://directions/FAT Viewer?action=UPDATE&amp;creator=factset&amp;DYN_ARGS=TRUE&amp;DOC_NAME=FAT:FQL_AUDITING_CLIENT_TEMPLATE.FAT&amp;display_string=Audit&amp;VAR:KEY=XGVSRYFEJG&amp;VAR:QUERY=RkZfRUJJVERBX09QRVIoUVRSLDQvMS8yMDA5LDYvMzAvMjAwOSwsLFVTRCk=&amp;WINDOW=FIRST_POPUP&amp;HEIGH","T=450&amp;WIDTH=450&amp;START_MAXIMIZED=FALSE&amp;VAR:CALENDAR=US&amp;VAR:SYMBOL=TER&amp;VAR:INDEX=0"}</definedName>
    <definedName name="_131__FDSAUDITLINK__" hidden="1">{"fdsup://directions/FAT Viewer?action=UPDATE&amp;creator=factset&amp;DYN_ARGS=TRUE&amp;DOC_NAME=FAT:FQL_AUDITING_CLIENT_TEMPLATE.FAT&amp;display_string=Audit&amp;VAR:KEY=XGVSRYFEJG&amp;VAR:QUERY=RkZfRUJJVERBX09QRVIoUVRSLDQvMS8yMDA5LDYvMzAvMjAwOSwsLFVTRCk=&amp;WINDOW=FIRST_POPUP&amp;HEIGH","T=450&amp;WIDTH=450&amp;START_MAXIMIZED=FALSE&amp;VAR:CALENDAR=US&amp;VAR:SYMBOL=TER&amp;VAR:INDEX=0"}</definedName>
    <definedName name="_1310__FDSAUDITLINK__" localSheetId="1" hidden="1">{"fdsup://Directions/FactSet Auditing Viewer?action=AUDIT_VALUE&amp;DB=129&amp;ID1=67000810&amp;VALUEID=01001&amp;SDATE=201002&amp;PERIODTYPE=QTR_STD&amp;window=popup_no_bar&amp;width=385&amp;height=120&amp;START_MAXIMIZED=FALSE&amp;creator=factset&amp;display_string=Audit"}</definedName>
    <definedName name="_1310__FDSAUDITLINK__" hidden="1">{"fdsup://Directions/FactSet Auditing Viewer?action=AUDIT_VALUE&amp;DB=129&amp;ID1=67000810&amp;VALUEID=01001&amp;SDATE=201002&amp;PERIODTYPE=QTR_STD&amp;window=popup_no_bar&amp;width=385&amp;height=120&amp;START_MAXIMIZED=FALSE&amp;creator=factset&amp;display_string=Audit"}</definedName>
    <definedName name="_1311__FDSAUDITLINK__" localSheetId="1" hidden="1">{"fdsup://Directions/FactSet Auditing Viewer?action=AUDIT_VALUE&amp;DB=129&amp;ID1=67066G10&amp;VALUEID=01001&amp;SDATE=201001&amp;PERIODTYPE=QTR_STD&amp;window=popup_no_bar&amp;width=385&amp;height=120&amp;START_MAXIMIZED=FALSE&amp;creator=factset&amp;display_string=Audit"}</definedName>
    <definedName name="_1311__FDSAUDITLINK__" hidden="1">{"fdsup://Directions/FactSet Auditing Viewer?action=AUDIT_VALUE&amp;DB=129&amp;ID1=67066G10&amp;VALUEID=01001&amp;SDATE=201001&amp;PERIODTYPE=QTR_STD&amp;window=popup_no_bar&amp;width=385&amp;height=120&amp;START_MAXIMIZED=FALSE&amp;creator=factset&amp;display_string=Audit"}</definedName>
    <definedName name="_1312__FDSAUDITLINK__" localSheetId="1" hidden="1">{"fdsup://Directions/FactSet Auditing Viewer?action=AUDIT_VALUE&amp;DB=129&amp;ID1=67034610&amp;VALUEID=01001&amp;SDATE=200902&amp;PERIODTYPE=QTR_STD&amp;window=popup_no_bar&amp;width=385&amp;height=120&amp;START_MAXIMIZED=FALSE&amp;creator=factset&amp;display_string=Audit"}</definedName>
    <definedName name="_1312__FDSAUDITLINK__" hidden="1">{"fdsup://Directions/FactSet Auditing Viewer?action=AUDIT_VALUE&amp;DB=129&amp;ID1=67034610&amp;VALUEID=01001&amp;SDATE=200902&amp;PERIODTYPE=QTR_STD&amp;window=popup_no_bar&amp;width=385&amp;height=120&amp;START_MAXIMIZED=FALSE&amp;creator=factset&amp;display_string=Audit"}</definedName>
    <definedName name="_1313__FDSAUDITLINK__" localSheetId="1" hidden="1">{"fdsup://Directions/FactSet Auditing Viewer?action=AUDIT_VALUE&amp;DB=129&amp;ID1=67034610&amp;VALUEID=01001&amp;SDATE=201002&amp;PERIODTYPE=QTR_STD&amp;window=popup_no_bar&amp;width=385&amp;height=120&amp;START_MAXIMIZED=FALSE&amp;creator=factset&amp;display_string=Audit"}</definedName>
    <definedName name="_1313__FDSAUDITLINK__" hidden="1">{"fdsup://Directions/FactSet Auditing Viewer?action=AUDIT_VALUE&amp;DB=129&amp;ID1=67034610&amp;VALUEID=01001&amp;SDATE=201002&amp;PERIODTYPE=QTR_STD&amp;window=popup_no_bar&amp;width=385&amp;height=120&amp;START_MAXIMIZED=FALSE&amp;creator=factset&amp;display_string=Audit"}</definedName>
    <definedName name="_1314__FDSAUDITLINK__" localSheetId="1" hidden="1">{"fdsup://Directions/FactSet Auditing Viewer?action=AUDIT_VALUE&amp;DB=129&amp;ID1=66439710&amp;VALUEID=01001&amp;SDATE=200902&amp;PERIODTYPE=QTR_STD&amp;window=popup_no_bar&amp;width=385&amp;height=120&amp;START_MAXIMIZED=FALSE&amp;creator=factset&amp;display_string=Audit"}</definedName>
    <definedName name="_1314__FDSAUDITLINK__" hidden="1">{"fdsup://Directions/FactSet Auditing Viewer?action=AUDIT_VALUE&amp;DB=129&amp;ID1=66439710&amp;VALUEID=01001&amp;SDATE=200902&amp;PERIODTYPE=QTR_STD&amp;window=popup_no_bar&amp;width=385&amp;height=120&amp;START_MAXIMIZED=FALSE&amp;creator=factset&amp;display_string=Audit"}</definedName>
    <definedName name="_1315__FDSAUDITLINK__" localSheetId="1" hidden="1">{"fdsup://Directions/FactSet Auditing Viewer?action=AUDIT_VALUE&amp;DB=129&amp;ID1=66439710&amp;VALUEID=01001&amp;SDATE=201002&amp;PERIODTYPE=QTR_STD&amp;window=popup_no_bar&amp;width=385&amp;height=120&amp;START_MAXIMIZED=FALSE&amp;creator=factset&amp;display_string=Audit"}</definedName>
    <definedName name="_1315__FDSAUDITLINK__" hidden="1">{"fdsup://Directions/FactSet Auditing Viewer?action=AUDIT_VALUE&amp;DB=129&amp;ID1=66439710&amp;VALUEID=01001&amp;SDATE=201002&amp;PERIODTYPE=QTR_STD&amp;window=popup_no_bar&amp;width=385&amp;height=120&amp;START_MAXIMIZED=FALSE&amp;creator=factset&amp;display_string=Audit"}</definedName>
    <definedName name="_1316__FDSAUDITLINK__" localSheetId="1" hidden="1">{"fdsup://Directions/FactSet Auditing Viewer?action=AUDIT_VALUE&amp;DB=129&amp;ID1=64110D10&amp;VALUEID=01001&amp;SDATE=200904&amp;PERIODTYPE=QTR_STD&amp;window=popup_no_bar&amp;width=385&amp;height=120&amp;START_MAXIMIZED=FALSE&amp;creator=factset&amp;display_string=Audit"}</definedName>
    <definedName name="_1316__FDSAUDITLINK__" hidden="1">{"fdsup://Directions/FactSet Auditing Viewer?action=AUDIT_VALUE&amp;DB=129&amp;ID1=64110D10&amp;VALUEID=01001&amp;SDATE=200904&amp;PERIODTYPE=QTR_STD&amp;window=popup_no_bar&amp;width=385&amp;height=120&amp;START_MAXIMIZED=FALSE&amp;creator=factset&amp;display_string=Audit"}</definedName>
    <definedName name="_1317__FDSAUDITLINK__" localSheetId="1" hidden="1">{"fdsup://Directions/FactSet Auditing Viewer?action=AUDIT_VALUE&amp;DB=129&amp;ID1=63764010&amp;VALUEID=01001&amp;SDATE=200904&amp;PERIODTYPE=QTR_STD&amp;window=popup_no_bar&amp;width=385&amp;height=120&amp;START_MAXIMIZED=FALSE&amp;creator=factset&amp;display_string=Audit"}</definedName>
    <definedName name="_1317__FDSAUDITLINK__" hidden="1">{"fdsup://Directions/FactSet Auditing Viewer?action=AUDIT_VALUE&amp;DB=129&amp;ID1=63764010&amp;VALUEID=01001&amp;SDATE=200904&amp;PERIODTYPE=QTR_STD&amp;window=popup_no_bar&amp;width=385&amp;height=120&amp;START_MAXIMIZED=FALSE&amp;creator=factset&amp;display_string=Audit"}</definedName>
    <definedName name="_1318__FDSAUDITLINK__" localSheetId="1" hidden="1">{"fdsup://Directions/FactSet Auditing Viewer?action=AUDIT_VALUE&amp;DB=129&amp;ID1=65584410&amp;VALUEID=01001&amp;SDATE=200902&amp;PERIODTYPE=QTR_STD&amp;window=popup_no_bar&amp;width=385&amp;height=120&amp;START_MAXIMIZED=FALSE&amp;creator=factset&amp;display_string=Audit"}</definedName>
    <definedName name="_1318__FDSAUDITLINK__" hidden="1">{"fdsup://Directions/FactSet Auditing Viewer?action=AUDIT_VALUE&amp;DB=129&amp;ID1=65584410&amp;VALUEID=01001&amp;SDATE=200902&amp;PERIODTYPE=QTR_STD&amp;window=popup_no_bar&amp;width=385&amp;height=120&amp;START_MAXIMIZED=FALSE&amp;creator=factset&amp;display_string=Audit"}</definedName>
    <definedName name="_1319__FDSAUDITLINK__" localSheetId="1" hidden="1">{"fdsup://Directions/FactSet Auditing Viewer?action=AUDIT_VALUE&amp;DB=129&amp;ID1=65584410&amp;VALUEID=01001&amp;SDATE=201002&amp;PERIODTYPE=QTR_STD&amp;window=popup_no_bar&amp;width=385&amp;height=120&amp;START_MAXIMIZED=FALSE&amp;creator=factset&amp;display_string=Audit"}</definedName>
    <definedName name="_1319__FDSAUDITLINK__" hidden="1">{"fdsup://Directions/FactSet Auditing Viewer?action=AUDIT_VALUE&amp;DB=129&amp;ID1=65584410&amp;VALUEID=01001&amp;SDATE=201002&amp;PERIODTYPE=QTR_STD&amp;window=popup_no_bar&amp;width=385&amp;height=120&amp;START_MAXIMIZED=FALSE&amp;creator=factset&amp;display_string=Audit"}</definedName>
    <definedName name="_132__FDSAUDITLINK__" localSheetId="1" hidden="1">{"fdsup://directions/FAT Viewer?action=UPDATE&amp;creator=factset&amp;DYN_ARGS=TRUE&amp;DOC_NAME=FAT:FQL_AUDITING_CLIENT_TEMPLATE.FAT&amp;display_string=Audit&amp;VAR:KEY=FAFSTSPCHM&amp;VAR:QUERY=RkZfRUJJVERBX09QRVIoUVRSLDQvMS8yMDEwLDYvMzAvMjAxMCwsLFVTRCk=&amp;WINDOW=FIRST_POPUP&amp;HEIGH","T=450&amp;WIDTH=450&amp;START_MAXIMIZED=FALSE&amp;VAR:CALENDAR=US&amp;VAR:SYMBOL=TER&amp;VAR:INDEX=0"}</definedName>
    <definedName name="_132__FDSAUDITLINK__" hidden="1">{"fdsup://directions/FAT Viewer?action=UPDATE&amp;creator=factset&amp;DYN_ARGS=TRUE&amp;DOC_NAME=FAT:FQL_AUDITING_CLIENT_TEMPLATE.FAT&amp;display_string=Audit&amp;VAR:KEY=FAFSTSPCHM&amp;VAR:QUERY=RkZfRUJJVERBX09QRVIoUVRSLDQvMS8yMDEwLDYvMzAvMjAxMCwsLFVTRCk=&amp;WINDOW=FIRST_POPUP&amp;HEIGH","T=450&amp;WIDTH=450&amp;START_MAXIMIZED=FALSE&amp;VAR:CALENDAR=US&amp;VAR:SYMBOL=TER&amp;VAR:INDEX=0"}</definedName>
    <definedName name="_1320__FDSAUDITLINK__" localSheetId="1" hidden="1">{"fdsup://Directions/FactSet Auditing Viewer?action=AUDIT_VALUE&amp;DB=129&amp;ID1=62937750&amp;VALUEID=01001&amp;SDATE=200902&amp;PERIODTYPE=QTR_STD&amp;window=popup_no_bar&amp;width=385&amp;height=120&amp;START_MAXIMIZED=FALSE&amp;creator=factset&amp;display_string=Audit"}</definedName>
    <definedName name="_1320__FDSAUDITLINK__" hidden="1">{"fdsup://Directions/FactSet Auditing Viewer?action=AUDIT_VALUE&amp;DB=129&amp;ID1=62937750&amp;VALUEID=01001&amp;SDATE=200902&amp;PERIODTYPE=QTR_STD&amp;window=popup_no_bar&amp;width=385&amp;height=120&amp;START_MAXIMIZED=FALSE&amp;creator=factset&amp;display_string=Audit"}</definedName>
    <definedName name="_1321__FDSAUDITLINK__" localSheetId="1" hidden="1">{"fdsup://Directions/FactSet Auditing Viewer?action=AUDIT_VALUE&amp;DB=129&amp;ID1=62937750&amp;VALUEID=01001&amp;SDATE=201002&amp;PERIODTYPE=QTR_STD&amp;window=popup_no_bar&amp;width=385&amp;height=120&amp;START_MAXIMIZED=FALSE&amp;creator=factset&amp;display_string=Audit"}</definedName>
    <definedName name="_1321__FDSAUDITLINK__" hidden="1">{"fdsup://Directions/FactSet Auditing Viewer?action=AUDIT_VALUE&amp;DB=129&amp;ID1=62937750&amp;VALUEID=01001&amp;SDATE=201002&amp;PERIODTYPE=QTR_STD&amp;window=popup_no_bar&amp;width=385&amp;height=120&amp;START_MAXIMIZED=FALSE&amp;creator=factset&amp;display_string=Audit"}</definedName>
    <definedName name="_1322__FDSAUDITLINK__" localSheetId="1" hidden="1">{"fdsup://Directions/FactSet Auditing Viewer?action=AUDIT_VALUE&amp;DB=129&amp;ID1=67000610&amp;VALUEID=01001&amp;SDATE=201002&amp;PERIODTYPE=QTR_STD&amp;window=popup_no_bar&amp;width=385&amp;height=120&amp;START_MAXIMIZED=FALSE&amp;creator=factset&amp;display_string=Audit"}</definedName>
    <definedName name="_1322__FDSAUDITLINK__" hidden="1">{"fdsup://Directions/FactSet Auditing Viewer?action=AUDIT_VALUE&amp;DB=129&amp;ID1=67000610&amp;VALUEID=01001&amp;SDATE=201002&amp;PERIODTYPE=QTR_STD&amp;window=popup_no_bar&amp;width=385&amp;height=120&amp;START_MAXIMIZED=FALSE&amp;creator=factset&amp;display_string=Audit"}</definedName>
    <definedName name="_1323__FDSAUDITLINK__" localSheetId="1" hidden="1">{"fdsup://Directions/FactSet Auditing Viewer?action=AUDIT_VALUE&amp;DB=129&amp;ID1=63707110&amp;VALUEID=01001&amp;SDATE=200902&amp;PERIODTYPE=QTR_STD&amp;window=popup_no_bar&amp;width=385&amp;height=120&amp;START_MAXIMIZED=FALSE&amp;creator=factset&amp;display_string=Audit"}</definedName>
    <definedName name="_1323__FDSAUDITLINK__" hidden="1">{"fdsup://Directions/FactSet Auditing Viewer?action=AUDIT_VALUE&amp;DB=129&amp;ID1=63707110&amp;VALUEID=01001&amp;SDATE=200902&amp;PERIODTYPE=QTR_STD&amp;window=popup_no_bar&amp;width=385&amp;height=120&amp;START_MAXIMIZED=FALSE&amp;creator=factset&amp;display_string=Audit"}</definedName>
    <definedName name="_1324__FDSAUDITLINK__" localSheetId="1" hidden="1">{"fdsup://Directions/FactSet Auditing Viewer?action=AUDIT_VALUE&amp;DB=129&amp;ID1=63707110&amp;VALUEID=01001&amp;SDATE=201002&amp;PERIODTYPE=QTR_STD&amp;window=popup_no_bar&amp;width=385&amp;height=120&amp;START_MAXIMIZED=FALSE&amp;creator=factset&amp;display_string=Audit"}</definedName>
    <definedName name="_1324__FDSAUDITLINK__" hidden="1">{"fdsup://Directions/FactSet Auditing Viewer?action=AUDIT_VALUE&amp;DB=129&amp;ID1=63707110&amp;VALUEID=01001&amp;SDATE=201002&amp;PERIODTYPE=QTR_STD&amp;window=popup_no_bar&amp;width=385&amp;height=120&amp;START_MAXIMIZED=FALSE&amp;creator=factset&amp;display_string=Audit"}</definedName>
    <definedName name="_1325__FDSAUDITLINK__" localSheetId="1" hidden="1">{"fdsup://Directions/FactSet Auditing Viewer?action=AUDIT_VALUE&amp;DB=129&amp;ID1=66680710&amp;VALUEID=01001&amp;SDATE=200902&amp;PERIODTYPE=QTR_STD&amp;window=popup_no_bar&amp;width=385&amp;height=120&amp;START_MAXIMIZED=FALSE&amp;creator=factset&amp;display_string=Audit"}</definedName>
    <definedName name="_1325__FDSAUDITLINK__" hidden="1">{"fdsup://Directions/FactSet Auditing Viewer?action=AUDIT_VALUE&amp;DB=129&amp;ID1=66680710&amp;VALUEID=01001&amp;SDATE=200902&amp;PERIODTYPE=QTR_STD&amp;window=popup_no_bar&amp;width=385&amp;height=120&amp;START_MAXIMIZED=FALSE&amp;creator=factset&amp;display_string=Audit"}</definedName>
    <definedName name="_1326__FDSAUDITLINK__" localSheetId="1" hidden="1">{"fdsup://Directions/FactSet Auditing Viewer?action=AUDIT_VALUE&amp;DB=129&amp;ID1=66680710&amp;VALUEID=01001&amp;SDATE=201002&amp;PERIODTYPE=QTR_STD&amp;window=popup_no_bar&amp;width=385&amp;height=120&amp;START_MAXIMIZED=FALSE&amp;creator=factset&amp;display_string=Audit"}</definedName>
    <definedName name="_1326__FDSAUDITLINK__" hidden="1">{"fdsup://Directions/FactSet Auditing Viewer?action=AUDIT_VALUE&amp;DB=129&amp;ID1=66680710&amp;VALUEID=01001&amp;SDATE=201002&amp;PERIODTYPE=QTR_STD&amp;window=popup_no_bar&amp;width=385&amp;height=120&amp;START_MAXIMIZED=FALSE&amp;creator=factset&amp;display_string=Audit"}</definedName>
    <definedName name="_1327__FDSAUDITLINK__" localSheetId="1" hidden="1">{"fdsup://Directions/FactSet Auditing Viewer?action=AUDIT_VALUE&amp;DB=129&amp;ID1=65410610&amp;VALUEID=01001&amp;SDATE=200804&amp;PERIODTYPE=QTR_STD&amp;window=popup_no_bar&amp;width=385&amp;height=120&amp;START_MAXIMIZED=FALSE&amp;creator=factset&amp;display_string=Audit"}</definedName>
    <definedName name="_1327__FDSAUDITLINK__" hidden="1">{"fdsup://Directions/FactSet Auditing Viewer?action=AUDIT_VALUE&amp;DB=129&amp;ID1=65410610&amp;VALUEID=01001&amp;SDATE=200804&amp;PERIODTYPE=QTR_STD&amp;window=popup_no_bar&amp;width=385&amp;height=120&amp;START_MAXIMIZED=FALSE&amp;creator=factset&amp;display_string=Audit"}</definedName>
    <definedName name="_1328__FDSAUDITLINK__" localSheetId="1" hidden="1">{"fdsup://Directions/FactSet Auditing Viewer?action=AUDIT_VALUE&amp;DB=129&amp;ID1=65410610&amp;VALUEID=01001&amp;SDATE=200904&amp;PERIODTYPE=QTR_STD&amp;window=popup_no_bar&amp;width=385&amp;height=120&amp;START_MAXIMIZED=FALSE&amp;creator=factset&amp;display_string=Audit"}</definedName>
    <definedName name="_1328__FDSAUDITLINK__" hidden="1">{"fdsup://Directions/FactSet Auditing Viewer?action=AUDIT_VALUE&amp;DB=129&amp;ID1=65410610&amp;VALUEID=01001&amp;SDATE=200904&amp;PERIODTYPE=QTR_STD&amp;window=popup_no_bar&amp;width=385&amp;height=120&amp;START_MAXIMIZED=FALSE&amp;creator=factset&amp;display_string=Audit"}</definedName>
    <definedName name="_1329__FDSAUDITLINK__" localSheetId="1" hidden="1">{"fdsup://Directions/FactSet Auditing Viewer?action=AUDIT_VALUE&amp;DB=129&amp;ID1=65473P10&amp;VALUEID=01001&amp;SDATE=200902&amp;PERIODTYPE=QTR_STD&amp;window=popup_no_bar&amp;width=385&amp;height=120&amp;START_MAXIMIZED=FALSE&amp;creator=factset&amp;display_string=Audit"}</definedName>
    <definedName name="_1329__FDSAUDITLINK__" hidden="1">{"fdsup://Directions/FactSet Auditing Viewer?action=AUDIT_VALUE&amp;DB=129&amp;ID1=65473P10&amp;VALUEID=01001&amp;SDATE=200902&amp;PERIODTYPE=QTR_STD&amp;window=popup_no_bar&amp;width=385&amp;height=120&amp;START_MAXIMIZED=FALSE&amp;creator=factset&amp;display_string=Audit"}</definedName>
    <definedName name="_133__FDSAUDITLINK__" localSheetId="1" hidden="1">{"fdsup://directions/FAT Viewer?action=UPDATE&amp;creator=factset&amp;DYN_ARGS=TRUE&amp;DOC_NAME=FAT:FQL_AUDITING_CLIENT_TEMPLATE.FAT&amp;display_string=Audit&amp;VAR:KEY=XSBQHKDKRI&amp;VAR:QUERY=RkZfRUJJVERBX09QRVIoUVRSLDQvMS8yMDA5LDYvMzAvMjAwOSwsLFVTRCk=&amp;WINDOW=FIRST_POPUP&amp;HEIGH","T=450&amp;WIDTH=450&amp;START_MAXIMIZED=FALSE&amp;VAR:CALENDAR=US&amp;VAR:SYMBOL=TEG&amp;VAR:INDEX=0"}</definedName>
    <definedName name="_133__FDSAUDITLINK__" hidden="1">{"fdsup://directions/FAT Viewer?action=UPDATE&amp;creator=factset&amp;DYN_ARGS=TRUE&amp;DOC_NAME=FAT:FQL_AUDITING_CLIENT_TEMPLATE.FAT&amp;display_string=Audit&amp;VAR:KEY=XSBQHKDKRI&amp;VAR:QUERY=RkZfRUJJVERBX09QRVIoUVRSLDQvMS8yMDA5LDYvMzAvMjAwOSwsLFVTRCk=&amp;WINDOW=FIRST_POPUP&amp;HEIGH","T=450&amp;WIDTH=450&amp;START_MAXIMIZED=FALSE&amp;VAR:CALENDAR=US&amp;VAR:SYMBOL=TEG&amp;VAR:INDEX=0"}</definedName>
    <definedName name="_1330__FDSAUDITLINK__" localSheetId="1" hidden="1">{"fdsup://Directions/FactSet Auditing Viewer?action=AUDIT_VALUE&amp;DB=129&amp;ID1=65473P10&amp;VALUEID=01001&amp;SDATE=201002&amp;PERIODTYPE=QTR_STD&amp;window=popup_no_bar&amp;width=385&amp;height=120&amp;START_MAXIMIZED=FALSE&amp;creator=factset&amp;display_string=Audit"}</definedName>
    <definedName name="_1330__FDSAUDITLINK__" hidden="1">{"fdsup://Directions/FactSet Auditing Viewer?action=AUDIT_VALUE&amp;DB=129&amp;ID1=65473P10&amp;VALUEID=01001&amp;SDATE=201002&amp;PERIODTYPE=QTR_STD&amp;window=popup_no_bar&amp;width=385&amp;height=120&amp;START_MAXIMIZED=FALSE&amp;creator=factset&amp;display_string=Audit"}</definedName>
    <definedName name="_1331__FDSAUDITLINK__" localSheetId="1" hidden="1">{"fdsup://Directions/FactSet Auditing Viewer?action=AUDIT_VALUE&amp;DB=129&amp;ID1=65163910&amp;VALUEID=01001&amp;SDATE=200902&amp;PERIODTYPE=QTR_STD&amp;window=popup_no_bar&amp;width=385&amp;height=120&amp;START_MAXIMIZED=FALSE&amp;creator=factset&amp;display_string=Audit"}</definedName>
    <definedName name="_1331__FDSAUDITLINK__" hidden="1">{"fdsup://Directions/FactSet Auditing Viewer?action=AUDIT_VALUE&amp;DB=129&amp;ID1=65163910&amp;VALUEID=01001&amp;SDATE=200902&amp;PERIODTYPE=QTR_STD&amp;window=popup_no_bar&amp;width=385&amp;height=120&amp;START_MAXIMIZED=FALSE&amp;creator=factset&amp;display_string=Audit"}</definedName>
    <definedName name="_1332__FDSAUDITLINK__" localSheetId="1" hidden="1">{"fdsup://Directions/FactSet Auditing Viewer?action=AUDIT_VALUE&amp;DB=129&amp;ID1=65163910&amp;VALUEID=01001&amp;SDATE=201002&amp;PERIODTYPE=QTR_STD&amp;window=popup_no_bar&amp;width=385&amp;height=120&amp;START_MAXIMIZED=FALSE&amp;creator=factset&amp;display_string=Audit"}</definedName>
    <definedName name="_1332__FDSAUDITLINK__" hidden="1">{"fdsup://Directions/FactSet Auditing Viewer?action=AUDIT_VALUE&amp;DB=129&amp;ID1=65163910&amp;VALUEID=01001&amp;SDATE=201002&amp;PERIODTYPE=QTR_STD&amp;window=popup_no_bar&amp;width=385&amp;height=120&amp;START_MAXIMIZED=FALSE&amp;creator=factset&amp;display_string=Audit"}</definedName>
    <definedName name="_1333__FDSAUDITLINK__" localSheetId="1" hidden="1">{"fdsup://Directions/FactSet Auditing Viewer?action=AUDIT_VALUE&amp;DB=129&amp;ID1=65339F10&amp;VALUEID=01001&amp;SDATE=200902&amp;PERIODTYPE=QTR_STD&amp;window=popup_no_bar&amp;width=385&amp;height=120&amp;START_MAXIMIZED=FALSE&amp;creator=factset&amp;display_string=Audit"}</definedName>
    <definedName name="_1333__FDSAUDITLINK__" hidden="1">{"fdsup://Directions/FactSet Auditing Viewer?action=AUDIT_VALUE&amp;DB=129&amp;ID1=65339F10&amp;VALUEID=01001&amp;SDATE=200902&amp;PERIODTYPE=QTR_STD&amp;window=popup_no_bar&amp;width=385&amp;height=120&amp;START_MAXIMIZED=FALSE&amp;creator=factset&amp;display_string=Audit"}</definedName>
    <definedName name="_1334__FDSAUDITLINK__" localSheetId="1" hidden="1">{"fdsup://Directions/FactSet Auditing Viewer?action=AUDIT_VALUE&amp;DB=129&amp;ID1=65339F10&amp;VALUEID=01001&amp;SDATE=201002&amp;PERIODTYPE=QTR_STD&amp;window=popup_no_bar&amp;width=385&amp;height=120&amp;START_MAXIMIZED=FALSE&amp;creator=factset&amp;display_string=Audit"}</definedName>
    <definedName name="_1334__FDSAUDITLINK__" hidden="1">{"fdsup://Directions/FactSet Auditing Viewer?action=AUDIT_VALUE&amp;DB=129&amp;ID1=65339F10&amp;VALUEID=01001&amp;SDATE=201002&amp;PERIODTYPE=QTR_STD&amp;window=popup_no_bar&amp;width=385&amp;height=120&amp;START_MAXIMIZED=FALSE&amp;creator=factset&amp;display_string=Audit"}</definedName>
    <definedName name="_1335__FDSAUDITLINK__" localSheetId="1" hidden="1">{"fdsup://Directions/FactSet Auditing Viewer?action=AUDIT_VALUE&amp;DB=129&amp;ID1=63110310&amp;VALUEID=01001&amp;SDATE=200902&amp;PERIODTYPE=QTR_STD&amp;window=popup_no_bar&amp;width=385&amp;height=120&amp;START_MAXIMIZED=FALSE&amp;creator=factset&amp;display_string=Audit"}</definedName>
    <definedName name="_1335__FDSAUDITLINK__" hidden="1">{"fdsup://Directions/FactSet Auditing Viewer?action=AUDIT_VALUE&amp;DB=129&amp;ID1=63110310&amp;VALUEID=01001&amp;SDATE=200902&amp;PERIODTYPE=QTR_STD&amp;window=popup_no_bar&amp;width=385&amp;height=120&amp;START_MAXIMIZED=FALSE&amp;creator=factset&amp;display_string=Audit"}</definedName>
    <definedName name="_1336__FDSAUDITLINK__" localSheetId="1" hidden="1">{"fdsup://Directions/FactSet Auditing Viewer?action=AUDIT_VALUE&amp;DB=129&amp;ID1=63110310&amp;VALUEID=01001&amp;SDATE=201002&amp;PERIODTYPE=QTR_STD&amp;window=popup_no_bar&amp;width=385&amp;height=120&amp;START_MAXIMIZED=FALSE&amp;creator=factset&amp;display_string=Audit"}</definedName>
    <definedName name="_1336__FDSAUDITLINK__" hidden="1">{"fdsup://Directions/FactSet Auditing Viewer?action=AUDIT_VALUE&amp;DB=129&amp;ID1=63110310&amp;VALUEID=01001&amp;SDATE=201002&amp;PERIODTYPE=QTR_STD&amp;window=popup_no_bar&amp;width=385&amp;height=120&amp;START_MAXIMIZED=FALSE&amp;creator=factset&amp;display_string=Audit"}</definedName>
    <definedName name="_1337__FDSAUDITLINK__" localSheetId="1" hidden="1">{"fdsup://Directions/FactSet Auditing Viewer?action=AUDIT_VALUE&amp;DB=129&amp;ID1=G6359F10&amp;VALUEID=01001&amp;SDATE=200902&amp;PERIODTYPE=QTR_STD&amp;window=popup_no_bar&amp;width=385&amp;height=120&amp;START_MAXIMIZED=FALSE&amp;creator=factset&amp;display_string=Audit"}</definedName>
    <definedName name="_1337__FDSAUDITLINK__" hidden="1">{"fdsup://Directions/FactSet Auditing Viewer?action=AUDIT_VALUE&amp;DB=129&amp;ID1=G6359F10&amp;VALUEID=01001&amp;SDATE=200902&amp;PERIODTYPE=QTR_STD&amp;window=popup_no_bar&amp;width=385&amp;height=120&amp;START_MAXIMIZED=FALSE&amp;creator=factset&amp;display_string=Audit"}</definedName>
    <definedName name="_1338__FDSAUDITLINK__" localSheetId="1" hidden="1">{"fdsup://Directions/FactSet Auditing Viewer?action=AUDIT_VALUE&amp;DB=129&amp;ID1=G6359F10&amp;VALUEID=01001&amp;SDATE=201002&amp;PERIODTYPE=QTR_STD&amp;window=popup_no_bar&amp;width=385&amp;height=120&amp;START_MAXIMIZED=FALSE&amp;creator=factset&amp;display_string=Audit"}</definedName>
    <definedName name="_1338__FDSAUDITLINK__" hidden="1">{"fdsup://Directions/FactSet Auditing Viewer?action=AUDIT_VALUE&amp;DB=129&amp;ID1=G6359F10&amp;VALUEID=01001&amp;SDATE=201002&amp;PERIODTYPE=QTR_STD&amp;window=popup_no_bar&amp;width=385&amp;height=120&amp;START_MAXIMIZED=FALSE&amp;creator=factset&amp;display_string=Audit"}</definedName>
    <definedName name="_1339__FDSAUDITLINK__" localSheetId="1" hidden="1">{"fdsup://Directions/FactSet Auditing Viewer?action=AUDIT_VALUE&amp;DB=129&amp;ID1=65504410&amp;VALUEID=01001&amp;SDATE=200902&amp;PERIODTYPE=QTR_STD&amp;window=popup_no_bar&amp;width=385&amp;height=120&amp;START_MAXIMIZED=FALSE&amp;creator=factset&amp;display_string=Audit"}</definedName>
    <definedName name="_1339__FDSAUDITLINK__" hidden="1">{"fdsup://Directions/FactSet Auditing Viewer?action=AUDIT_VALUE&amp;DB=129&amp;ID1=65504410&amp;VALUEID=01001&amp;SDATE=200902&amp;PERIODTYPE=QTR_STD&amp;window=popup_no_bar&amp;width=385&amp;height=120&amp;START_MAXIMIZED=FALSE&amp;creator=factset&amp;display_string=Audit"}</definedName>
    <definedName name="_134__FDSAUDITLINK__" localSheetId="1" hidden="1">{"fdsup://directions/FAT Viewer?action=UPDATE&amp;creator=factset&amp;DYN_ARGS=TRUE&amp;DOC_NAME=FAT:FQL_AUDITING_CLIENT_TEMPLATE.FAT&amp;display_string=Audit&amp;VAR:KEY=RUFSPYPIFO&amp;VAR:QUERY=RkZfRUJJVERBX09QRVIoUVRSLDQvMS8yMDEwLDYvMzAvMjAxMCwsLFVTRCk=&amp;WINDOW=FIRST_POPUP&amp;HEIGH","T=450&amp;WIDTH=450&amp;START_MAXIMIZED=FALSE&amp;VAR:CALENDAR=US&amp;VAR:SYMBOL=TEG&amp;VAR:INDEX=0"}</definedName>
    <definedName name="_134__FDSAUDITLINK__" hidden="1">{"fdsup://directions/FAT Viewer?action=UPDATE&amp;creator=factset&amp;DYN_ARGS=TRUE&amp;DOC_NAME=FAT:FQL_AUDITING_CLIENT_TEMPLATE.FAT&amp;display_string=Audit&amp;VAR:KEY=RUFSPYPIFO&amp;VAR:QUERY=RkZfRUJJVERBX09QRVIoUVRSLDQvMS8yMDEwLDYvMzAvMjAxMCwsLFVTRCk=&amp;WINDOW=FIRST_POPUP&amp;HEIGH","T=450&amp;WIDTH=450&amp;START_MAXIMIZED=FALSE&amp;VAR:CALENDAR=US&amp;VAR:SYMBOL=TEG&amp;VAR:INDEX=0"}</definedName>
    <definedName name="_1340__FDSAUDITLINK__" localSheetId="1" hidden="1">{"fdsup://Directions/FactSet Auditing Viewer?action=AUDIT_VALUE&amp;DB=129&amp;ID1=65504410&amp;VALUEID=01001&amp;SDATE=201002&amp;PERIODTYPE=QTR_STD&amp;window=popup_no_bar&amp;width=385&amp;height=120&amp;START_MAXIMIZED=FALSE&amp;creator=factset&amp;display_string=Audit"}</definedName>
    <definedName name="_1340__FDSAUDITLINK__" hidden="1">{"fdsup://Directions/FactSet Auditing Viewer?action=AUDIT_VALUE&amp;DB=129&amp;ID1=65504410&amp;VALUEID=01001&amp;SDATE=201002&amp;PERIODTYPE=QTR_STD&amp;window=popup_no_bar&amp;width=385&amp;height=120&amp;START_MAXIMIZED=FALSE&amp;creator=factset&amp;display_string=Audit"}</definedName>
    <definedName name="_1341__FDSAUDITLINK__" localSheetId="1" hidden="1">{"fdsup://Directions/FactSet Auditing Viewer?action=AUDIT_VALUE&amp;DB=129&amp;ID1=62853010&amp;VALUEID=01001&amp;SDATE=200902&amp;PERIODTYPE=QTR_STD&amp;window=popup_no_bar&amp;width=385&amp;height=120&amp;START_MAXIMIZED=FALSE&amp;creator=factset&amp;display_string=Audit"}</definedName>
    <definedName name="_1341__FDSAUDITLINK__" hidden="1">{"fdsup://Directions/FactSet Auditing Viewer?action=AUDIT_VALUE&amp;DB=129&amp;ID1=62853010&amp;VALUEID=01001&amp;SDATE=200902&amp;PERIODTYPE=QTR_STD&amp;window=popup_no_bar&amp;width=385&amp;height=120&amp;START_MAXIMIZED=FALSE&amp;creator=factset&amp;display_string=Audit"}</definedName>
    <definedName name="_1342__FDSAUDITLINK__" localSheetId="1" hidden="1">{"fdsup://Directions/FactSet Auditing Viewer?action=AUDIT_VALUE&amp;DB=129&amp;ID1=62853010&amp;VALUEID=01001&amp;SDATE=201002&amp;PERIODTYPE=QTR_STD&amp;window=popup_no_bar&amp;width=385&amp;height=120&amp;START_MAXIMIZED=FALSE&amp;creator=factset&amp;display_string=Audit"}</definedName>
    <definedName name="_1342__FDSAUDITLINK__" hidden="1">{"fdsup://Directions/FactSet Auditing Viewer?action=AUDIT_VALUE&amp;DB=129&amp;ID1=62853010&amp;VALUEID=01001&amp;SDATE=201002&amp;PERIODTYPE=QTR_STD&amp;window=popup_no_bar&amp;width=385&amp;height=120&amp;START_MAXIMIZED=FALSE&amp;creator=factset&amp;display_string=Audit"}</definedName>
    <definedName name="_1343__FDSAUDITLINK__" localSheetId="1" hidden="1">{"fdsup://Directions/FactSet Auditing Viewer?action=AUDIT_VALUE&amp;DB=129&amp;ID1=61174210&amp;VALUEID=01001&amp;SDATE=200902&amp;PERIODTYPE=QTR_STD&amp;window=popup_no_bar&amp;width=385&amp;height=120&amp;START_MAXIMIZED=FALSE&amp;creator=factset&amp;display_string=Audit"}</definedName>
    <definedName name="_1343__FDSAUDITLINK__" hidden="1">{"fdsup://Directions/FactSet Auditing Viewer?action=AUDIT_VALUE&amp;DB=129&amp;ID1=61174210&amp;VALUEID=01001&amp;SDATE=200902&amp;PERIODTYPE=QTR_STD&amp;window=popup_no_bar&amp;width=385&amp;height=120&amp;START_MAXIMIZED=FALSE&amp;creator=factset&amp;display_string=Audit"}</definedName>
    <definedName name="_1344__FDSAUDITLINK__" localSheetId="1" hidden="1">{"fdsup://Directions/FactSet Auditing Viewer?action=AUDIT_VALUE&amp;DB=129&amp;ID1=61174210&amp;VALUEID=01001&amp;SDATE=201002&amp;PERIODTYPE=QTR_STD&amp;window=popup_no_bar&amp;width=385&amp;height=120&amp;START_MAXIMIZED=FALSE&amp;creator=factset&amp;display_string=Audit"}</definedName>
    <definedName name="_1344__FDSAUDITLINK__" hidden="1">{"fdsup://Directions/FactSet Auditing Viewer?action=AUDIT_VALUE&amp;DB=129&amp;ID1=61174210&amp;VALUEID=01001&amp;SDATE=201002&amp;PERIODTYPE=QTR_STD&amp;window=popup_no_bar&amp;width=385&amp;height=120&amp;START_MAXIMIZED=FALSE&amp;creator=factset&amp;display_string=Audit"}</definedName>
    <definedName name="_1345__FDSAUDITLINK__" localSheetId="1" hidden="1">{"fdsup://Directions/FactSet Auditing Viewer?action=AUDIT_VALUE&amp;DB=129&amp;ID1=58333410&amp;VALUEID=01001&amp;SDATE=200902&amp;PERIODTYPE=QTR_STD&amp;window=popup_no_bar&amp;width=385&amp;height=120&amp;START_MAXIMIZED=FALSE&amp;creator=factset&amp;display_string=Audit"}</definedName>
    <definedName name="_1345__FDSAUDITLINK__" hidden="1">{"fdsup://Directions/FactSet Auditing Viewer?action=AUDIT_VALUE&amp;DB=129&amp;ID1=58333410&amp;VALUEID=01001&amp;SDATE=200902&amp;PERIODTYPE=QTR_STD&amp;window=popup_no_bar&amp;width=385&amp;height=120&amp;START_MAXIMIZED=FALSE&amp;creator=factset&amp;display_string=Audit"}</definedName>
    <definedName name="_1346__FDSAUDITLINK__" localSheetId="1" hidden="1">{"fdsup://Directions/FactSet Auditing Viewer?action=AUDIT_VALUE&amp;DB=129&amp;ID1=58333410&amp;VALUEID=01001&amp;SDATE=201002&amp;PERIODTYPE=QTR_STD&amp;window=popup_no_bar&amp;width=385&amp;height=120&amp;START_MAXIMIZED=FALSE&amp;creator=factset&amp;display_string=Audit"}</definedName>
    <definedName name="_1346__FDSAUDITLINK__" hidden="1">{"fdsup://Directions/FactSet Auditing Viewer?action=AUDIT_VALUE&amp;DB=129&amp;ID1=58333410&amp;VALUEID=01001&amp;SDATE=201002&amp;PERIODTYPE=QTR_STD&amp;window=popup_no_bar&amp;width=385&amp;height=120&amp;START_MAXIMIZED=FALSE&amp;creator=factset&amp;display_string=Audit"}</definedName>
    <definedName name="_1347__FDSAUDITLINK__" localSheetId="1" hidden="1">{"fdsup://Directions/FactSet Auditing Viewer?action=AUDIT_VALUE&amp;DB=129&amp;ID1=62671710&amp;VALUEID=01001&amp;SDATE=200902&amp;PERIODTYPE=QTR_STD&amp;window=popup_no_bar&amp;width=385&amp;height=120&amp;START_MAXIMIZED=FALSE&amp;creator=factset&amp;display_string=Audit"}</definedName>
    <definedName name="_1347__FDSAUDITLINK__" hidden="1">{"fdsup://Directions/FactSet Auditing Viewer?action=AUDIT_VALUE&amp;DB=129&amp;ID1=62671710&amp;VALUEID=01001&amp;SDATE=200902&amp;PERIODTYPE=QTR_STD&amp;window=popup_no_bar&amp;width=385&amp;height=120&amp;START_MAXIMIZED=FALSE&amp;creator=factset&amp;display_string=Audit"}</definedName>
    <definedName name="_1348__FDSAUDITLINK__" localSheetId="1" hidden="1">{"fdsup://Directions/FactSet Auditing Viewer?action=AUDIT_VALUE&amp;DB=129&amp;ID1=62671710&amp;VALUEID=01001&amp;SDATE=201002&amp;PERIODTYPE=QTR_STD&amp;window=popup_no_bar&amp;width=385&amp;height=120&amp;START_MAXIMIZED=FALSE&amp;creator=factset&amp;display_string=Audit"}</definedName>
    <definedName name="_1348__FDSAUDITLINK__" hidden="1">{"fdsup://Directions/FactSet Auditing Viewer?action=AUDIT_VALUE&amp;DB=129&amp;ID1=62671710&amp;VALUEID=01001&amp;SDATE=201002&amp;PERIODTYPE=QTR_STD&amp;window=popup_no_bar&amp;width=385&amp;height=120&amp;START_MAXIMIZED=FALSE&amp;creator=factset&amp;display_string=Audit"}</definedName>
    <definedName name="_1349__FDSAUDITLINK__" localSheetId="1" hidden="1">{"fdsup://Directions/FactSet Auditing Viewer?action=AUDIT_VALUE&amp;DB=129&amp;ID1=59511210&amp;VALUEID=01001&amp;SDATE=200903&amp;PERIODTYPE=QTR_STD&amp;window=popup_no_bar&amp;width=385&amp;height=120&amp;START_MAXIMIZED=FALSE&amp;creator=factset&amp;display_string=Audit"}</definedName>
    <definedName name="_1349__FDSAUDITLINK__" hidden="1">{"fdsup://Directions/FactSet Auditing Viewer?action=AUDIT_VALUE&amp;DB=129&amp;ID1=59511210&amp;VALUEID=01001&amp;SDATE=200903&amp;PERIODTYPE=QTR_STD&amp;window=popup_no_bar&amp;width=385&amp;height=120&amp;START_MAXIMIZED=FALSE&amp;creator=factset&amp;display_string=Audit"}</definedName>
    <definedName name="_135__FDSAUDITLINK__" localSheetId="1" hidden="1">{"fdsup://directions/FAT Viewer?action=UPDATE&amp;creator=factset&amp;DYN_ARGS=TRUE&amp;DOC_NAME=FAT:FQL_AUDITING_CLIENT_TEMPLATE.FAT&amp;display_string=Audit&amp;VAR:KEY=TKXMNCPOXO&amp;VAR:QUERY=RkZfRUJJVERBX09QRVIoUVRSLDQvMS8yMDA5LDYvMzAvMjAwOSwsLFVTRCk=&amp;WINDOW=FIRST_POPUP&amp;HEIGH","T=450&amp;WIDTH=450&amp;START_MAXIMIZED=FALSE&amp;VAR:CALENDAR=US&amp;VAR:SYMBOL=TE&amp;VAR:INDEX=0"}</definedName>
    <definedName name="_135__FDSAUDITLINK__" hidden="1">{"fdsup://directions/FAT Viewer?action=UPDATE&amp;creator=factset&amp;DYN_ARGS=TRUE&amp;DOC_NAME=FAT:FQL_AUDITING_CLIENT_TEMPLATE.FAT&amp;display_string=Audit&amp;VAR:KEY=TKXMNCPOXO&amp;VAR:QUERY=RkZfRUJJVERBX09QRVIoUVRSLDQvMS8yMDA5LDYvMzAvMjAwOSwsLFVTRCk=&amp;WINDOW=FIRST_POPUP&amp;HEIGH","T=450&amp;WIDTH=450&amp;START_MAXIMIZED=FALSE&amp;VAR:CALENDAR=US&amp;VAR:SYMBOL=TE&amp;VAR:INDEX=0"}</definedName>
    <definedName name="_1350__FDSAUDITLINK__" localSheetId="1" hidden="1">{"fdsup://Directions/FactSet Auditing Viewer?action=AUDIT_VALUE&amp;DB=129&amp;ID1=59511210&amp;VALUEID=01001&amp;SDATE=201003&amp;PERIODTYPE=QTR_STD&amp;window=popup_no_bar&amp;width=385&amp;height=120&amp;START_MAXIMIZED=FALSE&amp;creator=factset&amp;display_string=Audit"}</definedName>
    <definedName name="_1350__FDSAUDITLINK__" hidden="1">{"fdsup://Directions/FactSet Auditing Viewer?action=AUDIT_VALUE&amp;DB=129&amp;ID1=59511210&amp;VALUEID=01001&amp;SDATE=201003&amp;PERIODTYPE=QTR_STD&amp;window=popup_no_bar&amp;width=385&amp;height=120&amp;START_MAXIMIZED=FALSE&amp;creator=factset&amp;display_string=Audit"}</definedName>
    <definedName name="_1351__FDSAUDITLINK__" localSheetId="1" hidden="1">{"fdsup://Directions/FactSet Auditing Viewer?action=AUDIT_VALUE&amp;DB=129&amp;ID1=59491810&amp;VALUEID=01001&amp;SDATE=200904&amp;PERIODTYPE=QTR_STD&amp;window=popup_no_bar&amp;width=385&amp;height=120&amp;START_MAXIMIZED=FALSE&amp;creator=factset&amp;display_string=Audit"}</definedName>
    <definedName name="_1351__FDSAUDITLINK__" hidden="1">{"fdsup://Directions/FactSet Auditing Viewer?action=AUDIT_VALUE&amp;DB=129&amp;ID1=59491810&amp;VALUEID=01001&amp;SDATE=200904&amp;PERIODTYPE=QTR_STD&amp;window=popup_no_bar&amp;width=385&amp;height=120&amp;START_MAXIMIZED=FALSE&amp;creator=factset&amp;display_string=Audit"}</definedName>
    <definedName name="_1352__FDSAUDITLINK__" localSheetId="1" hidden="1">{"fdsup://Directions/FactSet Auditing Viewer?action=AUDIT_VALUE&amp;DB=129&amp;ID1=59491810&amp;VALUEID=01001&amp;SDATE=201004&amp;PERIODTYPE=QTR_STD&amp;window=popup_no_bar&amp;width=385&amp;height=120&amp;START_MAXIMIZED=FALSE&amp;creator=factset&amp;display_string=Audit"}</definedName>
    <definedName name="_1352__FDSAUDITLINK__" hidden="1">{"fdsup://Directions/FactSet Auditing Viewer?action=AUDIT_VALUE&amp;DB=129&amp;ID1=59491810&amp;VALUEID=01001&amp;SDATE=201004&amp;PERIODTYPE=QTR_STD&amp;window=popup_no_bar&amp;width=385&amp;height=120&amp;START_MAXIMIZED=FALSE&amp;creator=factset&amp;display_string=Audit"}</definedName>
    <definedName name="_1353__FDSAUDITLINK__" localSheetId="1" hidden="1">{"fdsup://Directions/FactSet Auditing Viewer?action=AUDIT_VALUE&amp;DB=129&amp;ID1=61744644&amp;VALUEID=01001&amp;SDATE=200902&amp;PERIODTYPE=QTR_STD&amp;window=popup_no_bar&amp;width=385&amp;height=120&amp;START_MAXIMIZED=FALSE&amp;creator=factset&amp;display_string=Audit"}</definedName>
    <definedName name="_1353__FDSAUDITLINK__" hidden="1">{"fdsup://Directions/FactSet Auditing Viewer?action=AUDIT_VALUE&amp;DB=129&amp;ID1=61744644&amp;VALUEID=01001&amp;SDATE=200902&amp;PERIODTYPE=QTR_STD&amp;window=popup_no_bar&amp;width=385&amp;height=120&amp;START_MAXIMIZED=FALSE&amp;creator=factset&amp;display_string=Audit"}</definedName>
    <definedName name="_1354__FDSAUDITLINK__" localSheetId="1" hidden="1">{"fdsup://Directions/FactSet Auditing Viewer?action=AUDIT_VALUE&amp;DB=129&amp;ID1=61744644&amp;VALUEID=01001&amp;SDATE=201002&amp;PERIODTYPE=QTR_STD&amp;window=popup_no_bar&amp;width=385&amp;height=120&amp;START_MAXIMIZED=FALSE&amp;creator=factset&amp;display_string=Audit"}</definedName>
    <definedName name="_1354__FDSAUDITLINK__" hidden="1">{"fdsup://Directions/FactSet Auditing Viewer?action=AUDIT_VALUE&amp;DB=129&amp;ID1=61744644&amp;VALUEID=01001&amp;SDATE=201002&amp;PERIODTYPE=QTR_STD&amp;window=popup_no_bar&amp;width=385&amp;height=120&amp;START_MAXIMIZED=FALSE&amp;creator=factset&amp;display_string=Audit"}</definedName>
    <definedName name="_1355__FDSAUDITLINK__" localSheetId="1" hidden="1">{"fdsup://Directions/FactSet Auditing Viewer?action=AUDIT_VALUE&amp;DB=129&amp;ID1=56584910&amp;VALUEID=01001&amp;SDATE=200902&amp;PERIODTYPE=QTR_STD&amp;window=popup_no_bar&amp;width=385&amp;height=120&amp;START_MAXIMIZED=FALSE&amp;creator=factset&amp;display_string=Audit"}</definedName>
    <definedName name="_1355__FDSAUDITLINK__" hidden="1">{"fdsup://Directions/FactSet Auditing Viewer?action=AUDIT_VALUE&amp;DB=129&amp;ID1=56584910&amp;VALUEID=01001&amp;SDATE=200902&amp;PERIODTYPE=QTR_STD&amp;window=popup_no_bar&amp;width=385&amp;height=120&amp;START_MAXIMIZED=FALSE&amp;creator=factset&amp;display_string=Audit"}</definedName>
    <definedName name="_1356__FDSAUDITLINK__" localSheetId="1" hidden="1">{"fdsup://Directions/FactSet Auditing Viewer?action=AUDIT_VALUE&amp;DB=129&amp;ID1=56584910&amp;VALUEID=01001&amp;SDATE=201002&amp;PERIODTYPE=QTR_STD&amp;window=popup_no_bar&amp;width=385&amp;height=120&amp;START_MAXIMIZED=FALSE&amp;creator=factset&amp;display_string=Audit"}</definedName>
    <definedName name="_1356__FDSAUDITLINK__" hidden="1">{"fdsup://Directions/FactSet Auditing Viewer?action=AUDIT_VALUE&amp;DB=129&amp;ID1=56584910&amp;VALUEID=01001&amp;SDATE=201002&amp;PERIODTYPE=QTR_STD&amp;window=popup_no_bar&amp;width=385&amp;height=120&amp;START_MAXIMIZED=FALSE&amp;creator=factset&amp;display_string=Audit"}</definedName>
    <definedName name="_1357__FDSAUDITLINK__" localSheetId="1" hidden="1">{"fdsup://Directions/FactSet Auditing Viewer?action=AUDIT_VALUE&amp;DB=129&amp;ID1=58933Y10&amp;VALUEID=01001&amp;SDATE=200902&amp;PERIODTYPE=QTR_STD&amp;window=popup_no_bar&amp;width=385&amp;height=120&amp;START_MAXIMIZED=FALSE&amp;creator=factset&amp;display_string=Audit"}</definedName>
    <definedName name="_1357__FDSAUDITLINK__" hidden="1">{"fdsup://Directions/FactSet Auditing Viewer?action=AUDIT_VALUE&amp;DB=129&amp;ID1=58933Y10&amp;VALUEID=01001&amp;SDATE=200902&amp;PERIODTYPE=QTR_STD&amp;window=popup_no_bar&amp;width=385&amp;height=120&amp;START_MAXIMIZED=FALSE&amp;creator=factset&amp;display_string=Audit"}</definedName>
    <definedName name="_1358__FDSAUDITLINK__" localSheetId="1" hidden="1">{"fdsup://Directions/FactSet Auditing Viewer?action=AUDIT_VALUE&amp;DB=129&amp;ID1=58933Y10&amp;VALUEID=01001&amp;SDATE=201002&amp;PERIODTYPE=QTR_STD&amp;window=popup_no_bar&amp;width=385&amp;height=120&amp;START_MAXIMIZED=FALSE&amp;creator=factset&amp;display_string=Audit"}</definedName>
    <definedName name="_1358__FDSAUDITLINK__" hidden="1">{"fdsup://Directions/FactSet Auditing Viewer?action=AUDIT_VALUE&amp;DB=129&amp;ID1=58933Y10&amp;VALUEID=01001&amp;SDATE=201002&amp;PERIODTYPE=QTR_STD&amp;window=popup_no_bar&amp;width=385&amp;height=120&amp;START_MAXIMIZED=FALSE&amp;creator=factset&amp;display_string=Audit"}</definedName>
    <definedName name="_1359__FDSAUDITLINK__" localSheetId="1" hidden="1">{"fdsup://Directions/FactSet Auditing Viewer?action=AUDIT_VALUE&amp;DB=129&amp;ID1=62007610&amp;VALUEID=01001&amp;SDATE=200902&amp;PERIODTYPE=QTR_STD&amp;window=popup_no_bar&amp;width=385&amp;height=120&amp;START_MAXIMIZED=FALSE&amp;creator=factset&amp;display_string=Audit"}</definedName>
    <definedName name="_1359__FDSAUDITLINK__" hidden="1">{"fdsup://Directions/FactSet Auditing Viewer?action=AUDIT_VALUE&amp;DB=129&amp;ID1=62007610&amp;VALUEID=01001&amp;SDATE=200902&amp;PERIODTYPE=QTR_STD&amp;window=popup_no_bar&amp;width=385&amp;height=120&amp;START_MAXIMIZED=FALSE&amp;creator=factset&amp;display_string=Audit"}</definedName>
    <definedName name="_136__FDSAUDITLINK__" localSheetId="1" hidden="1">{"fdsup://directions/FAT Viewer?action=UPDATE&amp;creator=factset&amp;DYN_ARGS=TRUE&amp;DOC_NAME=FAT:FQL_AUDITING_CLIENT_TEMPLATE.FAT&amp;display_string=Audit&amp;VAR:KEY=ZIXEFILOLW&amp;VAR:QUERY=RkZfRUJJVERBX09QRVIoUVRSLDQvMS8yMDEwLDYvMzAvMjAxMCwsLFVTRCk=&amp;WINDOW=FIRST_POPUP&amp;HEIGH","T=450&amp;WIDTH=450&amp;START_MAXIMIZED=FALSE&amp;VAR:CALENDAR=US&amp;VAR:SYMBOL=TE&amp;VAR:INDEX=0"}</definedName>
    <definedName name="_136__FDSAUDITLINK__" hidden="1">{"fdsup://directions/FAT Viewer?action=UPDATE&amp;creator=factset&amp;DYN_ARGS=TRUE&amp;DOC_NAME=FAT:FQL_AUDITING_CLIENT_TEMPLATE.FAT&amp;display_string=Audit&amp;VAR:KEY=ZIXEFILOLW&amp;VAR:QUERY=RkZfRUJJVERBX09QRVIoUVRSLDQvMS8yMDEwLDYvMzAvMjAxMCwsLFVTRCk=&amp;WINDOW=FIRST_POPUP&amp;HEIGH","T=450&amp;WIDTH=450&amp;START_MAXIMIZED=FALSE&amp;VAR:CALENDAR=US&amp;VAR:SYMBOL=TE&amp;VAR:INDEX=0"}</definedName>
    <definedName name="_1360__FDSAUDITLINK__" localSheetId="1" hidden="1">{"fdsup://Directions/FactSet Auditing Viewer?action=AUDIT_VALUE&amp;DB=129&amp;ID1=62007610&amp;VALUEID=01001&amp;SDATE=201002&amp;PERIODTYPE=QTR_STD&amp;window=popup_no_bar&amp;width=385&amp;height=120&amp;START_MAXIMIZED=FALSE&amp;creator=factset&amp;display_string=Audit"}</definedName>
    <definedName name="_1360__FDSAUDITLINK__" hidden="1">{"fdsup://Directions/FactSet Auditing Viewer?action=AUDIT_VALUE&amp;DB=129&amp;ID1=62007610&amp;VALUEID=01001&amp;SDATE=201002&amp;PERIODTYPE=QTR_STD&amp;window=popup_no_bar&amp;width=385&amp;height=120&amp;START_MAXIMIZED=FALSE&amp;creator=factset&amp;display_string=Audit"}</definedName>
    <definedName name="_1361__FDSAUDITLINK__" localSheetId="1" hidden="1">{"fdsup://Directions/FactSet Auditing Viewer?action=AUDIT_VALUE&amp;DB=129&amp;ID1=61166W10&amp;VALUEID=01001&amp;SDATE=200903&amp;PERIODTYPE=QTR_STD&amp;window=popup_no_bar&amp;width=385&amp;height=120&amp;START_MAXIMIZED=FALSE&amp;creator=factset&amp;display_string=Audit"}</definedName>
    <definedName name="_1361__FDSAUDITLINK__" hidden="1">{"fdsup://Directions/FactSet Auditing Viewer?action=AUDIT_VALUE&amp;DB=129&amp;ID1=61166W10&amp;VALUEID=01001&amp;SDATE=200903&amp;PERIODTYPE=QTR_STD&amp;window=popup_no_bar&amp;width=385&amp;height=120&amp;START_MAXIMIZED=FALSE&amp;creator=factset&amp;display_string=Audit"}</definedName>
    <definedName name="_1362__FDSAUDITLINK__" localSheetId="1" hidden="1">{"fdsup://Directions/FactSet Auditing Viewer?action=AUDIT_VALUE&amp;DB=129&amp;ID1=61166W10&amp;VALUEID=01001&amp;SDATE=201003&amp;PERIODTYPE=QTR_STD&amp;window=popup_no_bar&amp;width=385&amp;height=120&amp;START_MAXIMIZED=FALSE&amp;creator=factset&amp;display_string=Audit"}</definedName>
    <definedName name="_1362__FDSAUDITLINK__" hidden="1">{"fdsup://Directions/FactSet Auditing Viewer?action=AUDIT_VALUE&amp;DB=129&amp;ID1=61166W10&amp;VALUEID=01001&amp;SDATE=201003&amp;PERIODTYPE=QTR_STD&amp;window=popup_no_bar&amp;width=385&amp;height=120&amp;START_MAXIMIZED=FALSE&amp;creator=factset&amp;display_string=Audit"}</definedName>
    <definedName name="_1363__FDSAUDITLINK__" localSheetId="1" hidden="1">{"fdsup://Directions/FactSet Auditing Viewer?action=AUDIT_VALUE&amp;DB=129&amp;ID1=60855410&amp;VALUEID=01001&amp;SDATE=201004&amp;PERIODTYPE=QTR_STD&amp;window=popup_no_bar&amp;width=385&amp;height=120&amp;START_MAXIMIZED=FALSE&amp;creator=factset&amp;display_string=Audit"}</definedName>
    <definedName name="_1363__FDSAUDITLINK__" hidden="1">{"fdsup://Directions/FactSet Auditing Viewer?action=AUDIT_VALUE&amp;DB=129&amp;ID1=60855410&amp;VALUEID=01001&amp;SDATE=201004&amp;PERIODTYPE=QTR_STD&amp;window=popup_no_bar&amp;width=385&amp;height=120&amp;START_MAXIMIZED=FALSE&amp;creator=factset&amp;display_string=Audit"}</definedName>
    <definedName name="_1364__FDSAUDITLINK__" localSheetId="1" hidden="1">{"fdsup://Directions/FactSet Auditing Viewer?action=AUDIT_VALUE&amp;DB=129&amp;ID1=02209S10&amp;VALUEID=01001&amp;SDATE=200902&amp;PERIODTYPE=QTR_STD&amp;window=popup_no_bar&amp;width=385&amp;height=120&amp;START_MAXIMIZED=FALSE&amp;creator=factset&amp;display_string=Audit"}</definedName>
    <definedName name="_1364__FDSAUDITLINK__" hidden="1">{"fdsup://Directions/FactSet Auditing Viewer?action=AUDIT_VALUE&amp;DB=129&amp;ID1=02209S10&amp;VALUEID=01001&amp;SDATE=200902&amp;PERIODTYPE=QTR_STD&amp;window=popup_no_bar&amp;width=385&amp;height=120&amp;START_MAXIMIZED=FALSE&amp;creator=factset&amp;display_string=Audit"}</definedName>
    <definedName name="_1365__FDSAUDITLINK__" localSheetId="1" hidden="1">{"fdsup://Directions/FactSet Auditing Viewer?action=AUDIT_VALUE&amp;DB=129&amp;ID1=02209S10&amp;VALUEID=01001&amp;SDATE=201002&amp;PERIODTYPE=QTR_STD&amp;window=popup_no_bar&amp;width=385&amp;height=120&amp;START_MAXIMIZED=FALSE&amp;creator=factset&amp;display_string=Audit"}</definedName>
    <definedName name="_1365__FDSAUDITLINK__" hidden="1">{"fdsup://Directions/FactSet Auditing Viewer?action=AUDIT_VALUE&amp;DB=129&amp;ID1=02209S10&amp;VALUEID=01001&amp;SDATE=201002&amp;PERIODTYPE=QTR_STD&amp;window=popup_no_bar&amp;width=385&amp;height=120&amp;START_MAXIMIZED=FALSE&amp;creator=factset&amp;display_string=Audit"}</definedName>
    <definedName name="_1366__FDSAUDITLINK__" localSheetId="1" hidden="1">{"fdsup://Directions/FactSet Auditing Viewer?action=AUDIT_VALUE&amp;DB=129&amp;ID1=88579Y10&amp;VALUEID=01001&amp;SDATE=200902&amp;PERIODTYPE=QTR_STD&amp;window=popup_no_bar&amp;width=385&amp;height=120&amp;START_MAXIMIZED=FALSE&amp;creator=factset&amp;display_string=Audit"}</definedName>
    <definedName name="_1366__FDSAUDITLINK__" hidden="1">{"fdsup://Directions/FactSet Auditing Viewer?action=AUDIT_VALUE&amp;DB=129&amp;ID1=88579Y10&amp;VALUEID=01001&amp;SDATE=200902&amp;PERIODTYPE=QTR_STD&amp;window=popup_no_bar&amp;width=385&amp;height=120&amp;START_MAXIMIZED=FALSE&amp;creator=factset&amp;display_string=Audit"}</definedName>
    <definedName name="_1367__FDSAUDITLINK__" localSheetId="1" hidden="1">{"fdsup://Directions/FactSet Auditing Viewer?action=AUDIT_VALUE&amp;DB=129&amp;ID1=88579Y10&amp;VALUEID=01001&amp;SDATE=201002&amp;PERIODTYPE=QTR_STD&amp;window=popup_no_bar&amp;width=385&amp;height=120&amp;START_MAXIMIZED=FALSE&amp;creator=factset&amp;display_string=Audit"}</definedName>
    <definedName name="_1367__FDSAUDITLINK__" hidden="1">{"fdsup://Directions/FactSet Auditing Viewer?action=AUDIT_VALUE&amp;DB=129&amp;ID1=88579Y10&amp;VALUEID=01001&amp;SDATE=201002&amp;PERIODTYPE=QTR_STD&amp;window=popup_no_bar&amp;width=385&amp;height=120&amp;START_MAXIMIZED=FALSE&amp;creator=factset&amp;display_string=Audit"}</definedName>
    <definedName name="_1368__FDSAUDITLINK__" localSheetId="1" hidden="1">{"fdsup://Directions/FactSet Auditing Viewer?action=AUDIT_VALUE&amp;DB=129&amp;ID1=57174810&amp;VALUEID=01001&amp;SDATE=200902&amp;PERIODTYPE=QTR_STD&amp;window=popup_no_bar&amp;width=385&amp;height=120&amp;START_MAXIMIZED=FALSE&amp;creator=factset&amp;display_string=Audit"}</definedName>
    <definedName name="_1368__FDSAUDITLINK__" hidden="1">{"fdsup://Directions/FactSet Auditing Viewer?action=AUDIT_VALUE&amp;DB=129&amp;ID1=57174810&amp;VALUEID=01001&amp;SDATE=200902&amp;PERIODTYPE=QTR_STD&amp;window=popup_no_bar&amp;width=385&amp;height=120&amp;START_MAXIMIZED=FALSE&amp;creator=factset&amp;display_string=Audit"}</definedName>
    <definedName name="_1369__FDSAUDITLINK__" localSheetId="1" hidden="1">{"fdsup://Directions/FactSet Auditing Viewer?action=AUDIT_VALUE&amp;DB=129&amp;ID1=57174810&amp;VALUEID=01001&amp;SDATE=201002&amp;PERIODTYPE=QTR_STD&amp;window=popup_no_bar&amp;width=385&amp;height=120&amp;START_MAXIMIZED=FALSE&amp;creator=factset&amp;display_string=Audit"}</definedName>
    <definedName name="_1369__FDSAUDITLINK__" hidden="1">{"fdsup://Directions/FactSet Auditing Viewer?action=AUDIT_VALUE&amp;DB=129&amp;ID1=57174810&amp;VALUEID=01001&amp;SDATE=201002&amp;PERIODTYPE=QTR_STD&amp;window=popup_no_bar&amp;width=385&amp;height=120&amp;START_MAXIMIZED=FALSE&amp;creator=factset&amp;display_string=Audit"}</definedName>
    <definedName name="_137__FDSAUDITLINK__" localSheetId="1" hidden="1">{"fdsup://directions/FAT Viewer?action=UPDATE&amp;creator=factset&amp;DYN_ARGS=TRUE&amp;DOC_NAME=FAT:FQL_AUDITING_CLIENT_TEMPLATE.FAT&amp;display_string=Audit&amp;VAR:KEY=ROHAZYNUVS&amp;VAR:QUERY=RkZfRUJJVERBX09QRVIoUVRSLDQvMS8yMDA5LDYvMzAvMjAwOSwsLFVTRCk=&amp;WINDOW=FIRST_POPUP&amp;HEIGH","T=450&amp;WIDTH=450&amp;START_MAXIMIZED=FALSE&amp;VAR:CALENDAR=US&amp;VAR:SYMBOL=TDC&amp;VAR:INDEX=0"}</definedName>
    <definedName name="_137__FDSAUDITLINK__" hidden="1">{"fdsup://directions/FAT Viewer?action=UPDATE&amp;creator=factset&amp;DYN_ARGS=TRUE&amp;DOC_NAME=FAT:FQL_AUDITING_CLIENT_TEMPLATE.FAT&amp;display_string=Audit&amp;VAR:KEY=ROHAZYNUVS&amp;VAR:QUERY=RkZfRUJJVERBX09QRVIoUVRSLDQvMS8yMDA5LDYvMzAvMjAwOSwsLFVTRCk=&amp;WINDOW=FIRST_POPUP&amp;HEIGH","T=450&amp;WIDTH=450&amp;START_MAXIMIZED=FALSE&amp;VAR:CALENDAR=US&amp;VAR:SYMBOL=TDC&amp;VAR:INDEX=0"}</definedName>
    <definedName name="_1370__FDSAUDITLINK__" localSheetId="1" hidden="1">{"fdsup://Directions/FactSet Auditing Viewer?action=AUDIT_VALUE&amp;DB=129&amp;ID1=57978020&amp;VALUEID=01001&amp;SDATE=200902&amp;PERIODTYPE=QTR_STD&amp;window=popup_no_bar&amp;width=385&amp;height=120&amp;START_MAXIMIZED=FALSE&amp;creator=factset&amp;display_string=Audit"}</definedName>
    <definedName name="_1370__FDSAUDITLINK__" hidden="1">{"fdsup://Directions/FactSet Auditing Viewer?action=AUDIT_VALUE&amp;DB=129&amp;ID1=57978020&amp;VALUEID=01001&amp;SDATE=200902&amp;PERIODTYPE=QTR_STD&amp;window=popup_no_bar&amp;width=385&amp;height=120&amp;START_MAXIMIZED=FALSE&amp;creator=factset&amp;display_string=Audit"}</definedName>
    <definedName name="_1371__FDSAUDITLINK__" localSheetId="1" hidden="1">{"fdsup://Directions/FactSet Auditing Viewer?action=AUDIT_VALUE&amp;DB=129&amp;ID1=57978020&amp;VALUEID=01001&amp;SDATE=201002&amp;PERIODTYPE=QTR_STD&amp;window=popup_no_bar&amp;width=385&amp;height=120&amp;START_MAXIMIZED=FALSE&amp;creator=factset&amp;display_string=Audit"}</definedName>
    <definedName name="_1371__FDSAUDITLINK__" hidden="1">{"fdsup://Directions/FactSet Auditing Viewer?action=AUDIT_VALUE&amp;DB=129&amp;ID1=57978020&amp;VALUEID=01001&amp;SDATE=201002&amp;PERIODTYPE=QTR_STD&amp;window=popup_no_bar&amp;width=385&amp;height=120&amp;START_MAXIMIZED=FALSE&amp;creator=factset&amp;display_string=Audit"}</definedName>
    <definedName name="_1372__FDSAUDITLINK__" localSheetId="1" hidden="1">{"fdsup://Directions/FactSet Auditing Viewer?action=AUDIT_VALUE&amp;DB=129&amp;ID1=58283910&amp;VALUEID=01001&amp;SDATE=200902&amp;PERIODTYPE=QTR_STD&amp;window=popup_no_bar&amp;width=385&amp;height=120&amp;START_MAXIMIZED=FALSE&amp;creator=factset&amp;display_string=Audit"}</definedName>
    <definedName name="_1372__FDSAUDITLINK__" hidden="1">{"fdsup://Directions/FactSet Auditing Viewer?action=AUDIT_VALUE&amp;DB=129&amp;ID1=58283910&amp;VALUEID=01001&amp;SDATE=200902&amp;PERIODTYPE=QTR_STD&amp;window=popup_no_bar&amp;width=385&amp;height=120&amp;START_MAXIMIZED=FALSE&amp;creator=factset&amp;display_string=Audit"}</definedName>
    <definedName name="_1373__FDSAUDITLINK__" localSheetId="1" hidden="1">{"fdsup://Directions/FactSet Auditing Viewer?action=AUDIT_VALUE&amp;DB=129&amp;ID1=58283910&amp;VALUEID=01001&amp;SDATE=201002&amp;PERIODTYPE=QTR_STD&amp;window=popup_no_bar&amp;width=385&amp;height=120&amp;START_MAXIMIZED=FALSE&amp;creator=factset&amp;display_string=Audit"}</definedName>
    <definedName name="_1373__FDSAUDITLINK__" hidden="1">{"fdsup://Directions/FactSet Auditing Viewer?action=AUDIT_VALUE&amp;DB=129&amp;ID1=58283910&amp;VALUEID=01001&amp;SDATE=201002&amp;PERIODTYPE=QTR_STD&amp;window=popup_no_bar&amp;width=385&amp;height=120&amp;START_MAXIMIZED=FALSE&amp;creator=factset&amp;display_string=Audit"}</definedName>
    <definedName name="_1374__FDSAUDITLINK__" localSheetId="1" hidden="1">{"fdsup://Directions/FactSet Auditing Viewer?action=AUDIT_VALUE&amp;DB=129&amp;ID1=58405U10&amp;VALUEID=01001&amp;SDATE=200902&amp;PERIODTYPE=QTR_STD&amp;window=popup_no_bar&amp;width=385&amp;height=120&amp;START_MAXIMIZED=FALSE&amp;creator=factset&amp;display_string=Audit"}</definedName>
    <definedName name="_1374__FDSAUDITLINK__" hidden="1">{"fdsup://Directions/FactSet Auditing Viewer?action=AUDIT_VALUE&amp;DB=129&amp;ID1=58405U10&amp;VALUEID=01001&amp;SDATE=200902&amp;PERIODTYPE=QTR_STD&amp;window=popup_no_bar&amp;width=385&amp;height=120&amp;START_MAXIMIZED=FALSE&amp;creator=factset&amp;display_string=Audit"}</definedName>
    <definedName name="_1375__FDSAUDITLINK__" localSheetId="1" hidden="1">{"fdsup://Directions/FactSet Auditing Viewer?action=AUDIT_VALUE&amp;DB=129&amp;ID1=58405U10&amp;VALUEID=01001&amp;SDATE=201002&amp;PERIODTYPE=QTR_STD&amp;window=popup_no_bar&amp;width=385&amp;height=120&amp;START_MAXIMIZED=FALSE&amp;creator=factset&amp;display_string=Audit"}</definedName>
    <definedName name="_1375__FDSAUDITLINK__" hidden="1">{"fdsup://Directions/FactSet Auditing Viewer?action=AUDIT_VALUE&amp;DB=129&amp;ID1=58405U10&amp;VALUEID=01001&amp;SDATE=201002&amp;PERIODTYPE=QTR_STD&amp;window=popup_no_bar&amp;width=385&amp;height=120&amp;START_MAXIMIZED=FALSE&amp;creator=factset&amp;display_string=Audit"}</definedName>
    <definedName name="_1376__FDSAUDITLINK__" localSheetId="1" hidden="1">{"fdsup://Directions/FactSet Auditing Viewer?action=AUDIT_VALUE&amp;DB=129&amp;ID1=58064510&amp;VALUEID=01001&amp;SDATE=200902&amp;PERIODTYPE=QTR_STD&amp;window=popup_no_bar&amp;width=385&amp;height=120&amp;START_MAXIMIZED=FALSE&amp;creator=factset&amp;display_string=Audit"}</definedName>
    <definedName name="_1376__FDSAUDITLINK__" hidden="1">{"fdsup://Directions/FactSet Auditing Viewer?action=AUDIT_VALUE&amp;DB=129&amp;ID1=58064510&amp;VALUEID=01001&amp;SDATE=200902&amp;PERIODTYPE=QTR_STD&amp;window=popup_no_bar&amp;width=385&amp;height=120&amp;START_MAXIMIZED=FALSE&amp;creator=factset&amp;display_string=Audit"}</definedName>
    <definedName name="_1377__FDSAUDITLINK__" localSheetId="1" hidden="1">{"fdsup://Directions/FactSet Auditing Viewer?action=AUDIT_VALUE&amp;DB=129&amp;ID1=58064510&amp;VALUEID=01001&amp;SDATE=201002&amp;PERIODTYPE=QTR_STD&amp;window=popup_no_bar&amp;width=385&amp;height=120&amp;START_MAXIMIZED=FALSE&amp;creator=factset&amp;display_string=Audit"}</definedName>
    <definedName name="_1377__FDSAUDITLINK__" hidden="1">{"fdsup://Directions/FactSet Auditing Viewer?action=AUDIT_VALUE&amp;DB=129&amp;ID1=58064510&amp;VALUEID=01001&amp;SDATE=201002&amp;PERIODTYPE=QTR_STD&amp;window=popup_no_bar&amp;width=385&amp;height=120&amp;START_MAXIMIZED=FALSE&amp;creator=factset&amp;display_string=Audit"}</definedName>
    <definedName name="_1378__FDSAUDITLINK__" localSheetId="1" hidden="1">{"fdsup://Directions/FactSet Auditing Viewer?action=AUDIT_VALUE&amp;DB=129&amp;ID1=57906410&amp;VALUEID=01001&amp;SDATE=200902&amp;PERIODTYPE=QTR_STD&amp;window=popup_no_bar&amp;width=385&amp;height=120&amp;START_MAXIMIZED=FALSE&amp;creator=factset&amp;display_string=Audit"}</definedName>
    <definedName name="_1378__FDSAUDITLINK__" hidden="1">{"fdsup://Directions/FactSet Auditing Viewer?action=AUDIT_VALUE&amp;DB=129&amp;ID1=57906410&amp;VALUEID=01001&amp;SDATE=200902&amp;PERIODTYPE=QTR_STD&amp;window=popup_no_bar&amp;width=385&amp;height=120&amp;START_MAXIMIZED=FALSE&amp;creator=factset&amp;display_string=Audit"}</definedName>
    <definedName name="_1379__FDSAUDITLINK__" localSheetId="1" hidden="1">{"fdsup://Directions/FactSet Auditing Viewer?action=AUDIT_VALUE&amp;DB=129&amp;ID1=57906410&amp;VALUEID=01001&amp;SDATE=201002&amp;PERIODTYPE=QTR_STD&amp;window=popup_no_bar&amp;width=385&amp;height=120&amp;START_MAXIMIZED=FALSE&amp;creator=factset&amp;display_string=Audit"}</definedName>
    <definedName name="_1379__FDSAUDITLINK__" hidden="1">{"fdsup://Directions/FactSet Auditing Viewer?action=AUDIT_VALUE&amp;DB=129&amp;ID1=57906410&amp;VALUEID=01001&amp;SDATE=201002&amp;PERIODTYPE=QTR_STD&amp;window=popup_no_bar&amp;width=385&amp;height=120&amp;START_MAXIMIZED=FALSE&amp;creator=factset&amp;display_string=Audit"}</definedName>
    <definedName name="_138__FDSAUDITLINK__" localSheetId="1" hidden="1">{"fdsup://directions/FAT Viewer?action=UPDATE&amp;creator=factset&amp;DYN_ARGS=TRUE&amp;DOC_NAME=FAT:FQL_AUDITING_CLIENT_TEMPLATE.FAT&amp;display_string=Audit&amp;VAR:KEY=LCPULQJAHK&amp;VAR:QUERY=RkZfRUJJVERBX09QRVIoUVRSLDQvMS8yMDEwLDYvMzAvMjAxMCwsLFVTRCk=&amp;WINDOW=FIRST_POPUP&amp;HEIGH","T=450&amp;WIDTH=450&amp;START_MAXIMIZED=FALSE&amp;VAR:CALENDAR=US&amp;VAR:SYMBOL=TDC&amp;VAR:INDEX=0"}</definedName>
    <definedName name="_138__FDSAUDITLINK__" hidden="1">{"fdsup://directions/FAT Viewer?action=UPDATE&amp;creator=factset&amp;DYN_ARGS=TRUE&amp;DOC_NAME=FAT:FQL_AUDITING_CLIENT_TEMPLATE.FAT&amp;display_string=Audit&amp;VAR:KEY=LCPULQJAHK&amp;VAR:QUERY=RkZfRUJJVERBX09QRVIoUVRSLDQvMS8yMDEwLDYvMzAvMjAxMCwsLFVTRCk=&amp;WINDOW=FIRST_POPUP&amp;HEIGH","T=450&amp;WIDTH=450&amp;START_MAXIMIZED=FALSE&amp;VAR:CALENDAR=US&amp;VAR:SYMBOL=TDC&amp;VAR:INDEX=0"}</definedName>
    <definedName name="_1380__FDSAUDITLINK__" localSheetId="1" hidden="1">{"fdsup://Directions/FactSet Auditing Viewer?action=AUDIT_VALUE&amp;DB=129&amp;ID1=59156R10&amp;VALUEID=01001&amp;SDATE=200902&amp;PERIODTYPE=QTR_STD&amp;window=popup_no_bar&amp;width=385&amp;height=120&amp;START_MAXIMIZED=FALSE&amp;creator=factset&amp;display_string=Audit"}</definedName>
    <definedName name="_1380__FDSAUDITLINK__" hidden="1">{"fdsup://Directions/FactSet Auditing Viewer?action=AUDIT_VALUE&amp;DB=129&amp;ID1=59156R10&amp;VALUEID=01001&amp;SDATE=200902&amp;PERIODTYPE=QTR_STD&amp;window=popup_no_bar&amp;width=385&amp;height=120&amp;START_MAXIMIZED=FALSE&amp;creator=factset&amp;display_string=Audit"}</definedName>
    <definedName name="_1381__FDSAUDITLINK__" localSheetId="1" hidden="1">{"fdsup://Directions/FactSet Auditing Viewer?action=AUDIT_VALUE&amp;DB=129&amp;ID1=59156R10&amp;VALUEID=01001&amp;SDATE=201002&amp;PERIODTYPE=QTR_STD&amp;window=popup_no_bar&amp;width=385&amp;height=120&amp;START_MAXIMIZED=FALSE&amp;creator=factset&amp;display_string=Audit"}</definedName>
    <definedName name="_1381__FDSAUDITLINK__" hidden="1">{"fdsup://Directions/FactSet Auditing Viewer?action=AUDIT_VALUE&amp;DB=129&amp;ID1=59156R10&amp;VALUEID=01001&amp;SDATE=201002&amp;PERIODTYPE=QTR_STD&amp;window=popup_no_bar&amp;width=385&amp;height=120&amp;START_MAXIMIZED=FALSE&amp;creator=factset&amp;display_string=Audit"}</definedName>
    <definedName name="_1382__FDSAUDITLINK__" localSheetId="1" hidden="1">{"fdsup://Directions/FactSet Auditing Viewer?action=AUDIT_VALUE&amp;DB=129&amp;ID1=57620610&amp;VALUEID=01001&amp;SDATE=201002&amp;PERIODTYPE=QTR_STD&amp;window=popup_no_bar&amp;width=385&amp;height=120&amp;START_MAXIMIZED=FALSE&amp;creator=factset&amp;display_string=Audit"}</definedName>
    <definedName name="_1382__FDSAUDITLINK__" hidden="1">{"fdsup://Directions/FactSet Auditing Viewer?action=AUDIT_VALUE&amp;DB=129&amp;ID1=57620610&amp;VALUEID=01001&amp;SDATE=201002&amp;PERIODTYPE=QTR_STD&amp;window=popup_no_bar&amp;width=385&amp;height=120&amp;START_MAXIMIZED=FALSE&amp;creator=factset&amp;display_string=Audit"}</definedName>
    <definedName name="_1383__FDSAUDITLINK__" localSheetId="1" hidden="1">{"fdsup://Directions/FactSet Auditing Viewer?action=AUDIT_VALUE&amp;DB=129&amp;ID1=58505510&amp;VALUEID=01001&amp;SDATE=200804&amp;PERIODTYPE=QTR_STD&amp;window=popup_no_bar&amp;width=385&amp;height=120&amp;START_MAXIMIZED=FALSE&amp;creator=factset&amp;display_string=Audit"}</definedName>
    <definedName name="_1383__FDSAUDITLINK__" hidden="1">{"fdsup://Directions/FactSet Auditing Viewer?action=AUDIT_VALUE&amp;DB=129&amp;ID1=58505510&amp;VALUEID=01001&amp;SDATE=200804&amp;PERIODTYPE=QTR_STD&amp;window=popup_no_bar&amp;width=385&amp;height=120&amp;START_MAXIMIZED=FALSE&amp;creator=factset&amp;display_string=Audit"}</definedName>
    <definedName name="_1384__FDSAUDITLINK__" localSheetId="1" hidden="1">{"fdsup://Directions/FactSet Auditing Viewer?action=AUDIT_VALUE&amp;DB=129&amp;ID1=58505510&amp;VALUEID=01001&amp;SDATE=200904&amp;PERIODTYPE=QTR_STD&amp;window=popup_no_bar&amp;width=385&amp;height=120&amp;START_MAXIMIZED=FALSE&amp;creator=factset&amp;display_string=Audit"}</definedName>
    <definedName name="_1384__FDSAUDITLINK__" hidden="1">{"fdsup://Directions/FactSet Auditing Viewer?action=AUDIT_VALUE&amp;DB=129&amp;ID1=58505510&amp;VALUEID=01001&amp;SDATE=200904&amp;PERIODTYPE=QTR_STD&amp;window=popup_no_bar&amp;width=385&amp;height=120&amp;START_MAXIMIZED=FALSE&amp;creator=factset&amp;display_string=Audit"}</definedName>
    <definedName name="_1385__FDSAUDITLINK__" localSheetId="1" hidden="1">{"fdsup://Directions/FactSet Auditing Viewer?action=AUDIT_VALUE&amp;DB=129&amp;ID1=58943310&amp;VALUEID=01001&amp;SDATE=200904&amp;PERIODTYPE=QTR_STD&amp;window=popup_no_bar&amp;width=385&amp;height=120&amp;START_MAXIMIZED=FALSE&amp;creator=factset&amp;display_string=Audit"}</definedName>
    <definedName name="_1385__FDSAUDITLINK__" hidden="1">{"fdsup://Directions/FactSet Auditing Viewer?action=AUDIT_VALUE&amp;DB=129&amp;ID1=58943310&amp;VALUEID=01001&amp;SDATE=200904&amp;PERIODTYPE=QTR_STD&amp;window=popup_no_bar&amp;width=385&amp;height=120&amp;START_MAXIMIZED=FALSE&amp;creator=factset&amp;display_string=Audit"}</definedName>
    <definedName name="_1386__FDSAUDITLINK__" localSheetId="1" hidden="1">{"fdsup://Directions/FactSet Auditing Viewer?action=AUDIT_VALUE&amp;DB=129&amp;ID1=58943310&amp;VALUEID=01001&amp;SDATE=201004&amp;PERIODTYPE=QTR_STD&amp;window=popup_no_bar&amp;width=385&amp;height=120&amp;START_MAXIMIZED=FALSE&amp;creator=factset&amp;display_string=Audit"}</definedName>
    <definedName name="_1386__FDSAUDITLINK__" hidden="1">{"fdsup://Directions/FactSet Auditing Viewer?action=AUDIT_VALUE&amp;DB=129&amp;ID1=58943310&amp;VALUEID=01001&amp;SDATE=201004&amp;PERIODTYPE=QTR_STD&amp;window=popup_no_bar&amp;width=385&amp;height=120&amp;START_MAXIMIZED=FALSE&amp;creator=factset&amp;display_string=Audit"}</definedName>
    <definedName name="_1387__FDSAUDITLINK__" localSheetId="1" hidden="1">{"fdsup://Directions/FactSet Auditing Viewer?action=AUDIT_VALUE&amp;DB=129&amp;ID1=61536910&amp;VALUEID=01001&amp;SDATE=200902&amp;PERIODTYPE=QTR_STD&amp;window=popup_no_bar&amp;width=385&amp;height=120&amp;START_MAXIMIZED=FALSE&amp;creator=factset&amp;display_string=Audit"}</definedName>
    <definedName name="_1387__FDSAUDITLINK__" hidden="1">{"fdsup://Directions/FactSet Auditing Viewer?action=AUDIT_VALUE&amp;DB=129&amp;ID1=61536910&amp;VALUEID=01001&amp;SDATE=200902&amp;PERIODTYPE=QTR_STD&amp;window=popup_no_bar&amp;width=385&amp;height=120&amp;START_MAXIMIZED=FALSE&amp;creator=factset&amp;display_string=Audit"}</definedName>
    <definedName name="_1388__FDSAUDITLINK__" localSheetId="1" hidden="1">{"fdsup://Directions/FactSet Auditing Viewer?action=AUDIT_VALUE&amp;DB=129&amp;ID1=61536910&amp;VALUEID=01001&amp;SDATE=201002&amp;PERIODTYPE=QTR_STD&amp;window=popup_no_bar&amp;width=385&amp;height=120&amp;START_MAXIMIZED=FALSE&amp;creator=factset&amp;display_string=Audit"}</definedName>
    <definedName name="_1388__FDSAUDITLINK__" hidden="1">{"fdsup://Directions/FactSet Auditing Viewer?action=AUDIT_VALUE&amp;DB=129&amp;ID1=61536910&amp;VALUEID=01001&amp;SDATE=201002&amp;PERIODTYPE=QTR_STD&amp;window=popup_no_bar&amp;width=385&amp;height=120&amp;START_MAXIMIZED=FALSE&amp;creator=factset&amp;display_string=Audit"}</definedName>
    <definedName name="_1389__FDSAUDITLINK__" localSheetId="1" hidden="1">{"fdsup://Directions/FactSet Auditing Viewer?action=AUDIT_VALUE&amp;DB=129&amp;ID1=58155Q10&amp;VALUEID=01001&amp;SDATE=200901&amp;PERIODTYPE=QTR_STD&amp;window=popup_no_bar&amp;width=385&amp;height=120&amp;START_MAXIMIZED=FALSE&amp;creator=factset&amp;display_string=Audit"}</definedName>
    <definedName name="_1389__FDSAUDITLINK__" hidden="1">{"fdsup://Directions/FactSet Auditing Viewer?action=AUDIT_VALUE&amp;DB=129&amp;ID1=58155Q10&amp;VALUEID=01001&amp;SDATE=200901&amp;PERIODTYPE=QTR_STD&amp;window=popup_no_bar&amp;width=385&amp;height=120&amp;START_MAXIMIZED=FALSE&amp;creator=factset&amp;display_string=Audit"}</definedName>
    <definedName name="_139__FDSAUDITLINK__" localSheetId="1" hidden="1">{"fdsup://directions/FAT Viewer?action=UPDATE&amp;creator=factset&amp;DYN_ARGS=TRUE&amp;DOC_NAME=FAT:FQL_AUDITING_CLIENT_TEMPLATE.FAT&amp;display_string=Audit&amp;VAR:KEY=LIZMREJUBM&amp;VAR:QUERY=RkZfRUJJVERBX09QRVIoUVRSLDQvMS8yMDA5LDYvMzAvMjAwOSwsLFVTRCk=&amp;WINDOW=FIRST_POPUP&amp;HEIGH","T=450&amp;WIDTH=450&amp;START_MAXIMIZED=FALSE&amp;VAR:CALENDAR=US&amp;VAR:SYMBOL=TAP&amp;VAR:INDEX=0"}</definedName>
    <definedName name="_139__FDSAUDITLINK__" hidden="1">{"fdsup://directions/FAT Viewer?action=UPDATE&amp;creator=factset&amp;DYN_ARGS=TRUE&amp;DOC_NAME=FAT:FQL_AUDITING_CLIENT_TEMPLATE.FAT&amp;display_string=Audit&amp;VAR:KEY=LIZMREJUBM&amp;VAR:QUERY=RkZfRUJJVERBX09QRVIoUVRSLDQvMS8yMDA5LDYvMzAvMjAwOSwsLFVTRCk=&amp;WINDOW=FIRST_POPUP&amp;HEIGH","T=450&amp;WIDTH=450&amp;START_MAXIMIZED=FALSE&amp;VAR:CALENDAR=US&amp;VAR:SYMBOL=TAP&amp;VAR:INDEX=0"}</definedName>
    <definedName name="_1390__FDSAUDITLINK__" localSheetId="1" hidden="1">{"fdsup://Directions/FactSet Auditing Viewer?action=AUDIT_VALUE&amp;DB=129&amp;ID1=58155Q10&amp;VALUEID=01001&amp;SDATE=201001&amp;PERIODTYPE=QTR_STD&amp;window=popup_no_bar&amp;width=385&amp;height=120&amp;START_MAXIMIZED=FALSE&amp;creator=factset&amp;display_string=Audit"}</definedName>
    <definedName name="_1390__FDSAUDITLINK__" hidden="1">{"fdsup://Directions/FactSet Auditing Viewer?action=AUDIT_VALUE&amp;DB=129&amp;ID1=58155Q10&amp;VALUEID=01001&amp;SDATE=201001&amp;PERIODTYPE=QTR_STD&amp;window=popup_no_bar&amp;width=385&amp;height=120&amp;START_MAXIMIZED=FALSE&amp;creator=factset&amp;display_string=Audit"}</definedName>
    <definedName name="_1391__FDSAUDITLINK__" localSheetId="1" hidden="1">{"fdsup://Directions/FactSet Auditing Viewer?action=AUDIT_VALUE&amp;DB=129&amp;ID1=59501710&amp;VALUEID=01001&amp;SDATE=200901&amp;PERIODTYPE=QTR_STD&amp;window=popup_no_bar&amp;width=385&amp;height=120&amp;START_MAXIMIZED=FALSE&amp;creator=factset&amp;display_string=Audit"}</definedName>
    <definedName name="_1391__FDSAUDITLINK__" hidden="1">{"fdsup://Directions/FactSet Auditing Viewer?action=AUDIT_VALUE&amp;DB=129&amp;ID1=59501710&amp;VALUEID=01001&amp;SDATE=200901&amp;PERIODTYPE=QTR_STD&amp;window=popup_no_bar&amp;width=385&amp;height=120&amp;START_MAXIMIZED=FALSE&amp;creator=factset&amp;display_string=Audit"}</definedName>
    <definedName name="_1392__FDSAUDITLINK__" localSheetId="1" hidden="1">{"fdsup://Directions/FactSet Auditing Viewer?action=AUDIT_VALUE&amp;DB=129&amp;ID1=59501710&amp;VALUEID=01001&amp;SDATE=201001&amp;PERIODTYPE=QTR_STD&amp;window=popup_no_bar&amp;width=385&amp;height=120&amp;START_MAXIMIZED=FALSE&amp;creator=factset&amp;display_string=Audit"}</definedName>
    <definedName name="_1392__FDSAUDITLINK__" hidden="1">{"fdsup://Directions/FactSet Auditing Viewer?action=AUDIT_VALUE&amp;DB=129&amp;ID1=59501710&amp;VALUEID=01001&amp;SDATE=201001&amp;PERIODTYPE=QTR_STD&amp;window=popup_no_bar&amp;width=385&amp;height=120&amp;START_MAXIMIZED=FALSE&amp;creator=factset&amp;display_string=Audit"}</definedName>
    <definedName name="_1393__FDSAUDITLINK__" localSheetId="1" hidden="1">{"fdsup://Directions/FactSet Auditing Viewer?action=AUDIT_VALUE&amp;DB=129&amp;ID1=58013510&amp;VALUEID=01001&amp;SDATE=200902&amp;PERIODTYPE=QTR_STD&amp;window=popup_no_bar&amp;width=385&amp;height=120&amp;START_MAXIMIZED=FALSE&amp;creator=factset&amp;display_string=Audit"}</definedName>
    <definedName name="_1393__FDSAUDITLINK__" hidden="1">{"fdsup://Directions/FactSet Auditing Viewer?action=AUDIT_VALUE&amp;DB=129&amp;ID1=58013510&amp;VALUEID=01001&amp;SDATE=200902&amp;PERIODTYPE=QTR_STD&amp;window=popup_no_bar&amp;width=385&amp;height=120&amp;START_MAXIMIZED=FALSE&amp;creator=factset&amp;display_string=Audit"}</definedName>
    <definedName name="_1394__FDSAUDITLINK__" localSheetId="1" hidden="1">{"fdsup://Directions/FactSet Auditing Viewer?action=AUDIT_VALUE&amp;DB=129&amp;ID1=58013510&amp;VALUEID=01001&amp;SDATE=201002&amp;PERIODTYPE=QTR_STD&amp;window=popup_no_bar&amp;width=385&amp;height=120&amp;START_MAXIMIZED=FALSE&amp;creator=factset&amp;display_string=Audit"}</definedName>
    <definedName name="_1394__FDSAUDITLINK__" hidden="1">{"fdsup://Directions/FactSet Auditing Viewer?action=AUDIT_VALUE&amp;DB=129&amp;ID1=58013510&amp;VALUEID=01001&amp;SDATE=201002&amp;PERIODTYPE=QTR_STD&amp;window=popup_no_bar&amp;width=385&amp;height=120&amp;START_MAXIMIZED=FALSE&amp;creator=factset&amp;display_string=Audit"}</definedName>
    <definedName name="_1395__FDSAUDITLINK__" localSheetId="1" hidden="1">{"fdsup://Directions/FactSet Auditing Viewer?action=AUDIT_VALUE&amp;DB=129&amp;ID1=57708110&amp;VALUEID=01001&amp;SDATE=200902&amp;PERIODTYPE=QTR_STD&amp;window=popup_no_bar&amp;width=385&amp;height=120&amp;START_MAXIMIZED=FALSE&amp;creator=factset&amp;display_string=Audit"}</definedName>
    <definedName name="_1395__FDSAUDITLINK__" hidden="1">{"fdsup://Directions/FactSet Auditing Viewer?action=AUDIT_VALUE&amp;DB=129&amp;ID1=57708110&amp;VALUEID=01001&amp;SDATE=200902&amp;PERIODTYPE=QTR_STD&amp;window=popup_no_bar&amp;width=385&amp;height=120&amp;START_MAXIMIZED=FALSE&amp;creator=factset&amp;display_string=Audit"}</definedName>
    <definedName name="_1396__FDSAUDITLINK__" localSheetId="1" hidden="1">{"fdsup://Directions/FactSet Auditing Viewer?action=AUDIT_VALUE&amp;DB=129&amp;ID1=57708110&amp;VALUEID=01001&amp;SDATE=201002&amp;PERIODTYPE=QTR_STD&amp;window=popup_no_bar&amp;width=385&amp;height=120&amp;START_MAXIMIZED=FALSE&amp;creator=factset&amp;display_string=Audit"}</definedName>
    <definedName name="_1396__FDSAUDITLINK__" hidden="1">{"fdsup://Directions/FactSet Auditing Viewer?action=AUDIT_VALUE&amp;DB=129&amp;ID1=57708110&amp;VALUEID=01001&amp;SDATE=201002&amp;PERIODTYPE=QTR_STD&amp;window=popup_no_bar&amp;width=385&amp;height=120&amp;START_MAXIMIZED=FALSE&amp;creator=factset&amp;display_string=Audit"}</definedName>
    <definedName name="_1397__FDSAUDITLINK__" localSheetId="1" hidden="1">{"fdsup://Directions/FactSet Auditing Viewer?action=AUDIT_VALUE&amp;DB=129&amp;ID1=57459910&amp;VALUEID=01001&amp;SDATE=200902&amp;PERIODTYPE=QTR_STD&amp;window=popup_no_bar&amp;width=385&amp;height=120&amp;START_MAXIMIZED=FALSE&amp;creator=factset&amp;display_string=Audit"}</definedName>
    <definedName name="_1397__FDSAUDITLINK__" hidden="1">{"fdsup://Directions/FactSet Auditing Viewer?action=AUDIT_VALUE&amp;DB=129&amp;ID1=57459910&amp;VALUEID=01001&amp;SDATE=200902&amp;PERIODTYPE=QTR_STD&amp;window=popup_no_bar&amp;width=385&amp;height=120&amp;START_MAXIMIZED=FALSE&amp;creator=factset&amp;display_string=Audit"}</definedName>
    <definedName name="_1398__FDSAUDITLINK__" localSheetId="1" hidden="1">{"fdsup://Directions/FactSet Auditing Viewer?action=AUDIT_VALUE&amp;DB=129&amp;ID1=57459910&amp;VALUEID=01001&amp;SDATE=201002&amp;PERIODTYPE=QTR_STD&amp;window=popup_no_bar&amp;width=385&amp;height=120&amp;START_MAXIMIZED=FALSE&amp;creator=factset&amp;display_string=Audit"}</definedName>
    <definedName name="_1398__FDSAUDITLINK__" hidden="1">{"fdsup://Directions/FactSet Auditing Viewer?action=AUDIT_VALUE&amp;DB=129&amp;ID1=57459910&amp;VALUEID=01001&amp;SDATE=201002&amp;PERIODTYPE=QTR_STD&amp;window=popup_no_bar&amp;width=385&amp;height=120&amp;START_MAXIMIZED=FALSE&amp;creator=factset&amp;display_string=Audit"}</definedName>
    <definedName name="_1399__FDSAUDITLINK__" localSheetId="1" hidden="1">{"fdsup://Directions/FactSet Auditing Viewer?action=AUDIT_VALUE&amp;DB=129&amp;ID1=57190320&amp;VALUEID=01001&amp;SDATE=200902&amp;PERIODTYPE=QTR_STD&amp;window=popup_no_bar&amp;width=385&amp;height=120&amp;START_MAXIMIZED=FALSE&amp;creator=factset&amp;display_string=Audit"}</definedName>
    <definedName name="_1399__FDSAUDITLINK__" hidden="1">{"fdsup://Directions/FactSet Auditing Viewer?action=AUDIT_VALUE&amp;DB=129&amp;ID1=57190320&amp;VALUEID=01001&amp;SDATE=200902&amp;PERIODTYPE=QTR_STD&amp;window=popup_no_bar&amp;width=385&amp;height=120&amp;START_MAXIMIZED=FALSE&amp;creator=factset&amp;display_string=Audit"}</definedName>
    <definedName name="_14__FDSAUDITLINK__" localSheetId="1" hidden="1">{"fdsup://directions/FAT Viewer?action=UPDATE&amp;creator=factset&amp;DYN_ARGS=TRUE&amp;DOC_NAME=FAT:FQL_AUDITING_CLIENT_TEMPLATE.FAT&amp;display_string=Audit&amp;VAR:KEY=XMTANELKRK&amp;VAR:QUERY=RkZfRUJJVERBX09QRVIoUVRSLDQvMS8yMDEwLDYvMzAvMjAxMCwsLFVTRCk=&amp;WINDOW=FIRST_POPUP&amp;HEIGH","T=450&amp;WIDTH=450&amp;START_MAXIMIZED=FALSE&amp;VAR:CALENDAR=US&amp;VAR:SYMBOL=XOM&amp;VAR:INDEX=0"}</definedName>
    <definedName name="_14__FDSAUDITLINK__" hidden="1">{"fdsup://Directions/FactSet Auditing Viewer?action=AUDIT_VALUE&amp;DB=129&amp;ID1=590294&amp;VALUEID=02001&amp;SDATE=2009&amp;PERIODTYPE=ANN_STD&amp;window=popup_no_bar&amp;width=385&amp;height=120&amp;START_MAXIMIZED=FALSE&amp;creator=factset&amp;display_string=Audit"}</definedName>
    <definedName name="_140__FDSAUDITLINK__" localSheetId="1" hidden="1">{"fdsup://directions/FAT Viewer?action=UPDATE&amp;creator=factset&amp;DYN_ARGS=TRUE&amp;DOC_NAME=FAT:FQL_AUDITING_CLIENT_TEMPLATE.FAT&amp;display_string=Audit&amp;VAR:KEY=RYLOJAFUPY&amp;VAR:QUERY=RkZfRUJJVERBX09QRVIoUVRSLDQvMS8yMDEwLDYvMzAvMjAxMCwsLFVTRCk=&amp;WINDOW=FIRST_POPUP&amp;HEIGH","T=450&amp;WIDTH=450&amp;START_MAXIMIZED=FALSE&amp;VAR:CALENDAR=US&amp;VAR:SYMBOL=TAP&amp;VAR:INDEX=0"}</definedName>
    <definedName name="_140__FDSAUDITLINK__" hidden="1">{"fdsup://directions/FAT Viewer?action=UPDATE&amp;creator=factset&amp;DYN_ARGS=TRUE&amp;DOC_NAME=FAT:FQL_AUDITING_CLIENT_TEMPLATE.FAT&amp;display_string=Audit&amp;VAR:KEY=RYLOJAFUPY&amp;VAR:QUERY=RkZfRUJJVERBX09QRVIoUVRSLDQvMS8yMDEwLDYvMzAvMjAxMCwsLFVTRCk=&amp;WINDOW=FIRST_POPUP&amp;HEIGH","T=450&amp;WIDTH=450&amp;START_MAXIMIZED=FALSE&amp;VAR:CALENDAR=US&amp;VAR:SYMBOL=TAP&amp;VAR:INDEX=0"}</definedName>
    <definedName name="_1400__FDSAUDITLINK__" localSheetId="1" hidden="1">{"fdsup://Directions/FactSet Auditing Viewer?action=AUDIT_VALUE&amp;DB=129&amp;ID1=57190320&amp;VALUEID=01001&amp;SDATE=201002&amp;PERIODTYPE=QTR_STD&amp;window=popup_no_bar&amp;width=385&amp;height=120&amp;START_MAXIMIZED=FALSE&amp;creator=factset&amp;display_string=Audit"}</definedName>
    <definedName name="_1400__FDSAUDITLINK__" hidden="1">{"fdsup://Directions/FactSet Auditing Viewer?action=AUDIT_VALUE&amp;DB=129&amp;ID1=57190320&amp;VALUEID=01001&amp;SDATE=201002&amp;PERIODTYPE=QTR_STD&amp;window=popup_no_bar&amp;width=385&amp;height=120&amp;START_MAXIMIZED=FALSE&amp;creator=factset&amp;display_string=Audit"}</definedName>
    <definedName name="_1401__FDSAUDITLINK__" localSheetId="1" hidden="1">{"fdsup://Directions/FactSet Auditing Viewer?action=AUDIT_VALUE&amp;DB=129&amp;ID1=57636Q10&amp;VALUEID=01001&amp;SDATE=200902&amp;PERIODTYPE=QTR_STD&amp;window=popup_no_bar&amp;width=385&amp;height=120&amp;START_MAXIMIZED=FALSE&amp;creator=factset&amp;display_string=Audit"}</definedName>
    <definedName name="_1401__FDSAUDITLINK__" hidden="1">{"fdsup://Directions/FactSet Auditing Viewer?action=AUDIT_VALUE&amp;DB=129&amp;ID1=57636Q10&amp;VALUEID=01001&amp;SDATE=200902&amp;PERIODTYPE=QTR_STD&amp;window=popup_no_bar&amp;width=385&amp;height=120&amp;START_MAXIMIZED=FALSE&amp;creator=factset&amp;display_string=Audit"}</definedName>
    <definedName name="_1402__FDSAUDITLINK__" localSheetId="1" hidden="1">{"fdsup://Directions/FactSet Auditing Viewer?action=AUDIT_VALUE&amp;DB=129&amp;ID1=57636Q10&amp;VALUEID=01001&amp;SDATE=201002&amp;PERIODTYPE=QTR_STD&amp;window=popup_no_bar&amp;width=385&amp;height=120&amp;START_MAXIMIZED=FALSE&amp;creator=factset&amp;display_string=Audit"}</definedName>
    <definedName name="_1402__FDSAUDITLINK__" hidden="1">{"fdsup://Directions/FactSet Auditing Viewer?action=AUDIT_VALUE&amp;DB=129&amp;ID1=57636Q10&amp;VALUEID=01001&amp;SDATE=201002&amp;PERIODTYPE=QTR_STD&amp;window=popup_no_bar&amp;width=385&amp;height=120&amp;START_MAXIMIZED=FALSE&amp;creator=factset&amp;display_string=Audit"}</definedName>
    <definedName name="_1403__FDSAUDITLINK__" localSheetId="1" hidden="1">{"fdsup://Directions/FactSet Auditing Viewer?action=AUDIT_VALUE&amp;DB=129&amp;ID1=55616P10&amp;VALUEID=01001&amp;SDATE=200901&amp;PERIODTYPE=QTR_STD&amp;window=popup_no_bar&amp;width=385&amp;height=120&amp;START_MAXIMIZED=FALSE&amp;creator=factset&amp;display_string=Audit"}</definedName>
    <definedName name="_1403__FDSAUDITLINK__" hidden="1">{"fdsup://Directions/FactSet Auditing Viewer?action=AUDIT_VALUE&amp;DB=129&amp;ID1=55616P10&amp;VALUEID=01001&amp;SDATE=200901&amp;PERIODTYPE=QTR_STD&amp;window=popup_no_bar&amp;width=385&amp;height=120&amp;START_MAXIMIZED=FALSE&amp;creator=factset&amp;display_string=Audit"}</definedName>
    <definedName name="_1404__FDSAUDITLINK__" localSheetId="1" hidden="1">{"fdsup://Directions/FactSet Auditing Viewer?action=AUDIT_VALUE&amp;DB=129&amp;ID1=55616P10&amp;VALUEID=01001&amp;SDATE=201001&amp;PERIODTYPE=QTR_STD&amp;window=popup_no_bar&amp;width=385&amp;height=120&amp;START_MAXIMIZED=FALSE&amp;creator=factset&amp;display_string=Audit"}</definedName>
    <definedName name="_1404__FDSAUDITLINK__" hidden="1">{"fdsup://Directions/FactSet Auditing Viewer?action=AUDIT_VALUE&amp;DB=129&amp;ID1=55616P10&amp;VALUEID=01001&amp;SDATE=201001&amp;PERIODTYPE=QTR_STD&amp;window=popup_no_bar&amp;width=385&amp;height=120&amp;START_MAXIMIZED=FALSE&amp;creator=factset&amp;display_string=Audit"}</definedName>
    <definedName name="_1405__FDSAUDITLINK__" localSheetId="1" hidden="1">{"fdsup://Directions/FactSet Auditing Viewer?action=AUDIT_VALUE&amp;DB=129&amp;ID1=52977110&amp;VALUEID=01001&amp;SDATE=201002&amp;PERIODTYPE=QTR_STD&amp;window=popup_no_bar&amp;width=385&amp;height=120&amp;START_MAXIMIZED=FALSE&amp;creator=factset&amp;display_string=Audit"}</definedName>
    <definedName name="_1405__FDSAUDITLINK__" hidden="1">{"fdsup://Directions/FactSet Auditing Viewer?action=AUDIT_VALUE&amp;DB=129&amp;ID1=52977110&amp;VALUEID=01001&amp;SDATE=201002&amp;PERIODTYPE=QTR_STD&amp;window=popup_no_bar&amp;width=385&amp;height=120&amp;START_MAXIMIZED=FALSE&amp;creator=factset&amp;display_string=Audit"}</definedName>
    <definedName name="_1406__FDSAUDITLINK__" localSheetId="1" hidden="1">{"fdsup://Directions/FactSet Auditing Viewer?action=AUDIT_VALUE&amp;DB=129&amp;ID1=84474110&amp;VALUEID=01001&amp;SDATE=200902&amp;PERIODTYPE=QTR_STD&amp;window=popup_no_bar&amp;width=385&amp;height=120&amp;START_MAXIMIZED=FALSE&amp;creator=factset&amp;display_string=Audit"}</definedName>
    <definedName name="_1406__FDSAUDITLINK__" hidden="1">{"fdsup://Directions/FactSet Auditing Viewer?action=AUDIT_VALUE&amp;DB=129&amp;ID1=84474110&amp;VALUEID=01001&amp;SDATE=200902&amp;PERIODTYPE=QTR_STD&amp;window=popup_no_bar&amp;width=385&amp;height=120&amp;START_MAXIMIZED=FALSE&amp;creator=factset&amp;display_string=Audit"}</definedName>
    <definedName name="_1407__FDSAUDITLINK__" localSheetId="1" hidden="1">{"fdsup://Directions/FactSet Auditing Viewer?action=AUDIT_VALUE&amp;DB=129&amp;ID1=84474110&amp;VALUEID=01001&amp;SDATE=201002&amp;PERIODTYPE=QTR_STD&amp;window=popup_no_bar&amp;width=385&amp;height=120&amp;START_MAXIMIZED=FALSE&amp;creator=factset&amp;display_string=Audit"}</definedName>
    <definedName name="_1407__FDSAUDITLINK__" hidden="1">{"fdsup://Directions/FactSet Auditing Viewer?action=AUDIT_VALUE&amp;DB=129&amp;ID1=84474110&amp;VALUEID=01001&amp;SDATE=201002&amp;PERIODTYPE=QTR_STD&amp;window=popup_no_bar&amp;width=385&amp;height=120&amp;START_MAXIMIZED=FALSE&amp;creator=factset&amp;display_string=Audit"}</definedName>
    <definedName name="_1408__FDSAUDITLINK__" localSheetId="1" hidden="1">{"fdsup://Directions/FactSet Auditing Viewer?action=AUDIT_VALUE&amp;DB=129&amp;ID1=52728810&amp;VALUEID=01001&amp;SDATE=200902&amp;PERIODTYPE=QTR_STD&amp;window=popup_no_bar&amp;width=385&amp;height=120&amp;START_MAXIMIZED=FALSE&amp;creator=factset&amp;display_string=Audit"}</definedName>
    <definedName name="_1408__FDSAUDITLINK__" hidden="1">{"fdsup://Directions/FactSet Auditing Viewer?action=AUDIT_VALUE&amp;DB=129&amp;ID1=52728810&amp;VALUEID=01001&amp;SDATE=200902&amp;PERIODTYPE=QTR_STD&amp;window=popup_no_bar&amp;width=385&amp;height=120&amp;START_MAXIMIZED=FALSE&amp;creator=factset&amp;display_string=Audit"}</definedName>
    <definedName name="_1409__FDSAUDITLINK__" localSheetId="1" hidden="1">{"fdsup://Directions/FactSet Auditing Viewer?action=AUDIT_VALUE&amp;DB=129&amp;ID1=52728810&amp;VALUEID=01001&amp;SDATE=201002&amp;PERIODTYPE=QTR_STD&amp;window=popup_no_bar&amp;width=385&amp;height=120&amp;START_MAXIMIZED=FALSE&amp;creator=factset&amp;display_string=Audit"}</definedName>
    <definedName name="_1409__FDSAUDITLINK__" hidden="1">{"fdsup://Directions/FactSet Auditing Viewer?action=AUDIT_VALUE&amp;DB=129&amp;ID1=52728810&amp;VALUEID=01001&amp;SDATE=201002&amp;PERIODTYPE=QTR_STD&amp;window=popup_no_bar&amp;width=385&amp;height=120&amp;START_MAXIMIZED=FALSE&amp;creator=factset&amp;display_string=Audit"}</definedName>
    <definedName name="_141__FDSAUDITLINK__" localSheetId="1" hidden="1">{"fdsup://directions/FAT Viewer?action=UPDATE&amp;creator=factset&amp;DYN_ARGS=TRUE&amp;DOC_NAME=FAT:FQL_AUDITING_CLIENT_TEMPLATE.FAT&amp;display_string=Audit&amp;VAR:KEY=RCVENYPMFS&amp;VAR:QUERY=RkZfRUJJVERBX09QRVIoUVRSLDQvMS8yMDA5LDYvMzAvMjAwOSwsLFVTRCk=&amp;WINDOW=FIRST_POPUP&amp;HEIGH","T=450&amp;WIDTH=450&amp;START_MAXIMIZED=FALSE&amp;VAR:CALENDAR=US&amp;VAR:SYMBOL=T&amp;VAR:INDEX=0"}</definedName>
    <definedName name="_141__FDSAUDITLINK__" hidden="1">{"fdsup://directions/FAT Viewer?action=UPDATE&amp;creator=factset&amp;DYN_ARGS=TRUE&amp;DOC_NAME=FAT:FQL_AUDITING_CLIENT_TEMPLATE.FAT&amp;display_string=Audit&amp;VAR:KEY=RCVENYPMFS&amp;VAR:QUERY=RkZfRUJJVERBX09QRVIoUVRSLDQvMS8yMDA5LDYvMzAvMjAwOSwsLFVTRCk=&amp;WINDOW=FIRST_POPUP&amp;HEIGH","T=450&amp;WIDTH=450&amp;START_MAXIMIZED=FALSE&amp;VAR:CALENDAR=US&amp;VAR:SYMBOL=T&amp;VAR:INDEX=0"}</definedName>
    <definedName name="_1410__FDSAUDITLINK__" localSheetId="1" hidden="1">{"fdsup://Directions/FactSet Auditing Viewer?action=AUDIT_VALUE&amp;DB=129&amp;ID1=53271610&amp;VALUEID=01001&amp;SDATE=201001&amp;PERIODTYPE=QTR_STD&amp;window=popup_no_bar&amp;width=385&amp;height=120&amp;START_MAXIMIZED=FALSE&amp;creator=factset&amp;display_string=Audit"}</definedName>
    <definedName name="_1410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1411__FDSAUDITLINK__" localSheetId="1" hidden="1">{"fdsup://Directions/FactSet Auditing Viewer?action=AUDIT_VALUE&amp;DB=129&amp;ID1=50216110&amp;VALUEID=01001&amp;SDATE=200902&amp;PERIODTYPE=QTR_STD&amp;window=popup_no_bar&amp;width=385&amp;height=120&amp;START_MAXIMIZED=FALSE&amp;creator=factset&amp;display_string=Audit"}</definedName>
    <definedName name="_1411__FDSAUDITLINK__" hidden="1">{"fdsup://Directions/FactSet Auditing Viewer?action=AUDIT_VALUE&amp;DB=129&amp;ID1=50216110&amp;VALUEID=01001&amp;SDATE=200902&amp;PERIODTYPE=QTR_STD&amp;window=popup_no_bar&amp;width=385&amp;height=120&amp;START_MAXIMIZED=FALSE&amp;creator=factset&amp;display_string=Audit"}</definedName>
    <definedName name="_1412__FDSAUDITLINK__" localSheetId="1" hidden="1">{"fdsup://Directions/FactSet Auditing Viewer?action=AUDIT_VALUE&amp;DB=129&amp;ID1=50216110&amp;VALUEID=01001&amp;SDATE=201002&amp;PERIODTYPE=QTR_STD&amp;window=popup_no_bar&amp;width=385&amp;height=120&amp;START_MAXIMIZED=FALSE&amp;creator=factset&amp;display_string=Audit"}</definedName>
    <definedName name="_1412__FDSAUDITLINK__" hidden="1">{"fdsup://Directions/FactSet Auditing Viewer?action=AUDIT_VALUE&amp;DB=129&amp;ID1=50216110&amp;VALUEID=01001&amp;SDATE=201002&amp;PERIODTYPE=QTR_STD&amp;window=popup_no_bar&amp;width=385&amp;height=120&amp;START_MAXIMIZED=FALSE&amp;creator=factset&amp;display_string=Audit"}</definedName>
    <definedName name="_1413__FDSAUDITLINK__" localSheetId="1" hidden="1">{"fdsup://Directions/FactSet Auditing Viewer?action=AUDIT_VALUE&amp;DB=129&amp;ID1=54414710&amp;VALUEID=01001&amp;SDATE=200902&amp;PERIODTYPE=QTR_STD&amp;window=popup_no_bar&amp;width=385&amp;height=120&amp;START_MAXIMIZED=FALSE&amp;creator=factset&amp;display_string=Audit"}</definedName>
    <definedName name="_1413__FDSAUDITLINK__" hidden="1">{"fdsup://Directions/FactSet Auditing Viewer?action=AUDIT_VALUE&amp;DB=129&amp;ID1=54414710&amp;VALUEID=01001&amp;SDATE=200902&amp;PERIODTYPE=QTR_STD&amp;window=popup_no_bar&amp;width=385&amp;height=120&amp;START_MAXIMIZED=FALSE&amp;creator=factset&amp;display_string=Audit"}</definedName>
    <definedName name="_1414__FDSAUDITLINK__" localSheetId="1" hidden="1">{"fdsup://Directions/FactSet Auditing Viewer?action=AUDIT_VALUE&amp;DB=129&amp;ID1=54414710&amp;VALUEID=01001&amp;SDATE=201002&amp;PERIODTYPE=QTR_STD&amp;window=popup_no_bar&amp;width=385&amp;height=120&amp;START_MAXIMIZED=FALSE&amp;creator=factset&amp;display_string=Audit"}</definedName>
    <definedName name="_1414__FDSAUDITLINK__" hidden="1">{"fdsup://Directions/FactSet Auditing Viewer?action=AUDIT_VALUE&amp;DB=129&amp;ID1=54414710&amp;VALUEID=01001&amp;SDATE=201002&amp;PERIODTYPE=QTR_STD&amp;window=popup_no_bar&amp;width=385&amp;height=120&amp;START_MAXIMIZED=FALSE&amp;creator=factset&amp;display_string=Audit"}</definedName>
    <definedName name="_1415__FDSAUDITLINK__" localSheetId="1" hidden="1">{"fdsup://Directions/FactSet Auditing Viewer?action=AUDIT_VALUE&amp;DB=129&amp;ID1=53418710&amp;VALUEID=01001&amp;SDATE=200902&amp;PERIODTYPE=QTR_STD&amp;window=popup_no_bar&amp;width=385&amp;height=120&amp;START_MAXIMIZED=FALSE&amp;creator=factset&amp;display_string=Audit"}</definedName>
    <definedName name="_1415__FDSAUDITLINK__" hidden="1">{"fdsup://Directions/FactSet Auditing Viewer?action=AUDIT_VALUE&amp;DB=129&amp;ID1=53418710&amp;VALUEID=01001&amp;SDATE=200902&amp;PERIODTYPE=QTR_STD&amp;window=popup_no_bar&amp;width=385&amp;height=120&amp;START_MAXIMIZED=FALSE&amp;creator=factset&amp;display_string=Audit"}</definedName>
    <definedName name="_1416__FDSAUDITLINK__" localSheetId="1" hidden="1">{"fdsup://Directions/FactSet Auditing Viewer?action=AUDIT_VALUE&amp;DB=129&amp;ID1=53418710&amp;VALUEID=01001&amp;SDATE=201002&amp;PERIODTYPE=QTR_STD&amp;window=popup_no_bar&amp;width=385&amp;height=120&amp;START_MAXIMIZED=FALSE&amp;creator=factset&amp;display_string=Audit"}</definedName>
    <definedName name="_1416__FDSAUDITLINK__" hidden="1">{"fdsup://Directions/FactSet Auditing Viewer?action=AUDIT_VALUE&amp;DB=129&amp;ID1=53418710&amp;VALUEID=01001&amp;SDATE=201002&amp;PERIODTYPE=QTR_STD&amp;window=popup_no_bar&amp;width=385&amp;height=120&amp;START_MAXIMIZED=FALSE&amp;creator=factset&amp;display_string=Audit"}</definedName>
    <definedName name="_1417__FDSAUDITLINK__" localSheetId="1" hidden="1">{"fdsup://Directions/FactSet Auditing Viewer?action=AUDIT_VALUE&amp;DB=129&amp;ID1=53983010&amp;VALUEID=01001&amp;SDATE=200902&amp;PERIODTYPE=QTR_STD&amp;window=popup_no_bar&amp;width=385&amp;height=120&amp;START_MAXIMIZED=FALSE&amp;creator=factset&amp;display_string=Audit"}</definedName>
    <definedName name="_1417__FDSAUDITLINK__" hidden="1">{"fdsup://Directions/FactSet Auditing Viewer?action=AUDIT_VALUE&amp;DB=129&amp;ID1=53983010&amp;VALUEID=01001&amp;SDATE=200902&amp;PERIODTYPE=QTR_STD&amp;window=popup_no_bar&amp;width=385&amp;height=120&amp;START_MAXIMIZED=FALSE&amp;creator=factset&amp;display_string=Audit"}</definedName>
    <definedName name="_1418__FDSAUDITLINK__" localSheetId="1" hidden="1">{"fdsup://Directions/FactSet Auditing Viewer?action=AUDIT_VALUE&amp;DB=129&amp;ID1=53983010&amp;VALUEID=01001&amp;SDATE=201002&amp;PERIODTYPE=QTR_STD&amp;window=popup_no_bar&amp;width=385&amp;height=120&amp;START_MAXIMIZED=FALSE&amp;creator=factset&amp;display_string=Audit"}</definedName>
    <definedName name="_1418__FDSAUDITLINK__" hidden="1">{"fdsup://Directions/FactSet Auditing Viewer?action=AUDIT_VALUE&amp;DB=129&amp;ID1=53983010&amp;VALUEID=01001&amp;SDATE=201002&amp;PERIODTYPE=QTR_STD&amp;window=popup_no_bar&amp;width=385&amp;height=120&amp;START_MAXIMIZED=FALSE&amp;creator=factset&amp;display_string=Audit"}</definedName>
    <definedName name="_1419__FDSAUDITLINK__" localSheetId="1" hidden="1">{"fdsup://Directions/FactSet Auditing Viewer?action=AUDIT_VALUE&amp;DB=129&amp;ID1=52490110&amp;VALUEID=01001&amp;SDATE=200901&amp;PERIODTYPE=QTR_STD&amp;window=popup_no_bar&amp;width=385&amp;height=120&amp;START_MAXIMIZED=FALSE&amp;creator=factset&amp;display_string=Audit"}</definedName>
    <definedName name="_1419__FDSAUDITLINK__" hidden="1">{"fdsup://Directions/FactSet Auditing Viewer?action=AUDIT_VALUE&amp;DB=129&amp;ID1=52490110&amp;VALUEID=01001&amp;SDATE=200901&amp;PERIODTYPE=QTR_STD&amp;window=popup_no_bar&amp;width=385&amp;height=120&amp;START_MAXIMIZED=FALSE&amp;creator=factset&amp;display_string=Audit"}</definedName>
    <definedName name="_142__FDSAUDITLINK__" localSheetId="1" hidden="1">{"fdsup://directions/FAT Viewer?action=UPDATE&amp;creator=factset&amp;DYN_ARGS=TRUE&amp;DOC_NAME=FAT:FQL_AUDITING_CLIENT_TEMPLATE.FAT&amp;display_string=Audit&amp;VAR:KEY=PGZCPMXMVK&amp;VAR:QUERY=RkZfRUJJVERBX09QRVIoUVRSLDQvMS8yMDEwLDYvMzAvMjAxMCwsLFVTRCk=&amp;WINDOW=FIRST_POPUP&amp;HEIGH","T=450&amp;WIDTH=450&amp;START_MAXIMIZED=FALSE&amp;VAR:CALENDAR=US&amp;VAR:SYMBOL=T&amp;VAR:INDEX=0"}</definedName>
    <definedName name="_142__FDSAUDITLINK__" hidden="1">{"fdsup://directions/FAT Viewer?action=UPDATE&amp;creator=factset&amp;DYN_ARGS=TRUE&amp;DOC_NAME=FAT:FQL_AUDITING_CLIENT_TEMPLATE.FAT&amp;display_string=Audit&amp;VAR:KEY=PGZCPMXMVK&amp;VAR:QUERY=RkZfRUJJVERBX09QRVIoUVRSLDQvMS8yMDEwLDYvMzAvMjAxMCwsLFVTRCk=&amp;WINDOW=FIRST_POPUP&amp;HEIGH","T=450&amp;WIDTH=450&amp;START_MAXIMIZED=FALSE&amp;VAR:CALENDAR=US&amp;VAR:SYMBOL=T&amp;VAR:INDEX=0"}</definedName>
    <definedName name="_1420__FDSAUDITLINK__" localSheetId="1" hidden="1">{"fdsup://Directions/FactSet Auditing Viewer?action=AUDIT_VALUE&amp;DB=129&amp;ID1=52490110&amp;VALUEID=01001&amp;SDATE=201001&amp;PERIODTYPE=QTR_STD&amp;window=popup_no_bar&amp;width=385&amp;height=120&amp;START_MAXIMIZED=FALSE&amp;creator=factset&amp;display_string=Audit"}</definedName>
    <definedName name="_1420__FDSAUDITLINK__" hidden="1">{"fdsup://Directions/FactSet Auditing Viewer?action=AUDIT_VALUE&amp;DB=129&amp;ID1=52490110&amp;VALUEID=01001&amp;SDATE=201001&amp;PERIODTYPE=QTR_STD&amp;window=popup_no_bar&amp;width=385&amp;height=120&amp;START_MAXIMIZED=FALSE&amp;creator=factset&amp;display_string=Audit"}</definedName>
    <definedName name="_1421__FDSAUDITLINK__" localSheetId="1" hidden="1">{"fdsup://Directions/FactSet Auditing Viewer?action=AUDIT_VALUE&amp;DB=129&amp;ID1=53245710&amp;VALUEID=01001&amp;SDATE=200902&amp;PERIODTYPE=QTR_STD&amp;window=popup_no_bar&amp;width=385&amp;height=120&amp;START_MAXIMIZED=FALSE&amp;creator=factset&amp;display_string=Audit"}</definedName>
    <definedName name="_1421__FDSAUDITLINK__" hidden="1">{"fdsup://Directions/FactSet Auditing Viewer?action=AUDIT_VALUE&amp;DB=129&amp;ID1=53245710&amp;VALUEID=01001&amp;SDATE=200902&amp;PERIODTYPE=QTR_STD&amp;window=popup_no_bar&amp;width=385&amp;height=120&amp;START_MAXIMIZED=FALSE&amp;creator=factset&amp;display_string=Audit"}</definedName>
    <definedName name="_1422__FDSAUDITLINK__" localSheetId="1" hidden="1">{"fdsup://Directions/FactSet Auditing Viewer?action=AUDIT_VALUE&amp;DB=129&amp;ID1=53245710&amp;VALUEID=01001&amp;SDATE=201002&amp;PERIODTYPE=QTR_STD&amp;window=popup_no_bar&amp;width=385&amp;height=120&amp;START_MAXIMIZED=FALSE&amp;creator=factset&amp;display_string=Audit"}</definedName>
    <definedName name="_1422__FDSAUDITLINK__" hidden="1">{"fdsup://Directions/FactSet Auditing Viewer?action=AUDIT_VALUE&amp;DB=129&amp;ID1=53245710&amp;VALUEID=01001&amp;SDATE=201002&amp;PERIODTYPE=QTR_STD&amp;window=popup_no_bar&amp;width=385&amp;height=120&amp;START_MAXIMIZED=FALSE&amp;creator=factset&amp;display_string=Audit"}</definedName>
    <definedName name="_1423__FDSAUDITLINK__" localSheetId="1" hidden="1">{"fdsup://Directions/FactSet Auditing Viewer?action=AUDIT_VALUE&amp;DB=129&amp;ID1=53567810&amp;VALUEID=01001&amp;SDATE=201004&amp;PERIODTYPE=QTR_STD&amp;window=popup_no_bar&amp;width=385&amp;height=120&amp;START_MAXIMIZED=FALSE&amp;creator=factset&amp;display_string=Audit"}</definedName>
    <definedName name="_1423__FDSAUDITLINK__" hidden="1">{"fdsup://Directions/FactSet Auditing Viewer?action=AUDIT_VALUE&amp;DB=129&amp;ID1=53567810&amp;VALUEID=01001&amp;SDATE=201004&amp;PERIODTYPE=QTR_STD&amp;window=popup_no_bar&amp;width=385&amp;height=120&amp;START_MAXIMIZED=FALSE&amp;creator=factset&amp;display_string=Audit"}</definedName>
    <definedName name="_1424__FDSAUDITLINK__" localSheetId="1" hidden="1">{"fdsup://Directions/FactSet Auditing Viewer?action=AUDIT_VALUE&amp;DB=129&amp;ID1=50242410&amp;VALUEID=01001&amp;SDATE=200902&amp;PERIODTYPE=QTR_STD&amp;window=popup_no_bar&amp;width=385&amp;height=120&amp;START_MAXIMIZED=FALSE&amp;creator=factset&amp;display_string=Audit"}</definedName>
    <definedName name="_1424__FDSAUDITLINK__" hidden="1">{"fdsup://Directions/FactSet Auditing Viewer?action=AUDIT_VALUE&amp;DB=129&amp;ID1=50242410&amp;VALUEID=01001&amp;SDATE=200902&amp;PERIODTYPE=QTR_STD&amp;window=popup_no_bar&amp;width=385&amp;height=120&amp;START_MAXIMIZED=FALSE&amp;creator=factset&amp;display_string=Audit"}</definedName>
    <definedName name="_1425__FDSAUDITLINK__" localSheetId="1" hidden="1">{"fdsup://Directions/FactSet Auditing Viewer?action=AUDIT_VALUE&amp;DB=129&amp;ID1=50242410&amp;VALUEID=01001&amp;SDATE=201002&amp;PERIODTYPE=QTR_STD&amp;window=popup_no_bar&amp;width=385&amp;height=120&amp;START_MAXIMIZED=FALSE&amp;creator=factset&amp;display_string=Audit"}</definedName>
    <definedName name="_1425__FDSAUDITLINK__" hidden="1">{"fdsup://Directions/FactSet Auditing Viewer?action=AUDIT_VALUE&amp;DB=129&amp;ID1=50242410&amp;VALUEID=01001&amp;SDATE=201002&amp;PERIODTYPE=QTR_STD&amp;window=popup_no_bar&amp;width=385&amp;height=120&amp;START_MAXIMIZED=FALSE&amp;creator=factset&amp;display_string=Audit"}</definedName>
    <definedName name="_1426__FDSAUDITLINK__" localSheetId="1" hidden="1">{"fdsup://Directions/FactSet Auditing Viewer?action=AUDIT_VALUE&amp;DB=129&amp;ID1=53217V10&amp;VALUEID=01001&amp;SDATE=200902&amp;PERIODTYPE=QTR_STD&amp;window=popup_no_bar&amp;width=385&amp;height=120&amp;START_MAXIMIZED=FALSE&amp;creator=factset&amp;display_string=Audit"}</definedName>
    <definedName name="_1426__FDSAUDITLINK__" hidden="1">{"fdsup://Directions/FactSet Auditing Viewer?action=AUDIT_VALUE&amp;DB=129&amp;ID1=53217V10&amp;VALUEID=01001&amp;SDATE=200902&amp;PERIODTYPE=QTR_STD&amp;window=popup_no_bar&amp;width=385&amp;height=120&amp;START_MAXIMIZED=FALSE&amp;creator=factset&amp;display_string=Audit"}</definedName>
    <definedName name="_1427__FDSAUDITLINK__" localSheetId="1" hidden="1">{"fdsup://Directions/FactSet Auditing Viewer?action=AUDIT_VALUE&amp;DB=129&amp;ID1=53217V10&amp;VALUEID=01001&amp;SDATE=201002&amp;PERIODTYPE=QTR_STD&amp;window=popup_no_bar&amp;width=385&amp;height=120&amp;START_MAXIMIZED=FALSE&amp;creator=factset&amp;display_string=Audit"}</definedName>
    <definedName name="_1427__FDSAUDITLINK__" hidden="1">{"fdsup://Directions/FactSet Auditing Viewer?action=AUDIT_VALUE&amp;DB=129&amp;ID1=53217V10&amp;VALUEID=01001&amp;SDATE=201002&amp;PERIODTYPE=QTR_STD&amp;window=popup_no_bar&amp;width=385&amp;height=120&amp;START_MAXIMIZED=FALSE&amp;creator=factset&amp;display_string=Audit"}</definedName>
    <definedName name="_1428__FDSAUDITLINK__" localSheetId="1" hidden="1">{"fdsup://Directions/FactSet Auditing Viewer?action=AUDIT_VALUE&amp;DB=129&amp;ID1=50540R40&amp;VALUEID=01001&amp;SDATE=200902&amp;PERIODTYPE=QTR_STD&amp;window=popup_no_bar&amp;width=385&amp;height=120&amp;START_MAXIMIZED=FALSE&amp;creator=factset&amp;display_string=Audit"}</definedName>
    <definedName name="_1428__FDSAUDITLINK__" hidden="1">{"fdsup://Directions/FactSet Auditing Viewer?action=AUDIT_VALUE&amp;DB=129&amp;ID1=50540R40&amp;VALUEID=01001&amp;SDATE=200902&amp;PERIODTYPE=QTR_STD&amp;window=popup_no_bar&amp;width=385&amp;height=120&amp;START_MAXIMIZED=FALSE&amp;creator=factset&amp;display_string=Audit"}</definedName>
    <definedName name="_1429__FDSAUDITLINK__" localSheetId="1" hidden="1">{"fdsup://Directions/FactSet Auditing Viewer?action=AUDIT_VALUE&amp;DB=129&amp;ID1=50540R40&amp;VALUEID=01001&amp;SDATE=201002&amp;PERIODTYPE=QTR_STD&amp;window=popup_no_bar&amp;width=385&amp;height=120&amp;START_MAXIMIZED=FALSE&amp;creator=factset&amp;display_string=Audit"}</definedName>
    <definedName name="_1429__FDSAUDITLINK__" hidden="1">{"fdsup://Directions/FactSet Auditing Viewer?action=AUDIT_VALUE&amp;DB=129&amp;ID1=50540R40&amp;VALUEID=01001&amp;SDATE=201002&amp;PERIODTYPE=QTR_STD&amp;window=popup_no_bar&amp;width=385&amp;height=120&amp;START_MAXIMIZED=FALSE&amp;creator=factset&amp;display_string=Audit"}</definedName>
    <definedName name="_143__FDSAUDITLINK__" localSheetId="1" hidden="1">{"fdsup://directions/FAT Viewer?action=UPDATE&amp;creator=factset&amp;DYN_ARGS=TRUE&amp;DOC_NAME=FAT:FQL_AUDITING_CLIENT_TEMPLATE.FAT&amp;display_string=Audit&amp;VAR:KEY=JKHUVWRMBO&amp;VAR:QUERY=RkZfRUJJVERBX09QRVIoUVRSLDQvMS8yMDA5LDYvMzAvMjAwOSwsLFVTRCk=&amp;WINDOW=FIRST_POPUP&amp;HEIGH","T=450&amp;WIDTH=450&amp;START_MAXIMIZED=FALSE&amp;VAR:CALENDAR=US&amp;VAR:SYMBOL=SYY&amp;VAR:INDEX=0"}</definedName>
    <definedName name="_143__FDSAUDITLINK__" hidden="1">{"fdsup://directions/FAT Viewer?action=UPDATE&amp;creator=factset&amp;DYN_ARGS=TRUE&amp;DOC_NAME=FAT:FQL_AUDITING_CLIENT_TEMPLATE.FAT&amp;display_string=Audit&amp;VAR:KEY=JKHUVWRMBO&amp;VAR:QUERY=RkZfRUJJVERBX09QRVIoUVRSLDQvMS8yMDA5LDYvMzAvMjAwOSwsLFVTRCk=&amp;WINDOW=FIRST_POPUP&amp;HEIGH","T=450&amp;WIDTH=450&amp;START_MAXIMIZED=FALSE&amp;VAR:CALENDAR=US&amp;VAR:SYMBOL=SYY&amp;VAR:INDEX=0"}</definedName>
    <definedName name="_1430__FDSAUDITLINK__" localSheetId="1" hidden="1">{"fdsup://Directions/FactSet Auditing Viewer?action=AUDIT_VALUE&amp;DB=129&amp;ID1=52605710&amp;VALUEID=01001&amp;SDATE=200902&amp;PERIODTYPE=QTR_STD&amp;window=popup_no_bar&amp;width=385&amp;height=120&amp;START_MAXIMIZED=FALSE&amp;creator=factset&amp;display_string=Audit"}</definedName>
    <definedName name="_1430__FDSAUDITLINK__" hidden="1">{"fdsup://Directions/FactSet Auditing Viewer?action=AUDIT_VALUE&amp;DB=129&amp;ID1=52605710&amp;VALUEID=01001&amp;SDATE=200902&amp;PERIODTYPE=QTR_STD&amp;window=popup_no_bar&amp;width=385&amp;height=120&amp;START_MAXIMIZED=FALSE&amp;creator=factset&amp;display_string=Audit"}</definedName>
    <definedName name="_1431__FDSAUDITLINK__" localSheetId="1" hidden="1">{"fdsup://Directions/FactSet Auditing Viewer?action=AUDIT_VALUE&amp;DB=129&amp;ID1=52605710&amp;VALUEID=01001&amp;SDATE=201002&amp;PERIODTYPE=QTR_STD&amp;window=popup_no_bar&amp;width=385&amp;height=120&amp;START_MAXIMIZED=FALSE&amp;creator=factset&amp;display_string=Audit"}</definedName>
    <definedName name="_1431__FDSAUDITLINK__" hidden="1">{"fdsup://Directions/FactSet Auditing Viewer?action=AUDIT_VALUE&amp;DB=129&amp;ID1=52605710&amp;VALUEID=01001&amp;SDATE=201002&amp;PERIODTYPE=QTR_STD&amp;window=popup_no_bar&amp;width=385&amp;height=120&amp;START_MAXIMIZED=FALSE&amp;creator=factset&amp;display_string=Audit"}</definedName>
    <definedName name="_1432__FDSAUDITLINK__" localSheetId="1" hidden="1">{"fdsup://Directions/FactSet Auditing Viewer?action=AUDIT_VALUE&amp;DB=129&amp;ID1=52466010&amp;VALUEID=01001&amp;SDATE=200902&amp;PERIODTYPE=QTR_STD&amp;window=popup_no_bar&amp;width=385&amp;height=120&amp;START_MAXIMIZED=FALSE&amp;creator=factset&amp;display_string=Audit"}</definedName>
    <definedName name="_1432__FDSAUDITLINK__" hidden="1">{"fdsup://Directions/FactSet Auditing Viewer?action=AUDIT_VALUE&amp;DB=129&amp;ID1=52466010&amp;VALUEID=01001&amp;SDATE=200902&amp;PERIODTYPE=QTR_STD&amp;window=popup_no_bar&amp;width=385&amp;height=120&amp;START_MAXIMIZED=FALSE&amp;creator=factset&amp;display_string=Audit"}</definedName>
    <definedName name="_1433__FDSAUDITLINK__" localSheetId="1" hidden="1">{"fdsup://Directions/FactSet Auditing Viewer?action=AUDIT_VALUE&amp;DB=129&amp;ID1=52466010&amp;VALUEID=01001&amp;SDATE=201002&amp;PERIODTYPE=QTR_STD&amp;window=popup_no_bar&amp;width=385&amp;height=120&amp;START_MAXIMIZED=FALSE&amp;creator=factset&amp;display_string=Audit"}</definedName>
    <definedName name="_1433__FDSAUDITLINK__" hidden="1">{"fdsup://Directions/FactSet Auditing Viewer?action=AUDIT_VALUE&amp;DB=129&amp;ID1=52466010&amp;VALUEID=01001&amp;SDATE=201002&amp;PERIODTYPE=QTR_STD&amp;window=popup_no_bar&amp;width=385&amp;height=120&amp;START_MAXIMIZED=FALSE&amp;creator=factset&amp;display_string=Audit"}</definedName>
    <definedName name="_1434__FDSAUDITLINK__" localSheetId="1" hidden="1">{"fdsup://Directions/FactSet Auditing Viewer?action=AUDIT_VALUE&amp;DB=129&amp;ID1=54042410&amp;VALUEID=01001&amp;SDATE=200902&amp;PERIODTYPE=QTR_STD&amp;window=popup_no_bar&amp;width=385&amp;height=120&amp;START_MAXIMIZED=FALSE&amp;creator=factset&amp;display_string=Audit"}</definedName>
    <definedName name="_1434__FDSAUDITLINK__" hidden="1">{"fdsup://Directions/FactSet Auditing Viewer?action=AUDIT_VALUE&amp;DB=129&amp;ID1=54042410&amp;VALUEID=01001&amp;SDATE=200902&amp;PERIODTYPE=QTR_STD&amp;window=popup_no_bar&amp;width=385&amp;height=120&amp;START_MAXIMIZED=FALSE&amp;creator=factset&amp;display_string=Audit"}</definedName>
    <definedName name="_1435__FDSAUDITLINK__" localSheetId="1" hidden="1">{"fdsup://Directions/FactSet Auditing Viewer?action=AUDIT_VALUE&amp;DB=129&amp;ID1=54042410&amp;VALUEID=01001&amp;SDATE=201002&amp;PERIODTYPE=QTR_STD&amp;window=popup_no_bar&amp;width=385&amp;height=120&amp;START_MAXIMIZED=FALSE&amp;creator=factset&amp;display_string=Audit"}</definedName>
    <definedName name="_1435__FDSAUDITLINK__" hidden="1">{"fdsup://Directions/FactSet Auditing Viewer?action=AUDIT_VALUE&amp;DB=129&amp;ID1=54042410&amp;VALUEID=01001&amp;SDATE=201002&amp;PERIODTYPE=QTR_STD&amp;window=popup_no_bar&amp;width=385&amp;height=120&amp;START_MAXIMIZED=FALSE&amp;creator=factset&amp;display_string=Audit"}</definedName>
    <definedName name="_1436__FDSAUDITLINK__" localSheetId="1" hidden="1">{"fdsup://Directions/FactSet Auditing Viewer?action=AUDIT_VALUE&amp;DB=129&amp;ID1=50025510&amp;VALUEID=01001&amp;SDATE=200901&amp;PERIODTYPE=QTR_STD&amp;window=popup_no_bar&amp;width=385&amp;height=120&amp;START_MAXIMIZED=FALSE&amp;creator=factset&amp;display_string=Audit"}</definedName>
    <definedName name="_1436__FDSAUDITLINK__" hidden="1">{"fdsup://Directions/FactSet Auditing Viewer?action=AUDIT_VALUE&amp;DB=129&amp;ID1=50025510&amp;VALUEID=01001&amp;SDATE=200901&amp;PERIODTYPE=QTR_STD&amp;window=popup_no_bar&amp;width=385&amp;height=120&amp;START_MAXIMIZED=FALSE&amp;creator=factset&amp;display_string=Audit"}</definedName>
    <definedName name="_1437__FDSAUDITLINK__" localSheetId="1" hidden="1">{"fdsup://Directions/FactSet Auditing Viewer?action=AUDIT_VALUE&amp;DB=129&amp;ID1=50025510&amp;VALUEID=01001&amp;SDATE=201001&amp;PERIODTYPE=QTR_STD&amp;window=popup_no_bar&amp;width=385&amp;height=120&amp;START_MAXIMIZED=FALSE&amp;creator=factset&amp;display_string=Audit"}</definedName>
    <definedName name="_1437__FDSAUDITLINK__" hidden="1">{"fdsup://Directions/FactSet Auditing Viewer?action=AUDIT_VALUE&amp;DB=129&amp;ID1=50025510&amp;VALUEID=01001&amp;SDATE=201001&amp;PERIODTYPE=QTR_STD&amp;window=popup_no_bar&amp;width=385&amp;height=120&amp;START_MAXIMIZED=FALSE&amp;creator=factset&amp;display_string=Audit"}</definedName>
    <definedName name="_1438__FDSAUDITLINK__" localSheetId="1" hidden="1">{"fdsup://Directions/FactSet Auditing Viewer?action=AUDIT_VALUE&amp;DB=129&amp;ID1=50104410&amp;VALUEID=01001&amp;SDATE=200901&amp;PERIODTYPE=QTR_STD&amp;window=popup_no_bar&amp;width=385&amp;height=120&amp;START_MAXIMIZED=FALSE&amp;creator=factset&amp;display_string=Audit"}</definedName>
    <definedName name="_1438__FDSAUDITLINK__" hidden="1">{"fdsup://Directions/FactSet Auditing Viewer?action=AUDIT_VALUE&amp;DB=129&amp;ID1=50104410&amp;VALUEID=01001&amp;SDATE=200901&amp;PERIODTYPE=QTR_STD&amp;window=popup_no_bar&amp;width=385&amp;height=120&amp;START_MAXIMIZED=FALSE&amp;creator=factset&amp;display_string=Audit"}</definedName>
    <definedName name="_1439__FDSAUDITLINK__" localSheetId="1" hidden="1">{"fdsup://Directions/FactSet Auditing Viewer?action=AUDIT_VALUE&amp;DB=129&amp;ID1=50104410&amp;VALUEID=01001&amp;SDATE=201001&amp;PERIODTYPE=QTR_STD&amp;window=popup_no_bar&amp;width=385&amp;height=120&amp;START_MAXIMIZED=FALSE&amp;creator=factset&amp;display_string=Audit"}</definedName>
    <definedName name="_1439__FDSAUDITLINK__" hidden="1">{"fdsup://Directions/FactSet Auditing Viewer?action=AUDIT_VALUE&amp;DB=129&amp;ID1=50104410&amp;VALUEID=01001&amp;SDATE=201001&amp;PERIODTYPE=QTR_STD&amp;window=popup_no_bar&amp;width=385&amp;height=120&amp;START_MAXIMIZED=FALSE&amp;creator=factset&amp;display_string=Audit"}</definedName>
    <definedName name="_144__FDSAUDITLINK__" localSheetId="1" hidden="1">{"fdsup://directions/FAT Viewer?action=UPDATE&amp;creator=factset&amp;DYN_ARGS=TRUE&amp;DOC_NAME=FAT:FQL_AUDITING_CLIENT_TEMPLATE.FAT&amp;display_string=Audit&amp;VAR:KEY=ZYXITQZKRG&amp;VAR:QUERY=RkZfRUJJVERBX09QRVIoUVRSLDQvMS8yMDEwLDYvMzAvMjAxMCwsLFVTRCk=&amp;WINDOW=FIRST_POPUP&amp;HEIGH","T=450&amp;WIDTH=450&amp;START_MAXIMIZED=FALSE&amp;VAR:CALENDAR=US&amp;VAR:SYMBOL=SYY&amp;VAR:INDEX=0"}</definedName>
    <definedName name="_144__FDSAUDITLINK__" hidden="1">{"fdsup://directions/FAT Viewer?action=UPDATE&amp;creator=factset&amp;DYN_ARGS=TRUE&amp;DOC_NAME=FAT:FQL_AUDITING_CLIENT_TEMPLATE.FAT&amp;display_string=Audit&amp;VAR:KEY=ZYXITQZKRG&amp;VAR:QUERY=RkZfRUJJVERBX09QRVIoUVRSLDQvMS8yMDEwLDYvMzAvMjAxMCwsLFVTRCk=&amp;WINDOW=FIRST_POPUP&amp;HEIGH","T=450&amp;WIDTH=450&amp;START_MAXIMIZED=FALSE&amp;VAR:CALENDAR=US&amp;VAR:SYMBOL=SYY&amp;VAR:INDEX=0"}</definedName>
    <definedName name="_1440__FDSAUDITLINK__" localSheetId="1" hidden="1">{"fdsup://Directions/FactSet Auditing Viewer?action=AUDIT_VALUE&amp;DB=129&amp;ID1=19121610&amp;VALUEID=01001&amp;SDATE=200902&amp;PERIODTYPE=QTR_STD&amp;window=popup_no_bar&amp;width=385&amp;height=120&amp;START_MAXIMIZED=FALSE&amp;creator=factset&amp;display_string=Audit"}</definedName>
    <definedName name="_1440__FDSAUDITLINK__" hidden="1">{"fdsup://Directions/FactSet Auditing Viewer?action=AUDIT_VALUE&amp;DB=129&amp;ID1=19121610&amp;VALUEID=01001&amp;SDATE=200902&amp;PERIODTYPE=QTR_STD&amp;window=popup_no_bar&amp;width=385&amp;height=120&amp;START_MAXIMIZED=FALSE&amp;creator=factset&amp;display_string=Audit"}</definedName>
    <definedName name="_1441__FDSAUDITLINK__" localSheetId="1" hidden="1">{"fdsup://Directions/FactSet Auditing Viewer?action=AUDIT_VALUE&amp;DB=129&amp;ID1=19121610&amp;VALUEID=01001&amp;SDATE=201002&amp;PERIODTYPE=QTR_STD&amp;window=popup_no_bar&amp;width=385&amp;height=120&amp;START_MAXIMIZED=FALSE&amp;creator=factset&amp;display_string=Audit"}</definedName>
    <definedName name="_1441__FDSAUDITLINK__" hidden="1">{"fdsup://Directions/FactSet Auditing Viewer?action=AUDIT_VALUE&amp;DB=129&amp;ID1=19121610&amp;VALUEID=01001&amp;SDATE=201002&amp;PERIODTYPE=QTR_STD&amp;window=popup_no_bar&amp;width=385&amp;height=120&amp;START_MAXIMIZED=FALSE&amp;creator=factset&amp;display_string=Audit"}</definedName>
    <definedName name="_1442__FDSAUDITLINK__" localSheetId="1" hidden="1">{"fdsup://Directions/FactSet Auditing Viewer?action=AUDIT_VALUE&amp;DB=129&amp;ID1=14313010&amp;VALUEID=01001&amp;SDATE=200901&amp;PERIODTYPE=QTR_STD&amp;window=popup_no_bar&amp;width=385&amp;height=120&amp;START_MAXIMIZED=FALSE&amp;creator=factset&amp;display_string=Audit"}</definedName>
    <definedName name="_1442__FDSAUDITLINK__" hidden="1">{"fdsup://Directions/FactSet Auditing Viewer?action=AUDIT_VALUE&amp;DB=129&amp;ID1=14313010&amp;VALUEID=01001&amp;SDATE=200901&amp;PERIODTYPE=QTR_STD&amp;window=popup_no_bar&amp;width=385&amp;height=120&amp;START_MAXIMIZED=FALSE&amp;creator=factset&amp;display_string=Audit"}</definedName>
    <definedName name="_1443__FDSAUDITLINK__" localSheetId="1" hidden="1">{"fdsup://Directions/FactSet Auditing Viewer?action=AUDIT_VALUE&amp;DB=129&amp;ID1=14313010&amp;VALUEID=01001&amp;SDATE=201001&amp;PERIODTYPE=QTR_STD&amp;window=popup_no_bar&amp;width=385&amp;height=120&amp;START_MAXIMIZED=FALSE&amp;creator=factset&amp;display_string=Audit"}</definedName>
    <definedName name="_1443__FDSAUDITLINK__" hidden="1">{"fdsup://Directions/FactSet Auditing Viewer?action=AUDIT_VALUE&amp;DB=129&amp;ID1=14313010&amp;VALUEID=01001&amp;SDATE=201001&amp;PERIODTYPE=QTR_STD&amp;window=popup_no_bar&amp;width=385&amp;height=120&amp;START_MAXIMIZED=FALSE&amp;creator=factset&amp;display_string=Audit"}</definedName>
    <definedName name="_1444__FDSAUDITLINK__" localSheetId="1" hidden="1">{"fdsup://Directions/FactSet Auditing Viewer?action=AUDIT_VALUE&amp;DB=129&amp;ID1=49436810&amp;VALUEID=01001&amp;SDATE=200902&amp;PERIODTYPE=QTR_STD&amp;window=popup_no_bar&amp;width=385&amp;height=120&amp;START_MAXIMIZED=FALSE&amp;creator=factset&amp;display_string=Audit"}</definedName>
    <definedName name="_1444__FDSAUDITLINK__" hidden="1">{"fdsup://Directions/FactSet Auditing Viewer?action=AUDIT_VALUE&amp;DB=129&amp;ID1=49436810&amp;VALUEID=01001&amp;SDATE=200902&amp;PERIODTYPE=QTR_STD&amp;window=popup_no_bar&amp;width=385&amp;height=120&amp;START_MAXIMIZED=FALSE&amp;creator=factset&amp;display_string=Audit"}</definedName>
    <definedName name="_1445__FDSAUDITLINK__" localSheetId="1" hidden="1">{"fdsup://Directions/FactSet Auditing Viewer?action=AUDIT_VALUE&amp;DB=129&amp;ID1=49436810&amp;VALUEID=01001&amp;SDATE=201002&amp;PERIODTYPE=QTR_STD&amp;window=popup_no_bar&amp;width=385&amp;height=120&amp;START_MAXIMIZED=FALSE&amp;creator=factset&amp;display_string=Audit"}</definedName>
    <definedName name="_1445__FDSAUDITLINK__" hidden="1">{"fdsup://Directions/FactSet Auditing Viewer?action=AUDIT_VALUE&amp;DB=129&amp;ID1=49436810&amp;VALUEID=01001&amp;SDATE=201002&amp;PERIODTYPE=QTR_STD&amp;window=popup_no_bar&amp;width=385&amp;height=120&amp;START_MAXIMIZED=FALSE&amp;creator=factset&amp;display_string=Audit"}</definedName>
    <definedName name="_1446__FDSAUDITLINK__" localSheetId="1" hidden="1">{"fdsup://Directions/FactSet Auditing Viewer?action=AUDIT_VALUE&amp;DB=129&amp;ID1=48248010&amp;VALUEID=01001&amp;SDATE=200904&amp;PERIODTYPE=QTR_STD&amp;window=popup_no_bar&amp;width=385&amp;height=120&amp;START_MAXIMIZED=FALSE&amp;creator=factset&amp;display_string=Audit"}</definedName>
    <definedName name="_1446__FDSAUDITLINK__" hidden="1">{"fdsup://Directions/FactSet Auditing Viewer?action=AUDIT_VALUE&amp;DB=129&amp;ID1=48248010&amp;VALUEID=01001&amp;SDATE=200904&amp;PERIODTYPE=QTR_STD&amp;window=popup_no_bar&amp;width=385&amp;height=120&amp;START_MAXIMIZED=FALSE&amp;creator=factset&amp;display_string=Audit"}</definedName>
    <definedName name="_1447__FDSAUDITLINK__" localSheetId="1" hidden="1">{"fdsup://Directions/FactSet Auditing Viewer?action=AUDIT_VALUE&amp;DB=129&amp;ID1=48248010&amp;VALUEID=01001&amp;SDATE=201004&amp;PERIODTYPE=QTR_STD&amp;window=popup_no_bar&amp;width=385&amp;height=120&amp;START_MAXIMIZED=FALSE&amp;creator=factset&amp;display_string=Audit"}</definedName>
    <definedName name="_1447__FDSAUDITLINK__" hidden="1">{"fdsup://Directions/FactSet Auditing Viewer?action=AUDIT_VALUE&amp;DB=129&amp;ID1=48248010&amp;VALUEID=01001&amp;SDATE=201004&amp;PERIODTYPE=QTR_STD&amp;window=popup_no_bar&amp;width=385&amp;height=120&amp;START_MAXIMIZED=FALSE&amp;creator=factset&amp;display_string=Audit"}</definedName>
    <definedName name="_1448__FDSAUDITLINK__" localSheetId="1" hidden="1">{"fdsup://Directions/FactSet Auditing Viewer?action=AUDIT_VALUE&amp;DB=129&amp;ID1=49446R10&amp;VALUEID=01001&amp;SDATE=200902&amp;PERIODTYPE=QTR_STD&amp;window=popup_no_bar&amp;width=385&amp;height=120&amp;START_MAXIMIZED=FALSE&amp;creator=factset&amp;display_string=Audit"}</definedName>
    <definedName name="_1448__FDSAUDITLINK__" hidden="1">{"fdsup://Directions/FactSet Auditing Viewer?action=AUDIT_VALUE&amp;DB=129&amp;ID1=49446R10&amp;VALUEID=01001&amp;SDATE=200902&amp;PERIODTYPE=QTR_STD&amp;window=popup_no_bar&amp;width=385&amp;height=120&amp;START_MAXIMIZED=FALSE&amp;creator=factset&amp;display_string=Audit"}</definedName>
    <definedName name="_1449__FDSAUDITLINK__" localSheetId="1" hidden="1">{"fdsup://Directions/FactSet Auditing Viewer?action=AUDIT_VALUE&amp;DB=129&amp;ID1=49446R10&amp;VALUEID=01001&amp;SDATE=201002&amp;PERIODTYPE=QTR_STD&amp;window=popup_no_bar&amp;width=385&amp;height=120&amp;START_MAXIMIZED=FALSE&amp;creator=factset&amp;display_string=Audit"}</definedName>
    <definedName name="_1449__FDSAUDITLINK__" hidden="1">{"fdsup://Directions/FactSet Auditing Viewer?action=AUDIT_VALUE&amp;DB=129&amp;ID1=49446R10&amp;VALUEID=01001&amp;SDATE=201002&amp;PERIODTYPE=QTR_STD&amp;window=popup_no_bar&amp;width=385&amp;height=120&amp;START_MAXIMIZED=FALSE&amp;creator=factset&amp;display_string=Audit"}</definedName>
    <definedName name="_145__FDSAUDITLINK__" localSheetId="1" hidden="1">{"fdsup://directions/FAT Viewer?action=UPDATE&amp;creator=factset&amp;DYN_ARGS=TRUE&amp;DOC_NAME=FAT:FQL_AUDITING_CLIENT_TEMPLATE.FAT&amp;display_string=Audit&amp;VAR:KEY=RWBSDSPGJG&amp;VAR:QUERY=RkZfRUJJVERBX09QRVIoUVRSLDQvMS8yMDA5LDYvMzAvMjAwOSwsLFVTRCk=&amp;WINDOW=FIRST_POPUP&amp;HEIGH","T=450&amp;WIDTH=450&amp;START_MAXIMIZED=FALSE&amp;VAR:CALENDAR=US&amp;VAR:SYMBOL=SYMC&amp;VAR:INDEX=0"}</definedName>
    <definedName name="_145__FDSAUDITLINK__" hidden="1">{"fdsup://directions/FAT Viewer?action=UPDATE&amp;creator=factset&amp;DYN_ARGS=TRUE&amp;DOC_NAME=FAT:FQL_AUDITING_CLIENT_TEMPLATE.FAT&amp;display_string=Audit&amp;VAR:KEY=RWBSDSPGJG&amp;VAR:QUERY=RkZfRUJJVERBX09QRVIoUVRSLDQvMS8yMDA5LDYvMzAvMjAwOSwsLFVTRCk=&amp;WINDOW=FIRST_POPUP&amp;HEIGH","T=450&amp;WIDTH=450&amp;START_MAXIMIZED=FALSE&amp;VAR:CALENDAR=US&amp;VAR:SYMBOL=SYMC&amp;VAR:INDEX=0"}</definedName>
    <definedName name="_1450__FDSAUDITLINK__" localSheetId="1" hidden="1">{"fdsup://Directions/FactSet Auditing Viewer?action=AUDIT_VALUE&amp;DB=129&amp;ID1=49558210&amp;VALUEID=01001&amp;SDATE=200902&amp;PERIODTYPE=QTR_STD&amp;window=popup_no_bar&amp;width=385&amp;height=120&amp;START_MAXIMIZED=FALSE&amp;creator=factset&amp;display_string=Audit"}</definedName>
    <definedName name="_1450__FDSAUDITLINK__" hidden="1">{"fdsup://Directions/FactSet Auditing Viewer?action=AUDIT_VALUE&amp;DB=129&amp;ID1=49558210&amp;VALUEID=01001&amp;SDATE=200902&amp;PERIODTYPE=QTR_STD&amp;window=popup_no_bar&amp;width=385&amp;height=120&amp;START_MAXIMIZED=FALSE&amp;creator=factset&amp;display_string=Audit"}</definedName>
    <definedName name="_1451__FDSAUDITLINK__" localSheetId="1" hidden="1">{"fdsup://Directions/FactSet Auditing Viewer?action=AUDIT_VALUE&amp;DB=129&amp;ID1=49558210&amp;VALUEID=01001&amp;SDATE=201002&amp;PERIODTYPE=QTR_STD&amp;window=popup_no_bar&amp;width=385&amp;height=120&amp;START_MAXIMIZED=FALSE&amp;creator=factset&amp;display_string=Audit"}</definedName>
    <definedName name="_1451__FDSAUDITLINK__" hidden="1">{"fdsup://Directions/FactSet Auditing Viewer?action=AUDIT_VALUE&amp;DB=129&amp;ID1=49558210&amp;VALUEID=01001&amp;SDATE=201002&amp;PERIODTYPE=QTR_STD&amp;window=popup_no_bar&amp;width=385&amp;height=120&amp;START_MAXIMIZED=FALSE&amp;creator=factset&amp;display_string=Audit"}</definedName>
    <definedName name="_1452__FDSAUDITLINK__" localSheetId="1" hidden="1">{"fdsup://Directions/FactSet Auditing Viewer?action=AUDIT_VALUE&amp;DB=129&amp;ID1=50075N10&amp;VALUEID=01001&amp;SDATE=200902&amp;PERIODTYPE=QTR_STD&amp;window=popup_no_bar&amp;width=385&amp;height=120&amp;START_MAXIMIZED=FALSE&amp;creator=factset&amp;display_string=Audit"}</definedName>
    <definedName name="_1452__FDSAUDITLINK__" hidden="1">{"fdsup://Directions/FactSet Auditing Viewer?action=AUDIT_VALUE&amp;DB=129&amp;ID1=50075N10&amp;VALUEID=01001&amp;SDATE=200902&amp;PERIODTYPE=QTR_STD&amp;window=popup_no_bar&amp;width=385&amp;height=120&amp;START_MAXIMIZED=FALSE&amp;creator=factset&amp;display_string=Audit"}</definedName>
    <definedName name="_1453__FDSAUDITLINK__" localSheetId="1" hidden="1">{"fdsup://Directions/FactSet Auditing Viewer?action=AUDIT_VALUE&amp;DB=129&amp;ID1=50075N10&amp;VALUEID=01001&amp;SDATE=201002&amp;PERIODTYPE=QTR_STD&amp;window=popup_no_bar&amp;width=385&amp;height=120&amp;START_MAXIMIZED=FALSE&amp;creator=factset&amp;display_string=Audit"}</definedName>
    <definedName name="_1453__FDSAUDITLINK__" hidden="1">{"fdsup://Directions/FactSet Auditing Viewer?action=AUDIT_VALUE&amp;DB=129&amp;ID1=50075N10&amp;VALUEID=01001&amp;SDATE=201002&amp;PERIODTYPE=QTR_STD&amp;window=popup_no_bar&amp;width=385&amp;height=120&amp;START_MAXIMIZED=FALSE&amp;creator=factset&amp;display_string=Audit"}</definedName>
    <definedName name="_1454__FDSAUDITLINK__" localSheetId="1" hidden="1">{"fdsup://Directions/FactSet Auditing Viewer?action=AUDIT_VALUE&amp;DB=129&amp;ID1=48783610&amp;VALUEID=01001&amp;SDATE=200902&amp;PERIODTYPE=QTR_STD&amp;window=popup_no_bar&amp;width=385&amp;height=120&amp;START_MAXIMIZED=FALSE&amp;creator=factset&amp;display_string=Audit"}</definedName>
    <definedName name="_1454__FDSAUDITLINK__" hidden="1">{"fdsup://Directions/FactSet Auditing Viewer?action=AUDIT_VALUE&amp;DB=129&amp;ID1=48783610&amp;VALUEID=01001&amp;SDATE=200902&amp;PERIODTYPE=QTR_STD&amp;window=popup_no_bar&amp;width=385&amp;height=120&amp;START_MAXIMIZED=FALSE&amp;creator=factset&amp;display_string=Audit"}</definedName>
    <definedName name="_1455__FDSAUDITLINK__" localSheetId="1" hidden="1">{"fdsup://Directions/FactSet Auditing Viewer?action=AUDIT_VALUE&amp;DB=129&amp;ID1=48783610&amp;VALUEID=01001&amp;SDATE=201002&amp;PERIODTYPE=QTR_STD&amp;window=popup_no_bar&amp;width=385&amp;height=120&amp;START_MAXIMIZED=FALSE&amp;creator=factset&amp;display_string=Audit"}</definedName>
    <definedName name="_1455__FDSAUDITLINK__" hidden="1">{"fdsup://Directions/FactSet Auditing Viewer?action=AUDIT_VALUE&amp;DB=129&amp;ID1=48783610&amp;VALUEID=01001&amp;SDATE=201002&amp;PERIODTYPE=QTR_STD&amp;window=popup_no_bar&amp;width=385&amp;height=120&amp;START_MAXIMIZED=FALSE&amp;creator=factset&amp;display_string=Audit"}</definedName>
    <definedName name="_1456__FDSAUDITLINK__" localSheetId="1" hidden="1">{"fdsup://Directions/FactSet Auditing Viewer?action=AUDIT_VALUE&amp;DB=129&amp;ID1=65566410&amp;VALUEID=01001&amp;SDATE=201001&amp;PERIODTYPE=QTR_STD&amp;window=popup_no_bar&amp;width=385&amp;height=120&amp;START_MAXIMIZED=FALSE&amp;creator=factset&amp;display_string=Audit"}</definedName>
    <definedName name="_1456__FDSAUDITLINK__" hidden="1">{"fdsup://Directions/FactSet Auditing Viewer?action=AUDIT_VALUE&amp;DB=129&amp;ID1=65566410&amp;VALUEID=01001&amp;SDATE=201001&amp;PERIODTYPE=QTR_STD&amp;window=popup_no_bar&amp;width=385&amp;height=120&amp;START_MAXIMIZED=FALSE&amp;creator=factset&amp;display_string=Audit"}</definedName>
    <definedName name="_1457__FDSAUDITLINK__" localSheetId="1" hidden="1">{"fdsup://Directions/FactSet Auditing Viewer?action=AUDIT_VALUE&amp;DB=129&amp;ID1=47102X10&amp;VALUEID=01001&amp;SDATE=200902&amp;PERIODTYPE=QTR_STD&amp;window=popup_no_bar&amp;width=385&amp;height=120&amp;START_MAXIMIZED=FALSE&amp;creator=factset&amp;display_string=Audit"}</definedName>
    <definedName name="_1457__FDSAUDITLINK__" hidden="1">{"fdsup://Directions/FactSet Auditing Viewer?action=AUDIT_VALUE&amp;DB=129&amp;ID1=47102X10&amp;VALUEID=01001&amp;SDATE=200902&amp;PERIODTYPE=QTR_STD&amp;window=popup_no_bar&amp;width=385&amp;height=120&amp;START_MAXIMIZED=FALSE&amp;creator=factset&amp;display_string=Audit"}</definedName>
    <definedName name="_1458__FDSAUDITLINK__" localSheetId="1" hidden="1">{"fdsup://Directions/FactSet Auditing Viewer?action=AUDIT_VALUE&amp;DB=129&amp;ID1=47102X10&amp;VALUEID=01001&amp;SDATE=201002&amp;PERIODTYPE=QTR_STD&amp;window=popup_no_bar&amp;width=385&amp;height=120&amp;START_MAXIMIZED=FALSE&amp;creator=factset&amp;display_string=Audit"}</definedName>
    <definedName name="_1458__FDSAUDITLINK__" hidden="1">{"fdsup://Directions/FactSet Auditing Viewer?action=AUDIT_VALUE&amp;DB=129&amp;ID1=47102X10&amp;VALUEID=01001&amp;SDATE=201002&amp;PERIODTYPE=QTR_STD&amp;window=popup_no_bar&amp;width=385&amp;height=120&amp;START_MAXIMIZED=FALSE&amp;creator=factset&amp;display_string=Audit"}</definedName>
    <definedName name="_1459__FDSAUDITLINK__" localSheetId="1" hidden="1">{"fdsup://Directions/FactSet Auditing Viewer?action=AUDIT_VALUE&amp;DB=129&amp;ID1=48203R10&amp;VALUEID=01001&amp;SDATE=200902&amp;PERIODTYPE=QTR_STD&amp;window=popup_no_bar&amp;width=385&amp;height=120&amp;START_MAXIMIZED=FALSE&amp;creator=factset&amp;display_string=Audit"}</definedName>
    <definedName name="_1459__FDSAUDITLINK__" hidden="1">{"fdsup://Directions/FactSet Auditing Viewer?action=AUDIT_VALUE&amp;DB=129&amp;ID1=48203R10&amp;VALUEID=01001&amp;SDATE=200902&amp;PERIODTYPE=QTR_STD&amp;window=popup_no_bar&amp;width=385&amp;height=120&amp;START_MAXIMIZED=FALSE&amp;creator=factset&amp;display_string=Audit"}</definedName>
    <definedName name="_146__FDSAUDITLINK__" localSheetId="1" hidden="1">{"fdsup://directions/FAT Viewer?action=UPDATE&amp;creator=factset&amp;DYN_ARGS=TRUE&amp;DOC_NAME=FAT:FQL_AUDITING_CLIENT_TEMPLATE.FAT&amp;display_string=Audit&amp;VAR:KEY=VSNWJKXIRC&amp;VAR:QUERY=RkZfRUJJVERBX09QRVIoUVRSLDQvMS8yMDEwLDYvMzAvMjAxMCwsLFVTRCk=&amp;WINDOW=FIRST_POPUP&amp;HEIGH","T=450&amp;WIDTH=450&amp;START_MAXIMIZED=FALSE&amp;VAR:CALENDAR=US&amp;VAR:SYMBOL=SYMC&amp;VAR:INDEX=0"}</definedName>
    <definedName name="_146__FDSAUDITLINK__" hidden="1">{"fdsup://directions/FAT Viewer?action=UPDATE&amp;creator=factset&amp;DYN_ARGS=TRUE&amp;DOC_NAME=FAT:FQL_AUDITING_CLIENT_TEMPLATE.FAT&amp;display_string=Audit&amp;VAR:KEY=VSNWJKXIRC&amp;VAR:QUERY=RkZfRUJJVERBX09QRVIoUVRSLDQvMS8yMDEwLDYvMzAvMjAxMCwsLFVTRCk=&amp;WINDOW=FIRST_POPUP&amp;HEIGH","T=450&amp;WIDTH=450&amp;START_MAXIMIZED=FALSE&amp;VAR:CALENDAR=US&amp;VAR:SYMBOL=SYMC&amp;VAR:INDEX=0"}</definedName>
    <definedName name="_1460__FDSAUDITLINK__" localSheetId="1" hidden="1">{"fdsup://Directions/FactSet Auditing Viewer?action=AUDIT_VALUE&amp;DB=129&amp;ID1=48203R10&amp;VALUEID=01001&amp;SDATE=201002&amp;PERIODTYPE=QTR_STD&amp;window=popup_no_bar&amp;width=385&amp;height=120&amp;START_MAXIMIZED=FALSE&amp;creator=factset&amp;display_string=Audit"}</definedName>
    <definedName name="_1460__FDSAUDITLINK__" hidden="1">{"fdsup://Directions/FactSet Auditing Viewer?action=AUDIT_VALUE&amp;DB=129&amp;ID1=48203R10&amp;VALUEID=01001&amp;SDATE=201002&amp;PERIODTYPE=QTR_STD&amp;window=popup_no_bar&amp;width=385&amp;height=120&amp;START_MAXIMIZED=FALSE&amp;creator=factset&amp;display_string=Audit"}</definedName>
    <definedName name="_1461__FDSAUDITLINK__" localSheetId="1" hidden="1">{"fdsup://Directions/FactSet Auditing Viewer?action=AUDIT_VALUE&amp;DB=129&amp;ID1=47816010&amp;VALUEID=01001&amp;SDATE=200902&amp;PERIODTYPE=QTR_STD&amp;window=popup_no_bar&amp;width=385&amp;height=120&amp;START_MAXIMIZED=FALSE&amp;creator=factset&amp;display_string=Audit"}</definedName>
    <definedName name="_1461__FDSAUDITLINK__" hidden="1">{"fdsup://Directions/FactSet Auditing Viewer?action=AUDIT_VALUE&amp;DB=129&amp;ID1=47816010&amp;VALUEID=01001&amp;SDATE=200902&amp;PERIODTYPE=QTR_STD&amp;window=popup_no_bar&amp;width=385&amp;height=120&amp;START_MAXIMIZED=FALSE&amp;creator=factset&amp;display_string=Audit"}</definedName>
    <definedName name="_1462__FDSAUDITLINK__" localSheetId="1" hidden="1">{"fdsup://Directions/FactSet Auditing Viewer?action=AUDIT_VALUE&amp;DB=129&amp;ID1=47816010&amp;VALUEID=01001&amp;SDATE=201002&amp;PERIODTYPE=QTR_STD&amp;window=popup_no_bar&amp;width=385&amp;height=120&amp;START_MAXIMIZED=FALSE&amp;creator=factset&amp;display_string=Audit"}</definedName>
    <definedName name="_1462__FDSAUDITLINK__" hidden="1">{"fdsup://Directions/FactSet Auditing Viewer?action=AUDIT_VALUE&amp;DB=129&amp;ID1=47816010&amp;VALUEID=01001&amp;SDATE=201002&amp;PERIODTYPE=QTR_STD&amp;window=popup_no_bar&amp;width=385&amp;height=120&amp;START_MAXIMIZED=FALSE&amp;creator=factset&amp;display_string=Audit"}</definedName>
    <definedName name="_1463__FDSAUDITLINK__" localSheetId="1" hidden="1">{"fdsup://Directions/FactSet Auditing Viewer?action=AUDIT_VALUE&amp;DB=129&amp;ID1=46981410&amp;VALUEID=01001&amp;SDATE=200903&amp;PERIODTYPE=QTR_STD&amp;window=popup_no_bar&amp;width=385&amp;height=120&amp;START_MAXIMIZED=FALSE&amp;creator=factset&amp;display_string=Audit"}</definedName>
    <definedName name="_1463__FDSAUDITLINK__" hidden="1">{"fdsup://Directions/FactSet Auditing Viewer?action=AUDIT_VALUE&amp;DB=129&amp;ID1=46981410&amp;VALUEID=01001&amp;SDATE=200903&amp;PERIODTYPE=QTR_STD&amp;window=popup_no_bar&amp;width=385&amp;height=120&amp;START_MAXIMIZED=FALSE&amp;creator=factset&amp;display_string=Audit"}</definedName>
    <definedName name="_1464__FDSAUDITLINK__" localSheetId="1" hidden="1">{"fdsup://Directions/FactSet Auditing Viewer?action=AUDIT_VALUE&amp;DB=129&amp;ID1=46981410&amp;VALUEID=01001&amp;SDATE=201003&amp;PERIODTYPE=QTR_STD&amp;window=popup_no_bar&amp;width=385&amp;height=120&amp;START_MAXIMIZED=FALSE&amp;creator=factset&amp;display_string=Audit"}</definedName>
    <definedName name="_1464__FDSAUDITLINK__" hidden="1">{"fdsup://Directions/FactSet Auditing Viewer?action=AUDIT_VALUE&amp;DB=129&amp;ID1=46981410&amp;VALUEID=01001&amp;SDATE=201003&amp;PERIODTYPE=QTR_STD&amp;window=popup_no_bar&amp;width=385&amp;height=120&amp;START_MAXIMIZED=FALSE&amp;creator=factset&amp;display_string=Audit"}</definedName>
    <definedName name="_1465__FDSAUDITLINK__" localSheetId="1" hidden="1">{"fdsup://Directions/FactSet Auditing Viewer?action=AUDIT_VALUE&amp;DB=129&amp;ID1=46612J50&amp;VALUEID=01001&amp;SDATE=201003&amp;PERIODTYPE=QTR_STD&amp;window=popup_no_bar&amp;width=385&amp;height=120&amp;START_MAXIMIZED=FALSE&amp;creator=factset&amp;display_string=Audit"}</definedName>
    <definedName name="_1465__FDSAUDITLINK__" hidden="1">{"fdsup://Directions/FactSet Auditing Viewer?action=AUDIT_VALUE&amp;DB=129&amp;ID1=46612J50&amp;VALUEID=01001&amp;SDATE=201003&amp;PERIODTYPE=QTR_STD&amp;window=popup_no_bar&amp;width=385&amp;height=120&amp;START_MAXIMIZED=FALSE&amp;creator=factset&amp;display_string=Audit"}</definedName>
    <definedName name="_1466__FDSAUDITLINK__" localSheetId="1" hidden="1">{"fdsup://Directions/FactSet Auditing Viewer?action=AUDIT_VALUE&amp;DB=129&amp;ID1=70816010&amp;VALUEID=01001&amp;SDATE=200901&amp;PERIODTYPE=QTR_STD&amp;window=popup_no_bar&amp;width=385&amp;height=120&amp;START_MAXIMIZED=FALSE&amp;creator=factset&amp;display_string=Audit"}</definedName>
    <definedName name="_1466__FDSAUDITLINK__" hidden="1">{"fdsup://Directions/FactSet Auditing Viewer?action=AUDIT_VALUE&amp;DB=129&amp;ID1=70816010&amp;VALUEID=01001&amp;SDATE=200901&amp;PERIODTYPE=QTR_STD&amp;window=popup_no_bar&amp;width=385&amp;height=120&amp;START_MAXIMIZED=FALSE&amp;creator=factset&amp;display_string=Audit"}</definedName>
    <definedName name="_1467__FDSAUDITLINK__" localSheetId="1" hidden="1">{"fdsup://Directions/FactSet Auditing Viewer?action=AUDIT_VALUE&amp;DB=129&amp;ID1=70816010&amp;VALUEID=01001&amp;SDATE=201001&amp;PERIODTYPE=QTR_STD&amp;window=popup_no_bar&amp;width=385&amp;height=120&amp;START_MAXIMIZED=FALSE&amp;creator=factset&amp;display_string=Audit"}</definedName>
    <definedName name="_1467__FDSAUDITLINK__" hidden="1">{"fdsup://Directions/FactSet Auditing Viewer?action=AUDIT_VALUE&amp;DB=129&amp;ID1=70816010&amp;VALUEID=01001&amp;SDATE=201001&amp;PERIODTYPE=QTR_STD&amp;window=popup_no_bar&amp;width=385&amp;height=120&amp;START_MAXIMIZED=FALSE&amp;creator=factset&amp;display_string=Audit"}</definedName>
    <definedName name="_1468__FDSAUDITLINK__" localSheetId="1" hidden="1">{"fdsup://Directions/FactSet Auditing Viewer?action=AUDIT_VALUE&amp;DB=129&amp;ID1=47836610&amp;VALUEID=01001&amp;SDATE=200903&amp;PERIODTYPE=QTR_STD&amp;window=popup_no_bar&amp;width=385&amp;height=120&amp;START_MAXIMIZED=FALSE&amp;creator=factset&amp;display_string=Audit"}</definedName>
    <definedName name="_1468__FDSAUDITLINK__" hidden="1">{"fdsup://Directions/FactSet Auditing Viewer?action=AUDIT_VALUE&amp;DB=129&amp;ID1=47836610&amp;VALUEID=01001&amp;SDATE=200903&amp;PERIODTYPE=QTR_STD&amp;window=popup_no_bar&amp;width=385&amp;height=120&amp;START_MAXIMIZED=FALSE&amp;creator=factset&amp;display_string=Audit"}</definedName>
    <definedName name="_1469__FDSAUDITLINK__" localSheetId="1" hidden="1">{"fdsup://Directions/FactSet Auditing Viewer?action=AUDIT_VALUE&amp;DB=129&amp;ID1=47836610&amp;VALUEID=01001&amp;SDATE=201003&amp;PERIODTYPE=QTR_STD&amp;window=popup_no_bar&amp;width=385&amp;height=120&amp;START_MAXIMIZED=FALSE&amp;creator=factset&amp;display_string=Audit"}</definedName>
    <definedName name="_1469__FDSAUDITLINK__" hidden="1">{"fdsup://Directions/FactSet Auditing Viewer?action=AUDIT_VALUE&amp;DB=129&amp;ID1=47836610&amp;VALUEID=01001&amp;SDATE=201003&amp;PERIODTYPE=QTR_STD&amp;window=popup_no_bar&amp;width=385&amp;height=120&amp;START_MAXIMIZED=FALSE&amp;creator=factset&amp;display_string=Audit"}</definedName>
    <definedName name="_147__FDSAUDITLINK__" localSheetId="1" hidden="1">{"fdsup://directions/FAT Viewer?action=UPDATE&amp;creator=factset&amp;DYN_ARGS=TRUE&amp;DOC_NAME=FAT:FQL_AUDITING_CLIENT_TEMPLATE.FAT&amp;display_string=Audit&amp;VAR:KEY=BGROTWXYLS&amp;VAR:QUERY=RkZfRUJJVERBX09QRVIoUVRSLDQvMS8yMDA5LDYvMzAvMjAwOSwsLFVTRCk=&amp;WINDOW=FIRST_POPUP&amp;HEIGH","T=450&amp;WIDTH=450&amp;START_MAXIMIZED=FALSE&amp;VAR:CALENDAR=US&amp;VAR:SYMBOL=SYK&amp;VAR:INDEX=0"}</definedName>
    <definedName name="_147__FDSAUDITLINK__" hidden="1">{"fdsup://directions/FAT Viewer?action=UPDATE&amp;creator=factset&amp;DYN_ARGS=TRUE&amp;DOC_NAME=FAT:FQL_AUDITING_CLIENT_TEMPLATE.FAT&amp;display_string=Audit&amp;VAR:KEY=BGROTWXYLS&amp;VAR:QUERY=RkZfRUJJVERBX09QRVIoUVRSLDQvMS8yMDA5LDYvMzAvMjAwOSwsLFVTRCk=&amp;WINDOW=FIRST_POPUP&amp;HEIGH","T=450&amp;WIDTH=450&amp;START_MAXIMIZED=FALSE&amp;VAR:CALENDAR=US&amp;VAR:SYMBOL=SYK&amp;VAR:INDEX=0"}</definedName>
    <definedName name="_1470__FDSAUDITLINK__" localSheetId="1" hidden="1">{"fdsup://Directions/FactSet Auditing Viewer?action=AUDIT_VALUE&amp;DB=129&amp;ID1=46631310&amp;VALUEID=01001&amp;SDATE=200903&amp;PERIODTYPE=QTR_STD&amp;window=popup_no_bar&amp;width=385&amp;height=120&amp;START_MAXIMIZED=FALSE&amp;creator=factset&amp;display_string=Audit"}</definedName>
    <definedName name="_1470__FDSAUDITLINK__" hidden="1">{"fdsup://Directions/FactSet Auditing Viewer?action=AUDIT_VALUE&amp;DB=129&amp;ID1=46631310&amp;VALUEID=01001&amp;SDATE=200903&amp;PERIODTYPE=QTR_STD&amp;window=popup_no_bar&amp;width=385&amp;height=120&amp;START_MAXIMIZED=FALSE&amp;creator=factset&amp;display_string=Audit"}</definedName>
    <definedName name="_1471__FDSAUDITLINK__" localSheetId="1" hidden="1">{"fdsup://Directions/FactSet Auditing Viewer?action=AUDIT_VALUE&amp;DB=129&amp;ID1=46631310&amp;VALUEID=01001&amp;SDATE=201003&amp;PERIODTYPE=QTR_STD&amp;window=popup_no_bar&amp;width=385&amp;height=120&amp;START_MAXIMIZED=FALSE&amp;creator=factset&amp;display_string=Audit"}</definedName>
    <definedName name="_1471__FDSAUDITLINK__" hidden="1">{"fdsup://Directions/FactSet Auditing Viewer?action=AUDIT_VALUE&amp;DB=129&amp;ID1=46631310&amp;VALUEID=01001&amp;SDATE=201003&amp;PERIODTYPE=QTR_STD&amp;window=popup_no_bar&amp;width=385&amp;height=120&amp;START_MAXIMIZED=FALSE&amp;creator=factset&amp;display_string=Audit"}</definedName>
    <definedName name="_1472__FDSAUDITLINK__" localSheetId="1" hidden="1">{"fdsup://Directions/FactSet Auditing Viewer?action=AUDIT_VALUE&amp;DB=129&amp;ID1=G491BT10&amp;VALUEID=01001&amp;SDATE=200902&amp;PERIODTYPE=QTR_STD&amp;window=popup_no_bar&amp;width=385&amp;height=120&amp;START_MAXIMIZED=FALSE&amp;creator=factset&amp;display_string=Audit"}</definedName>
    <definedName name="_1472__FDSAUDITLINK__" hidden="1">{"fdsup://Directions/FactSet Auditing Viewer?action=AUDIT_VALUE&amp;DB=129&amp;ID1=G491BT10&amp;VALUEID=01001&amp;SDATE=200902&amp;PERIODTYPE=QTR_STD&amp;window=popup_no_bar&amp;width=385&amp;height=120&amp;START_MAXIMIZED=FALSE&amp;creator=factset&amp;display_string=Audit"}</definedName>
    <definedName name="_1473__FDSAUDITLINK__" localSheetId="1" hidden="1">{"fdsup://Directions/FactSet Auditing Viewer?action=AUDIT_VALUE&amp;DB=129&amp;ID1=G491BT10&amp;VALUEID=01001&amp;SDATE=201002&amp;PERIODTYPE=QTR_STD&amp;window=popup_no_bar&amp;width=385&amp;height=120&amp;START_MAXIMIZED=FALSE&amp;creator=factset&amp;display_string=Audit"}</definedName>
    <definedName name="_1473__FDSAUDITLINK__" hidden="1">{"fdsup://Directions/FactSet Auditing Viewer?action=AUDIT_VALUE&amp;DB=129&amp;ID1=G491BT10&amp;VALUEID=01001&amp;SDATE=201002&amp;PERIODTYPE=QTR_STD&amp;window=popup_no_bar&amp;width=385&amp;height=120&amp;START_MAXIMIZED=FALSE&amp;creator=factset&amp;display_string=Audit"}</definedName>
    <definedName name="_1474__FDSAUDITLINK__" localSheetId="1" hidden="1">{"fdsup://Directions/FactSet Auditing Viewer?action=AUDIT_VALUE&amp;DB=129&amp;ID1=45230810&amp;VALUEID=01001&amp;SDATE=200902&amp;PERIODTYPE=QTR_STD&amp;window=popup_no_bar&amp;width=385&amp;height=120&amp;START_MAXIMIZED=FALSE&amp;creator=factset&amp;display_string=Audit"}</definedName>
    <definedName name="_1474__FDSAUDITLINK__" hidden="1">{"fdsup://Directions/FactSet Auditing Viewer?action=AUDIT_VALUE&amp;DB=129&amp;ID1=45230810&amp;VALUEID=01001&amp;SDATE=200902&amp;PERIODTYPE=QTR_STD&amp;window=popup_no_bar&amp;width=385&amp;height=120&amp;START_MAXIMIZED=FALSE&amp;creator=factset&amp;display_string=Audit"}</definedName>
    <definedName name="_1475__FDSAUDITLINK__" localSheetId="1" hidden="1">{"fdsup://Directions/FactSet Auditing Viewer?action=AUDIT_VALUE&amp;DB=129&amp;ID1=45230810&amp;VALUEID=01001&amp;SDATE=201002&amp;PERIODTYPE=QTR_STD&amp;window=popup_no_bar&amp;width=385&amp;height=120&amp;START_MAXIMIZED=FALSE&amp;creator=factset&amp;display_string=Audit"}</definedName>
    <definedName name="_1475__FDSAUDITLINK__" hidden="1">{"fdsup://Directions/FactSet Auditing Viewer?action=AUDIT_VALUE&amp;DB=129&amp;ID1=45230810&amp;VALUEID=01001&amp;SDATE=201002&amp;PERIODTYPE=QTR_STD&amp;window=popup_no_bar&amp;width=385&amp;height=120&amp;START_MAXIMIZED=FALSE&amp;creator=factset&amp;display_string=Audit"}</definedName>
    <definedName name="_1476__FDSAUDITLINK__" localSheetId="1" hidden="1">{"fdsup://Directions/FactSet Auditing Viewer?action=AUDIT_VALUE&amp;DB=129&amp;ID1=45091110&amp;VALUEID=01001&amp;SDATE=200902&amp;PERIODTYPE=QTR_STD&amp;window=popup_no_bar&amp;width=385&amp;height=120&amp;START_MAXIMIZED=FALSE&amp;creator=factset&amp;display_string=Audit"}</definedName>
    <definedName name="_1476__FDSAUDITLINK__" hidden="1">{"fdsup://Directions/FactSet Auditing Viewer?action=AUDIT_VALUE&amp;DB=129&amp;ID1=45091110&amp;VALUEID=01001&amp;SDATE=200902&amp;PERIODTYPE=QTR_STD&amp;window=popup_no_bar&amp;width=385&amp;height=120&amp;START_MAXIMIZED=FALSE&amp;creator=factset&amp;display_string=Audit"}</definedName>
    <definedName name="_1477__FDSAUDITLINK__" localSheetId="1" hidden="1">{"fdsup://Directions/FactSet Auditing Viewer?action=AUDIT_VALUE&amp;DB=129&amp;ID1=45091110&amp;VALUEID=01001&amp;SDATE=201002&amp;PERIODTYPE=QTR_STD&amp;window=popup_no_bar&amp;width=385&amp;height=120&amp;START_MAXIMIZED=FALSE&amp;creator=factset&amp;display_string=Audit"}</definedName>
    <definedName name="_1477__FDSAUDITLINK__" hidden="1">{"fdsup://Directions/FactSet Auditing Viewer?action=AUDIT_VALUE&amp;DB=129&amp;ID1=45091110&amp;VALUEID=01001&amp;SDATE=201002&amp;PERIODTYPE=QTR_STD&amp;window=popup_no_bar&amp;width=385&amp;height=120&amp;START_MAXIMIZED=FALSE&amp;creator=factset&amp;display_string=Audit"}</definedName>
    <definedName name="_1478__FDSAUDITLINK__" localSheetId="1" hidden="1">{"fdsup://Directions/FactSet Auditing Viewer?action=AUDIT_VALUE&amp;DB=129&amp;ID1=46120E60&amp;VALUEID=01001&amp;SDATE=200902&amp;PERIODTYPE=QTR_STD&amp;window=popup_no_bar&amp;width=385&amp;height=120&amp;START_MAXIMIZED=FALSE&amp;creator=factset&amp;display_string=Audit"}</definedName>
    <definedName name="_1478__FDSAUDITLINK__" hidden="1">{"fdsup://Directions/FactSet Auditing Viewer?action=AUDIT_VALUE&amp;DB=129&amp;ID1=46120E60&amp;VALUEID=01001&amp;SDATE=200902&amp;PERIODTYPE=QTR_STD&amp;window=popup_no_bar&amp;width=385&amp;height=120&amp;START_MAXIMIZED=FALSE&amp;creator=factset&amp;display_string=Audit"}</definedName>
    <definedName name="_1479__FDSAUDITLINK__" localSheetId="1" hidden="1">{"fdsup://Directions/FactSet Auditing Viewer?action=AUDIT_VALUE&amp;DB=129&amp;ID1=46120E60&amp;VALUEID=01001&amp;SDATE=201002&amp;PERIODTYPE=QTR_STD&amp;window=popup_no_bar&amp;width=385&amp;height=120&amp;START_MAXIMIZED=FALSE&amp;creator=factset&amp;display_string=Audit"}</definedName>
    <definedName name="_1479__FDSAUDITLINK__" hidden="1">{"fdsup://Directions/FactSet Auditing Viewer?action=AUDIT_VALUE&amp;DB=129&amp;ID1=46120E60&amp;VALUEID=01001&amp;SDATE=201002&amp;PERIODTYPE=QTR_STD&amp;window=popup_no_bar&amp;width=385&amp;height=120&amp;START_MAXIMIZED=FALSE&amp;creator=factset&amp;display_string=Audit"}</definedName>
    <definedName name="_148__FDSAUDITLINK__" localSheetId="1" hidden="1">{"fdsup://directions/FAT Viewer?action=UPDATE&amp;creator=factset&amp;DYN_ARGS=TRUE&amp;DOC_NAME=FAT:FQL_AUDITING_CLIENT_TEMPLATE.FAT&amp;display_string=Audit&amp;VAR:KEY=ZORQXUDSPW&amp;VAR:QUERY=RkZfRUJJVERBX09QRVIoUVRSLDQvMS8yMDEwLDYvMzAvMjAxMCwsLFVTRCk=&amp;WINDOW=FIRST_POPUP&amp;HEIGH","T=450&amp;WIDTH=450&amp;START_MAXIMIZED=FALSE&amp;VAR:CALENDAR=US&amp;VAR:SYMBOL=SYK&amp;VAR:INDEX=0"}</definedName>
    <definedName name="_148__FDSAUDITLINK__" hidden="1">{"fdsup://directions/FAT Viewer?action=UPDATE&amp;creator=factset&amp;DYN_ARGS=TRUE&amp;DOC_NAME=FAT:FQL_AUDITING_CLIENT_TEMPLATE.FAT&amp;display_string=Audit&amp;VAR:KEY=ZORQXUDSPW&amp;VAR:QUERY=RkZfRUJJVERBX09QRVIoUVRSLDQvMS8yMDEwLDYvMzAvMjAxMCwsLFVTRCk=&amp;WINDOW=FIRST_POPUP&amp;HEIGH","T=450&amp;WIDTH=450&amp;START_MAXIMIZED=FALSE&amp;VAR:CALENDAR=US&amp;VAR:SYMBOL=SYK&amp;VAR:INDEX=0"}</definedName>
    <definedName name="_1480__FDSAUDITLINK__" localSheetId="1" hidden="1">{"fdsup://Directions/FactSet Auditing Viewer?action=AUDIT_VALUE&amp;DB=129&amp;ID1=46284610&amp;VALUEID=01001&amp;SDATE=200902&amp;PERIODTYPE=QTR_STD&amp;window=popup_no_bar&amp;width=385&amp;height=120&amp;START_MAXIMIZED=FALSE&amp;creator=factset&amp;display_string=Audit"}</definedName>
    <definedName name="_1480__FDSAUDITLINK__" hidden="1">{"fdsup://Directions/FactSet Auditing Viewer?action=AUDIT_VALUE&amp;DB=129&amp;ID1=46284610&amp;VALUEID=01001&amp;SDATE=200902&amp;PERIODTYPE=QTR_STD&amp;window=popup_no_bar&amp;width=385&amp;height=120&amp;START_MAXIMIZED=FALSE&amp;creator=factset&amp;display_string=Audit"}</definedName>
    <definedName name="_1481__FDSAUDITLINK__" localSheetId="1" hidden="1">{"fdsup://Directions/FactSet Auditing Viewer?action=AUDIT_VALUE&amp;DB=129&amp;ID1=46284610&amp;VALUEID=01001&amp;SDATE=201002&amp;PERIODTYPE=QTR_STD&amp;window=popup_no_bar&amp;width=385&amp;height=120&amp;START_MAXIMIZED=FALSE&amp;creator=factset&amp;display_string=Audit"}</definedName>
    <definedName name="_1481__FDSAUDITLINK__" hidden="1">{"fdsup://Directions/FactSet Auditing Viewer?action=AUDIT_VALUE&amp;DB=129&amp;ID1=46284610&amp;VALUEID=01001&amp;SDATE=201002&amp;PERIODTYPE=QTR_STD&amp;window=popup_no_bar&amp;width=385&amp;height=120&amp;START_MAXIMIZED=FALSE&amp;creator=factset&amp;display_string=Audit"}</definedName>
    <definedName name="_1482__FDSAUDITLINK__" localSheetId="1" hidden="1">{"fdsup://Directions/FactSet Auditing Viewer?action=AUDIT_VALUE&amp;DB=129&amp;ID1=46069010&amp;VALUEID=01001&amp;SDATE=200902&amp;PERIODTYPE=QTR_STD&amp;window=popup_no_bar&amp;width=385&amp;height=120&amp;START_MAXIMIZED=FALSE&amp;creator=factset&amp;display_string=Audit"}</definedName>
    <definedName name="_1482__FDSAUDITLINK__" hidden="1">{"fdsup://Directions/FactSet Auditing Viewer?action=AUDIT_VALUE&amp;DB=129&amp;ID1=46069010&amp;VALUEID=01001&amp;SDATE=200902&amp;PERIODTYPE=QTR_STD&amp;window=popup_no_bar&amp;width=385&amp;height=120&amp;START_MAXIMIZED=FALSE&amp;creator=factset&amp;display_string=Audit"}</definedName>
    <definedName name="_1483__FDSAUDITLINK__" localSheetId="1" hidden="1">{"fdsup://Directions/FactSet Auditing Viewer?action=AUDIT_VALUE&amp;DB=129&amp;ID1=46069010&amp;VALUEID=01001&amp;SDATE=201002&amp;PERIODTYPE=QTR_STD&amp;window=popup_no_bar&amp;width=385&amp;height=120&amp;START_MAXIMIZED=FALSE&amp;creator=factset&amp;display_string=Audit"}</definedName>
    <definedName name="_1483__FDSAUDITLINK__" hidden="1">{"fdsup://Directions/FactSet Auditing Viewer?action=AUDIT_VALUE&amp;DB=129&amp;ID1=46069010&amp;VALUEID=01001&amp;SDATE=201002&amp;PERIODTYPE=QTR_STD&amp;window=popup_no_bar&amp;width=385&amp;height=120&amp;START_MAXIMIZED=FALSE&amp;creator=factset&amp;display_string=Audit"}</definedName>
    <definedName name="_1484__FDSAUDITLINK__" localSheetId="1" hidden="1">{"fdsup://Directions/FactSet Auditing Viewer?action=AUDIT_VALUE&amp;DB=129&amp;ID1=46014610&amp;VALUEID=01001&amp;SDATE=200902&amp;PERIODTYPE=QTR_STD&amp;window=popup_no_bar&amp;width=385&amp;height=120&amp;START_MAXIMIZED=FALSE&amp;creator=factset&amp;display_string=Audit"}</definedName>
    <definedName name="_1484__FDSAUDITLINK__" hidden="1">{"fdsup://Directions/FactSet Auditing Viewer?action=AUDIT_VALUE&amp;DB=129&amp;ID1=46014610&amp;VALUEID=01001&amp;SDATE=200902&amp;PERIODTYPE=QTR_STD&amp;window=popup_no_bar&amp;width=385&amp;height=120&amp;START_MAXIMIZED=FALSE&amp;creator=factset&amp;display_string=Audit"}</definedName>
    <definedName name="_1485__FDSAUDITLINK__" localSheetId="1" hidden="1">{"fdsup://Directions/FactSet Auditing Viewer?action=AUDIT_VALUE&amp;DB=129&amp;ID1=46014610&amp;VALUEID=01001&amp;SDATE=201002&amp;PERIODTYPE=QTR_STD&amp;window=popup_no_bar&amp;width=385&amp;height=120&amp;START_MAXIMIZED=FALSE&amp;creator=factset&amp;display_string=Audit"}</definedName>
    <definedName name="_1485__FDSAUDITLINK__" hidden="1">{"fdsup://Directions/FactSet Auditing Viewer?action=AUDIT_VALUE&amp;DB=129&amp;ID1=46014610&amp;VALUEID=01001&amp;SDATE=201002&amp;PERIODTYPE=QTR_STD&amp;window=popup_no_bar&amp;width=385&amp;height=120&amp;START_MAXIMIZED=FALSE&amp;creator=factset&amp;display_string=Audit"}</definedName>
    <definedName name="_1486__FDSAUDITLINK__" localSheetId="1" hidden="1">{"fdsup://Directions/FactSet Auditing Viewer?action=AUDIT_VALUE&amp;DB=129&amp;ID1=46120210&amp;VALUEID=01001&amp;SDATE=200903&amp;PERIODTYPE=QTR_STD&amp;window=popup_no_bar&amp;width=385&amp;height=120&amp;START_MAXIMIZED=FALSE&amp;creator=factset&amp;display_string=Audit"}</definedName>
    <definedName name="_1486__FDSAUDITLINK__" hidden="1">{"fdsup://Directions/FactSet Auditing Viewer?action=AUDIT_VALUE&amp;DB=129&amp;ID1=46120210&amp;VALUEID=01001&amp;SDATE=200903&amp;PERIODTYPE=QTR_STD&amp;window=popup_no_bar&amp;width=385&amp;height=120&amp;START_MAXIMIZED=FALSE&amp;creator=factset&amp;display_string=Audit"}</definedName>
    <definedName name="_1487__FDSAUDITLINK__" localSheetId="1" hidden="1">{"fdsup://Directions/FactSet Auditing Viewer?action=AUDIT_VALUE&amp;DB=129&amp;ID1=46120210&amp;VALUEID=01001&amp;SDATE=201003&amp;PERIODTYPE=QTR_STD&amp;window=popup_no_bar&amp;width=385&amp;height=120&amp;START_MAXIMIZED=FALSE&amp;creator=factset&amp;display_string=Audit"}</definedName>
    <definedName name="_1487__FDSAUDITLINK__" hidden="1">{"fdsup://Directions/FactSet Auditing Viewer?action=AUDIT_VALUE&amp;DB=129&amp;ID1=46120210&amp;VALUEID=01001&amp;SDATE=201003&amp;PERIODTYPE=QTR_STD&amp;window=popup_no_bar&amp;width=385&amp;height=120&amp;START_MAXIMIZED=FALSE&amp;creator=factset&amp;display_string=Audit"}</definedName>
    <definedName name="_1488__FDSAUDITLINK__" localSheetId="1" hidden="1">{"fdsup://Directions/FactSet Auditing Viewer?action=AUDIT_VALUE&amp;DB=129&amp;ID1=45814010&amp;VALUEID=01001&amp;SDATE=200902&amp;PERIODTYPE=QTR_STD&amp;window=popup_no_bar&amp;width=385&amp;height=120&amp;START_MAXIMIZED=FALSE&amp;creator=factset&amp;display_string=Audit"}</definedName>
    <definedName name="_1488__FDSAUDITLINK__" hidden="1">{"fdsup://Directions/FactSet Auditing Viewer?action=AUDIT_VALUE&amp;DB=129&amp;ID1=45814010&amp;VALUEID=01001&amp;SDATE=200902&amp;PERIODTYPE=QTR_STD&amp;window=popup_no_bar&amp;width=385&amp;height=120&amp;START_MAXIMIZED=FALSE&amp;creator=factset&amp;display_string=Audit"}</definedName>
    <definedName name="_1489__FDSAUDITLINK__" localSheetId="1" hidden="1">{"fdsup://Directions/FactSet Auditing Viewer?action=AUDIT_VALUE&amp;DB=129&amp;ID1=45814010&amp;VALUEID=01001&amp;SDATE=201002&amp;PERIODTYPE=QTR_STD&amp;window=popup_no_bar&amp;width=385&amp;height=120&amp;START_MAXIMIZED=FALSE&amp;creator=factset&amp;display_string=Audit"}</definedName>
    <definedName name="_1489__FDSAUDITLINK__" hidden="1">{"fdsup://Directions/FactSet Auditing Viewer?action=AUDIT_VALUE&amp;DB=129&amp;ID1=45814010&amp;VALUEID=01001&amp;SDATE=201002&amp;PERIODTYPE=QTR_STD&amp;window=popup_no_bar&amp;width=385&amp;height=120&amp;START_MAXIMIZED=FALSE&amp;creator=factset&amp;display_string=Audit"}</definedName>
    <definedName name="_149__FDSAUDITLINK__" localSheetId="1" hidden="1">{"fdsup://directions/FAT Viewer?action=UPDATE&amp;creator=factset&amp;DYN_ARGS=TRUE&amp;DOC_NAME=FAT:FQL_AUDITING_CLIENT_TEMPLATE.FAT&amp;display_string=Audit&amp;VAR:KEY=RGLWHGVEXO&amp;VAR:QUERY=RkZfRUJJVERBX09QRVIoUVRSLDQvMS8yMDA5LDYvMzAvMjAwOSwsLFVTRCk=&amp;WINDOW=FIRST_POPUP&amp;HEIGH","T=450&amp;WIDTH=450&amp;START_MAXIMIZED=FALSE&amp;VAR:CALENDAR=US&amp;VAR:SYMBOL=SWY&amp;VAR:INDEX=0"}</definedName>
    <definedName name="_149__FDSAUDITLINK__" hidden="1">{"fdsup://directions/FAT Viewer?action=UPDATE&amp;creator=factset&amp;DYN_ARGS=TRUE&amp;DOC_NAME=FAT:FQL_AUDITING_CLIENT_TEMPLATE.FAT&amp;display_string=Audit&amp;VAR:KEY=RGLWHGVEXO&amp;VAR:QUERY=RkZfRUJJVERBX09QRVIoUVRSLDQvMS8yMDA5LDYvMzAvMjAwOSwsLFVTRCk=&amp;WINDOW=FIRST_POPUP&amp;HEIGH","T=450&amp;WIDTH=450&amp;START_MAXIMIZED=FALSE&amp;VAR:CALENDAR=US&amp;VAR:SYMBOL=SWY&amp;VAR:INDEX=0"}</definedName>
    <definedName name="_1490__FDSAUDITLINK__" localSheetId="1" hidden="1">{"fdsup://Directions/FactSet Auditing Viewer?action=AUDIT_VALUE&amp;DB=129&amp;ID1=45990210&amp;VALUEID=01001&amp;SDATE=200903&amp;PERIODTYPE=QTR_STD&amp;window=popup_no_bar&amp;width=385&amp;height=120&amp;START_MAXIMIZED=FALSE&amp;creator=factset&amp;display_string=Audit"}</definedName>
    <definedName name="_1490__FDSAUDITLINK__" hidden="1">{"fdsup://Directions/FactSet Auditing Viewer?action=AUDIT_VALUE&amp;DB=129&amp;ID1=45990210&amp;VALUEID=01001&amp;SDATE=200903&amp;PERIODTYPE=QTR_STD&amp;window=popup_no_bar&amp;width=385&amp;height=120&amp;START_MAXIMIZED=FALSE&amp;creator=factset&amp;display_string=Audit"}</definedName>
    <definedName name="_1491__FDSAUDITLINK__" localSheetId="1" hidden="1">{"fdsup://Directions/FactSet Auditing Viewer?action=AUDIT_VALUE&amp;DB=129&amp;ID1=45990210&amp;VALUEID=01001&amp;SDATE=201003&amp;PERIODTYPE=QTR_STD&amp;window=popup_no_bar&amp;width=385&amp;height=120&amp;START_MAXIMIZED=FALSE&amp;creator=factset&amp;display_string=Audit"}</definedName>
    <definedName name="_1491__FDSAUDITLINK__" hidden="1">{"fdsup://Directions/FactSet Auditing Viewer?action=AUDIT_VALUE&amp;DB=129&amp;ID1=45990210&amp;VALUEID=01001&amp;SDATE=201003&amp;PERIODTYPE=QTR_STD&amp;window=popup_no_bar&amp;width=385&amp;height=120&amp;START_MAXIMIZED=FALSE&amp;creator=factset&amp;display_string=Audit"}</definedName>
    <definedName name="_1492__FDSAUDITLINK__" localSheetId="1" hidden="1">{"fdsup://Directions/FactSet Auditing Viewer?action=AUDIT_VALUE&amp;DB=129&amp;ID1=45950610&amp;VALUEID=01001&amp;SDATE=200902&amp;PERIODTYPE=QTR_STD&amp;window=popup_no_bar&amp;width=385&amp;height=120&amp;START_MAXIMIZED=FALSE&amp;creator=factset&amp;display_string=Audit"}</definedName>
    <definedName name="_1492__FDSAUDITLINK__" hidden="1">{"fdsup://Directions/FactSet Auditing Viewer?action=AUDIT_VALUE&amp;DB=129&amp;ID1=45950610&amp;VALUEID=01001&amp;SDATE=200902&amp;PERIODTYPE=QTR_STD&amp;window=popup_no_bar&amp;width=385&amp;height=120&amp;START_MAXIMIZED=FALSE&amp;creator=factset&amp;display_string=Audit"}</definedName>
    <definedName name="_1493__FDSAUDITLINK__" localSheetId="1" hidden="1">{"fdsup://Directions/FactSet Auditing Viewer?action=AUDIT_VALUE&amp;DB=129&amp;ID1=45950610&amp;VALUEID=01001&amp;SDATE=201002&amp;PERIODTYPE=QTR_STD&amp;window=popup_no_bar&amp;width=385&amp;height=120&amp;START_MAXIMIZED=FALSE&amp;creator=factset&amp;display_string=Audit"}</definedName>
    <definedName name="_1493__FDSAUDITLINK__" hidden="1">{"fdsup://Directions/FactSet Auditing Viewer?action=AUDIT_VALUE&amp;DB=129&amp;ID1=45950610&amp;VALUEID=01001&amp;SDATE=201002&amp;PERIODTYPE=QTR_STD&amp;window=popup_no_bar&amp;width=385&amp;height=120&amp;START_MAXIMIZED=FALSE&amp;creator=factset&amp;display_string=Audit"}</definedName>
    <definedName name="_1494__FDSAUDITLINK__" localSheetId="1" hidden="1">{"fdsup://Directions/FactSet Auditing Viewer?action=AUDIT_VALUE&amp;DB=129&amp;ID1=45865V10&amp;VALUEID=01001&amp;SDATE=200902&amp;PERIODTYPE=QTR_STD&amp;window=popup_no_bar&amp;width=385&amp;height=120&amp;START_MAXIMIZED=FALSE&amp;creator=factset&amp;display_string=Audit"}</definedName>
    <definedName name="_1494__FDSAUDITLINK__" hidden="1">{"fdsup://Directions/FactSet Auditing Viewer?action=AUDIT_VALUE&amp;DB=129&amp;ID1=45865V10&amp;VALUEID=01001&amp;SDATE=200902&amp;PERIODTYPE=QTR_STD&amp;window=popup_no_bar&amp;width=385&amp;height=120&amp;START_MAXIMIZED=FALSE&amp;creator=factset&amp;display_string=Audit"}</definedName>
    <definedName name="_1495__FDSAUDITLINK__" localSheetId="1" hidden="1">{"fdsup://Directions/FactSet Auditing Viewer?action=AUDIT_VALUE&amp;DB=129&amp;ID1=45865V10&amp;VALUEID=01001&amp;SDATE=201002&amp;PERIODTYPE=QTR_STD&amp;window=popup_no_bar&amp;width=385&amp;height=120&amp;START_MAXIMIZED=FALSE&amp;creator=factset&amp;display_string=Audit"}</definedName>
    <definedName name="_1495__FDSAUDITLINK__" hidden="1">{"fdsup://Directions/FactSet Auditing Viewer?action=AUDIT_VALUE&amp;DB=129&amp;ID1=45865V10&amp;VALUEID=01001&amp;SDATE=201002&amp;PERIODTYPE=QTR_STD&amp;window=popup_no_bar&amp;width=385&amp;height=120&amp;START_MAXIMIZED=FALSE&amp;creator=factset&amp;display_string=Audit"}</definedName>
    <definedName name="_1496__FDSAUDITLINK__" localSheetId="1" hidden="1">{"fdsup://Directions/FactSet Auditing Viewer?action=AUDIT_VALUE&amp;DB=129&amp;ID1=45920010&amp;VALUEID=01001&amp;SDATE=200902&amp;PERIODTYPE=QTR_STD&amp;window=popup_no_bar&amp;width=385&amp;height=120&amp;START_MAXIMIZED=FALSE&amp;creator=factset&amp;display_string=Audit"}</definedName>
    <definedName name="_1496__FDSAUDITLINK__" hidden="1">{"fdsup://Directions/FactSet Auditing Viewer?action=AUDIT_VALUE&amp;DB=129&amp;ID1=45920010&amp;VALUEID=01001&amp;SDATE=200902&amp;PERIODTYPE=QTR_STD&amp;window=popup_no_bar&amp;width=385&amp;height=120&amp;START_MAXIMIZED=FALSE&amp;creator=factset&amp;display_string=Audit"}</definedName>
    <definedName name="_1497__FDSAUDITLINK__" localSheetId="1" hidden="1">{"fdsup://Directions/FactSet Auditing Viewer?action=AUDIT_VALUE&amp;DB=129&amp;ID1=45920010&amp;VALUEID=01001&amp;SDATE=201002&amp;PERIODTYPE=QTR_STD&amp;window=popup_no_bar&amp;width=385&amp;height=120&amp;START_MAXIMIZED=FALSE&amp;creator=factset&amp;display_string=Audit"}</definedName>
    <definedName name="_1497__FDSAUDITLINK__" hidden="1">{"fdsup://Directions/FactSet Auditing Viewer?action=AUDIT_VALUE&amp;DB=129&amp;ID1=45920010&amp;VALUEID=01001&amp;SDATE=201002&amp;PERIODTYPE=QTR_STD&amp;window=popup_no_bar&amp;width=385&amp;height=120&amp;START_MAXIMIZED=FALSE&amp;creator=factset&amp;display_string=Audit"}</definedName>
    <definedName name="_1498__FDSAUDITLINK__" localSheetId="1" hidden="1">{"fdsup://Directions/FactSet Auditing Viewer?action=AUDIT_VALUE&amp;DB=129&amp;ID1=44485910&amp;VALUEID=01001&amp;SDATE=200902&amp;PERIODTYPE=QTR_STD&amp;window=popup_no_bar&amp;width=385&amp;height=120&amp;START_MAXIMIZED=FALSE&amp;creator=factset&amp;display_string=Audit"}</definedName>
    <definedName name="_1498__FDSAUDITLINK__" hidden="1">{"fdsup://Directions/FactSet Auditing Viewer?action=AUDIT_VALUE&amp;DB=129&amp;ID1=44485910&amp;VALUEID=01001&amp;SDATE=200902&amp;PERIODTYPE=QTR_STD&amp;window=popup_no_bar&amp;width=385&amp;height=120&amp;START_MAXIMIZED=FALSE&amp;creator=factset&amp;display_string=Audit"}</definedName>
    <definedName name="_1499__FDSAUDITLINK__" localSheetId="1" hidden="1">{"fdsup://Directions/FactSet Auditing Viewer?action=AUDIT_VALUE&amp;DB=129&amp;ID1=44485910&amp;VALUEID=01001&amp;SDATE=201002&amp;PERIODTYPE=QTR_STD&amp;window=popup_no_bar&amp;width=385&amp;height=120&amp;START_MAXIMIZED=FALSE&amp;creator=factset&amp;display_string=Audit"}</definedName>
    <definedName name="_1499__FDSAUDITLINK__" hidden="1">{"fdsup://Directions/FactSet Auditing Viewer?action=AUDIT_VALUE&amp;DB=129&amp;ID1=44485910&amp;VALUEID=01001&amp;SDATE=201002&amp;PERIODTYPE=QTR_STD&amp;window=popup_no_bar&amp;width=385&amp;height=120&amp;START_MAXIMIZED=FALSE&amp;creator=factset&amp;display_string=Audit"}</definedName>
    <definedName name="_15__FDSAUDITLINK__" localSheetId="1" hidden="1">{"fdsup://directions/FAT Viewer?action=UPDATE&amp;creator=factset&amp;DYN_ARGS=TRUE&amp;DOC_NAME=FAT:FQL_AUDITING_CLIENT_TEMPLATE.FAT&amp;display_string=Audit&amp;VAR:KEY=ZEPILGTOJO&amp;VAR:QUERY=RkZfRUJJVERBX09QRVIoUVRSLDQvMS8yMDA5LDYvMzAvMjAwOSwsLFVTRCk=&amp;WINDOW=FIRST_POPUP&amp;HEIGH","T=450&amp;WIDTH=450&amp;START_MAXIMIZED=FALSE&amp;VAR:CALENDAR=US&amp;VAR:SYMBOL=XLNX&amp;VAR:INDEX=0"}</definedName>
    <definedName name="_15__FDSAUDITLINK__" hidden="1">{"fdsup://Directions/FactSet Auditing Viewer?action=AUDIT_VALUE&amp;DB=129&amp;ID1=590294&amp;VALUEID=02001&amp;SDATE=200903&amp;PERIODTYPE=QTR_STD&amp;window=popup_no_bar&amp;width=385&amp;height=120&amp;START_MAXIMIZED=FALSE&amp;creator=factset&amp;display_string=Audit"}</definedName>
    <definedName name="_150__FDSAUDITLINK__" localSheetId="1" hidden="1">{"fdsup://directions/FAT Viewer?action=UPDATE&amp;creator=factset&amp;DYN_ARGS=TRUE&amp;DOC_NAME=FAT:FQL_AUDITING_CLIENT_TEMPLATE.FAT&amp;display_string=Audit&amp;VAR:KEY=JGHIBMLYBM&amp;VAR:QUERY=RkZfRUJJVERBX09QRVIoUVRSLDQvMS8yMDEwLDYvMzAvMjAxMCwsLFVTRCk=&amp;WINDOW=FIRST_POPUP&amp;HEIGH","T=450&amp;WIDTH=450&amp;START_MAXIMIZED=FALSE&amp;VAR:CALENDAR=US&amp;VAR:SYMBOL=SWY&amp;VAR:INDEX=0"}</definedName>
    <definedName name="_150__FDSAUDITLINK__" hidden="1">{"fdsup://directions/FAT Viewer?action=UPDATE&amp;creator=factset&amp;DYN_ARGS=TRUE&amp;DOC_NAME=FAT:FQL_AUDITING_CLIENT_TEMPLATE.FAT&amp;display_string=Audit&amp;VAR:KEY=JGHIBMLYBM&amp;VAR:QUERY=RkZfRUJJVERBX09QRVIoUVRSLDQvMS8yMDEwLDYvMzAvMjAxMCwsLFVTRCk=&amp;WINDOW=FIRST_POPUP&amp;HEIGH","T=450&amp;WIDTH=450&amp;START_MAXIMIZED=FALSE&amp;VAR:CALENDAR=US&amp;VAR:SYMBOL=SWY&amp;VAR:INDEX=0"}</definedName>
    <definedName name="_1500__FDSAUDITLINK__" localSheetId="1" hidden="1">{"fdsup://Directions/FactSet Auditing Viewer?action=AUDIT_VALUE&amp;DB=129&amp;ID1=42786610&amp;VALUEID=01001&amp;SDATE=200902&amp;PERIODTYPE=QTR_STD&amp;window=popup_no_bar&amp;width=385&amp;height=120&amp;START_MAXIMIZED=FALSE&amp;creator=factset&amp;display_string=Audit"}</definedName>
    <definedName name="_1500__FDSAUDITLINK__" hidden="1">{"fdsup://Directions/FactSet Auditing Viewer?action=AUDIT_VALUE&amp;DB=129&amp;ID1=42786610&amp;VALUEID=01001&amp;SDATE=200902&amp;PERIODTYPE=QTR_STD&amp;window=popup_no_bar&amp;width=385&amp;height=120&amp;START_MAXIMIZED=FALSE&amp;creator=factset&amp;display_string=Audit"}</definedName>
    <definedName name="_1501__FDSAUDITLINK__" localSheetId="1" hidden="1">{"fdsup://Directions/FactSet Auditing Viewer?action=AUDIT_VALUE&amp;DB=129&amp;ID1=42786610&amp;VALUEID=01001&amp;SDATE=201002&amp;PERIODTYPE=QTR_STD&amp;window=popup_no_bar&amp;width=385&amp;height=120&amp;START_MAXIMIZED=FALSE&amp;creator=factset&amp;display_string=Audit"}</definedName>
    <definedName name="_1501__FDSAUDITLINK__" hidden="1">{"fdsup://Directions/FactSet Auditing Viewer?action=AUDIT_VALUE&amp;DB=129&amp;ID1=42786610&amp;VALUEID=01001&amp;SDATE=201002&amp;PERIODTYPE=QTR_STD&amp;window=popup_no_bar&amp;width=385&amp;height=120&amp;START_MAXIMIZED=FALSE&amp;creator=factset&amp;display_string=Audit"}</definedName>
    <definedName name="_1502__FDSAUDITLINK__" localSheetId="1" hidden="1">{"fdsup://Directions/FactSet Auditing Viewer?action=AUDIT_VALUE&amp;DB=129&amp;ID1=44107P10&amp;VALUEID=01001&amp;SDATE=200902&amp;PERIODTYPE=QTR_STD&amp;window=popup_no_bar&amp;width=385&amp;height=120&amp;START_MAXIMIZED=FALSE&amp;creator=factset&amp;display_string=Audit"}</definedName>
    <definedName name="_1502__FDSAUDITLINK__" hidden="1">{"fdsup://Directions/FactSet Auditing Viewer?action=AUDIT_VALUE&amp;DB=129&amp;ID1=44107P10&amp;VALUEID=01001&amp;SDATE=200902&amp;PERIODTYPE=QTR_STD&amp;window=popup_no_bar&amp;width=385&amp;height=120&amp;START_MAXIMIZED=FALSE&amp;creator=factset&amp;display_string=Audit"}</definedName>
    <definedName name="_1503__FDSAUDITLINK__" localSheetId="1" hidden="1">{"fdsup://Directions/FactSet Auditing Viewer?action=AUDIT_VALUE&amp;DB=129&amp;ID1=44107P10&amp;VALUEID=01001&amp;SDATE=201002&amp;PERIODTYPE=QTR_STD&amp;window=popup_no_bar&amp;width=385&amp;height=120&amp;START_MAXIMIZED=FALSE&amp;creator=factset&amp;display_string=Audit"}</definedName>
    <definedName name="_1503__FDSAUDITLINK__" hidden="1">{"fdsup://Directions/FactSet Auditing Viewer?action=AUDIT_VALUE&amp;DB=129&amp;ID1=44107P10&amp;VALUEID=01001&amp;SDATE=201002&amp;PERIODTYPE=QTR_STD&amp;window=popup_no_bar&amp;width=385&amp;height=120&amp;START_MAXIMIZED=FALSE&amp;creator=factset&amp;display_string=Audit"}</definedName>
    <definedName name="_1504__FDSAUDITLINK__" localSheetId="1" hidden="1">{"fdsup://Directions/FactSet Auditing Viewer?action=AUDIT_VALUE&amp;DB=129&amp;ID1=44106010&amp;VALUEID=01001&amp;SDATE=200902&amp;PERIODTYPE=QTR_STD&amp;window=popup_no_bar&amp;width=385&amp;height=120&amp;START_MAXIMIZED=FALSE&amp;creator=factset&amp;display_string=Audit"}</definedName>
    <definedName name="_1504__FDSAUDITLINK__" hidden="1">{"fdsup://Directions/FactSet Auditing Viewer?action=AUDIT_VALUE&amp;DB=129&amp;ID1=44106010&amp;VALUEID=01001&amp;SDATE=200902&amp;PERIODTYPE=QTR_STD&amp;window=popup_no_bar&amp;width=385&amp;height=120&amp;START_MAXIMIZED=FALSE&amp;creator=factset&amp;display_string=Audit"}</definedName>
    <definedName name="_1505__FDSAUDITLINK__" localSheetId="1" hidden="1">{"fdsup://Directions/FactSet Auditing Viewer?action=AUDIT_VALUE&amp;DB=129&amp;ID1=44106010&amp;VALUEID=01001&amp;SDATE=201002&amp;PERIODTYPE=QTR_STD&amp;window=popup_no_bar&amp;width=385&amp;height=120&amp;START_MAXIMIZED=FALSE&amp;creator=factset&amp;display_string=Audit"}</definedName>
    <definedName name="_1505__FDSAUDITLINK__" hidden="1">{"fdsup://Directions/FactSet Auditing Viewer?action=AUDIT_VALUE&amp;DB=129&amp;ID1=44106010&amp;VALUEID=01001&amp;SDATE=201002&amp;PERIODTYPE=QTR_STD&amp;window=popup_no_bar&amp;width=385&amp;height=120&amp;START_MAXIMIZED=FALSE&amp;creator=factset&amp;display_string=Audit"}</definedName>
    <definedName name="_1506__FDSAUDITLINK__" localSheetId="1" hidden="1">{"fdsup://Directions/FactSet Auditing Viewer?action=AUDIT_VALUE&amp;DB=129&amp;ID1=41387510&amp;VALUEID=01001&amp;SDATE=201004&amp;PERIODTYPE=QTR_STD&amp;window=popup_no_bar&amp;width=385&amp;height=120&amp;START_MAXIMIZED=FALSE&amp;creator=factset&amp;display_string=Audit"}</definedName>
    <definedName name="_1506__FDSAUDITLINK__" hidden="1">{"fdsup://Directions/FactSet Auditing Viewer?action=AUDIT_VALUE&amp;DB=129&amp;ID1=41387510&amp;VALUEID=01001&amp;SDATE=201004&amp;PERIODTYPE=QTR_STD&amp;window=popup_no_bar&amp;width=385&amp;height=120&amp;START_MAXIMIZED=FALSE&amp;creator=factset&amp;display_string=Audit"}</definedName>
    <definedName name="_1507__FDSAUDITLINK__" localSheetId="1" hidden="1">{"fdsup://Directions/FactSet Auditing Viewer?action=AUDIT_VALUE&amp;DB=129&amp;ID1=44045210&amp;VALUEID=01001&amp;SDATE=200902&amp;PERIODTYPE=QTR_STD&amp;window=popup_no_bar&amp;width=385&amp;height=120&amp;START_MAXIMIZED=FALSE&amp;creator=factset&amp;display_string=Audit"}</definedName>
    <definedName name="_1507__FDSAUDITLINK__" hidden="1">{"fdsup://Directions/FactSet Auditing Viewer?action=AUDIT_VALUE&amp;DB=129&amp;ID1=44045210&amp;VALUEID=01001&amp;SDATE=200902&amp;PERIODTYPE=QTR_STD&amp;window=popup_no_bar&amp;width=385&amp;height=120&amp;START_MAXIMIZED=FALSE&amp;creator=factset&amp;display_string=Audit"}</definedName>
    <definedName name="_1508__FDSAUDITLINK__" localSheetId="1" hidden="1">{"fdsup://Directions/FactSet Auditing Viewer?action=AUDIT_VALUE&amp;DB=129&amp;ID1=44045210&amp;VALUEID=01001&amp;SDATE=201002&amp;PERIODTYPE=QTR_STD&amp;window=popup_no_bar&amp;width=385&amp;height=120&amp;START_MAXIMIZED=FALSE&amp;creator=factset&amp;display_string=Audit"}</definedName>
    <definedName name="_1508__FDSAUDITLINK__" hidden="1">{"fdsup://Directions/FactSet Auditing Viewer?action=AUDIT_VALUE&amp;DB=129&amp;ID1=44045210&amp;VALUEID=01001&amp;SDATE=201002&amp;PERIODTYPE=QTR_STD&amp;window=popup_no_bar&amp;width=385&amp;height=120&amp;START_MAXIMIZED=FALSE&amp;creator=factset&amp;display_string=Audit"}</definedName>
    <definedName name="_1509__FDSAUDITLINK__" localSheetId="1" hidden="1">{"fdsup://Directions/FactSet Auditing Viewer?action=AUDIT_VALUE&amp;DB=129&amp;ID1=09367110&amp;VALUEID=01001&amp;SDATE=200904&amp;PERIODTYPE=QTR_STD&amp;window=popup_no_bar&amp;width=385&amp;height=120&amp;START_MAXIMIZED=FALSE&amp;creator=factset&amp;display_string=Audit"}</definedName>
    <definedName name="_1509__FDSAUDITLINK__" hidden="1">{"fdsup://Directions/FactSet Auditing Viewer?action=AUDIT_VALUE&amp;DB=129&amp;ID1=09367110&amp;VALUEID=01001&amp;SDATE=200904&amp;PERIODTYPE=QTR_STD&amp;window=popup_no_bar&amp;width=385&amp;height=120&amp;START_MAXIMIZED=FALSE&amp;creator=factset&amp;display_string=Audit"}</definedName>
    <definedName name="_151__FDSAUDITLINK__" localSheetId="1" hidden="1">{"fdsup://directions/FAT Viewer?action=UPDATE&amp;creator=factset&amp;DYN_ARGS=TRUE&amp;DOC_NAME=FAT:FQL_AUDITING_CLIENT_TEMPLATE.FAT&amp;display_string=Audit&amp;VAR:KEY=DWLALAPQPA&amp;VAR:QUERY=RkZfRUJJVERBX09QRVIoUVRSLDQvMS8yMDA5LDYvMzAvMjAwOSwsLFVTRCk=&amp;WINDOW=FIRST_POPUP&amp;HEIGH","T=450&amp;WIDTH=450&amp;START_MAXIMIZED=FALSE&amp;VAR:CALENDAR=US&amp;VAR:SYMBOL=SWN&amp;VAR:INDEX=0"}</definedName>
    <definedName name="_151__FDSAUDITLINK__" hidden="1">{"fdsup://directions/FAT Viewer?action=UPDATE&amp;creator=factset&amp;DYN_ARGS=TRUE&amp;DOC_NAME=FAT:FQL_AUDITING_CLIENT_TEMPLATE.FAT&amp;display_string=Audit&amp;VAR:KEY=DWLALAPQPA&amp;VAR:QUERY=RkZfRUJJVERBX09QRVIoUVRSLDQvMS8yMDA5LDYvMzAvMjAwOSwsLFVTRCk=&amp;WINDOW=FIRST_POPUP&amp;HEIGH","T=450&amp;WIDTH=450&amp;START_MAXIMIZED=FALSE&amp;VAR:CALENDAR=US&amp;VAR:SYMBOL=SWN&amp;VAR:INDEX=0"}</definedName>
    <definedName name="_1510__FDSAUDITLINK__" localSheetId="1" hidden="1">{"fdsup://Directions/FactSet Auditing Viewer?action=AUDIT_VALUE&amp;DB=129&amp;ID1=42823610&amp;VALUEID=01001&amp;SDATE=200902&amp;PERIODTYPE=QTR_STD&amp;window=popup_no_bar&amp;width=385&amp;height=120&amp;START_MAXIMIZED=FALSE&amp;creator=factset&amp;display_string=Audit"}</definedName>
    <definedName name="_1510__FDSAUDITLINK__" hidden="1">{"fdsup://Directions/FactSet Auditing Viewer?action=AUDIT_VALUE&amp;DB=129&amp;ID1=42823610&amp;VALUEID=01001&amp;SDATE=200902&amp;PERIODTYPE=QTR_STD&amp;window=popup_no_bar&amp;width=385&amp;height=120&amp;START_MAXIMIZED=FALSE&amp;creator=factset&amp;display_string=Audit"}</definedName>
    <definedName name="_1511__FDSAUDITLINK__" localSheetId="1" hidden="1">{"fdsup://Directions/FactSet Auditing Viewer?action=AUDIT_VALUE&amp;DB=129&amp;ID1=42823610&amp;VALUEID=01001&amp;SDATE=201002&amp;PERIODTYPE=QTR_STD&amp;window=popup_no_bar&amp;width=385&amp;height=120&amp;START_MAXIMIZED=FALSE&amp;creator=factset&amp;display_string=Audit"}</definedName>
    <definedName name="_1511__FDSAUDITLINK__" hidden="1">{"fdsup://Directions/FactSet Auditing Viewer?action=AUDIT_VALUE&amp;DB=129&amp;ID1=42823610&amp;VALUEID=01001&amp;SDATE=201002&amp;PERIODTYPE=QTR_STD&amp;window=popup_no_bar&amp;width=385&amp;height=120&amp;START_MAXIMIZED=FALSE&amp;creator=factset&amp;display_string=Audit"}</definedName>
    <definedName name="_1512__FDSAUDITLINK__" localSheetId="1" hidden="1">{"fdsup://Directions/FactSet Auditing Viewer?action=AUDIT_VALUE&amp;DB=129&amp;ID1=42345210&amp;VALUEID=01001&amp;SDATE=200903&amp;PERIODTYPE=QTR_STD&amp;window=popup_no_bar&amp;width=385&amp;height=120&amp;START_MAXIMIZED=FALSE&amp;creator=factset&amp;display_string=Audit"}</definedName>
    <definedName name="_1512__FDSAUDITLINK__" hidden="1">{"fdsup://Directions/FactSet Auditing Viewer?action=AUDIT_VALUE&amp;DB=129&amp;ID1=42345210&amp;VALUEID=01001&amp;SDATE=200903&amp;PERIODTYPE=QTR_STD&amp;window=popup_no_bar&amp;width=385&amp;height=120&amp;START_MAXIMIZED=FALSE&amp;creator=factset&amp;display_string=Audit"}</definedName>
    <definedName name="_1513__FDSAUDITLINK__" localSheetId="1" hidden="1">{"fdsup://Directions/FactSet Auditing Viewer?action=AUDIT_VALUE&amp;DB=129&amp;ID1=42345210&amp;VALUEID=01001&amp;SDATE=201003&amp;PERIODTYPE=QTR_STD&amp;window=popup_no_bar&amp;width=385&amp;height=120&amp;START_MAXIMIZED=FALSE&amp;creator=factset&amp;display_string=Audit"}</definedName>
    <definedName name="_1513__FDSAUDITLINK__" hidden="1">{"fdsup://Directions/FactSet Auditing Viewer?action=AUDIT_VALUE&amp;DB=129&amp;ID1=42345210&amp;VALUEID=01001&amp;SDATE=201003&amp;PERIODTYPE=QTR_STD&amp;window=popup_no_bar&amp;width=385&amp;height=120&amp;START_MAXIMIZED=FALSE&amp;creator=factset&amp;display_string=Audit"}</definedName>
    <definedName name="_1514__FDSAUDITLINK__" localSheetId="1" hidden="1">{"fdsup://Directions/FactSet Auditing Viewer?action=AUDIT_VALUE&amp;DB=129&amp;ID1=85590A40&amp;VALUEID=01001&amp;SDATE=200902&amp;PERIODTYPE=QTR_STD&amp;window=popup_no_bar&amp;width=385&amp;height=120&amp;START_MAXIMIZED=FALSE&amp;creator=factset&amp;display_string=Audit"}</definedName>
    <definedName name="_1514__FDSAUDITLINK__" hidden="1">{"fdsup://Directions/FactSet Auditing Viewer?action=AUDIT_VALUE&amp;DB=129&amp;ID1=85590A40&amp;VALUEID=01001&amp;SDATE=200902&amp;PERIODTYPE=QTR_STD&amp;window=popup_no_bar&amp;width=385&amp;height=120&amp;START_MAXIMIZED=FALSE&amp;creator=factset&amp;display_string=Audit"}</definedName>
    <definedName name="_1515__FDSAUDITLINK__" localSheetId="1" hidden="1">{"fdsup://Directions/FactSet Auditing Viewer?action=AUDIT_VALUE&amp;DB=129&amp;ID1=85590A40&amp;VALUEID=01001&amp;SDATE=201002&amp;PERIODTYPE=QTR_STD&amp;window=popup_no_bar&amp;width=385&amp;height=120&amp;START_MAXIMIZED=FALSE&amp;creator=factset&amp;display_string=Audit"}</definedName>
    <definedName name="_1515__FDSAUDITLINK__" hidden="1">{"fdsup://Directions/FactSet Auditing Viewer?action=AUDIT_VALUE&amp;DB=129&amp;ID1=85590A40&amp;VALUEID=01001&amp;SDATE=201002&amp;PERIODTYPE=QTR_STD&amp;window=popup_no_bar&amp;width=385&amp;height=120&amp;START_MAXIMIZED=FALSE&amp;creator=factset&amp;display_string=Audit"}</definedName>
    <definedName name="_1516__FDSAUDITLINK__" localSheetId="1" hidden="1">{"fdsup://Directions/FactSet Auditing Viewer?action=AUDIT_VALUE&amp;DB=129&amp;ID1=43851610&amp;VALUEID=01001&amp;SDATE=200902&amp;PERIODTYPE=QTR_STD&amp;window=popup_no_bar&amp;width=385&amp;height=120&amp;START_MAXIMIZED=FALSE&amp;creator=factset&amp;display_string=Audit"}</definedName>
    <definedName name="_1516__FDSAUDITLINK__" hidden="1">{"fdsup://Directions/FactSet Auditing Viewer?action=AUDIT_VALUE&amp;DB=129&amp;ID1=43851610&amp;VALUEID=01001&amp;SDATE=200902&amp;PERIODTYPE=QTR_STD&amp;window=popup_no_bar&amp;width=385&amp;height=120&amp;START_MAXIMIZED=FALSE&amp;creator=factset&amp;display_string=Audit"}</definedName>
    <definedName name="_1517__FDSAUDITLINK__" localSheetId="1" hidden="1">{"fdsup://Directions/FactSet Auditing Viewer?action=AUDIT_VALUE&amp;DB=129&amp;ID1=43851610&amp;VALUEID=01001&amp;SDATE=201002&amp;PERIODTYPE=QTR_STD&amp;window=popup_no_bar&amp;width=385&amp;height=120&amp;START_MAXIMIZED=FALSE&amp;creator=factset&amp;display_string=Audit"}</definedName>
    <definedName name="_1517__FDSAUDITLINK__" hidden="1">{"fdsup://Directions/FactSet Auditing Viewer?action=AUDIT_VALUE&amp;DB=129&amp;ID1=43851610&amp;VALUEID=01001&amp;SDATE=201002&amp;PERIODTYPE=QTR_STD&amp;window=popup_no_bar&amp;width=385&amp;height=120&amp;START_MAXIMIZED=FALSE&amp;creator=factset&amp;display_string=Audit"}</definedName>
    <definedName name="_1518__FDSAUDITLINK__" localSheetId="1" hidden="1">{"fdsup://Directions/FactSet Auditing Viewer?action=AUDIT_VALUE&amp;DB=129&amp;ID1=41282210&amp;VALUEID=01001&amp;SDATE=200902&amp;PERIODTYPE=QTR_STD&amp;window=popup_no_bar&amp;width=385&amp;height=120&amp;START_MAXIMIZED=FALSE&amp;creator=factset&amp;display_string=Audit"}</definedName>
    <definedName name="_1518__FDSAUDITLINK__" hidden="1">{"fdsup://Directions/FactSet Auditing Viewer?action=AUDIT_VALUE&amp;DB=129&amp;ID1=41282210&amp;VALUEID=01001&amp;SDATE=200902&amp;PERIODTYPE=QTR_STD&amp;window=popup_no_bar&amp;width=385&amp;height=120&amp;START_MAXIMIZED=FALSE&amp;creator=factset&amp;display_string=Audit"}</definedName>
    <definedName name="_1519__FDSAUDITLINK__" localSheetId="1" hidden="1">{"fdsup://Directions/FactSet Auditing Viewer?action=AUDIT_VALUE&amp;DB=129&amp;ID1=41282210&amp;VALUEID=01001&amp;SDATE=201002&amp;PERIODTYPE=QTR_STD&amp;window=popup_no_bar&amp;width=385&amp;height=120&amp;START_MAXIMIZED=FALSE&amp;creator=factset&amp;display_string=Audit"}</definedName>
    <definedName name="_1519__FDSAUDITLINK__" hidden="1">{"fdsup://Directions/FactSet Auditing Viewer?action=AUDIT_VALUE&amp;DB=129&amp;ID1=41282210&amp;VALUEID=01001&amp;SDATE=201002&amp;PERIODTYPE=QTR_STD&amp;window=popup_no_bar&amp;width=385&amp;height=120&amp;START_MAXIMIZED=FALSE&amp;creator=factset&amp;display_string=Audit"}</definedName>
    <definedName name="_152__FDSAUDITLINK__" localSheetId="1" hidden="1">{"fdsup://directions/FAT Viewer?action=UPDATE&amp;creator=factset&amp;DYN_ARGS=TRUE&amp;DOC_NAME=FAT:FQL_AUDITING_CLIENT_TEMPLATE.FAT&amp;display_string=Audit&amp;VAR:KEY=TSLMFSVQVS&amp;VAR:QUERY=RkZfRUJJVERBX09QRVIoUVRSLDQvMS8yMDEwLDYvMzAvMjAxMCwsLFVTRCk=&amp;WINDOW=FIRST_POPUP&amp;HEIGH","T=450&amp;WIDTH=450&amp;START_MAXIMIZED=FALSE&amp;VAR:CALENDAR=US&amp;VAR:SYMBOL=SWN&amp;VAR:INDEX=0"}</definedName>
    <definedName name="_152__FDSAUDITLINK__" hidden="1">{"fdsup://directions/FAT Viewer?action=UPDATE&amp;creator=factset&amp;DYN_ARGS=TRUE&amp;DOC_NAME=FAT:FQL_AUDITING_CLIENT_TEMPLATE.FAT&amp;display_string=Audit&amp;VAR:KEY=TSLMFSVQVS&amp;VAR:QUERY=RkZfRUJJVERBX09QRVIoUVRSLDQvMS8yMDEwLDYvMzAvMjAxMCwsLFVTRCk=&amp;WINDOW=FIRST_POPUP&amp;HEIGH","T=450&amp;WIDTH=450&amp;START_MAXIMIZED=FALSE&amp;VAR:CALENDAR=US&amp;VAR:SYMBOL=SWN&amp;VAR:INDEX=0"}</definedName>
    <definedName name="_1520__FDSAUDITLINK__" localSheetId="1" hidden="1">{"fdsup://Directions/FactSet Auditing Viewer?action=AUDIT_VALUE&amp;DB=129&amp;ID1=42307410&amp;VALUEID=01001&amp;SDATE=200804&amp;PERIODTYPE=QTR_STD&amp;window=popup_no_bar&amp;width=385&amp;height=120&amp;START_MAXIMIZED=FALSE&amp;creator=factset&amp;display_string=Audit"}</definedName>
    <definedName name="_1520__FDSAUDITLINK__" hidden="1">{"fdsup://Directions/FactSet Auditing Viewer?action=AUDIT_VALUE&amp;DB=129&amp;ID1=42307410&amp;VALUEID=01001&amp;SDATE=200804&amp;PERIODTYPE=QTR_STD&amp;window=popup_no_bar&amp;width=385&amp;height=120&amp;START_MAXIMIZED=FALSE&amp;creator=factset&amp;display_string=Audit"}</definedName>
    <definedName name="_1521__FDSAUDITLINK__" localSheetId="1" hidden="1">{"fdsup://Directions/FactSet Auditing Viewer?action=AUDIT_VALUE&amp;DB=129&amp;ID1=42307410&amp;VALUEID=01001&amp;SDATE=200904&amp;PERIODTYPE=QTR_STD&amp;window=popup_no_bar&amp;width=385&amp;height=120&amp;START_MAXIMIZED=FALSE&amp;creator=factset&amp;display_string=Audit"}</definedName>
    <definedName name="_1521__FDSAUDITLINK__" hidden="1">{"fdsup://Directions/FactSet Auditing Viewer?action=AUDIT_VALUE&amp;DB=129&amp;ID1=42307410&amp;VALUEID=01001&amp;SDATE=200904&amp;PERIODTYPE=QTR_STD&amp;window=popup_no_bar&amp;width=385&amp;height=120&amp;START_MAXIMIZED=FALSE&amp;creator=factset&amp;display_string=Audit"}</definedName>
    <definedName name="_1522__FDSAUDITLINK__" localSheetId="1" hidden="1">{"fdsup://Directions/FactSet Auditing Viewer?action=AUDIT_VALUE&amp;DB=129&amp;ID1=41651510&amp;VALUEID=01001&amp;SDATE=200902&amp;PERIODTYPE=QTR_STD&amp;window=popup_no_bar&amp;width=385&amp;height=120&amp;START_MAXIMIZED=FALSE&amp;creator=factset&amp;display_string=Audit"}</definedName>
    <definedName name="_1522__FDSAUDITLINK__" hidden="1">{"fdsup://Directions/FactSet Auditing Viewer?action=AUDIT_VALUE&amp;DB=129&amp;ID1=41651510&amp;VALUEID=01001&amp;SDATE=200902&amp;PERIODTYPE=QTR_STD&amp;window=popup_no_bar&amp;width=385&amp;height=120&amp;START_MAXIMIZED=FALSE&amp;creator=factset&amp;display_string=Audit"}</definedName>
    <definedName name="_1523__FDSAUDITLINK__" localSheetId="1" hidden="1">{"fdsup://Directions/FactSet Auditing Viewer?action=AUDIT_VALUE&amp;DB=129&amp;ID1=41651510&amp;VALUEID=01001&amp;SDATE=201002&amp;PERIODTYPE=QTR_STD&amp;window=popup_no_bar&amp;width=385&amp;height=120&amp;START_MAXIMIZED=FALSE&amp;creator=factset&amp;display_string=Audit"}</definedName>
    <definedName name="_1523__FDSAUDITLINK__" hidden="1">{"fdsup://Directions/FactSet Auditing Viewer?action=AUDIT_VALUE&amp;DB=129&amp;ID1=41651510&amp;VALUEID=01001&amp;SDATE=201002&amp;PERIODTYPE=QTR_STD&amp;window=popup_no_bar&amp;width=385&amp;height=120&amp;START_MAXIMIZED=FALSE&amp;creator=factset&amp;display_string=Audit"}</definedName>
    <definedName name="_1524__FDSAUDITLINK__" localSheetId="1" hidden="1">{"fdsup://Directions/FactSet Auditing Viewer?action=AUDIT_VALUE&amp;DB=129&amp;ID1=42809H10&amp;VALUEID=01001&amp;SDATE=200902&amp;PERIODTYPE=QTR_STD&amp;window=popup_no_bar&amp;width=385&amp;height=120&amp;START_MAXIMIZED=FALSE&amp;creator=factset&amp;display_string=Audit"}</definedName>
    <definedName name="_1524__FDSAUDITLINK__" hidden="1">{"fdsup://Directions/FactSet Auditing Viewer?action=AUDIT_VALUE&amp;DB=129&amp;ID1=42809H10&amp;VALUEID=01001&amp;SDATE=200902&amp;PERIODTYPE=QTR_STD&amp;window=popup_no_bar&amp;width=385&amp;height=120&amp;START_MAXIMIZED=FALSE&amp;creator=factset&amp;display_string=Audit"}</definedName>
    <definedName name="_1525__FDSAUDITLINK__" localSheetId="1" hidden="1">{"fdsup://Directions/FactSet Auditing Viewer?action=AUDIT_VALUE&amp;DB=129&amp;ID1=42809H10&amp;VALUEID=01001&amp;SDATE=201002&amp;PERIODTYPE=QTR_STD&amp;window=popup_no_bar&amp;width=385&amp;height=120&amp;START_MAXIMIZED=FALSE&amp;creator=factset&amp;display_string=Audit"}</definedName>
    <definedName name="_1525__FDSAUDITLINK__" hidden="1">{"fdsup://Directions/FactSet Auditing Viewer?action=AUDIT_VALUE&amp;DB=129&amp;ID1=42809H10&amp;VALUEID=01001&amp;SDATE=201002&amp;PERIODTYPE=QTR_STD&amp;window=popup_no_bar&amp;width=385&amp;height=120&amp;START_MAXIMIZED=FALSE&amp;creator=factset&amp;display_string=Audit"}</definedName>
    <definedName name="_1526__FDSAUDITLINK__" localSheetId="1" hidden="1">{"fdsup://Directions/FactSet Auditing Viewer?action=AUDIT_VALUE&amp;DB=129&amp;ID1=43707610&amp;VALUEID=01001&amp;SDATE=200901&amp;PERIODTYPE=QTR_STD&amp;window=popup_no_bar&amp;width=385&amp;height=120&amp;START_MAXIMIZED=FALSE&amp;creator=factset&amp;display_string=Audit"}</definedName>
    <definedName name="_1526__FDSAUDITLINK__" hidden="1">{"fdsup://Directions/FactSet Auditing Viewer?action=AUDIT_VALUE&amp;DB=129&amp;ID1=43707610&amp;VALUEID=01001&amp;SDATE=200901&amp;PERIODTYPE=QTR_STD&amp;window=popup_no_bar&amp;width=385&amp;height=120&amp;START_MAXIMIZED=FALSE&amp;creator=factset&amp;display_string=Audit"}</definedName>
    <definedName name="_1527__FDSAUDITLINK__" localSheetId="1" hidden="1">{"fdsup://Directions/FactSet Auditing Viewer?action=AUDIT_VALUE&amp;DB=129&amp;ID1=43707610&amp;VALUEID=01001&amp;SDATE=201001&amp;PERIODTYPE=QTR_STD&amp;window=popup_no_bar&amp;width=385&amp;height=120&amp;START_MAXIMIZED=FALSE&amp;creator=factset&amp;display_string=Audit"}</definedName>
    <definedName name="_1527__FDSAUDITLINK__" hidden="1">{"fdsup://Directions/FactSet Auditing Viewer?action=AUDIT_VALUE&amp;DB=129&amp;ID1=43707610&amp;VALUEID=01001&amp;SDATE=201001&amp;PERIODTYPE=QTR_STD&amp;window=popup_no_bar&amp;width=385&amp;height=120&amp;START_MAXIMIZED=FALSE&amp;creator=factset&amp;display_string=Audit"}</definedName>
    <definedName name="_1528__FDSAUDITLINK__" localSheetId="1" hidden="1">{"fdsup://Directions/FactSet Auditing Viewer?action=AUDIT_VALUE&amp;DB=129&amp;ID1=40414L10&amp;VALUEID=01001&amp;SDATE=200902&amp;PERIODTYPE=QTR_STD&amp;window=popup_no_bar&amp;width=385&amp;height=120&amp;START_MAXIMIZED=FALSE&amp;creator=factset&amp;display_string=Audit"}</definedName>
    <definedName name="_1528__FDSAUDITLINK__" hidden="1">{"fdsup://Directions/FactSet Auditing Viewer?action=AUDIT_VALUE&amp;DB=129&amp;ID1=40414L10&amp;VALUEID=01001&amp;SDATE=200902&amp;PERIODTYPE=QTR_STD&amp;window=popup_no_bar&amp;width=385&amp;height=120&amp;START_MAXIMIZED=FALSE&amp;creator=factset&amp;display_string=Audit"}</definedName>
    <definedName name="_1529__FDSAUDITLINK__" localSheetId="1" hidden="1">{"fdsup://Directions/FactSet Auditing Viewer?action=AUDIT_VALUE&amp;DB=129&amp;ID1=40414L10&amp;VALUEID=01001&amp;SDATE=201002&amp;PERIODTYPE=QTR_STD&amp;window=popup_no_bar&amp;width=385&amp;height=120&amp;START_MAXIMIZED=FALSE&amp;creator=factset&amp;display_string=Audit"}</definedName>
    <definedName name="_1529__FDSAUDITLINK__" hidden="1">{"fdsup://Directions/FactSet Auditing Viewer?action=AUDIT_VALUE&amp;DB=129&amp;ID1=40414L10&amp;VALUEID=01001&amp;SDATE=201002&amp;PERIODTYPE=QTR_STD&amp;window=popup_no_bar&amp;width=385&amp;height=120&amp;START_MAXIMIZED=FALSE&amp;creator=factset&amp;display_string=Audit"}</definedName>
    <definedName name="_153__FDSAUDITLINK__" localSheetId="1" hidden="1">{"fdsup://directions/FAT Viewer?action=UPDATE&amp;creator=factset&amp;DYN_ARGS=TRUE&amp;DOC_NAME=FAT:FQL_AUDITING_CLIENT_TEMPLATE.FAT&amp;display_string=Audit&amp;VAR:KEY=NGVGDYJORE&amp;VAR:QUERY=RkZfRUJJVERBX09QRVIoUVRSLDQvMS8yMDA5LDYvMzAvMjAwOSwsLFVTRCk=&amp;WINDOW=FIRST_POPUP&amp;HEIGH","T=450&amp;WIDTH=450&amp;START_MAXIMIZED=FALSE&amp;VAR:CALENDAR=US&amp;VAR:SYMBOL=SWK&amp;VAR:INDEX=0"}</definedName>
    <definedName name="_153__FDSAUDITLINK__" hidden="1">{"fdsup://directions/FAT Viewer?action=UPDATE&amp;creator=factset&amp;DYN_ARGS=TRUE&amp;DOC_NAME=FAT:FQL_AUDITING_CLIENT_TEMPLATE.FAT&amp;display_string=Audit&amp;VAR:KEY=NGVGDYJORE&amp;VAR:QUERY=RkZfRUJJVERBX09QRVIoUVRSLDQvMS8yMDA5LDYvMzAvMjAwOSwsLFVTRCk=&amp;WINDOW=FIRST_POPUP&amp;HEIGH","T=450&amp;WIDTH=450&amp;START_MAXIMIZED=FALSE&amp;VAR:CALENDAR=US&amp;VAR:SYMBOL=SWK&amp;VAR:INDEX=0"}</definedName>
    <definedName name="_1530__FDSAUDITLINK__" localSheetId="1" hidden="1">{"fdsup://Directions/FactSet Auditing Viewer?action=AUDIT_VALUE&amp;DB=129&amp;ID1=42217K10&amp;VALUEID=01001&amp;SDATE=200902&amp;PERIODTYPE=QTR_STD&amp;window=popup_no_bar&amp;width=385&amp;height=120&amp;START_MAXIMIZED=FALSE&amp;creator=factset&amp;display_string=Audit"}</definedName>
    <definedName name="_1530__FDSAUDITLINK__" hidden="1">{"fdsup://Directions/FactSet Auditing Viewer?action=AUDIT_VALUE&amp;DB=129&amp;ID1=42217K10&amp;VALUEID=01001&amp;SDATE=200902&amp;PERIODTYPE=QTR_STD&amp;window=popup_no_bar&amp;width=385&amp;height=120&amp;START_MAXIMIZED=FALSE&amp;creator=factset&amp;display_string=Audit"}</definedName>
    <definedName name="_1531__FDSAUDITLINK__" localSheetId="1" hidden="1">{"fdsup://Directions/FactSet Auditing Viewer?action=AUDIT_VALUE&amp;DB=129&amp;ID1=42217K10&amp;VALUEID=01001&amp;SDATE=201002&amp;PERIODTYPE=QTR_STD&amp;window=popup_no_bar&amp;width=385&amp;height=120&amp;START_MAXIMIZED=FALSE&amp;creator=factset&amp;display_string=Audit"}</definedName>
    <definedName name="_1531__FDSAUDITLINK__" hidden="1">{"fdsup://Directions/FactSet Auditing Viewer?action=AUDIT_VALUE&amp;DB=129&amp;ID1=42217K10&amp;VALUEID=01001&amp;SDATE=201002&amp;PERIODTYPE=QTR_STD&amp;window=popup_no_bar&amp;width=385&amp;height=120&amp;START_MAXIMIZED=FALSE&amp;creator=factset&amp;display_string=Audit"}</definedName>
    <definedName name="_1532__FDSAUDITLINK__" localSheetId="1" hidden="1">{"fdsup://Directions/FactSet Auditing Viewer?action=AUDIT_VALUE&amp;DB=129&amp;ID1=41805610&amp;VALUEID=01001&amp;SDATE=200902&amp;PERIODTYPE=QTR_STD&amp;window=popup_no_bar&amp;width=385&amp;height=120&amp;START_MAXIMIZED=FALSE&amp;creator=factset&amp;display_string=Audit"}</definedName>
    <definedName name="_1532__FDSAUDITLINK__" hidden="1">{"fdsup://Directions/FactSet Auditing Viewer?action=AUDIT_VALUE&amp;DB=129&amp;ID1=41805610&amp;VALUEID=01001&amp;SDATE=200902&amp;PERIODTYPE=QTR_STD&amp;window=popup_no_bar&amp;width=385&amp;height=120&amp;START_MAXIMIZED=FALSE&amp;creator=factset&amp;display_string=Audit"}</definedName>
    <definedName name="_1533__FDSAUDITLINK__" localSheetId="1" hidden="1">{"fdsup://Directions/FactSet Auditing Viewer?action=AUDIT_VALUE&amp;DB=129&amp;ID1=41805610&amp;VALUEID=01001&amp;SDATE=201002&amp;PERIODTYPE=QTR_STD&amp;window=popup_no_bar&amp;width=385&amp;height=120&amp;START_MAXIMIZED=FALSE&amp;creator=factset&amp;display_string=Audit"}</definedName>
    <definedName name="_1533__FDSAUDITLINK__" hidden="1">{"fdsup://Directions/FactSet Auditing Viewer?action=AUDIT_VALUE&amp;DB=129&amp;ID1=41805610&amp;VALUEID=01001&amp;SDATE=201002&amp;PERIODTYPE=QTR_STD&amp;window=popup_no_bar&amp;width=385&amp;height=120&amp;START_MAXIMIZED=FALSE&amp;creator=factset&amp;display_string=Audit"}</definedName>
    <definedName name="_1534__FDSAUDITLINK__" localSheetId="1" hidden="1">{"fdsup://Directions/FactSet Auditing Viewer?action=AUDIT_VALUE&amp;DB=129&amp;ID1=41308610&amp;VALUEID=01001&amp;SDATE=201004&amp;PERIODTYPE=QTR_STD&amp;window=popup_no_bar&amp;width=385&amp;height=120&amp;START_MAXIMIZED=FALSE&amp;creator=factset&amp;display_string=Audit"}</definedName>
    <definedName name="_1534__FDSAUDITLINK__" hidden="1">{"fdsup://Directions/FactSet Auditing Viewer?action=AUDIT_VALUE&amp;DB=129&amp;ID1=41308610&amp;VALUEID=01001&amp;SDATE=201004&amp;PERIODTYPE=QTR_STD&amp;window=popup_no_bar&amp;width=385&amp;height=120&amp;START_MAXIMIZED=FALSE&amp;creator=factset&amp;display_string=Audit"}</definedName>
    <definedName name="_1535__FDSAUDITLINK__" localSheetId="1" hidden="1">{"fdsup://Directions/FactSet Auditing Viewer?action=AUDIT_VALUE&amp;DB=129&amp;ID1=40621610&amp;VALUEID=01001&amp;SDATE=201002&amp;PERIODTYPE=QTR_STD&amp;window=popup_no_bar&amp;width=385&amp;height=120&amp;START_MAXIMIZED=FALSE&amp;creator=factset&amp;display_string=Audit"}</definedName>
    <definedName name="_1535__FDSAUDITLINK__" hidden="1">{"fdsup://Directions/FactSet Auditing Viewer?action=AUDIT_VALUE&amp;DB=129&amp;ID1=40621610&amp;VALUEID=01001&amp;SDATE=201002&amp;PERIODTYPE=QTR_STD&amp;window=popup_no_bar&amp;width=385&amp;height=120&amp;START_MAXIMIZED=FALSE&amp;creator=factset&amp;display_string=Audit"}</definedName>
    <definedName name="_1536__FDSAUDITLINK__" localSheetId="1" hidden="1">{"fdsup://Directions/FactSet Auditing Viewer?action=AUDIT_VALUE&amp;DB=129&amp;ID1=38480210&amp;VALUEID=01001&amp;SDATE=200902&amp;PERIODTYPE=QTR_STD&amp;window=popup_no_bar&amp;width=385&amp;height=120&amp;START_MAXIMIZED=FALSE&amp;creator=factset&amp;display_string=Audit"}</definedName>
    <definedName name="_1536__FDSAUDITLINK__" hidden="1">{"fdsup://Directions/FactSet Auditing Viewer?action=AUDIT_VALUE&amp;DB=129&amp;ID1=38480210&amp;VALUEID=01001&amp;SDATE=200902&amp;PERIODTYPE=QTR_STD&amp;window=popup_no_bar&amp;width=385&amp;height=120&amp;START_MAXIMIZED=FALSE&amp;creator=factset&amp;display_string=Audit"}</definedName>
    <definedName name="_1537__FDSAUDITLINK__" localSheetId="1" hidden="1">{"fdsup://Directions/FactSet Auditing Viewer?action=AUDIT_VALUE&amp;DB=129&amp;ID1=38480210&amp;VALUEID=01001&amp;SDATE=201002&amp;PERIODTYPE=QTR_STD&amp;window=popup_no_bar&amp;width=385&amp;height=120&amp;START_MAXIMIZED=FALSE&amp;creator=factset&amp;display_string=Audit"}</definedName>
    <definedName name="_1537__FDSAUDITLINK__" hidden="1">{"fdsup://Directions/FactSet Auditing Viewer?action=AUDIT_VALUE&amp;DB=129&amp;ID1=38480210&amp;VALUEID=01001&amp;SDATE=201002&amp;PERIODTYPE=QTR_STD&amp;window=popup_no_bar&amp;width=385&amp;height=120&amp;START_MAXIMIZED=FALSE&amp;creator=factset&amp;display_string=Audit"}</definedName>
    <definedName name="_1538__FDSAUDITLINK__" localSheetId="1" hidden="1">{"fdsup://Directions/FactSet Auditing Viewer?action=AUDIT_VALUE&amp;DB=129&amp;ID1=38255010&amp;VALUEID=01001&amp;SDATE=200902&amp;PERIODTYPE=QTR_STD&amp;window=popup_no_bar&amp;width=385&amp;height=120&amp;START_MAXIMIZED=FALSE&amp;creator=factset&amp;display_string=Audit"}</definedName>
    <definedName name="_1538__FDSAUDITLINK__" hidden="1">{"fdsup://Directions/FactSet Auditing Viewer?action=AUDIT_VALUE&amp;DB=129&amp;ID1=38255010&amp;VALUEID=01001&amp;SDATE=200902&amp;PERIODTYPE=QTR_STD&amp;window=popup_no_bar&amp;width=385&amp;height=120&amp;START_MAXIMIZED=FALSE&amp;creator=factset&amp;display_string=Audit"}</definedName>
    <definedName name="_1539__FDSAUDITLINK__" localSheetId="1" hidden="1">{"fdsup://Directions/FactSet Auditing Viewer?action=AUDIT_VALUE&amp;DB=129&amp;ID1=38255010&amp;VALUEID=01001&amp;SDATE=201002&amp;PERIODTYPE=QTR_STD&amp;window=popup_no_bar&amp;width=385&amp;height=120&amp;START_MAXIMIZED=FALSE&amp;creator=factset&amp;display_string=Audit"}</definedName>
    <definedName name="_1539__FDSAUDITLINK__" hidden="1">{"fdsup://Directions/FactSet Auditing Viewer?action=AUDIT_VALUE&amp;DB=129&amp;ID1=38255010&amp;VALUEID=01001&amp;SDATE=201002&amp;PERIODTYPE=QTR_STD&amp;window=popup_no_bar&amp;width=385&amp;height=120&amp;START_MAXIMIZED=FALSE&amp;creator=factset&amp;display_string=Audit"}</definedName>
    <definedName name="_154__FDSAUDITLINK__" localSheetId="1" hidden="1">{"fdsup://directions/FAT Viewer?action=UPDATE&amp;creator=factset&amp;DYN_ARGS=TRUE&amp;DOC_NAME=FAT:FQL_AUDITING_CLIENT_TEMPLATE.FAT&amp;display_string=Audit&amp;VAR:KEY=JYFSBIXSXC&amp;VAR:QUERY=RkZfRUJJVERBX09QRVIoUVRSLDQvMS8yMDEwLDYvMzAvMjAxMCwsLFVTRCk=&amp;WINDOW=FIRST_POPUP&amp;HEIGH","T=450&amp;WIDTH=450&amp;START_MAXIMIZED=FALSE&amp;VAR:CALENDAR=US&amp;VAR:SYMBOL=SWK&amp;VAR:INDEX=0"}</definedName>
    <definedName name="_154__FDSAUDITLINK__" hidden="1">{"fdsup://directions/FAT Viewer?action=UPDATE&amp;creator=factset&amp;DYN_ARGS=TRUE&amp;DOC_NAME=FAT:FQL_AUDITING_CLIENT_TEMPLATE.FAT&amp;display_string=Audit&amp;VAR:KEY=JYFSBIXSXC&amp;VAR:QUERY=RkZfRUJJVERBX09QRVIoUVRSLDQvMS8yMDEwLDYvMzAvMjAxMCwsLFVTRCk=&amp;WINDOW=FIRST_POPUP&amp;HEIGH","T=450&amp;WIDTH=450&amp;START_MAXIMIZED=FALSE&amp;VAR:CALENDAR=US&amp;VAR:SYMBOL=SWK&amp;VAR:INDEX=0"}</definedName>
    <definedName name="_1540__FDSAUDITLINK__" localSheetId="1" hidden="1">{"fdsup://Directions/FactSet Auditing Viewer?action=AUDIT_VALUE&amp;DB=129&amp;ID1=38141G10&amp;VALUEID=01001&amp;SDATE=200902&amp;PERIODTYPE=QTR_STD&amp;window=popup_no_bar&amp;width=385&amp;height=120&amp;START_MAXIMIZED=FALSE&amp;creator=factset&amp;display_string=Audit"}</definedName>
    <definedName name="_1540__FDSAUDITLINK__" hidden="1">{"fdsup://Directions/FactSet Auditing Viewer?action=AUDIT_VALUE&amp;DB=129&amp;ID1=38141G10&amp;VALUEID=01001&amp;SDATE=200902&amp;PERIODTYPE=QTR_STD&amp;window=popup_no_bar&amp;width=385&amp;height=120&amp;START_MAXIMIZED=FALSE&amp;creator=factset&amp;display_string=Audit"}</definedName>
    <definedName name="_1541__FDSAUDITLINK__" localSheetId="1" hidden="1">{"fdsup://Directions/FactSet Auditing Viewer?action=AUDIT_VALUE&amp;DB=129&amp;ID1=38141G10&amp;VALUEID=01001&amp;SDATE=201002&amp;PERIODTYPE=QTR_STD&amp;window=popup_no_bar&amp;width=385&amp;height=120&amp;START_MAXIMIZED=FALSE&amp;creator=factset&amp;display_string=Audit"}</definedName>
    <definedName name="_1541__FDSAUDITLINK__" hidden="1">{"fdsup://Directions/FactSet Auditing Viewer?action=AUDIT_VALUE&amp;DB=129&amp;ID1=38141G10&amp;VALUEID=01001&amp;SDATE=201002&amp;PERIODTYPE=QTR_STD&amp;window=popup_no_bar&amp;width=385&amp;height=120&amp;START_MAXIMIZED=FALSE&amp;creator=factset&amp;display_string=Audit"}</definedName>
    <definedName name="_1542__FDSAUDITLINK__" localSheetId="1" hidden="1">{"fdsup://Directions/FactSet Auditing Viewer?action=AUDIT_VALUE&amp;DB=129&amp;ID1=38238810&amp;VALUEID=01001&amp;SDATE=200902&amp;PERIODTYPE=QTR_STD&amp;window=popup_no_bar&amp;width=385&amp;height=120&amp;START_MAXIMIZED=FALSE&amp;creator=factset&amp;display_string=Audit"}</definedName>
    <definedName name="_1542__FDSAUDITLINK__" hidden="1">{"fdsup://Directions/FactSet Auditing Viewer?action=AUDIT_VALUE&amp;DB=129&amp;ID1=38238810&amp;VALUEID=01001&amp;SDATE=200902&amp;PERIODTYPE=QTR_STD&amp;window=popup_no_bar&amp;width=385&amp;height=120&amp;START_MAXIMIZED=FALSE&amp;creator=factset&amp;display_string=Audit"}</definedName>
    <definedName name="_1543__FDSAUDITLINK__" localSheetId="1" hidden="1">{"fdsup://Directions/FactSet Auditing Viewer?action=AUDIT_VALUE&amp;DB=129&amp;ID1=38238810&amp;VALUEID=01001&amp;SDATE=201002&amp;PERIODTYPE=QTR_STD&amp;window=popup_no_bar&amp;width=385&amp;height=120&amp;START_MAXIMIZED=FALSE&amp;creator=factset&amp;display_string=Audit"}</definedName>
    <definedName name="_1543__FDSAUDITLINK__" hidden="1">{"fdsup://Directions/FactSet Auditing Viewer?action=AUDIT_VALUE&amp;DB=129&amp;ID1=38238810&amp;VALUEID=01001&amp;SDATE=201002&amp;PERIODTYPE=QTR_STD&amp;window=popup_no_bar&amp;width=385&amp;height=120&amp;START_MAXIMIZED=FALSE&amp;creator=factset&amp;display_string=Audit"}</definedName>
    <definedName name="_1544__FDSAUDITLINK__" localSheetId="1" hidden="1">{"fdsup://Directions/FactSet Auditing Viewer?action=AUDIT_VALUE&amp;DB=129&amp;ID1=36476010&amp;VALUEID=01001&amp;SDATE=201001&amp;PERIODTYPE=QTR_STD&amp;window=popup_no_bar&amp;width=385&amp;height=120&amp;START_MAXIMIZED=FALSE&amp;creator=factset&amp;display_string=Audit"}</definedName>
    <definedName name="_1544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1545__FDSAUDITLINK__" localSheetId="1" hidden="1">{"fdsup://Directions/FactSet Auditing Viewer?action=AUDIT_VALUE&amp;DB=129&amp;ID1=37246010&amp;VALUEID=01001&amp;SDATE=200902&amp;PERIODTYPE=QTR_STD&amp;window=popup_no_bar&amp;width=385&amp;height=120&amp;START_MAXIMIZED=FALSE&amp;creator=factset&amp;display_string=Audit"}</definedName>
    <definedName name="_1545__FDSAUDITLINK__" hidden="1">{"fdsup://Directions/FactSet Auditing Viewer?action=AUDIT_VALUE&amp;DB=129&amp;ID1=37246010&amp;VALUEID=01001&amp;SDATE=200902&amp;PERIODTYPE=QTR_STD&amp;window=popup_no_bar&amp;width=385&amp;height=120&amp;START_MAXIMIZED=FALSE&amp;creator=factset&amp;display_string=Audit"}</definedName>
    <definedName name="_1546__FDSAUDITLINK__" localSheetId="1" hidden="1">{"fdsup://Directions/FactSet Auditing Viewer?action=AUDIT_VALUE&amp;DB=129&amp;ID1=37246010&amp;VALUEID=01001&amp;SDATE=201002&amp;PERIODTYPE=QTR_STD&amp;window=popup_no_bar&amp;width=385&amp;height=120&amp;START_MAXIMIZED=FALSE&amp;creator=factset&amp;display_string=Audit"}</definedName>
    <definedName name="_1546__FDSAUDITLINK__" hidden="1">{"fdsup://Directions/FactSet Auditing Viewer?action=AUDIT_VALUE&amp;DB=129&amp;ID1=37246010&amp;VALUEID=01001&amp;SDATE=201002&amp;PERIODTYPE=QTR_STD&amp;window=popup_no_bar&amp;width=385&amp;height=120&amp;START_MAXIMIZED=FALSE&amp;creator=factset&amp;display_string=Audit"}</definedName>
    <definedName name="_1547__FDSAUDITLINK__" localSheetId="1" hidden="1">{"fdsup://Directions/FactSet Auditing Viewer?action=AUDIT_VALUE&amp;DB=129&amp;ID1=38259P50&amp;VALUEID=01001&amp;SDATE=200902&amp;PERIODTYPE=QTR_STD&amp;window=popup_no_bar&amp;width=385&amp;height=120&amp;START_MAXIMIZED=FALSE&amp;creator=factset&amp;display_string=Audit"}</definedName>
    <definedName name="_1547__FDSAUDITLINK__" hidden="1">{"fdsup://Directions/FactSet Auditing Viewer?action=AUDIT_VALUE&amp;DB=129&amp;ID1=38259P50&amp;VALUEID=01001&amp;SDATE=200902&amp;PERIODTYPE=QTR_STD&amp;window=popup_no_bar&amp;width=385&amp;height=120&amp;START_MAXIMIZED=FALSE&amp;creator=factset&amp;display_string=Audit"}</definedName>
    <definedName name="_1548__FDSAUDITLINK__" localSheetId="1" hidden="1">{"fdsup://Directions/FactSet Auditing Viewer?action=AUDIT_VALUE&amp;DB=129&amp;ID1=38259P50&amp;VALUEID=01001&amp;SDATE=201002&amp;PERIODTYPE=QTR_STD&amp;window=popup_no_bar&amp;width=385&amp;height=120&amp;START_MAXIMIZED=FALSE&amp;creator=factset&amp;display_string=Audit"}</definedName>
    <definedName name="_1548__FDSAUDITLINK__" hidden="1">{"fdsup://Directions/FactSet Auditing Viewer?action=AUDIT_VALUE&amp;DB=129&amp;ID1=38259P50&amp;VALUEID=01001&amp;SDATE=201002&amp;PERIODTYPE=QTR_STD&amp;window=popup_no_bar&amp;width=385&amp;height=120&amp;START_MAXIMIZED=FALSE&amp;creator=factset&amp;display_string=Audit"}</definedName>
    <definedName name="_1549__FDSAUDITLINK__" localSheetId="1" hidden="1">{"fdsup://Directions/FactSet Auditing Viewer?action=AUDIT_VALUE&amp;DB=129&amp;ID1=37247D10&amp;VALUEID=01001&amp;SDATE=200902&amp;PERIODTYPE=QTR_STD&amp;window=popup_no_bar&amp;width=385&amp;height=120&amp;START_MAXIMIZED=FALSE&amp;creator=factset&amp;display_string=Audit"}</definedName>
    <definedName name="_1549__FDSAUDITLINK__" hidden="1">{"fdsup://Directions/FactSet Auditing Viewer?action=AUDIT_VALUE&amp;DB=129&amp;ID1=37247D10&amp;VALUEID=01001&amp;SDATE=200902&amp;PERIODTYPE=QTR_STD&amp;window=popup_no_bar&amp;width=385&amp;height=120&amp;START_MAXIMIZED=FALSE&amp;creator=factset&amp;display_string=Audit"}</definedName>
    <definedName name="_155__FDSAUDITLINK__" localSheetId="1" hidden="1">{"fdsup://directions/FAT Viewer?action=UPDATE&amp;creator=factset&amp;DYN_ARGS=TRUE&amp;DOC_NAME=FAT:FQL_AUDITING_CLIENT_TEMPLATE.FAT&amp;display_string=Audit&amp;VAR:KEY=VQRSTGPKJW&amp;VAR:QUERY=RkZfRUJJVERBX09QRVIoUVRSLDQvMS8yMDA5LDYvMzAvMjAwOSwsLFVTRCk=&amp;WINDOW=FIRST_POPUP&amp;HEIGH","T=450&amp;WIDTH=450&amp;START_MAXIMIZED=FALSE&amp;VAR:CALENDAR=US&amp;VAR:SYMBOL=SVU&amp;VAR:INDEX=0"}</definedName>
    <definedName name="_155__FDSAUDITLINK__" hidden="1">{"fdsup://directions/FAT Viewer?action=UPDATE&amp;creator=factset&amp;DYN_ARGS=TRUE&amp;DOC_NAME=FAT:FQL_AUDITING_CLIENT_TEMPLATE.FAT&amp;display_string=Audit&amp;VAR:KEY=VQRSTGPKJW&amp;VAR:QUERY=RkZfRUJJVERBX09QRVIoUVRSLDQvMS8yMDA5LDYvMzAvMjAwOSwsLFVTRCk=&amp;WINDOW=FIRST_POPUP&amp;HEIGH","T=450&amp;WIDTH=450&amp;START_MAXIMIZED=FALSE&amp;VAR:CALENDAR=US&amp;VAR:SYMBOL=SVU&amp;VAR:INDEX=0"}</definedName>
    <definedName name="_1550__FDSAUDITLINK__" localSheetId="1" hidden="1">{"fdsup://Directions/FactSet Auditing Viewer?action=AUDIT_VALUE&amp;DB=129&amp;ID1=37247D10&amp;VALUEID=01001&amp;SDATE=201002&amp;PERIODTYPE=QTR_STD&amp;window=popup_no_bar&amp;width=385&amp;height=120&amp;START_MAXIMIZED=FALSE&amp;creator=factset&amp;display_string=Audit"}</definedName>
    <definedName name="_1550__FDSAUDITLINK__" hidden="1">{"fdsup://Directions/FactSet Auditing Viewer?action=AUDIT_VALUE&amp;DB=129&amp;ID1=37247D10&amp;VALUEID=01001&amp;SDATE=201002&amp;PERIODTYPE=QTR_STD&amp;window=popup_no_bar&amp;width=385&amp;height=120&amp;START_MAXIMIZED=FALSE&amp;creator=factset&amp;display_string=Audit"}</definedName>
    <definedName name="_1551__FDSAUDITLINK__" localSheetId="1" hidden="1">{"fdsup://Directions/FactSet Auditing Viewer?action=AUDIT_VALUE&amp;DB=129&amp;ID1=36467W10&amp;VALUEID=01001&amp;SDATE=200901&amp;PERIODTYPE=QTR_STD&amp;window=popup_no_bar&amp;width=385&amp;height=120&amp;START_MAXIMIZED=FALSE&amp;creator=factset&amp;display_string=Audit"}</definedName>
    <definedName name="_1551__FDSAUDITLINK__" hidden="1">{"fdsup://Directions/FactSet Auditing Viewer?action=AUDIT_VALUE&amp;DB=129&amp;ID1=36467W10&amp;VALUEID=01001&amp;SDATE=200901&amp;PERIODTYPE=QTR_STD&amp;window=popup_no_bar&amp;width=385&amp;height=120&amp;START_MAXIMIZED=FALSE&amp;creator=factset&amp;display_string=Audit"}</definedName>
    <definedName name="_1552__FDSAUDITLINK__" localSheetId="1" hidden="1">{"fdsup://Directions/FactSet Auditing Viewer?action=AUDIT_VALUE&amp;DB=129&amp;ID1=36467W10&amp;VALUEID=01001&amp;SDATE=201001&amp;PERIODTYPE=QTR_STD&amp;window=popup_no_bar&amp;width=385&amp;height=120&amp;START_MAXIMIZED=FALSE&amp;creator=factset&amp;display_string=Audit"}</definedName>
    <definedName name="_1552__FDSAUDITLINK__" hidden="1">{"fdsup://Directions/FactSet Auditing Viewer?action=AUDIT_VALUE&amp;DB=129&amp;ID1=36467W10&amp;VALUEID=01001&amp;SDATE=201001&amp;PERIODTYPE=QTR_STD&amp;window=popup_no_bar&amp;width=385&amp;height=120&amp;START_MAXIMIZED=FALSE&amp;creator=factset&amp;display_string=Audit"}</definedName>
    <definedName name="_1553__FDSAUDITLINK__" localSheetId="1" hidden="1">{"fdsup://Directions/FactSet Auditing Viewer?action=AUDIT_VALUE&amp;DB=129&amp;ID1=21935010&amp;VALUEID=01001&amp;SDATE=200902&amp;PERIODTYPE=QTR_STD&amp;window=popup_no_bar&amp;width=385&amp;height=120&amp;START_MAXIMIZED=FALSE&amp;creator=factset&amp;display_string=Audit"}</definedName>
    <definedName name="_1553__FDSAUDITLINK__" hidden="1">{"fdsup://Directions/FactSet Auditing Viewer?action=AUDIT_VALUE&amp;DB=129&amp;ID1=21935010&amp;VALUEID=01001&amp;SDATE=200902&amp;PERIODTYPE=QTR_STD&amp;window=popup_no_bar&amp;width=385&amp;height=120&amp;START_MAXIMIZED=FALSE&amp;creator=factset&amp;display_string=Audit"}</definedName>
    <definedName name="_1554__FDSAUDITLINK__" localSheetId="1" hidden="1">{"fdsup://Directions/FactSet Auditing Viewer?action=AUDIT_VALUE&amp;DB=129&amp;ID1=21935010&amp;VALUEID=01001&amp;SDATE=201002&amp;PERIODTYPE=QTR_STD&amp;window=popup_no_bar&amp;width=385&amp;height=120&amp;START_MAXIMIZED=FALSE&amp;creator=factset&amp;display_string=Audit"}</definedName>
    <definedName name="_1554__FDSAUDITLINK__" hidden="1">{"fdsup://Directions/FactSet Auditing Viewer?action=AUDIT_VALUE&amp;DB=129&amp;ID1=21935010&amp;VALUEID=01001&amp;SDATE=201002&amp;PERIODTYPE=QTR_STD&amp;window=popup_no_bar&amp;width=385&amp;height=120&amp;START_MAXIMIZED=FALSE&amp;creator=factset&amp;display_string=Audit"}</definedName>
    <definedName name="_1555__FDSAUDITLINK__" localSheetId="1" hidden="1">{"fdsup://Directions/FactSet Auditing Viewer?action=AUDIT_VALUE&amp;DB=129&amp;ID1=37033410&amp;VALUEID=01001&amp;SDATE=200804&amp;PERIODTYPE=QTR_STD&amp;window=popup_no_bar&amp;width=385&amp;height=120&amp;START_MAXIMIZED=FALSE&amp;creator=factset&amp;display_string=Audit"}</definedName>
    <definedName name="_1555__FDSAUDITLINK__" hidden="1">{"fdsup://Directions/FactSet Auditing Viewer?action=AUDIT_VALUE&amp;DB=129&amp;ID1=37033410&amp;VALUEID=01001&amp;SDATE=200804&amp;PERIODTYPE=QTR_STD&amp;window=popup_no_bar&amp;width=385&amp;height=120&amp;START_MAXIMIZED=FALSE&amp;creator=factset&amp;display_string=Audit"}</definedName>
    <definedName name="_1556__FDSAUDITLINK__" localSheetId="1" hidden="1">{"fdsup://Directions/FactSet Auditing Viewer?action=AUDIT_VALUE&amp;DB=129&amp;ID1=37033410&amp;VALUEID=01001&amp;SDATE=200904&amp;PERIODTYPE=QTR_STD&amp;window=popup_no_bar&amp;width=385&amp;height=120&amp;START_MAXIMIZED=FALSE&amp;creator=factset&amp;display_string=Audit"}</definedName>
    <definedName name="_1556__FDSAUDITLINK__" hidden="1">{"fdsup://Directions/FactSet Auditing Viewer?action=AUDIT_VALUE&amp;DB=129&amp;ID1=37033410&amp;VALUEID=01001&amp;SDATE=200904&amp;PERIODTYPE=QTR_STD&amp;window=popup_no_bar&amp;width=385&amp;height=120&amp;START_MAXIMIZED=FALSE&amp;creator=factset&amp;display_string=Audit"}</definedName>
    <definedName name="_1557__FDSAUDITLINK__" localSheetId="1" hidden="1">{"fdsup://Directions/FactSet Auditing Viewer?action=AUDIT_VALUE&amp;DB=129&amp;ID1=37555810&amp;VALUEID=01001&amp;SDATE=200902&amp;PERIODTYPE=QTR_STD&amp;window=popup_no_bar&amp;width=385&amp;height=120&amp;START_MAXIMIZED=FALSE&amp;creator=factset&amp;display_string=Audit"}</definedName>
    <definedName name="_1557__FDSAUDITLINK__" hidden="1">{"fdsup://Directions/FactSet Auditing Viewer?action=AUDIT_VALUE&amp;DB=129&amp;ID1=37555810&amp;VALUEID=01001&amp;SDATE=200902&amp;PERIODTYPE=QTR_STD&amp;window=popup_no_bar&amp;width=385&amp;height=120&amp;START_MAXIMIZED=FALSE&amp;creator=factset&amp;display_string=Audit"}</definedName>
    <definedName name="_1558__FDSAUDITLINK__" localSheetId="1" hidden="1">{"fdsup://Directions/FactSet Auditing Viewer?action=AUDIT_VALUE&amp;DB=129&amp;ID1=37555810&amp;VALUEID=01001&amp;SDATE=201002&amp;PERIODTYPE=QTR_STD&amp;window=popup_no_bar&amp;width=385&amp;height=120&amp;START_MAXIMIZED=FALSE&amp;creator=factset&amp;display_string=Audit"}</definedName>
    <definedName name="_1558__FDSAUDITLINK__" hidden="1">{"fdsup://Directions/FactSet Auditing Viewer?action=AUDIT_VALUE&amp;DB=129&amp;ID1=37555810&amp;VALUEID=01001&amp;SDATE=201002&amp;PERIODTYPE=QTR_STD&amp;window=popup_no_bar&amp;width=385&amp;height=120&amp;START_MAXIMIZED=FALSE&amp;creator=factset&amp;display_string=Audit"}</definedName>
    <definedName name="_1559__FDSAUDITLINK__" localSheetId="1" hidden="1">{"fdsup://Directions/FactSet Auditing Viewer?action=AUDIT_VALUE&amp;DB=129&amp;ID1=37291710&amp;VALUEID=01001&amp;SDATE=200902&amp;PERIODTYPE=QTR_STD&amp;window=popup_no_bar&amp;width=385&amp;height=120&amp;START_MAXIMIZED=FALSE&amp;creator=factset&amp;display_string=Audit"}</definedName>
    <definedName name="_1559__FDSAUDITLINK__" hidden="1">{"fdsup://Directions/FactSet Auditing Viewer?action=AUDIT_VALUE&amp;DB=129&amp;ID1=37291710&amp;VALUEID=01001&amp;SDATE=200902&amp;PERIODTYPE=QTR_STD&amp;window=popup_no_bar&amp;width=385&amp;height=120&amp;START_MAXIMIZED=FALSE&amp;creator=factset&amp;display_string=Audit"}</definedName>
    <definedName name="_156__FDSAUDITLINK__" localSheetId="1" hidden="1">{"fdsup://directions/FAT Viewer?action=UPDATE&amp;creator=factset&amp;DYN_ARGS=TRUE&amp;DOC_NAME=FAT:FQL_AUDITING_CLIENT_TEMPLATE.FAT&amp;display_string=Audit&amp;VAR:KEY=PIDIPEVSTY&amp;VAR:QUERY=RkZfRUJJVERBX09QRVIoUVRSLDQvMS8yMDEwLDYvMzAvMjAxMCwsLFVTRCk=&amp;WINDOW=FIRST_POPUP&amp;HEIGH","T=450&amp;WIDTH=450&amp;START_MAXIMIZED=FALSE&amp;VAR:CALENDAR=US&amp;VAR:SYMBOL=SVU&amp;VAR:INDEX=0"}</definedName>
    <definedName name="_156__FDSAUDITLINK__" hidden="1">{"fdsup://directions/FAT Viewer?action=UPDATE&amp;creator=factset&amp;DYN_ARGS=TRUE&amp;DOC_NAME=FAT:FQL_AUDITING_CLIENT_TEMPLATE.FAT&amp;display_string=Audit&amp;VAR:KEY=PIDIPEVSTY&amp;VAR:QUERY=RkZfRUJJVERBX09QRVIoUVRSLDQvMS8yMDEwLDYvMzAvMjAxMCwsLFVTRCk=&amp;WINDOW=FIRST_POPUP&amp;HEIGH","T=450&amp;WIDTH=450&amp;START_MAXIMIZED=FALSE&amp;VAR:CALENDAR=US&amp;VAR:SYMBOL=SVU&amp;VAR:INDEX=0"}</definedName>
    <definedName name="_1560__FDSAUDITLINK__" localSheetId="1" hidden="1">{"fdsup://Directions/FactSet Auditing Viewer?action=AUDIT_VALUE&amp;DB=129&amp;ID1=37291710&amp;VALUEID=01001&amp;SDATE=201002&amp;PERIODTYPE=QTR_STD&amp;window=popup_no_bar&amp;width=385&amp;height=120&amp;START_MAXIMIZED=FALSE&amp;creator=factset&amp;display_string=Audit"}</definedName>
    <definedName name="_1560__FDSAUDITLINK__" hidden="1">{"fdsup://Directions/FactSet Auditing Viewer?action=AUDIT_VALUE&amp;DB=129&amp;ID1=37291710&amp;VALUEID=01001&amp;SDATE=201002&amp;PERIODTYPE=QTR_STD&amp;window=popup_no_bar&amp;width=385&amp;height=120&amp;START_MAXIMIZED=FALSE&amp;creator=factset&amp;display_string=Audit"}</definedName>
    <definedName name="_1561__FDSAUDITLINK__" localSheetId="1" hidden="1">{"fdsup://Directions/FactSet Auditing Viewer?action=AUDIT_VALUE&amp;DB=129&amp;ID1=36960410&amp;VALUEID=01001&amp;SDATE=200902&amp;PERIODTYPE=QTR_STD&amp;window=popup_no_bar&amp;width=385&amp;height=120&amp;START_MAXIMIZED=FALSE&amp;creator=factset&amp;display_string=Audit"}</definedName>
    <definedName name="_1561__FDSAUDITLINK__" hidden="1">{"fdsup://Directions/FactSet Auditing Viewer?action=AUDIT_VALUE&amp;DB=129&amp;ID1=36960410&amp;VALUEID=01001&amp;SDATE=200902&amp;PERIODTYPE=QTR_STD&amp;window=popup_no_bar&amp;width=385&amp;height=120&amp;START_MAXIMIZED=FALSE&amp;creator=factset&amp;display_string=Audit"}</definedName>
    <definedName name="_1562__FDSAUDITLINK__" localSheetId="1" hidden="1">{"fdsup://Directions/FactSet Auditing Viewer?action=AUDIT_VALUE&amp;DB=129&amp;ID1=36960410&amp;VALUEID=01001&amp;SDATE=201002&amp;PERIODTYPE=QTR_STD&amp;window=popup_no_bar&amp;width=385&amp;height=120&amp;START_MAXIMIZED=FALSE&amp;creator=factset&amp;display_string=Audit"}</definedName>
    <definedName name="_1562__FDSAUDITLINK__" hidden="1">{"fdsup://Directions/FactSet Auditing Viewer?action=AUDIT_VALUE&amp;DB=129&amp;ID1=36960410&amp;VALUEID=01001&amp;SDATE=201002&amp;PERIODTYPE=QTR_STD&amp;window=popup_no_bar&amp;width=385&amp;height=120&amp;START_MAXIMIZED=FALSE&amp;creator=factset&amp;display_string=Audit"}</definedName>
    <definedName name="_1563__FDSAUDITLINK__" localSheetId="1" hidden="1">{"fdsup://Directions/FactSet Auditing Viewer?action=AUDIT_VALUE&amp;DB=129&amp;ID1=36955010&amp;VALUEID=01001&amp;SDATE=200902&amp;PERIODTYPE=QTR_STD&amp;window=popup_no_bar&amp;width=385&amp;height=120&amp;START_MAXIMIZED=FALSE&amp;creator=factset&amp;display_string=Audit"}</definedName>
    <definedName name="_1563__FDSAUDITLINK__" hidden="1">{"fdsup://Directions/FactSet Auditing Viewer?action=AUDIT_VALUE&amp;DB=129&amp;ID1=36955010&amp;VALUEID=01001&amp;SDATE=200902&amp;PERIODTYPE=QTR_STD&amp;window=popup_no_bar&amp;width=385&amp;height=120&amp;START_MAXIMIZED=FALSE&amp;creator=factset&amp;display_string=Audit"}</definedName>
    <definedName name="_1564__FDSAUDITLINK__" localSheetId="1" hidden="1">{"fdsup://Directions/FactSet Auditing Viewer?action=AUDIT_VALUE&amp;DB=129&amp;ID1=36955010&amp;VALUEID=01001&amp;SDATE=201002&amp;PERIODTYPE=QTR_STD&amp;window=popup_no_bar&amp;width=385&amp;height=120&amp;START_MAXIMIZED=FALSE&amp;creator=factset&amp;display_string=Audit"}</definedName>
    <definedName name="_1564__FDSAUDITLINK__" hidden="1">{"fdsup://Directions/FactSet Auditing Viewer?action=AUDIT_VALUE&amp;DB=129&amp;ID1=36955010&amp;VALUEID=01001&amp;SDATE=201002&amp;PERIODTYPE=QTR_STD&amp;window=popup_no_bar&amp;width=385&amp;height=120&amp;START_MAXIMIZED=FALSE&amp;creator=factset&amp;display_string=Audit"}</definedName>
    <definedName name="_1565__FDSAUDITLINK__" localSheetId="1" hidden="1">{"fdsup://Directions/FactSet Auditing Viewer?action=AUDIT_VALUE&amp;DB=129&amp;ID1=36473010&amp;VALUEID=01001&amp;SDATE=200902&amp;PERIODTYPE=QTR_STD&amp;window=popup_no_bar&amp;width=385&amp;height=120&amp;START_MAXIMIZED=FALSE&amp;creator=factset&amp;display_string=Audit"}</definedName>
    <definedName name="_1565__FDSAUDITLINK__" hidden="1">{"fdsup://Directions/FactSet Auditing Viewer?action=AUDIT_VALUE&amp;DB=129&amp;ID1=36473010&amp;VALUEID=01001&amp;SDATE=200902&amp;PERIODTYPE=QTR_STD&amp;window=popup_no_bar&amp;width=385&amp;height=120&amp;START_MAXIMIZED=FALSE&amp;creator=factset&amp;display_string=Audit"}</definedName>
    <definedName name="_1566__FDSAUDITLINK__" localSheetId="1" hidden="1">{"fdsup://Directions/FactSet Auditing Viewer?action=AUDIT_VALUE&amp;DB=129&amp;ID1=36473010&amp;VALUEID=01001&amp;SDATE=201002&amp;PERIODTYPE=QTR_STD&amp;window=popup_no_bar&amp;width=385&amp;height=120&amp;START_MAXIMIZED=FALSE&amp;creator=factset&amp;display_string=Audit"}</definedName>
    <definedName name="_1566__FDSAUDITLINK__" hidden="1">{"fdsup://Directions/FactSet Auditing Viewer?action=AUDIT_VALUE&amp;DB=129&amp;ID1=36473010&amp;VALUEID=01001&amp;SDATE=201002&amp;PERIODTYPE=QTR_STD&amp;window=popup_no_bar&amp;width=385&amp;height=120&amp;START_MAXIMIZED=FALSE&amp;creator=factset&amp;display_string=Audit"}</definedName>
    <definedName name="_1567__FDSAUDITLINK__" localSheetId="1" hidden="1">{"fdsup://Directions/FactSet Auditing Viewer?action=AUDIT_VALUE&amp;DB=129&amp;ID1=65408610&amp;VALUEID=01001&amp;SDATE=200902&amp;PERIODTYPE=QTR_STD&amp;window=popup_no_bar&amp;width=385&amp;height=120&amp;START_MAXIMIZED=FALSE&amp;creator=factset&amp;display_string=Audit"}</definedName>
    <definedName name="_1567__FDSAUDITLINK__" hidden="1">{"fdsup://Directions/FactSet Auditing Viewer?action=AUDIT_VALUE&amp;DB=129&amp;ID1=65408610&amp;VALUEID=01001&amp;SDATE=200902&amp;PERIODTYPE=QTR_STD&amp;window=popup_no_bar&amp;width=385&amp;height=120&amp;START_MAXIMIZED=FALSE&amp;creator=factset&amp;display_string=Audit"}</definedName>
    <definedName name="_1568__FDSAUDITLINK__" localSheetId="1" hidden="1">{"fdsup://Directions/FactSet Auditing Viewer?action=AUDIT_VALUE&amp;DB=129&amp;ID1=65408610&amp;VALUEID=01001&amp;SDATE=201002&amp;PERIODTYPE=QTR_STD&amp;window=popup_no_bar&amp;width=385&amp;height=120&amp;START_MAXIMIZED=FALSE&amp;creator=factset&amp;display_string=Audit"}</definedName>
    <definedName name="_1568__FDSAUDITLINK__" hidden="1">{"fdsup://Directions/FactSet Auditing Viewer?action=AUDIT_VALUE&amp;DB=129&amp;ID1=65408610&amp;VALUEID=01001&amp;SDATE=201002&amp;PERIODTYPE=QTR_STD&amp;window=popup_no_bar&amp;width=385&amp;height=120&amp;START_MAXIMIZED=FALSE&amp;creator=factset&amp;display_string=Audit"}</definedName>
    <definedName name="_1569__FDSAUDITLINK__" localSheetId="1" hidden="1">{"fdsup://Directions/FactSet Auditing Viewer?action=AUDIT_VALUE&amp;DB=129&amp;ID1=35906A10&amp;VALUEID=01001&amp;SDATE=201002&amp;PERIODTYPE=QTR_STD&amp;window=popup_no_bar&amp;width=385&amp;height=120&amp;START_MAXIMIZED=FALSE&amp;creator=factset&amp;display_string=Audit"}</definedName>
    <definedName name="_1569__FDSAUDITLINK__" hidden="1">{"fdsup://Directions/FactSet Auditing Viewer?action=AUDIT_VALUE&amp;DB=129&amp;ID1=35906A10&amp;VALUEID=01001&amp;SDATE=201002&amp;PERIODTYPE=QTR_STD&amp;window=popup_no_bar&amp;width=385&amp;height=120&amp;START_MAXIMIZED=FALSE&amp;creator=factset&amp;display_string=Audit"}</definedName>
    <definedName name="_157__FDSAUDITLINK__" localSheetId="1" hidden="1">{"fdsup://directions/FAT Viewer?action=UPDATE&amp;creator=factset&amp;DYN_ARGS=TRUE&amp;DOC_NAME=FAT:FQL_AUDITING_CLIENT_TEMPLATE.FAT&amp;display_string=Audit&amp;VAR:KEY=DWVUHYBSJM&amp;VAR:QUERY=RkZfRUJJVERBX09QRVIoUVRSLDQvMS8yMDA5LDYvMzAvMjAwOSwsLFVTRCk=&amp;WINDOW=FIRST_POPUP&amp;HEIGH","T=450&amp;WIDTH=450&amp;START_MAXIMIZED=FALSE&amp;VAR:CALENDAR=US&amp;VAR:SYMBOL=SUN&amp;VAR:INDEX=0"}</definedName>
    <definedName name="_157__FDSAUDITLINK__" hidden="1">{"fdsup://directions/FAT Viewer?action=UPDATE&amp;creator=factset&amp;DYN_ARGS=TRUE&amp;DOC_NAME=FAT:FQL_AUDITING_CLIENT_TEMPLATE.FAT&amp;display_string=Audit&amp;VAR:KEY=DWVUHYBSJM&amp;VAR:QUERY=RkZfRUJJVERBX09QRVIoUVRSLDQvMS8yMDA5LDYvMzAvMjAwOSwsLFVTRCk=&amp;WINDOW=FIRST_POPUP&amp;HEIGH","T=450&amp;WIDTH=450&amp;START_MAXIMIZED=FALSE&amp;VAR:CALENDAR=US&amp;VAR:SYMBOL=SUN&amp;VAR:INDEX=0"}</definedName>
    <definedName name="_1570__FDSAUDITLINK__" localSheetId="1" hidden="1">{"fdsup://Directions/FactSet Auditing Viewer?action=AUDIT_VALUE&amp;DB=129&amp;ID1=30249U10&amp;VALUEID=01001&amp;SDATE=200902&amp;PERIODTYPE=QTR_STD&amp;window=popup_no_bar&amp;width=385&amp;height=120&amp;START_MAXIMIZED=FALSE&amp;creator=factset&amp;display_string=Audit"}</definedName>
    <definedName name="_1570__FDSAUDITLINK__" hidden="1">{"fdsup://Directions/FactSet Auditing Viewer?action=AUDIT_VALUE&amp;DB=129&amp;ID1=30249U10&amp;VALUEID=01001&amp;SDATE=200902&amp;PERIODTYPE=QTR_STD&amp;window=popup_no_bar&amp;width=385&amp;height=120&amp;START_MAXIMIZED=FALSE&amp;creator=factset&amp;display_string=Audit"}</definedName>
    <definedName name="_1571__FDSAUDITLINK__" localSheetId="1" hidden="1">{"fdsup://Directions/FactSet Auditing Viewer?action=AUDIT_VALUE&amp;DB=129&amp;ID1=30249U10&amp;VALUEID=01001&amp;SDATE=201002&amp;PERIODTYPE=QTR_STD&amp;window=popup_no_bar&amp;width=385&amp;height=120&amp;START_MAXIMIZED=FALSE&amp;creator=factset&amp;display_string=Audit"}</definedName>
    <definedName name="_1571__FDSAUDITLINK__" hidden="1">{"fdsup://Directions/FactSet Auditing Viewer?action=AUDIT_VALUE&amp;DB=129&amp;ID1=30249U10&amp;VALUEID=01001&amp;SDATE=201002&amp;PERIODTYPE=QTR_STD&amp;window=popup_no_bar&amp;width=385&amp;height=120&amp;START_MAXIMIZED=FALSE&amp;creator=factset&amp;display_string=Audit"}</definedName>
    <definedName name="_1572__FDSAUDITLINK__" localSheetId="1" hidden="1">{"fdsup://Directions/FactSet Auditing Viewer?action=AUDIT_VALUE&amp;DB=129&amp;ID1=33643310&amp;VALUEID=01001&amp;SDATE=200902&amp;PERIODTYPE=QTR_STD&amp;window=popup_no_bar&amp;width=385&amp;height=120&amp;START_MAXIMIZED=FALSE&amp;creator=factset&amp;display_string=Audit"}</definedName>
    <definedName name="_1572__FDSAUDITLINK__" hidden="1">{"fdsup://Directions/FactSet Auditing Viewer?action=AUDIT_VALUE&amp;DB=129&amp;ID1=33643310&amp;VALUEID=01001&amp;SDATE=200902&amp;PERIODTYPE=QTR_STD&amp;window=popup_no_bar&amp;width=385&amp;height=120&amp;START_MAXIMIZED=FALSE&amp;creator=factset&amp;display_string=Audit"}</definedName>
    <definedName name="_1573__FDSAUDITLINK__" localSheetId="1" hidden="1">{"fdsup://Directions/FactSet Auditing Viewer?action=AUDIT_VALUE&amp;DB=129&amp;ID1=33643310&amp;VALUEID=01001&amp;SDATE=201002&amp;PERIODTYPE=QTR_STD&amp;window=popup_no_bar&amp;width=385&amp;height=120&amp;START_MAXIMIZED=FALSE&amp;creator=factset&amp;display_string=Audit"}</definedName>
    <definedName name="_1573__FDSAUDITLINK__" hidden="1">{"fdsup://Directions/FactSet Auditing Viewer?action=AUDIT_VALUE&amp;DB=129&amp;ID1=33643310&amp;VALUEID=01001&amp;SDATE=201002&amp;PERIODTYPE=QTR_STD&amp;window=popup_no_bar&amp;width=385&amp;height=120&amp;START_MAXIMIZED=FALSE&amp;creator=factset&amp;display_string=Audit"}</definedName>
    <definedName name="_1574__FDSAUDITLINK__" localSheetId="1" hidden="1">{"fdsup://Directions/FactSet Auditing Viewer?action=AUDIT_VALUE&amp;DB=129&amp;ID1=34583810&amp;VALUEID=01001&amp;SDATE=200901&amp;PERIODTYPE=QTR_STD&amp;window=popup_no_bar&amp;width=385&amp;height=120&amp;START_MAXIMIZED=FALSE&amp;creator=factset&amp;display_string=Audit"}</definedName>
    <definedName name="_1574__FDSAUDITLINK__" hidden="1">{"fdsup://Directions/FactSet Auditing Viewer?action=AUDIT_VALUE&amp;DB=129&amp;ID1=34583810&amp;VALUEID=01001&amp;SDATE=200901&amp;PERIODTYPE=QTR_STD&amp;window=popup_no_bar&amp;width=385&amp;height=120&amp;START_MAXIMIZED=FALSE&amp;creator=factset&amp;display_string=Audit"}</definedName>
    <definedName name="_1575__FDSAUDITLINK__" localSheetId="1" hidden="1">{"fdsup://Directions/FactSet Auditing Viewer?action=AUDIT_VALUE&amp;DB=129&amp;ID1=34583810&amp;VALUEID=01001&amp;SDATE=201001&amp;PERIODTYPE=QTR_STD&amp;window=popup_no_bar&amp;width=385&amp;height=120&amp;START_MAXIMIZED=FALSE&amp;creator=factset&amp;display_string=Audit"}</definedName>
    <definedName name="_1575__FDSAUDITLINK__" hidden="1">{"fdsup://Directions/FactSet Auditing Viewer?action=AUDIT_VALUE&amp;DB=129&amp;ID1=34583810&amp;VALUEID=01001&amp;SDATE=201001&amp;PERIODTYPE=QTR_STD&amp;window=popup_no_bar&amp;width=385&amp;height=120&amp;START_MAXIMIZED=FALSE&amp;creator=factset&amp;display_string=Audit"}</definedName>
    <definedName name="_1576__FDSAUDITLINK__" localSheetId="1" hidden="1">{"fdsup://Directions/FactSet Auditing Viewer?action=AUDIT_VALUE&amp;DB=129&amp;ID1=34963110&amp;VALUEID=01001&amp;SDATE=200902&amp;PERIODTYPE=QTR_STD&amp;window=popup_no_bar&amp;width=385&amp;height=120&amp;START_MAXIMIZED=FALSE&amp;creator=factset&amp;display_string=Audit"}</definedName>
    <definedName name="_1576__FDSAUDITLINK__" hidden="1">{"fdsup://Directions/FactSet Auditing Viewer?action=AUDIT_VALUE&amp;DB=129&amp;ID1=34963110&amp;VALUEID=01001&amp;SDATE=200902&amp;PERIODTYPE=QTR_STD&amp;window=popup_no_bar&amp;width=385&amp;height=120&amp;START_MAXIMIZED=FALSE&amp;creator=factset&amp;display_string=Audit"}</definedName>
    <definedName name="_1577__FDSAUDITLINK__" localSheetId="1" hidden="1">{"fdsup://Directions/FactSet Auditing Viewer?action=AUDIT_VALUE&amp;DB=129&amp;ID1=34963110&amp;VALUEID=01001&amp;SDATE=201002&amp;PERIODTYPE=QTR_STD&amp;window=popup_no_bar&amp;width=385&amp;height=120&amp;START_MAXIMIZED=FALSE&amp;creator=factset&amp;display_string=Audit"}</definedName>
    <definedName name="_1577__FDSAUDITLINK__" hidden="1">{"fdsup://Directions/FactSet Auditing Viewer?action=AUDIT_VALUE&amp;DB=129&amp;ID1=34963110&amp;VALUEID=01001&amp;SDATE=201002&amp;PERIODTYPE=QTR_STD&amp;window=popup_no_bar&amp;width=385&amp;height=120&amp;START_MAXIMIZED=FALSE&amp;creator=factset&amp;display_string=Audit"}</definedName>
    <definedName name="_1578__FDSAUDITLINK__" localSheetId="1" hidden="1">{"fdsup://Directions/FactSet Auditing Viewer?action=AUDIT_VALUE&amp;DB=129&amp;ID1=30249130&amp;VALUEID=01001&amp;SDATE=200902&amp;PERIODTYPE=QTR_STD&amp;window=popup_no_bar&amp;width=385&amp;height=120&amp;START_MAXIMIZED=FALSE&amp;creator=factset&amp;display_string=Audit"}</definedName>
    <definedName name="_1578__FDSAUDITLINK__" hidden="1">{"fdsup://Directions/FactSet Auditing Viewer?action=AUDIT_VALUE&amp;DB=129&amp;ID1=30249130&amp;VALUEID=01001&amp;SDATE=200902&amp;PERIODTYPE=QTR_STD&amp;window=popup_no_bar&amp;width=385&amp;height=120&amp;START_MAXIMIZED=FALSE&amp;creator=factset&amp;display_string=Audit"}</definedName>
    <definedName name="_1579__FDSAUDITLINK__" localSheetId="1" hidden="1">{"fdsup://Directions/FactSet Auditing Viewer?action=AUDIT_VALUE&amp;DB=129&amp;ID1=30249130&amp;VALUEID=01001&amp;SDATE=201002&amp;PERIODTYPE=QTR_STD&amp;window=popup_no_bar&amp;width=385&amp;height=120&amp;START_MAXIMIZED=FALSE&amp;creator=factset&amp;display_string=Audit"}</definedName>
    <definedName name="_1579__FDSAUDITLINK__" hidden="1">{"fdsup://Directions/FactSet Auditing Viewer?action=AUDIT_VALUE&amp;DB=129&amp;ID1=30249130&amp;VALUEID=01001&amp;SDATE=201002&amp;PERIODTYPE=QTR_STD&amp;window=popup_no_bar&amp;width=385&amp;height=120&amp;START_MAXIMIZED=FALSE&amp;creator=factset&amp;display_string=Audit"}</definedName>
    <definedName name="_158__FDSAUDITLINK__" localSheetId="1" hidden="1">{"fdsup://directions/FAT Viewer?action=UPDATE&amp;creator=factset&amp;DYN_ARGS=TRUE&amp;DOC_NAME=FAT:FQL_AUDITING_CLIENT_TEMPLATE.FAT&amp;display_string=Audit&amp;VAR:KEY=PMLCNEVKLK&amp;VAR:QUERY=RkZfRUJJVERBX09QRVIoUVRSLDQvMS8yMDEwLDYvMzAvMjAxMCwsLFVTRCk=&amp;WINDOW=FIRST_POPUP&amp;HEIGH","T=450&amp;WIDTH=450&amp;START_MAXIMIZED=FALSE&amp;VAR:CALENDAR=US&amp;VAR:SYMBOL=SUN&amp;VAR:INDEX=0"}</definedName>
    <definedName name="_158__FDSAUDITLINK__" hidden="1">{"fdsup://directions/FAT Viewer?action=UPDATE&amp;creator=factset&amp;DYN_ARGS=TRUE&amp;DOC_NAME=FAT:FQL_AUDITING_CLIENT_TEMPLATE.FAT&amp;display_string=Audit&amp;VAR:KEY=PMLCNEVKLK&amp;VAR:QUERY=RkZfRUJJVERBX09QRVIoUVRSLDQvMS8yMDEwLDYvMzAvMjAxMCwsLFVTRCk=&amp;WINDOW=FIRST_POPUP&amp;HEIGH","T=450&amp;WIDTH=450&amp;START_MAXIMIZED=FALSE&amp;VAR:CALENDAR=US&amp;VAR:SYMBOL=SUN&amp;VAR:INDEX=0"}</definedName>
    <definedName name="_1580__FDSAUDITLINK__" localSheetId="1" hidden="1">{"fdsup://Directions/FactSet Auditing Viewer?action=AUDIT_VALUE&amp;DB=129&amp;ID1=34354P10&amp;VALUEID=01001&amp;SDATE=200902&amp;PERIODTYPE=QTR_STD&amp;window=popup_no_bar&amp;width=385&amp;height=120&amp;START_MAXIMIZED=FALSE&amp;creator=factset&amp;display_string=Audit"}</definedName>
    <definedName name="_1580__FDSAUDITLINK__" hidden="1">{"fdsup://Directions/FactSet Auditing Viewer?action=AUDIT_VALUE&amp;DB=129&amp;ID1=34354P10&amp;VALUEID=01001&amp;SDATE=200902&amp;PERIODTYPE=QTR_STD&amp;window=popup_no_bar&amp;width=385&amp;height=120&amp;START_MAXIMIZED=FALSE&amp;creator=factset&amp;display_string=Audit"}</definedName>
    <definedName name="_1581__FDSAUDITLINK__" localSheetId="1" hidden="1">{"fdsup://Directions/FactSet Auditing Viewer?action=AUDIT_VALUE&amp;DB=129&amp;ID1=34354P10&amp;VALUEID=01001&amp;SDATE=201002&amp;PERIODTYPE=QTR_STD&amp;window=popup_no_bar&amp;width=385&amp;height=120&amp;START_MAXIMIZED=FALSE&amp;creator=factset&amp;display_string=Audit"}</definedName>
    <definedName name="_1581__FDSAUDITLINK__" hidden="1">{"fdsup://Directions/FactSet Auditing Viewer?action=AUDIT_VALUE&amp;DB=129&amp;ID1=34354P10&amp;VALUEID=01001&amp;SDATE=201002&amp;PERIODTYPE=QTR_STD&amp;window=popup_no_bar&amp;width=385&amp;height=120&amp;START_MAXIMIZED=FALSE&amp;creator=factset&amp;display_string=Audit"}</definedName>
    <definedName name="_1582__FDSAUDITLINK__" localSheetId="1" hidden="1">{"fdsup://Directions/FactSet Auditing Viewer?action=AUDIT_VALUE&amp;DB=129&amp;ID1=34341210&amp;VALUEID=01001&amp;SDATE=200902&amp;PERIODTYPE=QTR_STD&amp;window=popup_no_bar&amp;width=385&amp;height=120&amp;START_MAXIMIZED=FALSE&amp;creator=factset&amp;display_string=Audit"}</definedName>
    <definedName name="_1582__FDSAUDITLINK__" hidden="1">{"fdsup://Directions/FactSet Auditing Viewer?action=AUDIT_VALUE&amp;DB=129&amp;ID1=34341210&amp;VALUEID=01001&amp;SDATE=200902&amp;PERIODTYPE=QTR_STD&amp;window=popup_no_bar&amp;width=385&amp;height=120&amp;START_MAXIMIZED=FALSE&amp;creator=factset&amp;display_string=Audit"}</definedName>
    <definedName name="_1583__FDSAUDITLINK__" localSheetId="1" hidden="1">{"fdsup://Directions/FactSet Auditing Viewer?action=AUDIT_VALUE&amp;DB=129&amp;ID1=34341210&amp;VALUEID=01001&amp;SDATE=201002&amp;PERIODTYPE=QTR_STD&amp;window=popup_no_bar&amp;width=385&amp;height=120&amp;START_MAXIMIZED=FALSE&amp;creator=factset&amp;display_string=Audit"}</definedName>
    <definedName name="_1583__FDSAUDITLINK__" hidden="1">{"fdsup://Directions/FactSet Auditing Viewer?action=AUDIT_VALUE&amp;DB=129&amp;ID1=34341210&amp;VALUEID=01001&amp;SDATE=201002&amp;PERIODTYPE=QTR_STD&amp;window=popup_no_bar&amp;width=385&amp;height=120&amp;START_MAXIMIZED=FALSE&amp;creator=factset&amp;display_string=Audit"}</definedName>
    <definedName name="_1584__FDSAUDITLINK__" localSheetId="1" hidden="1">{"fdsup://Directions/FactSet Auditing Viewer?action=AUDIT_VALUE&amp;DB=129&amp;ID1=30244510&amp;VALUEID=01001&amp;SDATE=200902&amp;PERIODTYPE=QTR_STD&amp;window=popup_no_bar&amp;width=385&amp;height=120&amp;START_MAXIMIZED=FALSE&amp;creator=factset&amp;display_string=Audit"}</definedName>
    <definedName name="_1584__FDSAUDITLINK__" hidden="1">{"fdsup://Directions/FactSet Auditing Viewer?action=AUDIT_VALUE&amp;DB=129&amp;ID1=30244510&amp;VALUEID=01001&amp;SDATE=200902&amp;PERIODTYPE=QTR_STD&amp;window=popup_no_bar&amp;width=385&amp;height=120&amp;START_MAXIMIZED=FALSE&amp;creator=factset&amp;display_string=Audit"}</definedName>
    <definedName name="_1585__FDSAUDITLINK__" localSheetId="1" hidden="1">{"fdsup://Directions/FactSet Auditing Viewer?action=AUDIT_VALUE&amp;DB=129&amp;ID1=30244510&amp;VALUEID=01001&amp;SDATE=201002&amp;PERIODTYPE=QTR_STD&amp;window=popup_no_bar&amp;width=385&amp;height=120&amp;START_MAXIMIZED=FALSE&amp;creator=factset&amp;display_string=Audit"}</definedName>
    <definedName name="_1585__FDSAUDITLINK__" hidden="1">{"fdsup://Directions/FactSet Auditing Viewer?action=AUDIT_VALUE&amp;DB=129&amp;ID1=30244510&amp;VALUEID=01001&amp;SDATE=201002&amp;PERIODTYPE=QTR_STD&amp;window=popup_no_bar&amp;width=385&amp;height=120&amp;START_MAXIMIZED=FALSE&amp;creator=factset&amp;display_string=Audit"}</definedName>
    <definedName name="_1586__FDSAUDITLINK__" localSheetId="1" hidden="1">{"fdsup://Directions/FactSet Auditing Viewer?action=AUDIT_VALUE&amp;DB=129&amp;ID1=33773810&amp;VALUEID=01001&amp;SDATE=200902&amp;PERIODTYPE=QTR_STD&amp;window=popup_no_bar&amp;width=385&amp;height=120&amp;START_MAXIMIZED=FALSE&amp;creator=factset&amp;display_string=Audit"}</definedName>
    <definedName name="_1586__FDSAUDITLINK__" hidden="1">{"fdsup://Directions/FactSet Auditing Viewer?action=AUDIT_VALUE&amp;DB=129&amp;ID1=33773810&amp;VALUEID=01001&amp;SDATE=200902&amp;PERIODTYPE=QTR_STD&amp;window=popup_no_bar&amp;width=385&amp;height=120&amp;START_MAXIMIZED=FALSE&amp;creator=factset&amp;display_string=Audit"}</definedName>
    <definedName name="_1587__FDSAUDITLINK__" localSheetId="1" hidden="1">{"fdsup://Directions/FactSet Auditing Viewer?action=AUDIT_VALUE&amp;DB=129&amp;ID1=33773810&amp;VALUEID=01001&amp;SDATE=201002&amp;PERIODTYPE=QTR_STD&amp;window=popup_no_bar&amp;width=385&amp;height=120&amp;START_MAXIMIZED=FALSE&amp;creator=factset&amp;display_string=Audit"}</definedName>
    <definedName name="_1587__FDSAUDITLINK__" hidden="1">{"fdsup://Directions/FactSet Auditing Viewer?action=AUDIT_VALUE&amp;DB=129&amp;ID1=33773810&amp;VALUEID=01001&amp;SDATE=201002&amp;PERIODTYPE=QTR_STD&amp;window=popup_no_bar&amp;width=385&amp;height=120&amp;START_MAXIMIZED=FALSE&amp;creator=factset&amp;display_string=Audit"}</definedName>
    <definedName name="_1588__FDSAUDITLINK__" localSheetId="1" hidden="1">{"fdsup://Directions/FactSet Auditing Viewer?action=AUDIT_VALUE&amp;DB=129&amp;ID1=31620M10&amp;VALUEID=01001&amp;SDATE=200902&amp;PERIODTYPE=QTR_STD&amp;window=popup_no_bar&amp;width=385&amp;height=120&amp;START_MAXIMIZED=FALSE&amp;creator=factset&amp;display_string=Audit"}</definedName>
    <definedName name="_1588__FDSAUDITLINK__" hidden="1">{"fdsup://Directions/FactSet Auditing Viewer?action=AUDIT_VALUE&amp;DB=129&amp;ID1=31620M10&amp;VALUEID=01001&amp;SDATE=200902&amp;PERIODTYPE=QTR_STD&amp;window=popup_no_bar&amp;width=385&amp;height=120&amp;START_MAXIMIZED=FALSE&amp;creator=factset&amp;display_string=Audit"}</definedName>
    <definedName name="_1589__FDSAUDITLINK__" localSheetId="1" hidden="1">{"fdsup://Directions/FactSet Auditing Viewer?action=AUDIT_VALUE&amp;DB=129&amp;ID1=31620M10&amp;VALUEID=01001&amp;SDATE=201002&amp;PERIODTYPE=QTR_STD&amp;window=popup_no_bar&amp;width=385&amp;height=120&amp;START_MAXIMIZED=FALSE&amp;creator=factset&amp;display_string=Audit"}</definedName>
    <definedName name="_1589__FDSAUDITLINK__" hidden="1">{"fdsup://Directions/FactSet Auditing Viewer?action=AUDIT_VALUE&amp;DB=129&amp;ID1=31620M10&amp;VALUEID=01001&amp;SDATE=201002&amp;PERIODTYPE=QTR_STD&amp;window=popup_no_bar&amp;width=385&amp;height=120&amp;START_MAXIMIZED=FALSE&amp;creator=factset&amp;display_string=Audit"}</definedName>
    <definedName name="_159__FDSAUDITLINK__" localSheetId="1" hidden="1">{"fdsup://directions/FAT Viewer?action=UPDATE&amp;creator=factset&amp;DYN_ARGS=TRUE&amp;DOC_NAME=FAT:FQL_AUDITING_CLIENT_TEMPLATE.FAT&amp;display_string=Audit&amp;VAR:KEY=RCPYNCFSLG&amp;VAR:QUERY=RkZfRUJJVERBX09QRVIoUVRSLDQvMS8yMDA5LDYvMzAvMjAwOSwsLFVTRCk=&amp;WINDOW=FIRST_POPUP&amp;HEIGH","T=450&amp;WIDTH=450&amp;START_MAXIMIZED=FALSE&amp;VAR:CALENDAR=US&amp;VAR:SYMBOL=STZ&amp;VAR:INDEX=0"}</definedName>
    <definedName name="_159__FDSAUDITLINK__" hidden="1">{"fdsup://directions/FAT Viewer?action=UPDATE&amp;creator=factset&amp;DYN_ARGS=TRUE&amp;DOC_NAME=FAT:FQL_AUDITING_CLIENT_TEMPLATE.FAT&amp;display_string=Audit&amp;VAR:KEY=RCPYNCFSLG&amp;VAR:QUERY=RkZfRUJJVERBX09QRVIoUVRSLDQvMS8yMDA5LDYvMzAvMjAwOSwsLFVTRCk=&amp;WINDOW=FIRST_POPUP&amp;HEIGH","T=450&amp;WIDTH=450&amp;START_MAXIMIZED=FALSE&amp;VAR:CALENDAR=US&amp;VAR:SYMBOL=STZ&amp;VAR:INDEX=0"}</definedName>
    <definedName name="_1590__FDSAUDITLINK__" localSheetId="1" hidden="1">{"fdsup://Directions/FactSet Auditing Viewer?action=AUDIT_VALUE&amp;DB=129&amp;ID1=31421110&amp;VALUEID=01001&amp;SDATE=200902&amp;PERIODTYPE=QTR_STD&amp;window=popup_no_bar&amp;width=385&amp;height=120&amp;START_MAXIMIZED=FALSE&amp;creator=factset&amp;display_string=Audit"}</definedName>
    <definedName name="_1590__FDSAUDITLINK__" hidden="1">{"fdsup://Directions/FactSet Auditing Viewer?action=AUDIT_VALUE&amp;DB=129&amp;ID1=31421110&amp;VALUEID=01001&amp;SDATE=200902&amp;PERIODTYPE=QTR_STD&amp;window=popup_no_bar&amp;width=385&amp;height=120&amp;START_MAXIMIZED=FALSE&amp;creator=factset&amp;display_string=Audit"}</definedName>
    <definedName name="_1591__FDSAUDITLINK__" localSheetId="1" hidden="1">{"fdsup://Directions/FactSet Auditing Viewer?action=AUDIT_VALUE&amp;DB=129&amp;ID1=31421110&amp;VALUEID=01001&amp;SDATE=201002&amp;PERIODTYPE=QTR_STD&amp;window=popup_no_bar&amp;width=385&amp;height=120&amp;START_MAXIMIZED=FALSE&amp;creator=factset&amp;display_string=Audit"}</definedName>
    <definedName name="_1591__FDSAUDITLINK__" hidden="1">{"fdsup://Directions/FactSet Auditing Viewer?action=AUDIT_VALUE&amp;DB=129&amp;ID1=31421110&amp;VALUEID=01001&amp;SDATE=201002&amp;PERIODTYPE=QTR_STD&amp;window=popup_no_bar&amp;width=385&amp;height=120&amp;START_MAXIMIZED=FALSE&amp;creator=factset&amp;display_string=Audit"}</definedName>
    <definedName name="_1592__FDSAUDITLINK__" localSheetId="1" hidden="1">{"fdsup://Directions/FactSet Auditing Viewer?action=AUDIT_VALUE&amp;DB=129&amp;ID1=33793210&amp;VALUEID=01001&amp;SDATE=201002&amp;PERIODTYPE=QTR_STD&amp;window=popup_no_bar&amp;width=385&amp;height=120&amp;START_MAXIMIZED=FALSE&amp;creator=factset&amp;display_string=Audit"}</definedName>
    <definedName name="_1592__FDSAUDITLINK__" hidden="1">{"fdsup://Directions/FactSet Auditing Viewer?action=AUDIT_VALUE&amp;DB=129&amp;ID1=33793210&amp;VALUEID=01001&amp;SDATE=201002&amp;PERIODTYPE=QTR_STD&amp;window=popup_no_bar&amp;width=385&amp;height=120&amp;START_MAXIMIZED=FALSE&amp;creator=factset&amp;display_string=Audit"}</definedName>
    <definedName name="_1593__FDSAUDITLINK__" localSheetId="1" hidden="1">{"fdsup://Directions/FactSet Auditing Viewer?action=AUDIT_VALUE&amp;DB=129&amp;ID1=31428X10&amp;VALUEID=01001&amp;SDATE=200804&amp;PERIODTYPE=QTR_STD&amp;window=popup_no_bar&amp;width=385&amp;height=120&amp;START_MAXIMIZED=FALSE&amp;creator=factset&amp;display_string=Audit"}</definedName>
    <definedName name="_1593__FDSAUDITLINK__" hidden="1">{"fdsup://Directions/FactSet Auditing Viewer?action=AUDIT_VALUE&amp;DB=129&amp;ID1=31428X10&amp;VALUEID=01001&amp;SDATE=200804&amp;PERIODTYPE=QTR_STD&amp;window=popup_no_bar&amp;width=385&amp;height=120&amp;START_MAXIMIZED=FALSE&amp;creator=factset&amp;display_string=Audit"}</definedName>
    <definedName name="_1594__FDSAUDITLINK__" localSheetId="1" hidden="1">{"fdsup://Directions/FactSet Auditing Viewer?action=AUDIT_VALUE&amp;DB=129&amp;ID1=31428X10&amp;VALUEID=01001&amp;SDATE=200904&amp;PERIODTYPE=QTR_STD&amp;window=popup_no_bar&amp;width=385&amp;height=120&amp;START_MAXIMIZED=FALSE&amp;creator=factset&amp;display_string=Audit"}</definedName>
    <definedName name="_1594__FDSAUDITLINK__" hidden="1">{"fdsup://Directions/FactSet Auditing Viewer?action=AUDIT_VALUE&amp;DB=129&amp;ID1=31428X10&amp;VALUEID=01001&amp;SDATE=200904&amp;PERIODTYPE=QTR_STD&amp;window=popup_no_bar&amp;width=385&amp;height=120&amp;START_MAXIMIZED=FALSE&amp;creator=factset&amp;display_string=Audit"}</definedName>
    <definedName name="_1595__FDSAUDITLINK__" localSheetId="1" hidden="1">{"fdsup://Directions/FactSet Auditing Viewer?action=AUDIT_VALUE&amp;DB=129&amp;ID1=30700010&amp;VALUEID=01001&amp;SDATE=200903&amp;PERIODTYPE=QTR_STD&amp;window=popup_no_bar&amp;width=385&amp;height=120&amp;START_MAXIMIZED=FALSE&amp;creator=factset&amp;display_string=Audit"}</definedName>
    <definedName name="_1595__FDSAUDITLINK__" hidden="1">{"fdsup://Directions/FactSet Auditing Viewer?action=AUDIT_VALUE&amp;DB=129&amp;ID1=30700010&amp;VALUEID=01001&amp;SDATE=200903&amp;PERIODTYPE=QTR_STD&amp;window=popup_no_bar&amp;width=385&amp;height=120&amp;START_MAXIMIZED=FALSE&amp;creator=factset&amp;display_string=Audit"}</definedName>
    <definedName name="_1596__FDSAUDITLINK__" localSheetId="1" hidden="1">{"fdsup://Directions/FactSet Auditing Viewer?action=AUDIT_VALUE&amp;DB=129&amp;ID1=30700010&amp;VALUEID=01001&amp;SDATE=201003&amp;PERIODTYPE=QTR_STD&amp;window=popup_no_bar&amp;width=385&amp;height=120&amp;START_MAXIMIZED=FALSE&amp;creator=factset&amp;display_string=Audit"}</definedName>
    <definedName name="_1596__FDSAUDITLINK__" hidden="1">{"fdsup://Directions/FactSet Auditing Viewer?action=AUDIT_VALUE&amp;DB=129&amp;ID1=30700010&amp;VALUEID=01001&amp;SDATE=201003&amp;PERIODTYPE=QTR_STD&amp;window=popup_no_bar&amp;width=385&amp;height=120&amp;START_MAXIMIZED=FALSE&amp;creator=factset&amp;display_string=Audit"}</definedName>
    <definedName name="_1597__FDSAUDITLINK__" localSheetId="1" hidden="1">{"fdsup://Directions/FactSet Auditing Viewer?action=AUDIT_VALUE&amp;DB=129&amp;ID1=35671D85&amp;VALUEID=01001&amp;SDATE=200902&amp;PERIODTYPE=QTR_STD&amp;window=popup_no_bar&amp;width=385&amp;height=120&amp;START_MAXIMIZED=FALSE&amp;creator=factset&amp;display_string=Audit"}</definedName>
    <definedName name="_1597__FDSAUDITLINK__" hidden="1">{"fdsup://Directions/FactSet Auditing Viewer?action=AUDIT_VALUE&amp;DB=129&amp;ID1=35671D85&amp;VALUEID=01001&amp;SDATE=200902&amp;PERIODTYPE=QTR_STD&amp;window=popup_no_bar&amp;width=385&amp;height=120&amp;START_MAXIMIZED=FALSE&amp;creator=factset&amp;display_string=Audit"}</definedName>
    <definedName name="_1598__FDSAUDITLINK__" localSheetId="1" hidden="1">{"fdsup://Directions/FactSet Auditing Viewer?action=AUDIT_VALUE&amp;DB=129&amp;ID1=35671D85&amp;VALUEID=01001&amp;SDATE=201002&amp;PERIODTYPE=QTR_STD&amp;window=popup_no_bar&amp;width=385&amp;height=120&amp;START_MAXIMIZED=FALSE&amp;creator=factset&amp;display_string=Audit"}</definedName>
    <definedName name="_1598__FDSAUDITLINK__" hidden="1">{"fdsup://Directions/FactSet Auditing Viewer?action=AUDIT_VALUE&amp;DB=129&amp;ID1=35671D85&amp;VALUEID=01001&amp;SDATE=201002&amp;PERIODTYPE=QTR_STD&amp;window=popup_no_bar&amp;width=385&amp;height=120&amp;START_MAXIMIZED=FALSE&amp;creator=factset&amp;display_string=Audit"}</definedName>
    <definedName name="_1599__FDSAUDITLINK__" localSheetId="1" hidden="1">{"fdsup://Directions/FactSet Auditing Viewer?action=AUDIT_VALUE&amp;DB=129&amp;ID1=31190010&amp;VALUEID=01001&amp;SDATE=200902&amp;PERIODTYPE=QTR_STD&amp;window=popup_no_bar&amp;width=385&amp;height=120&amp;START_MAXIMIZED=FALSE&amp;creator=factset&amp;display_string=Audit"}</definedName>
    <definedName name="_1599__FDSAUDITLINK__" hidden="1">{"fdsup://Directions/FactSet Auditing Viewer?action=AUDIT_VALUE&amp;DB=129&amp;ID1=31190010&amp;VALUEID=01001&amp;SDATE=200902&amp;PERIODTYPE=QTR_STD&amp;window=popup_no_bar&amp;width=385&amp;height=120&amp;START_MAXIMIZED=FALSE&amp;creator=factset&amp;display_string=Audit"}</definedName>
    <definedName name="_16__FDSAUDITLINK__" localSheetId="1" hidden="1">{"fdsup://directions/FAT Viewer?action=UPDATE&amp;creator=factset&amp;DYN_ARGS=TRUE&amp;DOC_NAME=FAT:FQL_AUDITING_CLIENT_TEMPLATE.FAT&amp;display_string=Audit&amp;VAR:KEY=HSFCXGHKNC&amp;VAR:QUERY=RkZfRUJJVERBX09QRVIoUVRSLDQvMS8yMDEwLDYvMzAvMjAxMCwsLFVTRCk=&amp;WINDOW=FIRST_POPUP&amp;HEIGH","T=450&amp;WIDTH=450&amp;START_MAXIMIZED=FALSE&amp;VAR:CALENDAR=US&amp;VAR:SYMBOL=XLNX&amp;VAR:INDEX=0"}</definedName>
    <definedName name="_16__FDSAUDITLINK__" hidden="1">{"fdsup://Directions/FactSet Auditing Viewer?action=AUDIT_VALUE&amp;DB=129&amp;ID1=590294&amp;VALUEID=02001&amp;SDATE=200903&amp;PERIODTYPE=QTR_STD&amp;window=popup_no_bar&amp;width=385&amp;height=120&amp;START_MAXIMIZED=FALSE&amp;creator=factset&amp;display_string=Audit"}</definedName>
    <definedName name="_160__FDSAUDITLINK__" localSheetId="1" hidden="1">{"fdsup://directions/FAT Viewer?action=UPDATE&amp;creator=factset&amp;DYN_ARGS=TRUE&amp;DOC_NAME=FAT:FQL_AUDITING_CLIENT_TEMPLATE.FAT&amp;display_string=Audit&amp;VAR:KEY=TKTERWJSVS&amp;VAR:QUERY=RkZfRUJJVERBX09QRVIoUVRSLDQvMS8yMDEwLDYvMzAvMjAxMCwsLFVTRCk=&amp;WINDOW=FIRST_POPUP&amp;HEIGH","T=450&amp;WIDTH=450&amp;START_MAXIMIZED=FALSE&amp;VAR:CALENDAR=US&amp;VAR:SYMBOL=STZ&amp;VAR:INDEX=0"}</definedName>
    <definedName name="_160__FDSAUDITLINK__" hidden="1">{"fdsup://directions/FAT Viewer?action=UPDATE&amp;creator=factset&amp;DYN_ARGS=TRUE&amp;DOC_NAME=FAT:FQL_AUDITING_CLIENT_TEMPLATE.FAT&amp;display_string=Audit&amp;VAR:KEY=TKTERWJSVS&amp;VAR:QUERY=RkZfRUJJVERBX09QRVIoUVRSLDQvMS8yMDEwLDYvMzAvMjAxMCwsLFVTRCk=&amp;WINDOW=FIRST_POPUP&amp;HEIGH","T=450&amp;WIDTH=450&amp;START_MAXIMIZED=FALSE&amp;VAR:CALENDAR=US&amp;VAR:SYMBOL=STZ&amp;VAR:INDEX=0"}</definedName>
    <definedName name="_1600__FDSAUDITLINK__" localSheetId="1" hidden="1">{"fdsup://Directions/FactSet Auditing Viewer?action=AUDIT_VALUE&amp;DB=129&amp;ID1=31190010&amp;VALUEID=01001&amp;SDATE=201002&amp;PERIODTYPE=QTR_STD&amp;window=popup_no_bar&amp;width=385&amp;height=120&amp;START_MAXIMIZED=FALSE&amp;creator=factset&amp;display_string=Audit"}</definedName>
    <definedName name="_1600__FDSAUDITLINK__" hidden="1">{"fdsup://Directions/FactSet Auditing Viewer?action=AUDIT_VALUE&amp;DB=129&amp;ID1=31190010&amp;VALUEID=01001&amp;SDATE=201002&amp;PERIODTYPE=QTR_STD&amp;window=popup_no_bar&amp;width=385&amp;height=120&amp;START_MAXIMIZED=FALSE&amp;creator=factset&amp;display_string=Audit"}</definedName>
    <definedName name="_1601__FDSAUDITLINK__" localSheetId="1" hidden="1">{"fdsup://Directions/FactSet Auditing Viewer?action=AUDIT_VALUE&amp;DB=129&amp;ID1=34537086&amp;VALUEID=01001&amp;SDATE=200902&amp;PERIODTYPE=QTR_STD&amp;window=popup_no_bar&amp;width=385&amp;height=120&amp;START_MAXIMIZED=FALSE&amp;creator=factset&amp;display_string=Audit"}</definedName>
    <definedName name="_1601__FDSAUDITLINK__" hidden="1">{"fdsup://Directions/FactSet Auditing Viewer?action=AUDIT_VALUE&amp;DB=129&amp;ID1=34537086&amp;VALUEID=01001&amp;SDATE=200902&amp;PERIODTYPE=QTR_STD&amp;window=popup_no_bar&amp;width=385&amp;height=120&amp;START_MAXIMIZED=FALSE&amp;creator=factset&amp;display_string=Audit"}</definedName>
    <definedName name="_1602__FDSAUDITLINK__" localSheetId="1" hidden="1">{"fdsup://Directions/FactSet Auditing Viewer?action=AUDIT_VALUE&amp;DB=129&amp;ID1=34537086&amp;VALUEID=01001&amp;SDATE=201002&amp;PERIODTYPE=QTR_STD&amp;window=popup_no_bar&amp;width=385&amp;height=120&amp;START_MAXIMIZED=FALSE&amp;creator=factset&amp;display_string=Audit"}</definedName>
    <definedName name="_1602__FDSAUDITLINK__" hidden="1">{"fdsup://Directions/FactSet Auditing Viewer?action=AUDIT_VALUE&amp;DB=129&amp;ID1=34537086&amp;VALUEID=01001&amp;SDATE=201002&amp;PERIODTYPE=QTR_STD&amp;window=popup_no_bar&amp;width=385&amp;height=120&amp;START_MAXIMIZED=FALSE&amp;creator=factset&amp;display_string=Audit"}</definedName>
    <definedName name="_1603__FDSAUDITLINK__" localSheetId="1" hidden="1">{"fdsup://Directions/FactSet Auditing Viewer?action=AUDIT_VALUE&amp;DB=129&amp;ID1=30212P10&amp;VALUEID=01001&amp;SDATE=200902&amp;PERIODTYPE=QTR_STD&amp;window=popup_no_bar&amp;width=385&amp;height=120&amp;START_MAXIMIZED=FALSE&amp;creator=factset&amp;display_string=Audit"}</definedName>
    <definedName name="_1603__FDSAUDITLINK__" hidden="1">{"fdsup://Directions/FactSet Auditing Viewer?action=AUDIT_VALUE&amp;DB=129&amp;ID1=30212P10&amp;VALUEID=01001&amp;SDATE=200902&amp;PERIODTYPE=QTR_STD&amp;window=popup_no_bar&amp;width=385&amp;height=120&amp;START_MAXIMIZED=FALSE&amp;creator=factset&amp;display_string=Audit"}</definedName>
    <definedName name="_1604__FDSAUDITLINK__" localSheetId="1" hidden="1">{"fdsup://Directions/FactSet Auditing Viewer?action=AUDIT_VALUE&amp;DB=129&amp;ID1=30212P10&amp;VALUEID=01001&amp;SDATE=201002&amp;PERIODTYPE=QTR_STD&amp;window=popup_no_bar&amp;width=385&amp;height=120&amp;START_MAXIMIZED=FALSE&amp;creator=factset&amp;display_string=Audit"}</definedName>
    <definedName name="_1604__FDSAUDITLINK__" hidden="1">{"fdsup://Directions/FactSet Auditing Viewer?action=AUDIT_VALUE&amp;DB=129&amp;ID1=30212P10&amp;VALUEID=01001&amp;SDATE=201002&amp;PERIODTYPE=QTR_STD&amp;window=popup_no_bar&amp;width=385&amp;height=120&amp;START_MAXIMIZED=FALSE&amp;creator=factset&amp;display_string=Audit"}</definedName>
    <definedName name="_1605__FDSAUDITLINK__" localSheetId="1" hidden="1">{"fdsup://Directions/FactSet Auditing Viewer?action=AUDIT_VALUE&amp;DB=129&amp;ID1=30213010&amp;VALUEID=01001&amp;SDATE=200902&amp;PERIODTYPE=QTR_STD&amp;window=popup_no_bar&amp;width=385&amp;height=120&amp;START_MAXIMIZED=FALSE&amp;creator=factset&amp;display_string=Audit"}</definedName>
    <definedName name="_1605__FDSAUDITLINK__" hidden="1">{"fdsup://Directions/FactSet Auditing Viewer?action=AUDIT_VALUE&amp;DB=129&amp;ID1=30213010&amp;VALUEID=01001&amp;SDATE=200902&amp;PERIODTYPE=QTR_STD&amp;window=popup_no_bar&amp;width=385&amp;height=120&amp;START_MAXIMIZED=FALSE&amp;creator=factset&amp;display_string=Audit"}</definedName>
    <definedName name="_1606__FDSAUDITLINK__" localSheetId="1" hidden="1">{"fdsup://Directions/FactSet Auditing Viewer?action=AUDIT_VALUE&amp;DB=129&amp;ID1=30213010&amp;VALUEID=01001&amp;SDATE=201002&amp;PERIODTYPE=QTR_STD&amp;window=popup_no_bar&amp;width=385&amp;height=120&amp;START_MAXIMIZED=FALSE&amp;creator=factset&amp;display_string=Audit"}</definedName>
    <definedName name="_1606__FDSAUDITLINK__" hidden="1">{"fdsup://Directions/FactSet Auditing Viewer?action=AUDIT_VALUE&amp;DB=129&amp;ID1=30213010&amp;VALUEID=01001&amp;SDATE=201002&amp;PERIODTYPE=QTR_STD&amp;window=popup_no_bar&amp;width=385&amp;height=120&amp;START_MAXIMIZED=FALSE&amp;creator=factset&amp;display_string=Audit"}</definedName>
    <definedName name="_1607__FDSAUDITLINK__" localSheetId="1" hidden="1">{"fdsup://Directions/FactSet Auditing Viewer?action=AUDIT_VALUE&amp;DB=129&amp;ID1=30161N10&amp;VALUEID=01001&amp;SDATE=200902&amp;PERIODTYPE=QTR_STD&amp;window=popup_no_bar&amp;width=385&amp;height=120&amp;START_MAXIMIZED=FALSE&amp;creator=factset&amp;display_string=Audit"}</definedName>
    <definedName name="_1607__FDSAUDITLINK__" hidden="1">{"fdsup://Directions/FactSet Auditing Viewer?action=AUDIT_VALUE&amp;DB=129&amp;ID1=30161N10&amp;VALUEID=01001&amp;SDATE=200902&amp;PERIODTYPE=QTR_STD&amp;window=popup_no_bar&amp;width=385&amp;height=120&amp;START_MAXIMIZED=FALSE&amp;creator=factset&amp;display_string=Audit"}</definedName>
    <definedName name="_1608__FDSAUDITLINK__" localSheetId="1" hidden="1">{"fdsup://Directions/FactSet Auditing Viewer?action=AUDIT_VALUE&amp;DB=129&amp;ID1=30161N10&amp;VALUEID=01001&amp;SDATE=201002&amp;PERIODTYPE=QTR_STD&amp;window=popup_no_bar&amp;width=385&amp;height=120&amp;START_MAXIMIZED=FALSE&amp;creator=factset&amp;display_string=Audit"}</definedName>
    <definedName name="_1608__FDSAUDITLINK__" hidden="1">{"fdsup://Directions/FactSet Auditing Viewer?action=AUDIT_VALUE&amp;DB=129&amp;ID1=30161N10&amp;VALUEID=01001&amp;SDATE=201002&amp;PERIODTYPE=QTR_STD&amp;window=popup_no_bar&amp;width=385&amp;height=120&amp;START_MAXIMIZED=FALSE&amp;creator=factset&amp;display_string=Audit"}</definedName>
    <definedName name="_1609__FDSAUDITLINK__" localSheetId="1" hidden="1">{"fdsup://Directions/FactSet Auditing Viewer?action=AUDIT_VALUE&amp;DB=129&amp;ID1=29364G10&amp;VALUEID=01001&amp;SDATE=200902&amp;PERIODTYPE=QTR_STD&amp;window=popup_no_bar&amp;width=385&amp;height=120&amp;START_MAXIMIZED=FALSE&amp;creator=factset&amp;display_string=Audit"}</definedName>
    <definedName name="_1609__FDSAUDITLINK__" hidden="1">{"fdsup://Directions/FactSet Auditing Viewer?action=AUDIT_VALUE&amp;DB=129&amp;ID1=29364G10&amp;VALUEID=01001&amp;SDATE=200902&amp;PERIODTYPE=QTR_STD&amp;window=popup_no_bar&amp;width=385&amp;height=120&amp;START_MAXIMIZED=FALSE&amp;creator=factset&amp;display_string=Audit"}</definedName>
    <definedName name="_161__FDSAUDITLINK__" localSheetId="1" hidden="1">{"fdsup://directions/FAT Viewer?action=UPDATE&amp;creator=factset&amp;DYN_ARGS=TRUE&amp;DOC_NAME=FAT:FQL_AUDITING_CLIENT_TEMPLATE.FAT&amp;display_string=Audit&amp;VAR:KEY=ZQHABYBAHQ&amp;VAR:QUERY=RkZfRUJJVERBX09QRVIoUVRSLDQvMS8yMDA5LDYvMzAvMjAwOSwsLFVTRCk=&amp;WINDOW=FIRST_POPUP&amp;HEIGH","T=450&amp;WIDTH=450&amp;START_MAXIMIZED=FALSE&amp;VAR:CALENDAR=US&amp;VAR:SYMBOL=STT&amp;VAR:INDEX=0"}</definedName>
    <definedName name="_161__FDSAUDITLINK__" hidden="1">{"fdsup://directions/FAT Viewer?action=UPDATE&amp;creator=factset&amp;DYN_ARGS=TRUE&amp;DOC_NAME=FAT:FQL_AUDITING_CLIENT_TEMPLATE.FAT&amp;display_string=Audit&amp;VAR:KEY=ZQHABYBAHQ&amp;VAR:QUERY=RkZfRUJJVERBX09QRVIoUVRSLDQvMS8yMDA5LDYvMzAvMjAwOSwsLFVTRCk=&amp;WINDOW=FIRST_POPUP&amp;HEIGH","T=450&amp;WIDTH=450&amp;START_MAXIMIZED=FALSE&amp;VAR:CALENDAR=US&amp;VAR:SYMBOL=STT&amp;VAR:INDEX=0"}</definedName>
    <definedName name="_1610__FDSAUDITLINK__" localSheetId="1" hidden="1">{"fdsup://Directions/FactSet Auditing Viewer?action=AUDIT_VALUE&amp;DB=129&amp;ID1=29364G10&amp;VALUEID=01001&amp;SDATE=201002&amp;PERIODTYPE=QTR_STD&amp;window=popup_no_bar&amp;width=385&amp;height=120&amp;START_MAXIMIZED=FALSE&amp;creator=factset&amp;display_string=Audit"}</definedName>
    <definedName name="_1610__FDSAUDITLINK__" hidden="1">{"fdsup://Directions/FactSet Auditing Viewer?action=AUDIT_VALUE&amp;DB=129&amp;ID1=29364G10&amp;VALUEID=01001&amp;SDATE=201002&amp;PERIODTYPE=QTR_STD&amp;window=popup_no_bar&amp;width=385&amp;height=120&amp;START_MAXIMIZED=FALSE&amp;creator=factset&amp;display_string=Audit"}</definedName>
    <definedName name="_1611__FDSAUDITLINK__" localSheetId="1" hidden="1">{"fdsup://Directions/FactSet Auditing Viewer?action=AUDIT_VALUE&amp;DB=129&amp;ID1=27805810&amp;VALUEID=01001&amp;SDATE=200902&amp;PERIODTYPE=QTR_STD&amp;window=popup_no_bar&amp;width=385&amp;height=120&amp;START_MAXIMIZED=FALSE&amp;creator=factset&amp;display_string=Audit"}</definedName>
    <definedName name="_1611__FDSAUDITLINK__" hidden="1">{"fdsup://Directions/FactSet Auditing Viewer?action=AUDIT_VALUE&amp;DB=129&amp;ID1=27805810&amp;VALUEID=01001&amp;SDATE=200902&amp;PERIODTYPE=QTR_STD&amp;window=popup_no_bar&amp;width=385&amp;height=120&amp;START_MAXIMIZED=FALSE&amp;creator=factset&amp;display_string=Audit"}</definedName>
    <definedName name="_1612__FDSAUDITLINK__" localSheetId="1" hidden="1">{"fdsup://Directions/FactSet Auditing Viewer?action=AUDIT_VALUE&amp;DB=129&amp;ID1=27805810&amp;VALUEID=01001&amp;SDATE=201002&amp;PERIODTYPE=QTR_STD&amp;window=popup_no_bar&amp;width=385&amp;height=120&amp;START_MAXIMIZED=FALSE&amp;creator=factset&amp;display_string=Audit"}</definedName>
    <definedName name="_1612__FDSAUDITLINK__" hidden="1">{"fdsup://Directions/FactSet Auditing Viewer?action=AUDIT_VALUE&amp;DB=129&amp;ID1=27805810&amp;VALUEID=01001&amp;SDATE=201002&amp;PERIODTYPE=QTR_STD&amp;window=popup_no_bar&amp;width=385&amp;height=120&amp;START_MAXIMIZED=FALSE&amp;creator=factset&amp;display_string=Audit"}</definedName>
    <definedName name="_1613__FDSAUDITLINK__" localSheetId="1" hidden="1">{"fdsup://Directions/FactSet Auditing Viewer?action=AUDIT_VALUE&amp;DB=129&amp;ID1=26924640&amp;VALUEID=01001&amp;SDATE=200902&amp;PERIODTYPE=QTR_STD&amp;window=popup_no_bar&amp;width=385&amp;height=120&amp;START_MAXIMIZED=FALSE&amp;creator=factset&amp;display_string=Audit"}</definedName>
    <definedName name="_1613__FDSAUDITLINK__" hidden="1">{"fdsup://Directions/FactSet Auditing Viewer?action=AUDIT_VALUE&amp;DB=129&amp;ID1=26924640&amp;VALUEID=01001&amp;SDATE=200902&amp;PERIODTYPE=QTR_STD&amp;window=popup_no_bar&amp;width=385&amp;height=120&amp;START_MAXIMIZED=FALSE&amp;creator=factset&amp;display_string=Audit"}</definedName>
    <definedName name="_1614__FDSAUDITLINK__" localSheetId="1" hidden="1">{"fdsup://Directions/FactSet Auditing Viewer?action=AUDIT_VALUE&amp;DB=129&amp;ID1=26924640&amp;VALUEID=01001&amp;SDATE=201002&amp;PERIODTYPE=QTR_STD&amp;window=popup_no_bar&amp;width=385&amp;height=120&amp;START_MAXIMIZED=FALSE&amp;creator=factset&amp;display_string=Audit"}</definedName>
    <definedName name="_1614__FDSAUDITLINK__" hidden="1">{"fdsup://Directions/FactSet Auditing Viewer?action=AUDIT_VALUE&amp;DB=129&amp;ID1=26924640&amp;VALUEID=01001&amp;SDATE=201002&amp;PERIODTYPE=QTR_STD&amp;window=popup_no_bar&amp;width=385&amp;height=120&amp;START_MAXIMIZED=FALSE&amp;creator=factset&amp;display_string=Audit"}</definedName>
    <definedName name="_1615__FDSAUDITLINK__" localSheetId="1" hidden="1">{"fdsup://Directions/FactSet Auditing Viewer?action=AUDIT_VALUE&amp;DB=129&amp;ID1=30218210&amp;VALUEID=01001&amp;SDATE=200902&amp;PERIODTYPE=QTR_STD&amp;window=popup_no_bar&amp;width=385&amp;height=120&amp;START_MAXIMIZED=FALSE&amp;creator=factset&amp;display_string=Audit"}</definedName>
    <definedName name="_1615__FDSAUDITLINK__" hidden="1">{"fdsup://Directions/FactSet Auditing Viewer?action=AUDIT_VALUE&amp;DB=129&amp;ID1=30218210&amp;VALUEID=01001&amp;SDATE=200902&amp;PERIODTYPE=QTR_STD&amp;window=popup_no_bar&amp;width=385&amp;height=120&amp;START_MAXIMIZED=FALSE&amp;creator=factset&amp;display_string=Audit"}</definedName>
    <definedName name="_1616__FDSAUDITLINK__" localSheetId="1" hidden="1">{"fdsup://Directions/FactSet Auditing Viewer?action=AUDIT_VALUE&amp;DB=129&amp;ID1=30218210&amp;VALUEID=01001&amp;SDATE=201002&amp;PERIODTYPE=QTR_STD&amp;window=popup_no_bar&amp;width=385&amp;height=120&amp;START_MAXIMIZED=FALSE&amp;creator=factset&amp;display_string=Audit"}</definedName>
    <definedName name="_1616__FDSAUDITLINK__" hidden="1">{"fdsup://Directions/FactSet Auditing Viewer?action=AUDIT_VALUE&amp;DB=129&amp;ID1=30218210&amp;VALUEID=01001&amp;SDATE=201002&amp;PERIODTYPE=QTR_STD&amp;window=popup_no_bar&amp;width=385&amp;height=120&amp;START_MAXIMIZED=FALSE&amp;creator=factset&amp;display_string=Audit"}</definedName>
    <definedName name="_1617__FDSAUDITLINK__" localSheetId="1" hidden="1">{"fdsup://Directions/FactSet Auditing Viewer?action=AUDIT_VALUE&amp;DB=129&amp;ID1=28551210&amp;VALUEID=01001&amp;SDATE=200901&amp;PERIODTYPE=QTR_STD&amp;window=popup_no_bar&amp;width=385&amp;height=120&amp;START_MAXIMIZED=FALSE&amp;creator=factset&amp;display_string=Audit"}</definedName>
    <definedName name="_1617__FDSAUDITLINK__" hidden="1">{"fdsup://Directions/FactSet Auditing Viewer?action=AUDIT_VALUE&amp;DB=129&amp;ID1=28551210&amp;VALUEID=01001&amp;SDATE=200901&amp;PERIODTYPE=QTR_STD&amp;window=popup_no_bar&amp;width=385&amp;height=120&amp;START_MAXIMIZED=FALSE&amp;creator=factset&amp;display_string=Audit"}</definedName>
    <definedName name="_1618__FDSAUDITLINK__" localSheetId="1" hidden="1">{"fdsup://Directions/FactSet Auditing Viewer?action=AUDIT_VALUE&amp;DB=129&amp;ID1=28551210&amp;VALUEID=01001&amp;SDATE=201001&amp;PERIODTYPE=QTR_STD&amp;window=popup_no_bar&amp;width=385&amp;height=120&amp;START_MAXIMIZED=FALSE&amp;creator=factset&amp;display_string=Audit"}</definedName>
    <definedName name="_1618__FDSAUDITLINK__" hidden="1">{"fdsup://Directions/FactSet Auditing Viewer?action=AUDIT_VALUE&amp;DB=129&amp;ID1=28551210&amp;VALUEID=01001&amp;SDATE=201001&amp;PERIODTYPE=QTR_STD&amp;window=popup_no_bar&amp;width=385&amp;height=120&amp;START_MAXIMIZED=FALSE&amp;creator=factset&amp;display_string=Audit"}</definedName>
    <definedName name="_1619__FDSAUDITLINK__" localSheetId="1" hidden="1">{"fdsup://Directions/FactSet Auditing Viewer?action=AUDIT_VALUE&amp;DB=129&amp;ID1=26884L10&amp;VALUEID=01001&amp;SDATE=201002&amp;PERIODTYPE=QTR_STD&amp;window=popup_no_bar&amp;width=385&amp;height=120&amp;START_MAXIMIZED=FALSE&amp;creator=factset&amp;display_string=Audit"}</definedName>
    <definedName name="_1619__FDSAUDITLINK__" hidden="1">{"fdsup://Directions/FactSet Auditing Viewer?action=AUDIT_VALUE&amp;DB=129&amp;ID1=26884L10&amp;VALUEID=01001&amp;SDATE=201002&amp;PERIODTYPE=QTR_STD&amp;window=popup_no_bar&amp;width=385&amp;height=120&amp;START_MAXIMIZED=FALSE&amp;creator=factset&amp;display_string=Audit"}</definedName>
    <definedName name="_162__FDSAUDITLINK__" localSheetId="1" hidden="1">{"fdsup://directions/FAT Viewer?action=UPDATE&amp;creator=factset&amp;DYN_ARGS=TRUE&amp;DOC_NAME=FAT:FQL_AUDITING_CLIENT_TEMPLATE.FAT&amp;display_string=Audit&amp;VAR:KEY=VMBYTULKJM&amp;VAR:QUERY=RkZfRUJJVERBX09QRVIoUVRSLDQvMS8yMDEwLDYvMzAvMjAxMCwsLFVTRCk=&amp;WINDOW=FIRST_POPUP&amp;HEIGH","T=450&amp;WIDTH=450&amp;START_MAXIMIZED=FALSE&amp;VAR:CALENDAR=US&amp;VAR:SYMBOL=STT&amp;VAR:INDEX=0"}</definedName>
    <definedName name="_162__FDSAUDITLINK__" hidden="1">{"fdsup://directions/FAT Viewer?action=UPDATE&amp;creator=factset&amp;DYN_ARGS=TRUE&amp;DOC_NAME=FAT:FQL_AUDITING_CLIENT_TEMPLATE.FAT&amp;display_string=Audit&amp;VAR:KEY=VMBYTULKJM&amp;VAR:QUERY=RkZfRUJJVERBX09QRVIoUVRSLDQvMS8yMDEwLDYvMzAvMjAxMCwsLFVTRCk=&amp;WINDOW=FIRST_POPUP&amp;HEIGH","T=450&amp;WIDTH=450&amp;START_MAXIMIZED=FALSE&amp;VAR:CALENDAR=US&amp;VAR:SYMBOL=STT&amp;VAR:INDEX=0"}</definedName>
    <definedName name="_1620__FDSAUDITLINK__" localSheetId="1" hidden="1">{"fdsup://Directions/FactSet Auditing Viewer?action=AUDIT_VALUE&amp;DB=129&amp;ID1=29476L10&amp;VALUEID=01001&amp;SDATE=200902&amp;PERIODTYPE=QTR_STD&amp;window=popup_no_bar&amp;width=385&amp;height=120&amp;START_MAXIMIZED=FALSE&amp;creator=factset&amp;display_string=Audit"}</definedName>
    <definedName name="_1620__FDSAUDITLINK__" hidden="1">{"fdsup://Directions/FactSet Auditing Viewer?action=AUDIT_VALUE&amp;DB=129&amp;ID1=29476L10&amp;VALUEID=01001&amp;SDATE=200902&amp;PERIODTYPE=QTR_STD&amp;window=popup_no_bar&amp;width=385&amp;height=120&amp;START_MAXIMIZED=FALSE&amp;creator=factset&amp;display_string=Audit"}</definedName>
    <definedName name="_1621__FDSAUDITLINK__" localSheetId="1" hidden="1">{"fdsup://Directions/FactSet Auditing Viewer?action=AUDIT_VALUE&amp;DB=129&amp;ID1=29476L10&amp;VALUEID=01001&amp;SDATE=201002&amp;PERIODTYPE=QTR_STD&amp;window=popup_no_bar&amp;width=385&amp;height=120&amp;START_MAXIMIZED=FALSE&amp;creator=factset&amp;display_string=Audit"}</definedName>
    <definedName name="_1621__FDSAUDITLINK__" hidden="1">{"fdsup://Directions/FactSet Auditing Viewer?action=AUDIT_VALUE&amp;DB=129&amp;ID1=29476L10&amp;VALUEID=01001&amp;SDATE=201002&amp;PERIODTYPE=QTR_STD&amp;window=popup_no_bar&amp;width=385&amp;height=120&amp;START_MAXIMIZED=FALSE&amp;creator=factset&amp;display_string=Audit"}</definedName>
    <definedName name="_1622__FDSAUDITLINK__" localSheetId="1" hidden="1">{"fdsup://Directions/FactSet Auditing Viewer?action=AUDIT_VALUE&amp;DB=129&amp;ID1=28336L10&amp;VALUEID=01001&amp;SDATE=200902&amp;PERIODTYPE=QTR_STD&amp;window=popup_no_bar&amp;width=385&amp;height=120&amp;START_MAXIMIZED=FALSE&amp;creator=factset&amp;display_string=Audit"}</definedName>
    <definedName name="_1622__FDSAUDITLINK__" hidden="1">{"fdsup://Directions/FactSet Auditing Viewer?action=AUDIT_VALUE&amp;DB=129&amp;ID1=28336L10&amp;VALUEID=01001&amp;SDATE=200902&amp;PERIODTYPE=QTR_STD&amp;window=popup_no_bar&amp;width=385&amp;height=120&amp;START_MAXIMIZED=FALSE&amp;creator=factset&amp;display_string=Audit"}</definedName>
    <definedName name="_1623__FDSAUDITLINK__" localSheetId="1" hidden="1">{"fdsup://Directions/FactSet Auditing Viewer?action=AUDIT_VALUE&amp;DB=129&amp;ID1=28336L10&amp;VALUEID=01001&amp;SDATE=201002&amp;PERIODTYPE=QTR_STD&amp;window=popup_no_bar&amp;width=385&amp;height=120&amp;START_MAXIMIZED=FALSE&amp;creator=factset&amp;display_string=Audit"}</definedName>
    <definedName name="_1623__FDSAUDITLINK__" hidden="1">{"fdsup://Directions/FactSet Auditing Viewer?action=AUDIT_VALUE&amp;DB=129&amp;ID1=28336L10&amp;VALUEID=01001&amp;SDATE=201002&amp;PERIODTYPE=QTR_STD&amp;window=popup_no_bar&amp;width=385&amp;height=120&amp;START_MAXIMIZED=FALSE&amp;creator=factset&amp;display_string=Audit"}</definedName>
    <definedName name="_1624__FDSAUDITLINK__" localSheetId="1" hidden="1">{"fdsup://Directions/FactSet Auditing Viewer?action=AUDIT_VALUE&amp;DB=129&amp;ID1=26875P10&amp;VALUEID=01001&amp;SDATE=200902&amp;PERIODTYPE=QTR_STD&amp;window=popup_no_bar&amp;width=385&amp;height=120&amp;START_MAXIMIZED=FALSE&amp;creator=factset&amp;display_string=Audit"}</definedName>
    <definedName name="_1624__FDSAUDITLINK__" hidden="1">{"fdsup://Directions/FactSet Auditing Viewer?action=AUDIT_VALUE&amp;DB=129&amp;ID1=26875P10&amp;VALUEID=01001&amp;SDATE=200902&amp;PERIODTYPE=QTR_STD&amp;window=popup_no_bar&amp;width=385&amp;height=120&amp;START_MAXIMIZED=FALSE&amp;creator=factset&amp;display_string=Audit"}</definedName>
    <definedName name="_1625__FDSAUDITLINK__" localSheetId="1" hidden="1">{"fdsup://Directions/FactSet Auditing Viewer?action=AUDIT_VALUE&amp;DB=129&amp;ID1=26875P10&amp;VALUEID=01001&amp;SDATE=201002&amp;PERIODTYPE=QTR_STD&amp;window=popup_no_bar&amp;width=385&amp;height=120&amp;START_MAXIMIZED=FALSE&amp;creator=factset&amp;display_string=Audit"}</definedName>
    <definedName name="_1625__FDSAUDITLINK__" hidden="1">{"fdsup://Directions/FactSet Auditing Viewer?action=AUDIT_VALUE&amp;DB=129&amp;ID1=26875P10&amp;VALUEID=01001&amp;SDATE=201002&amp;PERIODTYPE=QTR_STD&amp;window=popup_no_bar&amp;width=385&amp;height=120&amp;START_MAXIMIZED=FALSE&amp;creator=factset&amp;display_string=Audit"}</definedName>
    <definedName name="_1626__FDSAUDITLINK__" localSheetId="1" hidden="1">{"fdsup://Directions/FactSet Auditing Viewer?action=AUDIT_VALUE&amp;DB=129&amp;ID1=29101110&amp;VALUEID=01001&amp;SDATE=200903&amp;PERIODTYPE=QTR_STD&amp;window=popup_no_bar&amp;width=385&amp;height=120&amp;START_MAXIMIZED=FALSE&amp;creator=factset&amp;display_string=Audit"}</definedName>
    <definedName name="_1626__FDSAUDITLINK__" hidden="1">{"fdsup://Directions/FactSet Auditing Viewer?action=AUDIT_VALUE&amp;DB=129&amp;ID1=29101110&amp;VALUEID=01001&amp;SDATE=200903&amp;PERIODTYPE=QTR_STD&amp;window=popup_no_bar&amp;width=385&amp;height=120&amp;START_MAXIMIZED=FALSE&amp;creator=factset&amp;display_string=Audit"}</definedName>
    <definedName name="_1627__FDSAUDITLINK__" localSheetId="1" hidden="1">{"fdsup://Directions/FactSet Auditing Viewer?action=AUDIT_VALUE&amp;DB=129&amp;ID1=29101110&amp;VALUEID=01001&amp;SDATE=201003&amp;PERIODTYPE=QTR_STD&amp;window=popup_no_bar&amp;width=385&amp;height=120&amp;START_MAXIMIZED=FALSE&amp;creator=factset&amp;display_string=Audit"}</definedName>
    <definedName name="_1627__FDSAUDITLINK__" hidden="1">{"fdsup://Directions/FactSet Auditing Viewer?action=AUDIT_VALUE&amp;DB=129&amp;ID1=29101110&amp;VALUEID=01001&amp;SDATE=201003&amp;PERIODTYPE=QTR_STD&amp;window=popup_no_bar&amp;width=385&amp;height=120&amp;START_MAXIMIZED=FALSE&amp;creator=factset&amp;display_string=Audit"}</definedName>
    <definedName name="_1628__FDSAUDITLINK__" localSheetId="1" hidden="1">{"fdsup://Directions/FactSet Auditing Viewer?action=AUDIT_VALUE&amp;DB=129&amp;ID1=27743210&amp;VALUEID=01001&amp;SDATE=200902&amp;PERIODTYPE=QTR_STD&amp;window=popup_no_bar&amp;width=385&amp;height=120&amp;START_MAXIMIZED=FALSE&amp;creator=factset&amp;display_string=Audit"}</definedName>
    <definedName name="_1628__FDSAUDITLINK__" hidden="1">{"fdsup://Directions/FactSet Auditing Viewer?action=AUDIT_VALUE&amp;DB=129&amp;ID1=27743210&amp;VALUEID=01001&amp;SDATE=200902&amp;PERIODTYPE=QTR_STD&amp;window=popup_no_bar&amp;width=385&amp;height=120&amp;START_MAXIMIZED=FALSE&amp;creator=factset&amp;display_string=Audit"}</definedName>
    <definedName name="_1629__FDSAUDITLINK__" localSheetId="1" hidden="1">{"fdsup://Directions/FactSet Auditing Viewer?action=AUDIT_VALUE&amp;DB=129&amp;ID1=27743210&amp;VALUEID=01001&amp;SDATE=201002&amp;PERIODTYPE=QTR_STD&amp;window=popup_no_bar&amp;width=385&amp;height=120&amp;START_MAXIMIZED=FALSE&amp;creator=factset&amp;display_string=Audit"}</definedName>
    <definedName name="_1629__FDSAUDITLINK__" hidden="1">{"fdsup://Directions/FactSet Auditing Viewer?action=AUDIT_VALUE&amp;DB=129&amp;ID1=27743210&amp;VALUEID=01001&amp;SDATE=201002&amp;PERIODTYPE=QTR_STD&amp;window=popup_no_bar&amp;width=385&amp;height=120&amp;START_MAXIMIZED=FALSE&amp;creator=factset&amp;display_string=Audit"}</definedName>
    <definedName name="_163__FDSAUDITLINK__" localSheetId="1" hidden="1">{"fdsup://directions/FAT Viewer?action=UPDATE&amp;creator=factset&amp;DYN_ARGS=TRUE&amp;DOC_NAME=FAT:FQL_AUDITING_CLIENT_TEMPLATE.FAT&amp;display_string=Audit&amp;VAR:KEY=ZSPQZMXIXW&amp;VAR:QUERY=RkZfRUJJVERBX09QRVIoUVRSLDQvMS8yMDA5LDYvMzAvMjAwOSwsLFVTRCk=&amp;WINDOW=FIRST_POPUP&amp;HEIGH","T=450&amp;WIDTH=450&amp;START_MAXIMIZED=FALSE&amp;VAR:CALENDAR=US&amp;VAR:SYMBOL=STJ&amp;VAR:INDEX=0"}</definedName>
    <definedName name="_163__FDSAUDITLINK__" hidden="1">{"fdsup://directions/FAT Viewer?action=UPDATE&amp;creator=factset&amp;DYN_ARGS=TRUE&amp;DOC_NAME=FAT:FQL_AUDITING_CLIENT_TEMPLATE.FAT&amp;display_string=Audit&amp;VAR:KEY=ZSPQZMXIXW&amp;VAR:QUERY=RkZfRUJJVERBX09QRVIoUVRSLDQvMS8yMDA5LDYvMzAvMjAwOSwsLFVTRCk=&amp;WINDOW=FIRST_POPUP&amp;HEIGH","T=450&amp;WIDTH=450&amp;START_MAXIMIZED=FALSE&amp;VAR:CALENDAR=US&amp;VAR:SYMBOL=STJ&amp;VAR:INDEX=0"}</definedName>
    <definedName name="_1630__FDSAUDITLINK__" localSheetId="1" hidden="1">{"fdsup://Directions/FactSet Auditing Viewer?action=AUDIT_VALUE&amp;DB=129&amp;ID1=26864810&amp;VALUEID=01001&amp;SDATE=200902&amp;PERIODTYPE=QTR_STD&amp;window=popup_no_bar&amp;width=385&amp;height=120&amp;START_MAXIMIZED=FALSE&amp;creator=factset&amp;display_string=Audit"}</definedName>
    <definedName name="_1630__FDSAUDITLINK__" hidden="1">{"fdsup://Directions/FactSet Auditing Viewer?action=AUDIT_VALUE&amp;DB=129&amp;ID1=26864810&amp;VALUEID=01001&amp;SDATE=200902&amp;PERIODTYPE=QTR_STD&amp;window=popup_no_bar&amp;width=385&amp;height=120&amp;START_MAXIMIZED=FALSE&amp;creator=factset&amp;display_string=Audit"}</definedName>
    <definedName name="_1631__FDSAUDITLINK__" localSheetId="1" hidden="1">{"fdsup://Directions/FactSet Auditing Viewer?action=AUDIT_VALUE&amp;DB=129&amp;ID1=26864810&amp;VALUEID=01001&amp;SDATE=201002&amp;PERIODTYPE=QTR_STD&amp;window=popup_no_bar&amp;width=385&amp;height=120&amp;START_MAXIMIZED=FALSE&amp;creator=factset&amp;display_string=Audit"}</definedName>
    <definedName name="_1631__FDSAUDITLINK__" hidden="1">{"fdsup://Directions/FactSet Auditing Viewer?action=AUDIT_VALUE&amp;DB=129&amp;ID1=26864810&amp;VALUEID=01001&amp;SDATE=201002&amp;PERIODTYPE=QTR_STD&amp;window=popup_no_bar&amp;width=385&amp;height=120&amp;START_MAXIMIZED=FALSE&amp;creator=factset&amp;display_string=Audit"}</definedName>
    <definedName name="_1632__FDSAUDITLINK__" localSheetId="1" hidden="1">{"fdsup://Directions/FactSet Auditing Viewer?action=AUDIT_VALUE&amp;DB=129&amp;ID1=51843910&amp;VALUEID=01001&amp;SDATE=201004&amp;PERIODTYPE=QTR_STD&amp;window=popup_no_bar&amp;width=385&amp;height=120&amp;START_MAXIMIZED=FALSE&amp;creator=factset&amp;display_string=Audit"}</definedName>
    <definedName name="_1632__FDSAUDITLINK__" hidden="1">{"fdsup://Directions/FactSet Auditing Viewer?action=AUDIT_VALUE&amp;DB=129&amp;ID1=51843910&amp;VALUEID=01001&amp;SDATE=201004&amp;PERIODTYPE=QTR_STD&amp;window=popup_no_bar&amp;width=385&amp;height=120&amp;START_MAXIMIZED=FALSE&amp;creator=factset&amp;display_string=Audit"}</definedName>
    <definedName name="_1633__FDSAUDITLINK__" localSheetId="1" hidden="1">{"fdsup://Directions/FactSet Auditing Viewer?action=AUDIT_VALUE&amp;DB=129&amp;ID1=27746110&amp;VALUEID=01001&amp;SDATE=200902&amp;PERIODTYPE=QTR_STD&amp;window=popup_no_bar&amp;width=385&amp;height=120&amp;START_MAXIMIZED=FALSE&amp;creator=factset&amp;display_string=Audit"}</definedName>
    <definedName name="_1633__FDSAUDITLINK__" hidden="1">{"fdsup://Directions/FactSet Auditing Viewer?action=AUDIT_VALUE&amp;DB=129&amp;ID1=27746110&amp;VALUEID=01001&amp;SDATE=200902&amp;PERIODTYPE=QTR_STD&amp;window=popup_no_bar&amp;width=385&amp;height=120&amp;START_MAXIMIZED=FALSE&amp;creator=factset&amp;display_string=Audit"}</definedName>
    <definedName name="_1634__FDSAUDITLINK__" localSheetId="1" hidden="1">{"fdsup://Directions/FactSet Auditing Viewer?action=AUDIT_VALUE&amp;DB=129&amp;ID1=27746110&amp;VALUEID=01001&amp;SDATE=201002&amp;PERIODTYPE=QTR_STD&amp;window=popup_no_bar&amp;width=385&amp;height=120&amp;START_MAXIMIZED=FALSE&amp;creator=factset&amp;display_string=Audit"}</definedName>
    <definedName name="_1634__FDSAUDITLINK__" hidden="1">{"fdsup://Directions/FactSet Auditing Viewer?action=AUDIT_VALUE&amp;DB=129&amp;ID1=27746110&amp;VALUEID=01001&amp;SDATE=201002&amp;PERIODTYPE=QTR_STD&amp;window=popup_no_bar&amp;width=385&amp;height=120&amp;START_MAXIMIZED=FALSE&amp;creator=factset&amp;display_string=Audit"}</definedName>
    <definedName name="_1635__FDSAUDITLINK__" localSheetId="1" hidden="1">{"fdsup://Directions/FactSet Auditing Viewer?action=AUDIT_VALUE&amp;DB=129&amp;ID1=28102010&amp;VALUEID=01001&amp;SDATE=200902&amp;PERIODTYPE=QTR_STD&amp;window=popup_no_bar&amp;width=385&amp;height=120&amp;START_MAXIMIZED=FALSE&amp;creator=factset&amp;display_string=Audit"}</definedName>
    <definedName name="_1635__FDSAUDITLINK__" hidden="1">{"fdsup://Directions/FactSet Auditing Viewer?action=AUDIT_VALUE&amp;DB=129&amp;ID1=28102010&amp;VALUEID=01001&amp;SDATE=200902&amp;PERIODTYPE=QTR_STD&amp;window=popup_no_bar&amp;width=385&amp;height=120&amp;START_MAXIMIZED=FALSE&amp;creator=factset&amp;display_string=Audit"}</definedName>
    <definedName name="_1636__FDSAUDITLINK__" localSheetId="1" hidden="1">{"fdsup://Directions/FactSet Auditing Viewer?action=AUDIT_VALUE&amp;DB=129&amp;ID1=28102010&amp;VALUEID=01001&amp;SDATE=201002&amp;PERIODTYPE=QTR_STD&amp;window=popup_no_bar&amp;width=385&amp;height=120&amp;START_MAXIMIZED=FALSE&amp;creator=factset&amp;display_string=Audit"}</definedName>
    <definedName name="_1636__FDSAUDITLINK__" hidden="1">{"fdsup://Directions/FactSet Auditing Viewer?action=AUDIT_VALUE&amp;DB=129&amp;ID1=28102010&amp;VALUEID=01001&amp;SDATE=201002&amp;PERIODTYPE=QTR_STD&amp;window=popup_no_bar&amp;width=385&amp;height=120&amp;START_MAXIMIZED=FALSE&amp;creator=factset&amp;display_string=Audit"}</definedName>
    <definedName name="_1637__FDSAUDITLINK__" localSheetId="1" hidden="1">{"fdsup://Directions/FactSet Auditing Viewer?action=AUDIT_VALUE&amp;DB=129&amp;ID1=29442910&amp;VALUEID=01001&amp;SDATE=200902&amp;PERIODTYPE=QTR_STD&amp;window=popup_no_bar&amp;width=385&amp;height=120&amp;START_MAXIMIZED=FALSE&amp;creator=factset&amp;display_string=Audit"}</definedName>
    <definedName name="_1637__FDSAUDITLINK__" hidden="1">{"fdsup://Directions/FactSet Auditing Viewer?action=AUDIT_VALUE&amp;DB=129&amp;ID1=29442910&amp;VALUEID=01001&amp;SDATE=200902&amp;PERIODTYPE=QTR_STD&amp;window=popup_no_bar&amp;width=385&amp;height=120&amp;START_MAXIMIZED=FALSE&amp;creator=factset&amp;display_string=Audit"}</definedName>
    <definedName name="_1638__FDSAUDITLINK__" localSheetId="1" hidden="1">{"fdsup://Directions/FactSet Auditing Viewer?action=AUDIT_VALUE&amp;DB=129&amp;ID1=29442910&amp;VALUEID=01001&amp;SDATE=201002&amp;PERIODTYPE=QTR_STD&amp;window=popup_no_bar&amp;width=385&amp;height=120&amp;START_MAXIMIZED=FALSE&amp;creator=factset&amp;display_string=Audit"}</definedName>
    <definedName name="_1638__FDSAUDITLINK__" hidden="1">{"fdsup://Directions/FactSet Auditing Viewer?action=AUDIT_VALUE&amp;DB=129&amp;ID1=29442910&amp;VALUEID=01001&amp;SDATE=201002&amp;PERIODTYPE=QTR_STD&amp;window=popup_no_bar&amp;width=385&amp;height=120&amp;START_MAXIMIZED=FALSE&amp;creator=factset&amp;display_string=Audit"}</definedName>
    <definedName name="_1639__FDSAUDITLINK__" localSheetId="1" hidden="1">{"fdsup://Directions/FactSet Auditing Viewer?action=AUDIT_VALUE&amp;DB=129&amp;ID1=20911510&amp;VALUEID=01001&amp;SDATE=200902&amp;PERIODTYPE=QTR_STD&amp;window=popup_no_bar&amp;width=385&amp;height=120&amp;START_MAXIMIZED=FALSE&amp;creator=factset&amp;display_string=Audit"}</definedName>
    <definedName name="_1639__FDSAUDITLINK__" hidden="1">{"fdsup://Directions/FactSet Auditing Viewer?action=AUDIT_VALUE&amp;DB=129&amp;ID1=20911510&amp;VALUEID=01001&amp;SDATE=200902&amp;PERIODTYPE=QTR_STD&amp;window=popup_no_bar&amp;width=385&amp;height=120&amp;START_MAXIMIZED=FALSE&amp;creator=factset&amp;display_string=Audit"}</definedName>
    <definedName name="_164__FDSAUDITLINK__" localSheetId="1" hidden="1">{"fdsup://directions/FAT Viewer?action=UPDATE&amp;creator=factset&amp;DYN_ARGS=TRUE&amp;DOC_NAME=FAT:FQL_AUDITING_CLIENT_TEMPLATE.FAT&amp;display_string=Audit&amp;VAR:KEY=XEVYNCHCJK&amp;VAR:QUERY=RkZfRUJJVERBX09QRVIoUVRSLDQvMS8yMDEwLDYvMzAvMjAxMCwsLFVTRCk=&amp;WINDOW=FIRST_POPUP&amp;HEIGH","T=450&amp;WIDTH=450&amp;START_MAXIMIZED=FALSE&amp;VAR:CALENDAR=US&amp;VAR:SYMBOL=STJ&amp;VAR:INDEX=0"}</definedName>
    <definedName name="_164__FDSAUDITLINK__" hidden="1">{"fdsup://directions/FAT Viewer?action=UPDATE&amp;creator=factset&amp;DYN_ARGS=TRUE&amp;DOC_NAME=FAT:FQL_AUDITING_CLIENT_TEMPLATE.FAT&amp;display_string=Audit&amp;VAR:KEY=XEVYNCHCJK&amp;VAR:QUERY=RkZfRUJJVERBX09QRVIoUVRSLDQvMS8yMDEwLDYvMzAvMjAxMCwsLFVTRCk=&amp;WINDOW=FIRST_POPUP&amp;HEIGH","T=450&amp;WIDTH=450&amp;START_MAXIMIZED=FALSE&amp;VAR:CALENDAR=US&amp;VAR:SYMBOL=STJ&amp;VAR:INDEX=0"}</definedName>
    <definedName name="_1640__FDSAUDITLINK__" localSheetId="1" hidden="1">{"fdsup://Directions/FactSet Auditing Viewer?action=AUDIT_VALUE&amp;DB=129&amp;ID1=20911510&amp;VALUEID=01001&amp;SDATE=201002&amp;PERIODTYPE=QTR_STD&amp;window=popup_no_bar&amp;width=385&amp;height=120&amp;START_MAXIMIZED=FALSE&amp;creator=factset&amp;display_string=Audit"}</definedName>
    <definedName name="_1640__FDSAUDITLINK__" hidden="1">{"fdsup://Directions/FactSet Auditing Viewer?action=AUDIT_VALUE&amp;DB=129&amp;ID1=20911510&amp;VALUEID=01001&amp;SDATE=201002&amp;PERIODTYPE=QTR_STD&amp;window=popup_no_bar&amp;width=385&amp;height=120&amp;START_MAXIMIZED=FALSE&amp;creator=factset&amp;display_string=Audit"}</definedName>
    <definedName name="_1641__FDSAUDITLINK__" localSheetId="1" hidden="1">{"fdsup://Directions/FactSet Auditing Viewer?action=AUDIT_VALUE&amp;DB=129&amp;ID1=27886510&amp;VALUEID=01001&amp;SDATE=200902&amp;PERIODTYPE=QTR_STD&amp;window=popup_no_bar&amp;width=385&amp;height=120&amp;START_MAXIMIZED=FALSE&amp;creator=factset&amp;display_string=Audit"}</definedName>
    <definedName name="_1641__FDSAUDITLINK__" hidden="1">{"fdsup://Directions/FactSet Auditing Viewer?action=AUDIT_VALUE&amp;DB=129&amp;ID1=27886510&amp;VALUEID=01001&amp;SDATE=200902&amp;PERIODTYPE=QTR_STD&amp;window=popup_no_bar&amp;width=385&amp;height=120&amp;START_MAXIMIZED=FALSE&amp;creator=factset&amp;display_string=Audit"}</definedName>
    <definedName name="_1642__FDSAUDITLINK__" localSheetId="1" hidden="1">{"fdsup://Directions/FactSet Auditing Viewer?action=AUDIT_VALUE&amp;DB=129&amp;ID1=27886510&amp;VALUEID=01001&amp;SDATE=201002&amp;PERIODTYPE=QTR_STD&amp;window=popup_no_bar&amp;width=385&amp;height=120&amp;START_MAXIMIZED=FALSE&amp;creator=factset&amp;display_string=Audit"}</definedName>
    <definedName name="_1642__FDSAUDITLINK__" hidden="1">{"fdsup://Directions/FactSet Auditing Viewer?action=AUDIT_VALUE&amp;DB=129&amp;ID1=27886510&amp;VALUEID=01001&amp;SDATE=201002&amp;PERIODTYPE=QTR_STD&amp;window=popup_no_bar&amp;width=385&amp;height=120&amp;START_MAXIMIZED=FALSE&amp;creator=factset&amp;display_string=Audit"}</definedName>
    <definedName name="_1643__FDSAUDITLINK__" localSheetId="1" hidden="1">{"fdsup://Directions/FactSet Auditing Viewer?action=AUDIT_VALUE&amp;DB=129&amp;ID1=27864210&amp;VALUEID=01001&amp;SDATE=200902&amp;PERIODTYPE=QTR_STD&amp;window=popup_no_bar&amp;width=385&amp;height=120&amp;START_MAXIMIZED=FALSE&amp;creator=factset&amp;display_string=Audit"}</definedName>
    <definedName name="_1643__FDSAUDITLINK__" hidden="1">{"fdsup://Directions/FactSet Auditing Viewer?action=AUDIT_VALUE&amp;DB=129&amp;ID1=27864210&amp;VALUEID=01001&amp;SDATE=200902&amp;PERIODTYPE=QTR_STD&amp;window=popup_no_bar&amp;width=385&amp;height=120&amp;START_MAXIMIZED=FALSE&amp;creator=factset&amp;display_string=Audit"}</definedName>
    <definedName name="_1644__FDSAUDITLINK__" localSheetId="1" hidden="1">{"fdsup://Directions/FactSet Auditing Viewer?action=AUDIT_VALUE&amp;DB=129&amp;ID1=27864210&amp;VALUEID=01001&amp;SDATE=201002&amp;PERIODTYPE=QTR_STD&amp;window=popup_no_bar&amp;width=385&amp;height=120&amp;START_MAXIMIZED=FALSE&amp;creator=factset&amp;display_string=Audit"}</definedName>
    <definedName name="_1644__FDSAUDITLINK__" hidden="1">{"fdsup://Directions/FactSet Auditing Viewer?action=AUDIT_VALUE&amp;DB=129&amp;ID1=27864210&amp;VALUEID=01001&amp;SDATE=201002&amp;PERIODTYPE=QTR_STD&amp;window=popup_no_bar&amp;width=385&amp;height=120&amp;START_MAXIMIZED=FALSE&amp;creator=factset&amp;display_string=Audit"}</definedName>
    <definedName name="_1645__FDSAUDITLINK__" localSheetId="1" hidden="1">{"fdsup://Directions/FactSet Auditing Viewer?action=AUDIT_VALUE&amp;DB=129&amp;ID1=25179M10&amp;VALUEID=01001&amp;SDATE=200902&amp;PERIODTYPE=QTR_STD&amp;window=popup_no_bar&amp;width=385&amp;height=120&amp;START_MAXIMIZED=FALSE&amp;creator=factset&amp;display_string=Audit"}</definedName>
    <definedName name="_1645__FDSAUDITLINK__" hidden="1">{"fdsup://Directions/FactSet Auditing Viewer?action=AUDIT_VALUE&amp;DB=129&amp;ID1=25179M10&amp;VALUEID=01001&amp;SDATE=200902&amp;PERIODTYPE=QTR_STD&amp;window=popup_no_bar&amp;width=385&amp;height=120&amp;START_MAXIMIZED=FALSE&amp;creator=factset&amp;display_string=Audit"}</definedName>
    <definedName name="_1646__FDSAUDITLINK__" localSheetId="1" hidden="1">{"fdsup://Directions/FactSet Auditing Viewer?action=AUDIT_VALUE&amp;DB=129&amp;ID1=25179M10&amp;VALUEID=01001&amp;SDATE=201002&amp;PERIODTYPE=QTR_STD&amp;window=popup_no_bar&amp;width=385&amp;height=120&amp;START_MAXIMIZED=FALSE&amp;creator=factset&amp;display_string=Audit"}</definedName>
    <definedName name="_1646__FDSAUDITLINK__" hidden="1">{"fdsup://Directions/FactSet Auditing Viewer?action=AUDIT_VALUE&amp;DB=129&amp;ID1=25179M10&amp;VALUEID=01001&amp;SDATE=201002&amp;PERIODTYPE=QTR_STD&amp;window=popup_no_bar&amp;width=385&amp;height=120&amp;START_MAXIMIZED=FALSE&amp;creator=factset&amp;display_string=Audit"}</definedName>
    <definedName name="_1647__FDSAUDITLINK__" localSheetId="1" hidden="1">{"fdsup://Directions/FactSet Auditing Viewer?action=AUDIT_VALUE&amp;DB=129&amp;ID1=23918K10&amp;VALUEID=01001&amp;SDATE=200902&amp;PERIODTYPE=QTR_STD&amp;window=popup_no_bar&amp;width=385&amp;height=120&amp;START_MAXIMIZED=FALSE&amp;creator=factset&amp;display_string=Audit"}</definedName>
    <definedName name="_1647__FDSAUDITLINK__" hidden="1">{"fdsup://Directions/FactSet Auditing Viewer?action=AUDIT_VALUE&amp;DB=129&amp;ID1=23918K10&amp;VALUEID=01001&amp;SDATE=200902&amp;PERIODTYPE=QTR_STD&amp;window=popup_no_bar&amp;width=385&amp;height=120&amp;START_MAXIMIZED=FALSE&amp;creator=factset&amp;display_string=Audit"}</definedName>
    <definedName name="_1648__FDSAUDITLINK__" localSheetId="1" hidden="1">{"fdsup://Directions/FactSet Auditing Viewer?action=AUDIT_VALUE&amp;DB=129&amp;ID1=23918K10&amp;VALUEID=01001&amp;SDATE=201002&amp;PERIODTYPE=QTR_STD&amp;window=popup_no_bar&amp;width=385&amp;height=120&amp;START_MAXIMIZED=FALSE&amp;creator=factset&amp;display_string=Audit"}</definedName>
    <definedName name="_1648__FDSAUDITLINK__" hidden="1">{"fdsup://Directions/FactSet Auditing Viewer?action=AUDIT_VALUE&amp;DB=129&amp;ID1=23918K10&amp;VALUEID=01001&amp;SDATE=201002&amp;PERIODTYPE=QTR_STD&amp;window=popup_no_bar&amp;width=385&amp;height=120&amp;START_MAXIMIZED=FALSE&amp;creator=factset&amp;display_string=Audit"}</definedName>
    <definedName name="_1649__FDSAUDITLINK__" localSheetId="1" hidden="1">{"fdsup://Directions/FactSet Auditing Viewer?action=AUDIT_VALUE&amp;DB=129&amp;ID1=25189310&amp;VALUEID=01001&amp;SDATE=201004&amp;PERIODTYPE=QTR_STD&amp;window=popup_no_bar&amp;width=385&amp;height=120&amp;START_MAXIMIZED=FALSE&amp;creator=factset&amp;display_string=Audit"}</definedName>
    <definedName name="_1649__FDSAUDITLINK__" hidden="1">{"fdsup://Directions/FactSet Auditing Viewer?action=AUDIT_VALUE&amp;DB=129&amp;ID1=25189310&amp;VALUEID=01001&amp;SDATE=201004&amp;PERIODTYPE=QTR_STD&amp;window=popup_no_bar&amp;width=385&amp;height=120&amp;START_MAXIMIZED=FALSE&amp;creator=factset&amp;display_string=Audit"}</definedName>
    <definedName name="_165__FDSAUDITLINK__" localSheetId="1" hidden="1">{"fdsup://directions/FAT Viewer?action=UPDATE&amp;creator=factset&amp;DYN_ARGS=TRUE&amp;DOC_NAME=FAT:FQL_AUDITING_CLIENT_TEMPLATE.FAT&amp;display_string=Audit&amp;VAR:KEY=BEPYBYLYPU&amp;VAR:QUERY=RkZfRUJJVERBX09QRVIoUVRSLDQvMS8yMDA5LDYvMzAvMjAwOSwsLFVTRCk=&amp;WINDOW=FIRST_POPUP&amp;HEIGH","T=450&amp;WIDTH=450&amp;START_MAXIMIZED=FALSE&amp;VAR:CALENDAR=US&amp;VAR:SYMBOL=STI&amp;VAR:INDEX=0"}</definedName>
    <definedName name="_165__FDSAUDITLINK__" hidden="1">{"fdsup://directions/FAT Viewer?action=UPDATE&amp;creator=factset&amp;DYN_ARGS=TRUE&amp;DOC_NAME=FAT:FQL_AUDITING_CLIENT_TEMPLATE.FAT&amp;display_string=Audit&amp;VAR:KEY=BEPYBYLYPU&amp;VAR:QUERY=RkZfRUJJVERBX09QRVIoUVRSLDQvMS8yMDA5LDYvMzAvMjAwOSwsLFVTRCk=&amp;WINDOW=FIRST_POPUP&amp;HEIGH","T=450&amp;WIDTH=450&amp;START_MAXIMIZED=FALSE&amp;VAR:CALENDAR=US&amp;VAR:SYMBOL=STI&amp;VAR:INDEX=0"}</definedName>
    <definedName name="_1650__FDSAUDITLINK__" localSheetId="1" hidden="1">{"fdsup://Directions/FactSet Auditing Viewer?action=AUDIT_VALUE&amp;DB=129&amp;ID1=26441C10&amp;VALUEID=01001&amp;SDATE=200902&amp;PERIODTYPE=QTR_STD&amp;window=popup_no_bar&amp;width=385&amp;height=120&amp;START_MAXIMIZED=FALSE&amp;creator=factset&amp;display_string=Audit"}</definedName>
    <definedName name="_1650__FDSAUDITLINK__" hidden="1">{"fdsup://Directions/FactSet Auditing Viewer?action=AUDIT_VALUE&amp;DB=129&amp;ID1=26441C10&amp;VALUEID=01001&amp;SDATE=200902&amp;PERIODTYPE=QTR_STD&amp;window=popup_no_bar&amp;width=385&amp;height=120&amp;START_MAXIMIZED=FALSE&amp;creator=factset&amp;display_string=Audit"}</definedName>
    <definedName name="_1651__FDSAUDITLINK__" localSheetId="1" hidden="1">{"fdsup://Directions/FactSet Auditing Viewer?action=AUDIT_VALUE&amp;DB=129&amp;ID1=26441C10&amp;VALUEID=01001&amp;SDATE=201002&amp;PERIODTYPE=QTR_STD&amp;window=popup_no_bar&amp;width=385&amp;height=120&amp;START_MAXIMIZED=FALSE&amp;creator=factset&amp;display_string=Audit"}</definedName>
    <definedName name="_1651__FDSAUDITLINK__" hidden="1">{"fdsup://Directions/FactSet Auditing Viewer?action=AUDIT_VALUE&amp;DB=129&amp;ID1=26441C10&amp;VALUEID=01001&amp;SDATE=201002&amp;PERIODTYPE=QTR_STD&amp;window=popup_no_bar&amp;width=385&amp;height=120&amp;START_MAXIMIZED=FALSE&amp;creator=factset&amp;display_string=Audit"}</definedName>
    <definedName name="_1652__FDSAUDITLINK__" localSheetId="1" hidden="1">{"fdsup://Directions/FactSet Auditing Viewer?action=AUDIT_VALUE&amp;DB=129&amp;ID1=25490A10&amp;VALUEID=01001&amp;SDATE=200902&amp;PERIODTYPE=QTR_STD&amp;window=popup_no_bar&amp;width=385&amp;height=120&amp;START_MAXIMIZED=FALSE&amp;creator=factset&amp;display_string=Audit"}</definedName>
    <definedName name="_1652__FDSAUDITLINK__" hidden="1">{"fdsup://Directions/FactSet Auditing Viewer?action=AUDIT_VALUE&amp;DB=129&amp;ID1=25490A10&amp;VALUEID=01001&amp;SDATE=200902&amp;PERIODTYPE=QTR_STD&amp;window=popup_no_bar&amp;width=385&amp;height=120&amp;START_MAXIMIZED=FALSE&amp;creator=factset&amp;display_string=Audit"}</definedName>
    <definedName name="_1653__FDSAUDITLINK__" localSheetId="1" hidden="1">{"fdsup://Directions/FactSet Auditing Viewer?action=AUDIT_VALUE&amp;DB=129&amp;ID1=25490A10&amp;VALUEID=01001&amp;SDATE=201002&amp;PERIODTYPE=QTR_STD&amp;window=popup_no_bar&amp;width=385&amp;height=120&amp;START_MAXIMIZED=FALSE&amp;creator=factset&amp;display_string=Audit"}</definedName>
    <definedName name="_1653__FDSAUDITLINK__" hidden="1">{"fdsup://Directions/FactSet Auditing Viewer?action=AUDIT_VALUE&amp;DB=129&amp;ID1=25490A10&amp;VALUEID=01001&amp;SDATE=201002&amp;PERIODTYPE=QTR_STD&amp;window=popup_no_bar&amp;width=385&amp;height=120&amp;START_MAXIMIZED=FALSE&amp;creator=factset&amp;display_string=Audit"}</definedName>
    <definedName name="_1654__FDSAUDITLINK__" localSheetId="1" hidden="1">{"fdsup://Directions/FactSet Auditing Viewer?action=AUDIT_VALUE&amp;DB=129&amp;ID1=23333110&amp;VALUEID=01001&amp;SDATE=200902&amp;PERIODTYPE=QTR_STD&amp;window=popup_no_bar&amp;width=385&amp;height=120&amp;START_MAXIMIZED=FALSE&amp;creator=factset&amp;display_string=Audit"}</definedName>
    <definedName name="_1654__FDSAUDITLINK__" hidden="1">{"fdsup://Directions/FactSet Auditing Viewer?action=AUDIT_VALUE&amp;DB=129&amp;ID1=23333110&amp;VALUEID=01001&amp;SDATE=200902&amp;PERIODTYPE=QTR_STD&amp;window=popup_no_bar&amp;width=385&amp;height=120&amp;START_MAXIMIZED=FALSE&amp;creator=factset&amp;display_string=Audit"}</definedName>
    <definedName name="_1655__FDSAUDITLINK__" localSheetId="1" hidden="1">{"fdsup://Directions/FactSet Auditing Viewer?action=AUDIT_VALUE&amp;DB=129&amp;ID1=23333110&amp;VALUEID=01001&amp;SDATE=201002&amp;PERIODTYPE=QTR_STD&amp;window=popup_no_bar&amp;width=385&amp;height=120&amp;START_MAXIMIZED=FALSE&amp;creator=factset&amp;display_string=Audit"}</definedName>
    <definedName name="_1655__FDSAUDITLINK__" hidden="1">{"fdsup://Directions/FactSet Auditing Viewer?action=AUDIT_VALUE&amp;DB=129&amp;ID1=23333110&amp;VALUEID=01001&amp;SDATE=201002&amp;PERIODTYPE=QTR_STD&amp;window=popup_no_bar&amp;width=385&amp;height=120&amp;START_MAXIMIZED=FALSE&amp;creator=factset&amp;display_string=Audit"}</definedName>
    <definedName name="_1656__FDSAUDITLINK__" localSheetId="1" hidden="1">{"fdsup://Directions/FactSet Auditing Viewer?action=AUDIT_VALUE&amp;DB=129&amp;ID1=23719410&amp;VALUEID=01001&amp;SDATE=200804&amp;PERIODTYPE=QTR_STD&amp;window=popup_no_bar&amp;width=385&amp;height=120&amp;START_MAXIMIZED=FALSE&amp;creator=factset&amp;display_string=Audit"}</definedName>
    <definedName name="_1656__FDSAUDITLINK__" hidden="1">{"fdsup://Directions/FactSet Auditing Viewer?action=AUDIT_VALUE&amp;DB=129&amp;ID1=23719410&amp;VALUEID=01001&amp;SDATE=200804&amp;PERIODTYPE=QTR_STD&amp;window=popup_no_bar&amp;width=385&amp;height=120&amp;START_MAXIMIZED=FALSE&amp;creator=factset&amp;display_string=Audit"}</definedName>
    <definedName name="_1657__FDSAUDITLINK__" localSheetId="1" hidden="1">{"fdsup://Directions/FactSet Auditing Viewer?action=AUDIT_VALUE&amp;DB=129&amp;ID1=23719410&amp;VALUEID=01001&amp;SDATE=200904&amp;PERIODTYPE=QTR_STD&amp;window=popup_no_bar&amp;width=385&amp;height=120&amp;START_MAXIMIZED=FALSE&amp;creator=factset&amp;display_string=Audit"}</definedName>
    <definedName name="_1657__FDSAUDITLINK__" hidden="1">{"fdsup://Directions/FactSet Auditing Viewer?action=AUDIT_VALUE&amp;DB=129&amp;ID1=23719410&amp;VALUEID=01001&amp;SDATE=200904&amp;PERIODTYPE=QTR_STD&amp;window=popup_no_bar&amp;width=385&amp;height=120&amp;START_MAXIMIZED=FALSE&amp;creator=factset&amp;display_string=Audit"}</definedName>
    <definedName name="_1658__FDSAUDITLINK__" localSheetId="1" hidden="1">{"fdsup://Directions/FactSet Auditing Viewer?action=AUDIT_VALUE&amp;DB=129&amp;ID1=26138E10&amp;VALUEID=01001&amp;SDATE=200902&amp;PERIODTYPE=QTR_STD&amp;window=popup_no_bar&amp;width=385&amp;height=120&amp;START_MAXIMIZED=FALSE&amp;creator=factset&amp;display_string=Audit"}</definedName>
    <definedName name="_1658__FDSAUDITLINK__" hidden="1">{"fdsup://Directions/FactSet Auditing Viewer?action=AUDIT_VALUE&amp;DB=129&amp;ID1=26138E10&amp;VALUEID=01001&amp;SDATE=200902&amp;PERIODTYPE=QTR_STD&amp;window=popup_no_bar&amp;width=385&amp;height=120&amp;START_MAXIMIZED=FALSE&amp;creator=factset&amp;display_string=Audit"}</definedName>
    <definedName name="_1659__FDSAUDITLINK__" localSheetId="1" hidden="1">{"fdsup://Directions/FactSet Auditing Viewer?action=AUDIT_VALUE&amp;DB=129&amp;ID1=26138E10&amp;VALUEID=01001&amp;SDATE=201002&amp;PERIODTYPE=QTR_STD&amp;window=popup_no_bar&amp;width=385&amp;height=120&amp;START_MAXIMIZED=FALSE&amp;creator=factset&amp;display_string=Audit"}</definedName>
    <definedName name="_1659__FDSAUDITLINK__" hidden="1">{"fdsup://Directions/FactSet Auditing Viewer?action=AUDIT_VALUE&amp;DB=129&amp;ID1=26138E10&amp;VALUEID=01001&amp;SDATE=201002&amp;PERIODTYPE=QTR_STD&amp;window=popup_no_bar&amp;width=385&amp;height=120&amp;START_MAXIMIZED=FALSE&amp;creator=factset&amp;display_string=Audit"}</definedName>
    <definedName name="_166__FDSAUDITLINK__" localSheetId="1" hidden="1">{"fdsup://directions/FAT Viewer?action=UPDATE&amp;creator=factset&amp;DYN_ARGS=TRUE&amp;DOC_NAME=FAT:FQL_AUDITING_CLIENT_TEMPLATE.FAT&amp;display_string=Audit&amp;VAR:KEY=JMBWLQJOPA&amp;VAR:QUERY=RkZfRUJJVERBX09QRVIoUVRSLDQvMS8yMDEwLDYvMzAvMjAxMCwsLFVTRCk=&amp;WINDOW=FIRST_POPUP&amp;HEIGH","T=450&amp;WIDTH=450&amp;START_MAXIMIZED=FALSE&amp;VAR:CALENDAR=US&amp;VAR:SYMBOL=STI&amp;VAR:INDEX=0"}</definedName>
    <definedName name="_166__FDSAUDITLINK__" hidden="1">{"fdsup://directions/FAT Viewer?action=UPDATE&amp;creator=factset&amp;DYN_ARGS=TRUE&amp;DOC_NAME=FAT:FQL_AUDITING_CLIENT_TEMPLATE.FAT&amp;display_string=Audit&amp;VAR:KEY=JMBWLQJOPA&amp;VAR:QUERY=RkZfRUJJVERBX09QRVIoUVRSLDQvMS8yMDEwLDYvMzAvMjAxMCwsLFVTRCk=&amp;WINDOW=FIRST_POPUP&amp;HEIGH","T=450&amp;WIDTH=450&amp;START_MAXIMIZED=FALSE&amp;VAR:CALENDAR=US&amp;VAR:SYMBOL=STI&amp;VAR:INDEX=0"}</definedName>
    <definedName name="_1660__FDSAUDITLINK__" localSheetId="1" hidden="1">{"fdsup://Directions/FactSet Auditing Viewer?action=AUDIT_VALUE&amp;DB=129&amp;ID1=26054310&amp;VALUEID=01001&amp;SDATE=200902&amp;PERIODTYPE=QTR_STD&amp;window=popup_no_bar&amp;width=385&amp;height=120&amp;START_MAXIMIZED=FALSE&amp;creator=factset&amp;display_string=Audit"}</definedName>
    <definedName name="_1660__FDSAUDITLINK__" hidden="1">{"fdsup://Directions/FactSet Auditing Viewer?action=AUDIT_VALUE&amp;DB=129&amp;ID1=26054310&amp;VALUEID=01001&amp;SDATE=200902&amp;PERIODTYPE=QTR_STD&amp;window=popup_no_bar&amp;width=385&amp;height=120&amp;START_MAXIMIZED=FALSE&amp;creator=factset&amp;display_string=Audit"}</definedName>
    <definedName name="_1661__FDSAUDITLINK__" localSheetId="1" hidden="1">{"fdsup://Directions/FactSet Auditing Viewer?action=AUDIT_VALUE&amp;DB=129&amp;ID1=26054310&amp;VALUEID=01001&amp;SDATE=201002&amp;PERIODTYPE=QTR_STD&amp;window=popup_no_bar&amp;width=385&amp;height=120&amp;START_MAXIMIZED=FALSE&amp;creator=factset&amp;display_string=Audit"}</definedName>
    <definedName name="_1661__FDSAUDITLINK__" hidden="1">{"fdsup://Directions/FactSet Auditing Viewer?action=AUDIT_VALUE&amp;DB=129&amp;ID1=26054310&amp;VALUEID=01001&amp;SDATE=201002&amp;PERIODTYPE=QTR_STD&amp;window=popup_no_bar&amp;width=385&amp;height=120&amp;START_MAXIMIZED=FALSE&amp;creator=factset&amp;display_string=Audit"}</definedName>
    <definedName name="_1662__FDSAUDITLINK__" localSheetId="1" hidden="1">{"fdsup://Directions/FactSet Auditing Viewer?action=AUDIT_VALUE&amp;DB=129&amp;ID1=26000310&amp;VALUEID=01001&amp;SDATE=200902&amp;PERIODTYPE=QTR_STD&amp;window=popup_no_bar&amp;width=385&amp;height=120&amp;START_MAXIMIZED=FALSE&amp;creator=factset&amp;display_string=Audit"}</definedName>
    <definedName name="_1662__FDSAUDITLINK__" hidden="1">{"fdsup://Directions/FactSet Auditing Viewer?action=AUDIT_VALUE&amp;DB=129&amp;ID1=26000310&amp;VALUEID=01001&amp;SDATE=200902&amp;PERIODTYPE=QTR_STD&amp;window=popup_no_bar&amp;width=385&amp;height=120&amp;START_MAXIMIZED=FALSE&amp;creator=factset&amp;display_string=Audit"}</definedName>
    <definedName name="_1663__FDSAUDITLINK__" localSheetId="1" hidden="1">{"fdsup://Directions/FactSet Auditing Viewer?action=AUDIT_VALUE&amp;DB=129&amp;ID1=26000310&amp;VALUEID=01001&amp;SDATE=201002&amp;PERIODTYPE=QTR_STD&amp;window=popup_no_bar&amp;width=385&amp;height=120&amp;START_MAXIMIZED=FALSE&amp;creator=factset&amp;display_string=Audit"}</definedName>
    <definedName name="_1663__FDSAUDITLINK__" hidden="1">{"fdsup://Directions/FactSet Auditing Viewer?action=AUDIT_VALUE&amp;DB=129&amp;ID1=26000310&amp;VALUEID=01001&amp;SDATE=201002&amp;PERIODTYPE=QTR_STD&amp;window=popup_no_bar&amp;width=385&amp;height=120&amp;START_MAXIMIZED=FALSE&amp;creator=factset&amp;display_string=Audit"}</definedName>
    <definedName name="_1664__FDSAUDITLINK__" localSheetId="1" hidden="1">{"fdsup://Directions/FactSet Auditing Viewer?action=AUDIT_VALUE&amp;DB=129&amp;ID1=25271C10&amp;VALUEID=01001&amp;SDATE=200902&amp;PERIODTYPE=QTR_STD&amp;window=popup_no_bar&amp;width=385&amp;height=120&amp;START_MAXIMIZED=FALSE&amp;creator=factset&amp;display_string=Audit"}</definedName>
    <definedName name="_1664__FDSAUDITLINK__" hidden="1">{"fdsup://Directions/FactSet Auditing Viewer?action=AUDIT_VALUE&amp;DB=129&amp;ID1=25271C10&amp;VALUEID=01001&amp;SDATE=200902&amp;PERIODTYPE=QTR_STD&amp;window=popup_no_bar&amp;width=385&amp;height=120&amp;START_MAXIMIZED=FALSE&amp;creator=factset&amp;display_string=Audit"}</definedName>
    <definedName name="_1665__FDSAUDITLINK__" localSheetId="1" hidden="1">{"fdsup://Directions/FactSet Auditing Viewer?action=AUDIT_VALUE&amp;DB=129&amp;ID1=25271C10&amp;VALUEID=01001&amp;SDATE=201002&amp;PERIODTYPE=QTR_STD&amp;window=popup_no_bar&amp;width=385&amp;height=120&amp;START_MAXIMIZED=FALSE&amp;creator=factset&amp;display_string=Audit"}</definedName>
    <definedName name="_1665__FDSAUDITLINK__" hidden="1">{"fdsup://Directions/FactSet Auditing Viewer?action=AUDIT_VALUE&amp;DB=129&amp;ID1=25271C10&amp;VALUEID=01001&amp;SDATE=201002&amp;PERIODTYPE=QTR_STD&amp;window=popup_no_bar&amp;width=385&amp;height=120&amp;START_MAXIMIZED=FALSE&amp;creator=factset&amp;display_string=Audit"}</definedName>
    <definedName name="_1666__FDSAUDITLINK__" localSheetId="1" hidden="1">{"fdsup://Directions/FactSet Auditing Viewer?action=AUDIT_VALUE&amp;DB=129&amp;ID1=24791620&amp;VALUEID=01001&amp;SDATE=200902&amp;PERIODTYPE=QTR_STD&amp;window=popup_no_bar&amp;width=385&amp;height=120&amp;START_MAXIMIZED=FALSE&amp;creator=factset&amp;display_string=Audit"}</definedName>
    <definedName name="_1666__FDSAUDITLINK__" hidden="1">{"fdsup://Directions/FactSet Auditing Viewer?action=AUDIT_VALUE&amp;DB=129&amp;ID1=24791620&amp;VALUEID=01001&amp;SDATE=200902&amp;PERIODTYPE=QTR_STD&amp;window=popup_no_bar&amp;width=385&amp;height=120&amp;START_MAXIMIZED=FALSE&amp;creator=factset&amp;display_string=Audit"}</definedName>
    <definedName name="_1667__FDSAUDITLINK__" localSheetId="1" hidden="1">{"fdsup://Directions/FactSet Auditing Viewer?action=AUDIT_VALUE&amp;DB=129&amp;ID1=24791620&amp;VALUEID=01001&amp;SDATE=201002&amp;PERIODTYPE=QTR_STD&amp;window=popup_no_bar&amp;width=385&amp;height=120&amp;START_MAXIMIZED=FALSE&amp;creator=factset&amp;display_string=Audit"}</definedName>
    <definedName name="_1667__FDSAUDITLINK__" hidden="1">{"fdsup://Directions/FactSet Auditing Viewer?action=AUDIT_VALUE&amp;DB=129&amp;ID1=24791620&amp;VALUEID=01001&amp;SDATE=201002&amp;PERIODTYPE=QTR_STD&amp;window=popup_no_bar&amp;width=385&amp;height=120&amp;START_MAXIMIZED=FALSE&amp;creator=factset&amp;display_string=Audit"}</definedName>
    <definedName name="_1668__FDSAUDITLINK__" localSheetId="1" hidden="1">{"fdsup://Directions/FactSet Auditing Viewer?action=AUDIT_VALUE&amp;DB=129&amp;ID1=26483E10&amp;VALUEID=01001&amp;SDATE=200902&amp;PERIODTYPE=QTR_STD&amp;window=popup_no_bar&amp;width=385&amp;height=120&amp;START_MAXIMIZED=FALSE&amp;creator=factset&amp;display_string=Audit"}</definedName>
    <definedName name="_1668__FDSAUDITLINK__" hidden="1">{"fdsup://Directions/FactSet Auditing Viewer?action=AUDIT_VALUE&amp;DB=129&amp;ID1=26483E10&amp;VALUEID=01001&amp;SDATE=200902&amp;PERIODTYPE=QTR_STD&amp;window=popup_no_bar&amp;width=385&amp;height=120&amp;START_MAXIMIZED=FALSE&amp;creator=factset&amp;display_string=Audit"}</definedName>
    <definedName name="_1669__FDSAUDITLINK__" localSheetId="1" hidden="1">{"fdsup://Directions/FactSet Auditing Viewer?action=AUDIT_VALUE&amp;DB=129&amp;ID1=26483E10&amp;VALUEID=01001&amp;SDATE=201002&amp;PERIODTYPE=QTR_STD&amp;window=popup_no_bar&amp;width=385&amp;height=120&amp;START_MAXIMIZED=FALSE&amp;creator=factset&amp;display_string=Audit"}</definedName>
    <definedName name="_1669__FDSAUDITLINK__" hidden="1">{"fdsup://Directions/FactSet Auditing Viewer?action=AUDIT_VALUE&amp;DB=129&amp;ID1=26483E10&amp;VALUEID=01001&amp;SDATE=201002&amp;PERIODTYPE=QTR_STD&amp;window=popup_no_bar&amp;width=385&amp;height=120&amp;START_MAXIMIZED=FALSE&amp;creator=factset&amp;display_string=Audit"}</definedName>
    <definedName name="_167__FDSAUDITLINK__" localSheetId="1" hidden="1">{"fdsup://directions/FAT Viewer?action=UPDATE&amp;creator=factset&amp;DYN_ARGS=TRUE&amp;DOC_NAME=FAT:FQL_AUDITING_CLIENT_TEMPLATE.FAT&amp;display_string=Audit&amp;VAR:KEY=ZEJKFOZUBY&amp;VAR:QUERY=RkZfRUJJVERBX09QRVIoUVRSLDQvMS8yMDA5LDYvMzAvMjAwOSwsLFVTRCk=&amp;WINDOW=FIRST_POPUP&amp;HEIGH","T=450&amp;WIDTH=450&amp;START_MAXIMIZED=FALSE&amp;VAR:CALENDAR=US&amp;VAR:SYMBOL=SRE&amp;VAR:INDEX=0"}</definedName>
    <definedName name="_167__FDSAUDITLINK__" hidden="1">{"fdsup://directions/FAT Viewer?action=UPDATE&amp;creator=factset&amp;DYN_ARGS=TRUE&amp;DOC_NAME=FAT:FQL_AUDITING_CLIENT_TEMPLATE.FAT&amp;display_string=Audit&amp;VAR:KEY=ZEJKFOZUBY&amp;VAR:QUERY=RkZfRUJJVERBX09QRVIoUVRSLDQvMS8yMDA5LDYvMzAvMjAwOSwsLFVTRCk=&amp;WINDOW=FIRST_POPUP&amp;HEIGH","T=450&amp;WIDTH=450&amp;START_MAXIMIZED=FALSE&amp;VAR:CALENDAR=US&amp;VAR:SYMBOL=SRE&amp;VAR:INDEX=0"}</definedName>
    <definedName name="_1670__FDSAUDITLINK__" localSheetId="1" hidden="1">{"fdsup://Directions/FactSet Auditing Viewer?action=AUDIT_VALUE&amp;DB=129&amp;ID1=25470F10&amp;VALUEID=01001&amp;SDATE=200902&amp;PERIODTYPE=QTR_STD&amp;window=popup_no_bar&amp;width=385&amp;height=120&amp;START_MAXIMIZED=FALSE&amp;creator=factset&amp;display_string=Audit"}</definedName>
    <definedName name="_1670__FDSAUDITLINK__" hidden="1">{"fdsup://Directions/FactSet Auditing Viewer?action=AUDIT_VALUE&amp;DB=129&amp;ID1=25470F10&amp;VALUEID=01001&amp;SDATE=200902&amp;PERIODTYPE=QTR_STD&amp;window=popup_no_bar&amp;width=385&amp;height=120&amp;START_MAXIMIZED=FALSE&amp;creator=factset&amp;display_string=Audit"}</definedName>
    <definedName name="_1671__FDSAUDITLINK__" localSheetId="1" hidden="1">{"fdsup://Directions/FactSet Auditing Viewer?action=AUDIT_VALUE&amp;DB=129&amp;ID1=25470F10&amp;VALUEID=01001&amp;SDATE=201002&amp;PERIODTYPE=QTR_STD&amp;window=popup_no_bar&amp;width=385&amp;height=120&amp;START_MAXIMIZED=FALSE&amp;creator=factset&amp;display_string=Audit"}</definedName>
    <definedName name="_1671__FDSAUDITLINK__" hidden="1">{"fdsup://Directions/FactSet Auditing Viewer?action=AUDIT_VALUE&amp;DB=129&amp;ID1=25470F10&amp;VALUEID=01001&amp;SDATE=201002&amp;PERIODTYPE=QTR_STD&amp;window=popup_no_bar&amp;width=385&amp;height=120&amp;START_MAXIMIZED=FALSE&amp;creator=factset&amp;display_string=Audit"}</definedName>
    <definedName name="_1672__FDSAUDITLINK__" localSheetId="1" hidden="1">{"fdsup://Directions/FactSet Auditing Viewer?action=AUDIT_VALUE&amp;DB=129&amp;ID1=25468710&amp;VALUEID=01001&amp;SDATE=200903&amp;PERIODTYPE=QTR_STD&amp;window=popup_no_bar&amp;width=385&amp;height=120&amp;START_MAXIMIZED=FALSE&amp;creator=factset&amp;display_string=Audit"}</definedName>
    <definedName name="_1672__FDSAUDITLINK__" hidden="1">{"fdsup://Directions/FactSet Auditing Viewer?action=AUDIT_VALUE&amp;DB=129&amp;ID1=25468710&amp;VALUEID=01001&amp;SDATE=200903&amp;PERIODTYPE=QTR_STD&amp;window=popup_no_bar&amp;width=385&amp;height=120&amp;START_MAXIMIZED=FALSE&amp;creator=factset&amp;display_string=Audit"}</definedName>
    <definedName name="_1673__FDSAUDITLINK__" localSheetId="1" hidden="1">{"fdsup://Directions/FactSet Auditing Viewer?action=AUDIT_VALUE&amp;DB=129&amp;ID1=25468710&amp;VALUEID=01001&amp;SDATE=201003&amp;PERIODTYPE=QTR_STD&amp;window=popup_no_bar&amp;width=385&amp;height=120&amp;START_MAXIMIZED=FALSE&amp;creator=factset&amp;display_string=Audit"}</definedName>
    <definedName name="_1673__FDSAUDITLINK__" hidden="1">{"fdsup://Directions/FactSet Auditing Viewer?action=AUDIT_VALUE&amp;DB=129&amp;ID1=25468710&amp;VALUEID=01001&amp;SDATE=201003&amp;PERIODTYPE=QTR_STD&amp;window=popup_no_bar&amp;width=385&amp;height=120&amp;START_MAXIMIZED=FALSE&amp;creator=factset&amp;display_string=Audit"}</definedName>
    <definedName name="_1674__FDSAUDITLINK__" localSheetId="1" hidden="1">{"fdsup://Directions/FactSet Auditing Viewer?action=AUDIT_VALUE&amp;DB=129&amp;ID1=23585110&amp;VALUEID=01001&amp;SDATE=200902&amp;PERIODTYPE=QTR_STD&amp;window=popup_no_bar&amp;width=385&amp;height=120&amp;START_MAXIMIZED=FALSE&amp;creator=factset&amp;display_string=Audit"}</definedName>
    <definedName name="_1674__FDSAUDITLINK__" hidden="1">{"fdsup://Directions/FactSet Auditing Viewer?action=AUDIT_VALUE&amp;DB=129&amp;ID1=23585110&amp;VALUEID=01001&amp;SDATE=200902&amp;PERIODTYPE=QTR_STD&amp;window=popup_no_bar&amp;width=385&amp;height=120&amp;START_MAXIMIZED=FALSE&amp;creator=factset&amp;display_string=Audit"}</definedName>
    <definedName name="_1675__FDSAUDITLINK__" localSheetId="1" hidden="1">{"fdsup://Directions/FactSet Auditing Viewer?action=AUDIT_VALUE&amp;DB=129&amp;ID1=23585110&amp;VALUEID=01001&amp;SDATE=201002&amp;PERIODTYPE=QTR_STD&amp;window=popup_no_bar&amp;width=385&amp;height=120&amp;START_MAXIMIZED=FALSE&amp;creator=factset&amp;display_string=Audit"}</definedName>
    <definedName name="_1675__FDSAUDITLINK__" hidden="1">{"fdsup://Directions/FactSet Auditing Viewer?action=AUDIT_VALUE&amp;DB=129&amp;ID1=23585110&amp;VALUEID=01001&amp;SDATE=201002&amp;PERIODTYPE=QTR_STD&amp;window=popup_no_bar&amp;width=385&amp;height=120&amp;START_MAXIMIZED=FALSE&amp;creator=factset&amp;display_string=Audit"}</definedName>
    <definedName name="_1676__FDSAUDITLINK__" localSheetId="1" hidden="1">{"fdsup://Directions/FactSet Auditing Viewer?action=AUDIT_VALUE&amp;DB=129&amp;ID1=23331A10&amp;VALUEID=01001&amp;SDATE=200903&amp;PERIODTYPE=QTR_STD&amp;window=popup_no_bar&amp;width=385&amp;height=120&amp;START_MAXIMIZED=FALSE&amp;creator=factset&amp;display_string=Audit"}</definedName>
    <definedName name="_1676__FDSAUDITLINK__" hidden="1">{"fdsup://Directions/FactSet Auditing Viewer?action=AUDIT_VALUE&amp;DB=129&amp;ID1=23331A10&amp;VALUEID=01001&amp;SDATE=200903&amp;PERIODTYPE=QTR_STD&amp;window=popup_no_bar&amp;width=385&amp;height=120&amp;START_MAXIMIZED=FALSE&amp;creator=factset&amp;display_string=Audit"}</definedName>
    <definedName name="_1677__FDSAUDITLINK__" localSheetId="1" hidden="1">{"fdsup://Directions/FactSet Auditing Viewer?action=AUDIT_VALUE&amp;DB=129&amp;ID1=23331A10&amp;VALUEID=01001&amp;SDATE=201003&amp;PERIODTYPE=QTR_STD&amp;window=popup_no_bar&amp;width=385&amp;height=120&amp;START_MAXIMIZED=FALSE&amp;creator=factset&amp;display_string=Audit"}</definedName>
    <definedName name="_1677__FDSAUDITLINK__" hidden="1">{"fdsup://Directions/FactSet Auditing Viewer?action=AUDIT_VALUE&amp;DB=129&amp;ID1=23331A10&amp;VALUEID=01001&amp;SDATE=201003&amp;PERIODTYPE=QTR_STD&amp;window=popup_no_bar&amp;width=385&amp;height=120&amp;START_MAXIMIZED=FALSE&amp;creator=factset&amp;display_string=Audit"}</definedName>
    <definedName name="_1678__FDSAUDITLINK__" localSheetId="1" hidden="1">{"fdsup://Directions/FactSet Auditing Viewer?action=AUDIT_VALUE&amp;DB=129&amp;ID1=74834L10&amp;VALUEID=01001&amp;SDATE=200902&amp;PERIODTYPE=QTR_STD&amp;window=popup_no_bar&amp;width=385&amp;height=120&amp;START_MAXIMIZED=FALSE&amp;creator=factset&amp;display_string=Audit"}</definedName>
    <definedName name="_1678__FDSAUDITLINK__" hidden="1">{"fdsup://Directions/FactSet Auditing Viewer?action=AUDIT_VALUE&amp;DB=129&amp;ID1=74834L10&amp;VALUEID=01001&amp;SDATE=200902&amp;PERIODTYPE=QTR_STD&amp;window=popup_no_bar&amp;width=385&amp;height=120&amp;START_MAXIMIZED=FALSE&amp;creator=factset&amp;display_string=Audit"}</definedName>
    <definedName name="_1679__FDSAUDITLINK__" localSheetId="1" hidden="1">{"fdsup://Directions/FactSet Auditing Viewer?action=AUDIT_VALUE&amp;DB=129&amp;ID1=74834L10&amp;VALUEID=01001&amp;SDATE=201002&amp;PERIODTYPE=QTR_STD&amp;window=popup_no_bar&amp;width=385&amp;height=120&amp;START_MAXIMIZED=FALSE&amp;creator=factset&amp;display_string=Audit"}</definedName>
    <definedName name="_1679__FDSAUDITLINK__" hidden="1">{"fdsup://Directions/FactSet Auditing Viewer?action=AUDIT_VALUE&amp;DB=129&amp;ID1=74834L10&amp;VALUEID=01001&amp;SDATE=201002&amp;PERIODTYPE=QTR_STD&amp;window=popup_no_bar&amp;width=385&amp;height=120&amp;START_MAXIMIZED=FALSE&amp;creator=factset&amp;display_string=Audit"}</definedName>
    <definedName name="_168__FDSAUDITLINK__" localSheetId="1" hidden="1">{"fdsup://directions/FAT Viewer?action=UPDATE&amp;creator=factset&amp;DYN_ARGS=TRUE&amp;DOC_NAME=FAT:FQL_AUDITING_CLIENT_TEMPLATE.FAT&amp;display_string=Audit&amp;VAR:KEY=ZABITWPSVC&amp;VAR:QUERY=RkZfRUJJVERBX09QRVIoUVRSLDQvMS8yMDEwLDYvMzAvMjAxMCwsLFVTRCk=&amp;WINDOW=FIRST_POPUP&amp;HEIGH","T=450&amp;WIDTH=450&amp;START_MAXIMIZED=FALSE&amp;VAR:CALENDAR=US&amp;VAR:SYMBOL=SRE&amp;VAR:INDEX=0"}</definedName>
    <definedName name="_168__FDSAUDITLINK__" hidden="1">{"fdsup://directions/FAT Viewer?action=UPDATE&amp;creator=factset&amp;DYN_ARGS=TRUE&amp;DOC_NAME=FAT:FQL_AUDITING_CLIENT_TEMPLATE.FAT&amp;display_string=Audit&amp;VAR:KEY=ZABITWPSVC&amp;VAR:QUERY=RkZfRUJJVERBX09QRVIoUVRSLDQvMS8yMDEwLDYvMzAvMjAxMCwsLFVTRCk=&amp;WINDOW=FIRST_POPUP&amp;HEIGH","T=450&amp;WIDTH=450&amp;START_MAXIMIZED=FALSE&amp;VAR:CALENDAR=US&amp;VAR:SYMBOL=SRE&amp;VAR:INDEX=0"}</definedName>
    <definedName name="_1680__FDSAUDITLINK__" localSheetId="1" hidden="1">{"fdsup://Directions/FactSet Auditing Viewer?action=AUDIT_VALUE&amp;DB=129&amp;ID1=25470910&amp;VALUEID=01001&amp;SDATE=201002&amp;PERIODTYPE=QTR_STD&amp;window=popup_no_bar&amp;width=385&amp;height=120&amp;START_MAXIMIZED=FALSE&amp;creator=factset&amp;display_string=Audit"}</definedName>
    <definedName name="_1680__FDSAUDITLINK__" hidden="1">{"fdsup://Directions/FactSet Auditing Viewer?action=AUDIT_VALUE&amp;DB=129&amp;ID1=25470910&amp;VALUEID=01001&amp;SDATE=201002&amp;PERIODTYPE=QTR_STD&amp;window=popup_no_bar&amp;width=385&amp;height=120&amp;START_MAXIMIZED=FALSE&amp;creator=factset&amp;display_string=Audit"}</definedName>
    <definedName name="_1681__FDSAUDITLINK__" localSheetId="1" hidden="1">{"fdsup://Directions/FactSet Auditing Viewer?action=AUDIT_VALUE&amp;DB=129&amp;ID1=24237010&amp;VALUEID=01001&amp;SDATE=200902&amp;PERIODTYPE=QTR_STD&amp;window=popup_no_bar&amp;width=385&amp;height=120&amp;START_MAXIMIZED=FALSE&amp;creator=factset&amp;display_string=Audit"}</definedName>
    <definedName name="_1681__FDSAUDITLINK__" hidden="1">{"fdsup://Directions/FactSet Auditing Viewer?action=AUDIT_VALUE&amp;DB=129&amp;ID1=24237010&amp;VALUEID=01001&amp;SDATE=200902&amp;PERIODTYPE=QTR_STD&amp;window=popup_no_bar&amp;width=385&amp;height=120&amp;START_MAXIMIZED=FALSE&amp;creator=factset&amp;display_string=Audit"}</definedName>
    <definedName name="_1682__FDSAUDITLINK__" localSheetId="1" hidden="1">{"fdsup://Directions/FactSet Auditing Viewer?action=AUDIT_VALUE&amp;DB=129&amp;ID1=24237010&amp;VALUEID=01001&amp;SDATE=201002&amp;PERIODTYPE=QTR_STD&amp;window=popup_no_bar&amp;width=385&amp;height=120&amp;START_MAXIMIZED=FALSE&amp;creator=factset&amp;display_string=Audit"}</definedName>
    <definedName name="_1682__FDSAUDITLINK__" hidden="1">{"fdsup://Directions/FactSet Auditing Viewer?action=AUDIT_VALUE&amp;DB=129&amp;ID1=24237010&amp;VALUEID=01001&amp;SDATE=201002&amp;PERIODTYPE=QTR_STD&amp;window=popup_no_bar&amp;width=385&amp;height=120&amp;START_MAXIMIZED=FALSE&amp;creator=factset&amp;display_string=Audit"}</definedName>
    <definedName name="_1683__FDSAUDITLINK__" localSheetId="1" hidden="1">{"fdsup://Directions/FactSet Auditing Viewer?action=AUDIT_VALUE&amp;DB=129&amp;ID1=24702R10&amp;VALUEID=01001&amp;SDATE=201001&amp;PERIODTYPE=QTR_STD&amp;window=popup_no_bar&amp;width=385&amp;height=120&amp;START_MAXIMIZED=FALSE&amp;creator=factset&amp;display_string=Audit"}</definedName>
    <definedName name="_1683__FDSAUDITLINK__" hidden="1">{"fdsup://Directions/FactSet Auditing Viewer?action=AUDIT_VALUE&amp;DB=129&amp;ID1=24702R10&amp;VALUEID=01001&amp;SDATE=201001&amp;PERIODTYPE=QTR_STD&amp;window=popup_no_bar&amp;width=385&amp;height=120&amp;START_MAXIMIZED=FALSE&amp;creator=factset&amp;display_string=Audit"}</definedName>
    <definedName name="_1684__FDSAUDITLINK__" localSheetId="1" hidden="1">{"fdsup://Directions/FactSet Auditing Viewer?action=AUDIT_VALUE&amp;DB=129&amp;ID1=24419910&amp;VALUEID=01001&amp;SDATE=200902&amp;PERIODTYPE=QTR_STD&amp;window=popup_no_bar&amp;width=385&amp;height=120&amp;START_MAXIMIZED=FALSE&amp;creator=factset&amp;display_string=Audit"}</definedName>
    <definedName name="_1684__FDSAUDITLINK__" hidden="1">{"fdsup://Directions/FactSet Auditing Viewer?action=AUDIT_VALUE&amp;DB=129&amp;ID1=24419910&amp;VALUEID=01001&amp;SDATE=200902&amp;PERIODTYPE=QTR_STD&amp;window=popup_no_bar&amp;width=385&amp;height=120&amp;START_MAXIMIZED=FALSE&amp;creator=factset&amp;display_string=Audit"}</definedName>
    <definedName name="_1685__FDSAUDITLINK__" localSheetId="1" hidden="1">{"fdsup://Directions/FactSet Auditing Viewer?action=AUDIT_VALUE&amp;DB=129&amp;ID1=24419910&amp;VALUEID=01001&amp;SDATE=201002&amp;PERIODTYPE=QTR_STD&amp;window=popup_no_bar&amp;width=385&amp;height=120&amp;START_MAXIMIZED=FALSE&amp;creator=factset&amp;display_string=Audit"}</definedName>
    <definedName name="_1685__FDSAUDITLINK__" hidden="1">{"fdsup://Directions/FactSet Auditing Viewer?action=AUDIT_VALUE&amp;DB=129&amp;ID1=24419910&amp;VALUEID=01001&amp;SDATE=201002&amp;PERIODTYPE=QTR_STD&amp;window=popup_no_bar&amp;width=385&amp;height=120&amp;START_MAXIMIZED=FALSE&amp;creator=factset&amp;display_string=Audit"}</definedName>
    <definedName name="_1686__FDSAUDITLINK__" localSheetId="1" hidden="1">{"fdsup://Directions/FactSet Auditing Viewer?action=AUDIT_VALUE&amp;DB=129&amp;ID1=26353410&amp;VALUEID=01001&amp;SDATE=200902&amp;PERIODTYPE=QTR_STD&amp;window=popup_no_bar&amp;width=385&amp;height=120&amp;START_MAXIMIZED=FALSE&amp;creator=factset&amp;display_string=Audit"}</definedName>
    <definedName name="_1686__FDSAUDITLINK__" hidden="1">{"fdsup://Directions/FactSet Auditing Viewer?action=AUDIT_VALUE&amp;DB=129&amp;ID1=26353410&amp;VALUEID=01001&amp;SDATE=200902&amp;PERIODTYPE=QTR_STD&amp;window=popup_no_bar&amp;width=385&amp;height=120&amp;START_MAXIMIZED=FALSE&amp;creator=factset&amp;display_string=Audit"}</definedName>
    <definedName name="_1687__FDSAUDITLINK__" localSheetId="1" hidden="1">{"fdsup://Directions/FactSet Auditing Viewer?action=AUDIT_VALUE&amp;DB=129&amp;ID1=26353410&amp;VALUEID=01001&amp;SDATE=201002&amp;PERIODTYPE=QTR_STD&amp;window=popup_no_bar&amp;width=385&amp;height=120&amp;START_MAXIMIZED=FALSE&amp;creator=factset&amp;display_string=Audit"}</definedName>
    <definedName name="_1687__FDSAUDITLINK__" hidden="1">{"fdsup://Directions/FactSet Auditing Viewer?action=AUDIT_VALUE&amp;DB=129&amp;ID1=26353410&amp;VALUEID=01001&amp;SDATE=201002&amp;PERIODTYPE=QTR_STD&amp;window=popup_no_bar&amp;width=385&amp;height=120&amp;START_MAXIMIZED=FALSE&amp;creator=factset&amp;display_string=Audit"}</definedName>
    <definedName name="_1688__FDSAUDITLINK__" localSheetId="1" hidden="1">{"fdsup://Directions/FactSet Auditing Viewer?action=AUDIT_VALUE&amp;DB=129&amp;ID1=25746U10&amp;VALUEID=01001&amp;SDATE=200902&amp;PERIODTYPE=QTR_STD&amp;window=popup_no_bar&amp;width=385&amp;height=120&amp;START_MAXIMIZED=FALSE&amp;creator=factset&amp;display_string=Audit"}</definedName>
    <definedName name="_1688__FDSAUDITLINK__" hidden="1">{"fdsup://Directions/FactSet Auditing Viewer?action=AUDIT_VALUE&amp;DB=129&amp;ID1=25746U10&amp;VALUEID=01001&amp;SDATE=200902&amp;PERIODTYPE=QTR_STD&amp;window=popup_no_bar&amp;width=385&amp;height=120&amp;START_MAXIMIZED=FALSE&amp;creator=factset&amp;display_string=Audit"}</definedName>
    <definedName name="_1689__FDSAUDITLINK__" localSheetId="1" hidden="1">{"fdsup://Directions/FactSet Auditing Viewer?action=AUDIT_VALUE&amp;DB=129&amp;ID1=25746U10&amp;VALUEID=01001&amp;SDATE=201002&amp;PERIODTYPE=QTR_STD&amp;window=popup_no_bar&amp;width=385&amp;height=120&amp;START_MAXIMIZED=FALSE&amp;creator=factset&amp;display_string=Audit"}</definedName>
    <definedName name="_1689__FDSAUDITLINK__" hidden="1">{"fdsup://Directions/FactSet Auditing Viewer?action=AUDIT_VALUE&amp;DB=129&amp;ID1=25746U10&amp;VALUEID=01001&amp;SDATE=201002&amp;PERIODTYPE=QTR_STD&amp;window=popup_no_bar&amp;width=385&amp;height=120&amp;START_MAXIMIZED=FALSE&amp;creator=factset&amp;display_string=Audit"}</definedName>
    <definedName name="_169__FDSAUDITLINK__" localSheetId="1" hidden="1">{"fdsup://directions/FAT Viewer?action=UPDATE&amp;creator=factset&amp;DYN_ARGS=TRUE&amp;DOC_NAME=FAT:FQL_AUDITING_CLIENT_TEMPLATE.FAT&amp;display_string=Audit&amp;VAR:KEY=BYXCZQLCDW&amp;VAR:QUERY=RkZfRUJJVERBX09QRVIoUVRSLDQvMS8yMDA5LDYvMzAvMjAwOSwsLFVTRCk=&amp;WINDOW=FIRST_POPUP&amp;HEIGH","T=450&amp;WIDTH=450&amp;START_MAXIMIZED=FALSE&amp;VAR:CALENDAR=US&amp;VAR:SYMBOL=SRCL&amp;VAR:INDEX=0"}</definedName>
    <definedName name="_169__FDSAUDITLINK__" hidden="1">{"fdsup://directions/FAT Viewer?action=UPDATE&amp;creator=factset&amp;DYN_ARGS=TRUE&amp;DOC_NAME=FAT:FQL_AUDITING_CLIENT_TEMPLATE.FAT&amp;display_string=Audit&amp;VAR:KEY=BYXCZQLCDW&amp;VAR:QUERY=RkZfRUJJVERBX09QRVIoUVRSLDQvMS8yMDA5LDYvMzAvMjAwOSwsLFVTRCk=&amp;WINDOW=FIRST_POPUP&amp;HEIGH","T=450&amp;WIDTH=450&amp;START_MAXIMIZED=FALSE&amp;VAR:CALENDAR=US&amp;VAR:SYMBOL=SRCL&amp;VAR:INDEX=0"}</definedName>
    <definedName name="_1690__FDSAUDITLINK__" localSheetId="1" hidden="1">{"fdsup://Directions/FactSet Auditing Viewer?action=AUDIT_VALUE&amp;DB=129&amp;ID1=16676410&amp;VALUEID=01001&amp;SDATE=200902&amp;PERIODTYPE=QTR_STD&amp;window=popup_no_bar&amp;width=385&amp;height=120&amp;START_MAXIMIZED=FALSE&amp;creator=factset&amp;display_string=Audit"}</definedName>
    <definedName name="_1690__FDSAUDITLINK__" hidden="1">{"fdsup://Directions/FactSet Auditing Viewer?action=AUDIT_VALUE&amp;DB=129&amp;ID1=16676410&amp;VALUEID=01001&amp;SDATE=200902&amp;PERIODTYPE=QTR_STD&amp;window=popup_no_bar&amp;width=385&amp;height=120&amp;START_MAXIMIZED=FALSE&amp;creator=factset&amp;display_string=Audit"}</definedName>
    <definedName name="_1691__FDSAUDITLINK__" localSheetId="1" hidden="1">{"fdsup://Directions/FactSet Auditing Viewer?action=AUDIT_VALUE&amp;DB=129&amp;ID1=16676410&amp;VALUEID=01001&amp;SDATE=201002&amp;PERIODTYPE=QTR_STD&amp;window=popup_no_bar&amp;width=385&amp;height=120&amp;START_MAXIMIZED=FALSE&amp;creator=factset&amp;display_string=Audit"}</definedName>
    <definedName name="_1691__FDSAUDITLINK__" hidden="1">{"fdsup://Directions/FactSet Auditing Viewer?action=AUDIT_VALUE&amp;DB=129&amp;ID1=16676410&amp;VALUEID=01001&amp;SDATE=201002&amp;PERIODTYPE=QTR_STD&amp;window=popup_no_bar&amp;width=385&amp;height=120&amp;START_MAXIMIZED=FALSE&amp;creator=factset&amp;display_string=Audit"}</definedName>
    <definedName name="_1692__FDSAUDITLINK__" localSheetId="1" hidden="1">{"fdsup://Directions/FactSet Auditing Viewer?action=AUDIT_VALUE&amp;DB=129&amp;ID1=12665010&amp;VALUEID=01001&amp;SDATE=200902&amp;PERIODTYPE=QTR_STD&amp;window=popup_no_bar&amp;width=385&amp;height=120&amp;START_MAXIMIZED=FALSE&amp;creator=factset&amp;display_string=Audit"}</definedName>
    <definedName name="_1692__FDSAUDITLINK__" hidden="1">{"fdsup://Directions/FactSet Auditing Viewer?action=AUDIT_VALUE&amp;DB=129&amp;ID1=12665010&amp;VALUEID=01001&amp;SDATE=200902&amp;PERIODTYPE=QTR_STD&amp;window=popup_no_bar&amp;width=385&amp;height=120&amp;START_MAXIMIZED=FALSE&amp;creator=factset&amp;display_string=Audit"}</definedName>
    <definedName name="_1693__FDSAUDITLINK__" localSheetId="1" hidden="1">{"fdsup://Directions/FactSet Auditing Viewer?action=AUDIT_VALUE&amp;DB=129&amp;ID1=12665010&amp;VALUEID=01001&amp;SDATE=201002&amp;PERIODTYPE=QTR_STD&amp;window=popup_no_bar&amp;width=385&amp;height=120&amp;START_MAXIMIZED=FALSE&amp;creator=factset&amp;display_string=Audit"}</definedName>
    <definedName name="_1693__FDSAUDITLINK__" hidden="1">{"fdsup://Directions/FactSet Auditing Viewer?action=AUDIT_VALUE&amp;DB=129&amp;ID1=12665010&amp;VALUEID=01001&amp;SDATE=201002&amp;PERIODTYPE=QTR_STD&amp;window=popup_no_bar&amp;width=385&amp;height=120&amp;START_MAXIMIZED=FALSE&amp;creator=factset&amp;display_string=Audit"}</definedName>
    <definedName name="_1694__FDSAUDITLINK__" localSheetId="1" hidden="1">{"fdsup://Directions/FactSet Auditing Viewer?action=AUDIT_VALUE&amp;DB=129&amp;ID1=22286210&amp;VALUEID=01001&amp;SDATE=200902&amp;PERIODTYPE=QTR_STD&amp;window=popup_no_bar&amp;width=385&amp;height=120&amp;START_MAXIMIZED=FALSE&amp;creator=factset&amp;display_string=Audit"}</definedName>
    <definedName name="_1694__FDSAUDITLINK__" hidden="1">{"fdsup://Directions/FactSet Auditing Viewer?action=AUDIT_VALUE&amp;DB=129&amp;ID1=22286210&amp;VALUEID=01001&amp;SDATE=200902&amp;PERIODTYPE=QTR_STD&amp;window=popup_no_bar&amp;width=385&amp;height=120&amp;START_MAXIMIZED=FALSE&amp;creator=factset&amp;display_string=Audit"}</definedName>
    <definedName name="_1695__FDSAUDITLINK__" localSheetId="1" hidden="1">{"fdsup://Directions/FactSet Auditing Viewer?action=AUDIT_VALUE&amp;DB=129&amp;ID1=22286210&amp;VALUEID=01001&amp;SDATE=201002&amp;PERIODTYPE=QTR_STD&amp;window=popup_no_bar&amp;width=385&amp;height=120&amp;START_MAXIMIZED=FALSE&amp;creator=factset&amp;display_string=Audit"}</definedName>
    <definedName name="_1695__FDSAUDITLINK__" hidden="1">{"fdsup://Directions/FactSet Auditing Viewer?action=AUDIT_VALUE&amp;DB=129&amp;ID1=22286210&amp;VALUEID=01001&amp;SDATE=201002&amp;PERIODTYPE=QTR_STD&amp;window=popup_no_bar&amp;width=385&amp;height=120&amp;START_MAXIMIZED=FALSE&amp;creator=factset&amp;display_string=Audit"}</definedName>
    <definedName name="_1696__FDSAUDITLINK__" localSheetId="1" hidden="1">{"fdsup://Directions/FactSet Auditing Viewer?action=AUDIT_VALUE&amp;DB=129&amp;ID1=17737610&amp;VALUEID=01001&amp;SDATE=200902&amp;PERIODTYPE=QTR_STD&amp;window=popup_no_bar&amp;width=385&amp;height=120&amp;START_MAXIMIZED=FALSE&amp;creator=factset&amp;display_string=Audit"}</definedName>
    <definedName name="_1696__FDSAUDITLINK__" hidden="1">{"fdsup://Directions/FactSet Auditing Viewer?action=AUDIT_VALUE&amp;DB=129&amp;ID1=17737610&amp;VALUEID=01001&amp;SDATE=200902&amp;PERIODTYPE=QTR_STD&amp;window=popup_no_bar&amp;width=385&amp;height=120&amp;START_MAXIMIZED=FALSE&amp;creator=factset&amp;display_string=Audit"}</definedName>
    <definedName name="_1697__FDSAUDITLINK__" localSheetId="1" hidden="1">{"fdsup://Directions/FactSet Auditing Viewer?action=AUDIT_VALUE&amp;DB=129&amp;ID1=17737610&amp;VALUEID=01001&amp;SDATE=201002&amp;PERIODTYPE=QTR_STD&amp;window=popup_no_bar&amp;width=385&amp;height=120&amp;START_MAXIMIZED=FALSE&amp;creator=factset&amp;display_string=Audit"}</definedName>
    <definedName name="_1697__FDSAUDITLINK__" hidden="1">{"fdsup://Directions/FactSet Auditing Viewer?action=AUDIT_VALUE&amp;DB=129&amp;ID1=17737610&amp;VALUEID=01001&amp;SDATE=201002&amp;PERIODTYPE=QTR_STD&amp;window=popup_no_bar&amp;width=385&amp;height=120&amp;START_MAXIMIZED=FALSE&amp;creator=factset&amp;display_string=Audit"}</definedName>
    <definedName name="_1698__FDSAUDITLINK__" localSheetId="1" hidden="1">{"fdsup://Directions/FactSet Auditing Viewer?action=AUDIT_VALUE&amp;DB=129&amp;ID1=19244610&amp;VALUEID=01001&amp;SDATE=200902&amp;PERIODTYPE=QTR_STD&amp;window=popup_no_bar&amp;width=385&amp;height=120&amp;START_MAXIMIZED=FALSE&amp;creator=factset&amp;display_string=Audit"}</definedName>
    <definedName name="_1698__FDSAUDITLINK__" hidden="1">{"fdsup://Directions/FactSet Auditing Viewer?action=AUDIT_VALUE&amp;DB=129&amp;ID1=19244610&amp;VALUEID=01001&amp;SDATE=200902&amp;PERIODTYPE=QTR_STD&amp;window=popup_no_bar&amp;width=385&amp;height=120&amp;START_MAXIMIZED=FALSE&amp;creator=factset&amp;display_string=Audit"}</definedName>
    <definedName name="_1699__FDSAUDITLINK__" localSheetId="1" hidden="1">{"fdsup://Directions/FactSet Auditing Viewer?action=AUDIT_VALUE&amp;DB=129&amp;ID1=19244610&amp;VALUEID=01001&amp;SDATE=201002&amp;PERIODTYPE=QTR_STD&amp;window=popup_no_bar&amp;width=385&amp;height=120&amp;START_MAXIMIZED=FALSE&amp;creator=factset&amp;display_string=Audit"}</definedName>
    <definedName name="_1699__FDSAUDITLINK__" hidden="1">{"fdsup://Directions/FactSet Auditing Viewer?action=AUDIT_VALUE&amp;DB=129&amp;ID1=19244610&amp;VALUEID=01001&amp;SDATE=201002&amp;PERIODTYPE=QTR_STD&amp;window=popup_no_bar&amp;width=385&amp;height=120&amp;START_MAXIMIZED=FALSE&amp;creator=factset&amp;display_string=Audit"}</definedName>
    <definedName name="_17__FDSAUDITLINK__" localSheetId="1" hidden="1">{"fdsup://directions/FAT Viewer?action=UPDATE&amp;creator=factset&amp;DYN_ARGS=TRUE&amp;DOC_NAME=FAT:FQL_AUDITING_CLIENT_TEMPLATE.FAT&amp;display_string=Audit&amp;VAR:KEY=VSXADOBIVQ&amp;VAR:QUERY=RkZfRUJJVERBX09QRVIoUVRSLDQvMS8yMDA5LDYvMzAvMjAwOSwsLFVTRCk=&amp;WINDOW=FIRST_POPUP&amp;HEIGH","T=450&amp;WIDTH=450&amp;START_MAXIMIZED=FALSE&amp;VAR:CALENDAR=US&amp;VAR:SYMBOL=XL&amp;VAR:INDEX=0"}</definedName>
    <definedName name="_17__FDSAUDITLINK__" hidden="1">{"fdsup://Directions/FactSet Auditing Viewer?action=AUDIT_VALUE&amp;DB=129&amp;ID1=62007610&amp;VALUEID=02001&amp;SDATE=2009&amp;PERIODTYPE=ANN_STD&amp;window=popup_no_bar&amp;width=385&amp;height=120&amp;START_MAXIMIZED=FALSE&amp;creator=factset&amp;display_string=Audit"}</definedName>
    <definedName name="_170__FDSAUDITLINK__" localSheetId="1" hidden="1">{"fdsup://directions/FAT Viewer?action=UPDATE&amp;creator=factset&amp;DYN_ARGS=TRUE&amp;DOC_NAME=FAT:FQL_AUDITING_CLIENT_TEMPLATE.FAT&amp;display_string=Audit&amp;VAR:KEY=ZMVWFQNGJE&amp;VAR:QUERY=RkZfRUJJVERBX09QRVIoUVRSLDQvMS8yMDEwLDYvMzAvMjAxMCwsLFVTRCk=&amp;WINDOW=FIRST_POPUP&amp;HEIGH","T=450&amp;WIDTH=450&amp;START_MAXIMIZED=FALSE&amp;VAR:CALENDAR=US&amp;VAR:SYMBOL=SRCL&amp;VAR:INDEX=0"}</definedName>
    <definedName name="_170__FDSAUDITLINK__" hidden="1">{"fdsup://directions/FAT Viewer?action=UPDATE&amp;creator=factset&amp;DYN_ARGS=TRUE&amp;DOC_NAME=FAT:FQL_AUDITING_CLIENT_TEMPLATE.FAT&amp;display_string=Audit&amp;VAR:KEY=ZMVWFQNGJE&amp;VAR:QUERY=RkZfRUJJVERBX09QRVIoUVRSLDQvMS8yMDEwLDYvMzAvMjAxMCwsLFVTRCk=&amp;WINDOW=FIRST_POPUP&amp;HEIGH","T=450&amp;WIDTH=450&amp;START_MAXIMIZED=FALSE&amp;VAR:CALENDAR=US&amp;VAR:SYMBOL=SRCL&amp;VAR:INDEX=0"}</definedName>
    <definedName name="_1700__FDSAUDITLINK__" localSheetId="1" hidden="1">{"fdsup://Directions/FactSet Auditing Viewer?action=AUDIT_VALUE&amp;DB=129&amp;ID1=15670010&amp;VALUEID=01001&amp;SDATE=200902&amp;PERIODTYPE=QTR_STD&amp;window=popup_no_bar&amp;width=385&amp;height=120&amp;START_MAXIMIZED=FALSE&amp;creator=factset&amp;display_string=Audit"}</definedName>
    <definedName name="_1700__FDSAUDITLINK__" hidden="1">{"fdsup://Directions/FactSet Auditing Viewer?action=AUDIT_VALUE&amp;DB=129&amp;ID1=15670010&amp;VALUEID=01001&amp;SDATE=200902&amp;PERIODTYPE=QTR_STD&amp;window=popup_no_bar&amp;width=385&amp;height=120&amp;START_MAXIMIZED=FALSE&amp;creator=factset&amp;display_string=Audit"}</definedName>
    <definedName name="_1701__FDSAUDITLINK__" localSheetId="1" hidden="1">{"fdsup://Directions/FactSet Auditing Viewer?action=AUDIT_VALUE&amp;DB=129&amp;ID1=15670010&amp;VALUEID=01001&amp;SDATE=201002&amp;PERIODTYPE=QTR_STD&amp;window=popup_no_bar&amp;width=385&amp;height=120&amp;START_MAXIMIZED=FALSE&amp;creator=factset&amp;display_string=Audit"}</definedName>
    <definedName name="_1701__FDSAUDITLINK__" hidden="1">{"fdsup://Directions/FactSet Auditing Viewer?action=AUDIT_VALUE&amp;DB=129&amp;ID1=15670010&amp;VALUEID=01001&amp;SDATE=201002&amp;PERIODTYPE=QTR_STD&amp;window=popup_no_bar&amp;width=385&amp;height=120&amp;START_MAXIMIZED=FALSE&amp;creator=factset&amp;display_string=Audit"}</definedName>
    <definedName name="_1702__FDSAUDITLINK__" localSheetId="1" hidden="1">{"fdsup://Directions/FactSet Auditing Viewer?action=AUDIT_VALUE&amp;DB=129&amp;ID1=17290810&amp;VALUEID=01001&amp;SDATE=200904&amp;PERIODTYPE=QTR_STD&amp;window=popup_no_bar&amp;width=385&amp;height=120&amp;START_MAXIMIZED=FALSE&amp;creator=factset&amp;display_string=Audit"}</definedName>
    <definedName name="_1702__FDSAUDITLINK__" hidden="1">{"fdsup://Directions/FactSet Auditing Viewer?action=AUDIT_VALUE&amp;DB=129&amp;ID1=17290810&amp;VALUEID=01001&amp;SDATE=200904&amp;PERIODTYPE=QTR_STD&amp;window=popup_no_bar&amp;width=385&amp;height=120&amp;START_MAXIMIZED=FALSE&amp;creator=factset&amp;display_string=Audit"}</definedName>
    <definedName name="_1703__FDSAUDITLINK__" localSheetId="1" hidden="1">{"fdsup://Directions/FactSet Auditing Viewer?action=AUDIT_VALUE&amp;DB=129&amp;ID1=12640810&amp;VALUEID=01001&amp;SDATE=201002&amp;PERIODTYPE=QTR_STD&amp;window=popup_no_bar&amp;width=385&amp;height=120&amp;START_MAXIMIZED=FALSE&amp;creator=factset&amp;display_string=Audit"}</definedName>
    <definedName name="_1703__FDSAUDITLINK__" hidden="1">{"fdsup://Directions/FactSet Auditing Viewer?action=AUDIT_VALUE&amp;DB=129&amp;ID1=12640810&amp;VALUEID=01001&amp;SDATE=201002&amp;PERIODTYPE=QTR_STD&amp;window=popup_no_bar&amp;width=385&amp;height=120&amp;START_MAXIMIZED=FALSE&amp;creator=factset&amp;display_string=Audit"}</definedName>
    <definedName name="_1704__FDSAUDITLINK__" localSheetId="1" hidden="1">{"fdsup://Directions/FactSet Auditing Viewer?action=AUDIT_VALUE&amp;DB=129&amp;ID1=17275R10&amp;VALUEID=01001&amp;SDATE=200903&amp;PERIODTYPE=QTR_STD&amp;window=popup_no_bar&amp;width=385&amp;height=120&amp;START_MAXIMIZED=FALSE&amp;creator=factset&amp;display_string=Audit"}</definedName>
    <definedName name="_1704__FDSAUDITLINK__" hidden="1">{"fdsup://Directions/FactSet Auditing Viewer?action=AUDIT_VALUE&amp;DB=129&amp;ID1=17275R10&amp;VALUEID=01001&amp;SDATE=200903&amp;PERIODTYPE=QTR_STD&amp;window=popup_no_bar&amp;width=385&amp;height=120&amp;START_MAXIMIZED=FALSE&amp;creator=factset&amp;display_string=Audit"}</definedName>
    <definedName name="_1705__FDSAUDITLINK__" localSheetId="1" hidden="1">{"fdsup://Directions/FactSet Auditing Viewer?action=AUDIT_VALUE&amp;DB=129&amp;ID1=17275R10&amp;VALUEID=01001&amp;SDATE=201003&amp;PERIODTYPE=QTR_STD&amp;window=popup_no_bar&amp;width=385&amp;height=120&amp;START_MAXIMIZED=FALSE&amp;creator=factset&amp;display_string=Audit"}</definedName>
    <definedName name="_1705__FDSAUDITLINK__" hidden="1">{"fdsup://Directions/FactSet Auditing Viewer?action=AUDIT_VALUE&amp;DB=129&amp;ID1=17275R10&amp;VALUEID=01001&amp;SDATE=201003&amp;PERIODTYPE=QTR_STD&amp;window=popup_no_bar&amp;width=385&amp;height=120&amp;START_MAXIMIZED=FALSE&amp;creator=factset&amp;display_string=Audit"}</definedName>
    <definedName name="_1706__FDSAUDITLINK__" localSheetId="1" hidden="1">{"fdsup://Directions/FactSet Auditing Viewer?action=AUDIT_VALUE&amp;DB=129&amp;ID1=20536310&amp;VALUEID=01001&amp;SDATE=200901&amp;PERIODTYPE=QTR_STD&amp;window=popup_no_bar&amp;width=385&amp;height=120&amp;START_MAXIMIZED=FALSE&amp;creator=factset&amp;display_string=Audit"}</definedName>
    <definedName name="_1706__FDSAUDITLINK__" hidden="1">{"fdsup://Directions/FactSet Auditing Viewer?action=AUDIT_VALUE&amp;DB=129&amp;ID1=20536310&amp;VALUEID=01001&amp;SDATE=200901&amp;PERIODTYPE=QTR_STD&amp;window=popup_no_bar&amp;width=385&amp;height=120&amp;START_MAXIMIZED=FALSE&amp;creator=factset&amp;display_string=Audit"}</definedName>
    <definedName name="_1707__FDSAUDITLINK__" localSheetId="1" hidden="1">{"fdsup://Directions/FactSet Auditing Viewer?action=AUDIT_VALUE&amp;DB=129&amp;ID1=20536310&amp;VALUEID=01001&amp;SDATE=201001&amp;PERIODTYPE=QTR_STD&amp;window=popup_no_bar&amp;width=385&amp;height=120&amp;START_MAXIMIZED=FALSE&amp;creator=factset&amp;display_string=Audit"}</definedName>
    <definedName name="_1707__FDSAUDITLINK__" hidden="1">{"fdsup://Directions/FactSet Auditing Viewer?action=AUDIT_VALUE&amp;DB=129&amp;ID1=20536310&amp;VALUEID=01001&amp;SDATE=201001&amp;PERIODTYPE=QTR_STD&amp;window=popup_no_bar&amp;width=385&amp;height=120&amp;START_MAXIMIZED=FALSE&amp;creator=factset&amp;display_string=Audit"}</definedName>
    <definedName name="_1708__FDSAUDITLINK__" localSheetId="1" hidden="1">{"fdsup://Directions/FactSet Auditing Viewer?action=AUDIT_VALUE&amp;DB=129&amp;ID1=79466L30&amp;VALUEID=01001&amp;SDATE=201001&amp;PERIODTYPE=QTR_STD&amp;window=popup_no_bar&amp;width=385&amp;height=120&amp;START_MAXIMIZED=FALSE&amp;creator=factset&amp;display_string=Audit"}</definedName>
    <definedName name="_1708__FDSAUDITLINK__" hidden="1">{"fdsup://Directions/FactSet Auditing Viewer?action=AUDIT_VALUE&amp;DB=129&amp;ID1=79466L30&amp;VALUEID=01001&amp;SDATE=201001&amp;PERIODTYPE=QTR_STD&amp;window=popup_no_bar&amp;width=385&amp;height=120&amp;START_MAXIMIZED=FALSE&amp;creator=factset&amp;display_string=Audit"}</definedName>
    <definedName name="_1709__FDSAUDITLINK__" localSheetId="1" hidden="1">{"fdsup://Directions/FactSet Auditing Viewer?action=AUDIT_VALUE&amp;DB=129&amp;ID1=20563810&amp;VALUEID=01001&amp;SDATE=200901&amp;PERIODTYPE=QTR_STD&amp;window=popup_no_bar&amp;width=385&amp;height=120&amp;START_MAXIMIZED=FALSE&amp;creator=factset&amp;display_string=Audit"}</definedName>
    <definedName name="_1709__FDSAUDITLINK__" hidden="1">{"fdsup://Directions/FactSet Auditing Viewer?action=AUDIT_VALUE&amp;DB=129&amp;ID1=20563810&amp;VALUEID=01001&amp;SDATE=200901&amp;PERIODTYPE=QTR_STD&amp;window=popup_no_bar&amp;width=385&amp;height=120&amp;START_MAXIMIZED=FALSE&amp;creator=factset&amp;display_string=Audit"}</definedName>
    <definedName name="_171__FDSAUDITLINK__" localSheetId="1" hidden="1">{"fdsup://directions/FAT Viewer?action=UPDATE&amp;creator=factset&amp;DYN_ARGS=TRUE&amp;DOC_NAME=FAT:FQL_AUDITING_CLIENT_TEMPLATE.FAT&amp;display_string=Audit&amp;VAR:KEY=HQVGTMNGXE&amp;VAR:QUERY=RkZfRUJJVERBX09QRVIoUVRSLDQvMS8yMDA5LDYvMzAvMjAwOSwsLFVTRCk=&amp;WINDOW=FIRST_POPUP&amp;HEIGH","T=450&amp;WIDTH=450&amp;START_MAXIMIZED=FALSE&amp;VAR:CALENDAR=US&amp;VAR:SYMBOL=SPLS&amp;VAR:INDEX=0"}</definedName>
    <definedName name="_171__FDSAUDITLINK__" hidden="1">{"fdsup://directions/FAT Viewer?action=UPDATE&amp;creator=factset&amp;DYN_ARGS=TRUE&amp;DOC_NAME=FAT:FQL_AUDITING_CLIENT_TEMPLATE.FAT&amp;display_string=Audit&amp;VAR:KEY=HQVGTMNGXE&amp;VAR:QUERY=RkZfRUJJVERBX09QRVIoUVRSLDQvMS8yMDA5LDYvMzAvMjAwOSwsLFVTRCk=&amp;WINDOW=FIRST_POPUP&amp;HEIGH","T=450&amp;WIDTH=450&amp;START_MAXIMIZED=FALSE&amp;VAR:CALENDAR=US&amp;VAR:SYMBOL=SPLS&amp;VAR:INDEX=0"}</definedName>
    <definedName name="_1710__FDSAUDITLINK__" localSheetId="1" hidden="1">{"fdsup://Directions/FactSet Auditing Viewer?action=AUDIT_VALUE&amp;DB=129&amp;ID1=20563810&amp;VALUEID=01001&amp;SDATE=201001&amp;PERIODTYPE=QTR_STD&amp;window=popup_no_bar&amp;width=385&amp;height=120&amp;START_MAXIMIZED=FALSE&amp;creator=factset&amp;display_string=Audit"}</definedName>
    <definedName name="_1710__FDSAUDITLINK__" hidden="1">{"fdsup://Directions/FactSet Auditing Viewer?action=AUDIT_VALUE&amp;DB=129&amp;ID1=20563810&amp;VALUEID=01001&amp;SDATE=201001&amp;PERIODTYPE=QTR_STD&amp;window=popup_no_bar&amp;width=385&amp;height=120&amp;START_MAXIMIZED=FALSE&amp;creator=factset&amp;display_string=Audit"}</definedName>
    <definedName name="_1711__FDSAUDITLINK__" localSheetId="1" hidden="1">{"fdsup://Directions/FactSet Auditing Viewer?action=AUDIT_VALUE&amp;DB=129&amp;ID1=13442910&amp;VALUEID=01001&amp;SDATE=200903&amp;PERIODTYPE=QTR_STD&amp;window=popup_no_bar&amp;width=385&amp;height=120&amp;START_MAXIMIZED=FALSE&amp;creator=factset&amp;display_string=Audit"}</definedName>
    <definedName name="_1711__FDSAUDITLINK__" hidden="1">{"fdsup://Directions/FactSet Auditing Viewer?action=AUDIT_VALUE&amp;DB=129&amp;ID1=13442910&amp;VALUEID=01001&amp;SDATE=200903&amp;PERIODTYPE=QTR_STD&amp;window=popup_no_bar&amp;width=385&amp;height=120&amp;START_MAXIMIZED=FALSE&amp;creator=factset&amp;display_string=Audit"}</definedName>
    <definedName name="_1712__FDSAUDITLINK__" localSheetId="1" hidden="1">{"fdsup://Directions/FactSet Auditing Viewer?action=AUDIT_VALUE&amp;DB=129&amp;ID1=13442910&amp;VALUEID=01001&amp;SDATE=201003&amp;PERIODTYPE=QTR_STD&amp;window=popup_no_bar&amp;width=385&amp;height=120&amp;START_MAXIMIZED=FALSE&amp;creator=factset&amp;display_string=Audit"}</definedName>
    <definedName name="_1712__FDSAUDITLINK__" hidden="1">{"fdsup://Directions/FactSet Auditing Viewer?action=AUDIT_VALUE&amp;DB=129&amp;ID1=13442910&amp;VALUEID=01001&amp;SDATE=201003&amp;PERIODTYPE=QTR_STD&amp;window=popup_no_bar&amp;width=385&amp;height=120&amp;START_MAXIMIZED=FALSE&amp;creator=factset&amp;display_string=Audit"}</definedName>
    <definedName name="_1713__FDSAUDITLINK__" localSheetId="1" hidden="1">{"fdsup://Directions/FactSet Auditing Viewer?action=AUDIT_VALUE&amp;DB=129&amp;ID1=22160K10&amp;VALUEID=01001&amp;SDATE=200903&amp;PERIODTYPE=QTR_STD&amp;window=popup_no_bar&amp;width=385&amp;height=120&amp;START_MAXIMIZED=FALSE&amp;creator=factset&amp;display_string=Audit"}</definedName>
    <definedName name="_1713__FDSAUDITLINK__" hidden="1">{"fdsup://Directions/FactSet Auditing Viewer?action=AUDIT_VALUE&amp;DB=129&amp;ID1=22160K10&amp;VALUEID=01001&amp;SDATE=200903&amp;PERIODTYPE=QTR_STD&amp;window=popup_no_bar&amp;width=385&amp;height=120&amp;START_MAXIMIZED=FALSE&amp;creator=factset&amp;display_string=Audit"}</definedName>
    <definedName name="_1714__FDSAUDITLINK__" localSheetId="1" hidden="1">{"fdsup://Directions/FactSet Auditing Viewer?action=AUDIT_VALUE&amp;DB=129&amp;ID1=22160K10&amp;VALUEID=01001&amp;SDATE=201003&amp;PERIODTYPE=QTR_STD&amp;window=popup_no_bar&amp;width=385&amp;height=120&amp;START_MAXIMIZED=FALSE&amp;creator=factset&amp;display_string=Audit"}</definedName>
    <definedName name="_1714__FDSAUDITLINK__" hidden="1">{"fdsup://Directions/FactSet Auditing Viewer?action=AUDIT_VALUE&amp;DB=129&amp;ID1=22160K10&amp;VALUEID=01001&amp;SDATE=201003&amp;PERIODTYPE=QTR_STD&amp;window=popup_no_bar&amp;width=385&amp;height=120&amp;START_MAXIMIZED=FALSE&amp;creator=factset&amp;display_string=Audit"}</definedName>
    <definedName name="_1715__FDSAUDITLINK__" localSheetId="1" hidden="1">{"fdsup://Directions/FactSet Auditing Viewer?action=AUDIT_VALUE&amp;DB=129&amp;ID1=20825C10&amp;VALUEID=01001&amp;SDATE=200902&amp;PERIODTYPE=QTR_STD&amp;window=popup_no_bar&amp;width=385&amp;height=120&amp;START_MAXIMIZED=FALSE&amp;creator=factset&amp;display_string=Audit"}</definedName>
    <definedName name="_1715__FDSAUDITLINK__" hidden="1">{"fdsup://Directions/FactSet Auditing Viewer?action=AUDIT_VALUE&amp;DB=129&amp;ID1=20825C10&amp;VALUEID=01001&amp;SDATE=200902&amp;PERIODTYPE=QTR_STD&amp;window=popup_no_bar&amp;width=385&amp;height=120&amp;START_MAXIMIZED=FALSE&amp;creator=factset&amp;display_string=Audit"}</definedName>
    <definedName name="_1716__FDSAUDITLINK__" localSheetId="1" hidden="1">{"fdsup://Directions/FactSet Auditing Viewer?action=AUDIT_VALUE&amp;DB=129&amp;ID1=20825C10&amp;VALUEID=01001&amp;SDATE=201002&amp;PERIODTYPE=QTR_STD&amp;window=popup_no_bar&amp;width=385&amp;height=120&amp;START_MAXIMIZED=FALSE&amp;creator=factset&amp;display_string=Audit"}</definedName>
    <definedName name="_1716__FDSAUDITLINK__" hidden="1">{"fdsup://Directions/FactSet Auditing Viewer?action=AUDIT_VALUE&amp;DB=129&amp;ID1=20825C10&amp;VALUEID=01001&amp;SDATE=201002&amp;PERIODTYPE=QTR_STD&amp;window=popup_no_bar&amp;width=385&amp;height=120&amp;START_MAXIMIZED=FALSE&amp;creator=factset&amp;display_string=Audit"}</definedName>
    <definedName name="_1717__FDSAUDITLINK__" localSheetId="1" hidden="1">{"fdsup://Directions/FactSet Auditing Viewer?action=AUDIT_VALUE&amp;DB=129&amp;ID1=77434110&amp;VALUEID=01001&amp;SDATE=200903&amp;PERIODTYPE=QTR_STD&amp;window=popup_no_bar&amp;width=385&amp;height=120&amp;START_MAXIMIZED=FALSE&amp;creator=factset&amp;display_string=Audit"}</definedName>
    <definedName name="_1717__FDSAUDITLINK__" hidden="1">{"fdsup://Directions/FactSet Auditing Viewer?action=AUDIT_VALUE&amp;DB=129&amp;ID1=77434110&amp;VALUEID=01001&amp;SDATE=200903&amp;PERIODTYPE=QTR_STD&amp;window=popup_no_bar&amp;width=385&amp;height=120&amp;START_MAXIMIZED=FALSE&amp;creator=factset&amp;display_string=Audit"}</definedName>
    <definedName name="_1718__FDSAUDITLINK__" localSheetId="1" hidden="1">{"fdsup://Directions/FactSet Auditing Viewer?action=AUDIT_VALUE&amp;DB=129&amp;ID1=77434110&amp;VALUEID=01001&amp;SDATE=201003&amp;PERIODTYPE=QTR_STD&amp;window=popup_no_bar&amp;width=385&amp;height=120&amp;START_MAXIMIZED=FALSE&amp;creator=factset&amp;display_string=Audit"}</definedName>
    <definedName name="_1718__FDSAUDITLINK__" hidden="1">{"fdsup://Directions/FactSet Auditing Viewer?action=AUDIT_VALUE&amp;DB=129&amp;ID1=77434110&amp;VALUEID=01001&amp;SDATE=201003&amp;PERIODTYPE=QTR_STD&amp;window=popup_no_bar&amp;width=385&amp;height=120&amp;START_MAXIMIZED=FALSE&amp;creator=factset&amp;display_string=Audit"}</definedName>
    <definedName name="_1719__FDSAUDITLINK__" localSheetId="1" hidden="1">{"fdsup://Directions/FactSet Auditing Viewer?action=AUDIT_VALUE&amp;DB=129&amp;ID1=18975410&amp;VALUEID=01001&amp;SDATE=201004&amp;PERIODTYPE=QTR_STD&amp;window=popup_no_bar&amp;width=385&amp;height=120&amp;START_MAXIMIZED=FALSE&amp;creator=factset&amp;display_string=Audit"}</definedName>
    <definedName name="_1719__FDSAUDITLINK__" hidden="1">{"fdsup://Directions/FactSet Auditing Viewer?action=AUDIT_VALUE&amp;DB=129&amp;ID1=18975410&amp;VALUEID=01001&amp;SDATE=201004&amp;PERIODTYPE=QTR_STD&amp;window=popup_no_bar&amp;width=385&amp;height=120&amp;START_MAXIMIZED=FALSE&amp;creator=factset&amp;display_string=Audit"}</definedName>
    <definedName name="_172__FDSAUDITLINK__" localSheetId="1" hidden="1">{"fdsup://directions/FAT Viewer?action=UPDATE&amp;creator=factset&amp;DYN_ARGS=TRUE&amp;DOC_NAME=FAT:FQL_AUDITING_CLIENT_TEMPLATE.FAT&amp;display_string=Audit&amp;VAR:KEY=NGVWJSTYJQ&amp;VAR:QUERY=RkZfRUJJVERBX09QRVIoUVRSLDQvMS8yMDEwLDYvMzAvMjAxMCwsLFVTRCk=&amp;WINDOW=FIRST_POPUP&amp;HEIGH","T=450&amp;WIDTH=450&amp;START_MAXIMIZED=FALSE&amp;VAR:CALENDAR=US&amp;VAR:SYMBOL=SPLS&amp;VAR:INDEX=0"}</definedName>
    <definedName name="_172__FDSAUDITLINK__" hidden="1">{"fdsup://directions/FAT Viewer?action=UPDATE&amp;creator=factset&amp;DYN_ARGS=TRUE&amp;DOC_NAME=FAT:FQL_AUDITING_CLIENT_TEMPLATE.FAT&amp;display_string=Audit&amp;VAR:KEY=NGVWJSTYJQ&amp;VAR:QUERY=RkZfRUJJVERBX09QRVIoUVRSLDQvMS8yMDEwLDYvMzAvMjAxMCwsLFVTRCk=&amp;WINDOW=FIRST_POPUP&amp;HEIGH","T=450&amp;WIDTH=450&amp;START_MAXIMIZED=FALSE&amp;VAR:CALENDAR=US&amp;VAR:SYMBOL=SPLS&amp;VAR:INDEX=0"}</definedName>
    <definedName name="_1720__FDSAUDITLINK__" localSheetId="1" hidden="1">{"fdsup://Directions/FactSet Auditing Viewer?action=AUDIT_VALUE&amp;DB=129&amp;ID1=12709710&amp;VALUEID=01001&amp;SDATE=200902&amp;PERIODTYPE=QTR_STD&amp;window=popup_no_bar&amp;width=385&amp;height=120&amp;START_MAXIMIZED=FALSE&amp;creator=factset&amp;display_string=Audit"}</definedName>
    <definedName name="_1720__FDSAUDITLINK__" hidden="1">{"fdsup://Directions/FactSet Auditing Viewer?action=AUDIT_VALUE&amp;DB=129&amp;ID1=12709710&amp;VALUEID=01001&amp;SDATE=200902&amp;PERIODTYPE=QTR_STD&amp;window=popup_no_bar&amp;width=385&amp;height=120&amp;START_MAXIMIZED=FALSE&amp;creator=factset&amp;display_string=Audit"}</definedName>
    <definedName name="_1721__FDSAUDITLINK__" localSheetId="1" hidden="1">{"fdsup://Directions/FactSet Auditing Viewer?action=AUDIT_VALUE&amp;DB=129&amp;ID1=12709710&amp;VALUEID=01001&amp;SDATE=201002&amp;PERIODTYPE=QTR_STD&amp;window=popup_no_bar&amp;width=385&amp;height=120&amp;START_MAXIMIZED=FALSE&amp;creator=factset&amp;display_string=Audit"}</definedName>
    <definedName name="_1721__FDSAUDITLINK__" hidden="1">{"fdsup://Directions/FactSet Auditing Viewer?action=AUDIT_VALUE&amp;DB=129&amp;ID1=12709710&amp;VALUEID=01001&amp;SDATE=201002&amp;PERIODTYPE=QTR_STD&amp;window=popup_no_bar&amp;width=385&amp;height=120&amp;START_MAXIMIZED=FALSE&amp;creator=factset&amp;display_string=Audit"}</definedName>
    <definedName name="_1722__FDSAUDITLINK__" localSheetId="1" hidden="1">{"fdsup://Directions/FactSet Auditing Viewer?action=AUDIT_VALUE&amp;DB=129&amp;ID1=14040H10&amp;VALUEID=01001&amp;SDATE=200902&amp;PERIODTYPE=QTR_STD&amp;window=popup_no_bar&amp;width=385&amp;height=120&amp;START_MAXIMIZED=FALSE&amp;creator=factset&amp;display_string=Audit"}</definedName>
    <definedName name="_1722__FDSAUDITLINK__" hidden="1">{"fdsup://Directions/FactSet Auditing Viewer?action=AUDIT_VALUE&amp;DB=129&amp;ID1=14040H10&amp;VALUEID=01001&amp;SDATE=200902&amp;PERIODTYPE=QTR_STD&amp;window=popup_no_bar&amp;width=385&amp;height=120&amp;START_MAXIMIZED=FALSE&amp;creator=factset&amp;display_string=Audit"}</definedName>
    <definedName name="_1723__FDSAUDITLINK__" localSheetId="1" hidden="1">{"fdsup://Directions/FactSet Auditing Viewer?action=AUDIT_VALUE&amp;DB=129&amp;ID1=20854P10&amp;VALUEID=01001&amp;SDATE=200902&amp;PERIODTYPE=QTR_STD&amp;window=popup_no_bar&amp;width=385&amp;height=120&amp;START_MAXIMIZED=FALSE&amp;creator=factset&amp;display_string=Audit"}</definedName>
    <definedName name="_1723__FDSAUDITLINK__" hidden="1">{"fdsup://Directions/FactSet Auditing Viewer?action=AUDIT_VALUE&amp;DB=129&amp;ID1=20854P10&amp;VALUEID=01001&amp;SDATE=200902&amp;PERIODTYPE=QTR_STD&amp;window=popup_no_bar&amp;width=385&amp;height=120&amp;START_MAXIMIZED=FALSE&amp;creator=factset&amp;display_string=Audit"}</definedName>
    <definedName name="_1724__FDSAUDITLINK__" localSheetId="1" hidden="1">{"fdsup://Directions/FactSet Auditing Viewer?action=AUDIT_VALUE&amp;DB=129&amp;ID1=20854P10&amp;VALUEID=01001&amp;SDATE=201002&amp;PERIODTYPE=QTR_STD&amp;window=popup_no_bar&amp;width=385&amp;height=120&amp;START_MAXIMIZED=FALSE&amp;creator=factset&amp;display_string=Audit"}</definedName>
    <definedName name="_1724__FDSAUDITLINK__" hidden="1">{"fdsup://Directions/FactSet Auditing Viewer?action=AUDIT_VALUE&amp;DB=129&amp;ID1=20854P10&amp;VALUEID=01001&amp;SDATE=201002&amp;PERIODTYPE=QTR_STD&amp;window=popup_no_bar&amp;width=385&amp;height=120&amp;START_MAXIMIZED=FALSE&amp;creator=factset&amp;display_string=Audit"}</definedName>
    <definedName name="_1725__FDSAUDITLINK__" localSheetId="1" hidden="1">{"fdsup://Directions/FactSet Auditing Viewer?action=AUDIT_VALUE&amp;DB=129&amp;ID1=15189T10&amp;VALUEID=01001&amp;SDATE=200902&amp;PERIODTYPE=QTR_STD&amp;window=popup_no_bar&amp;width=385&amp;height=120&amp;START_MAXIMIZED=FALSE&amp;creator=factset&amp;display_string=Audit"}</definedName>
    <definedName name="_1725__FDSAUDITLINK__" hidden="1">{"fdsup://Directions/FactSet Auditing Viewer?action=AUDIT_VALUE&amp;DB=129&amp;ID1=15189T10&amp;VALUEID=01001&amp;SDATE=200902&amp;PERIODTYPE=QTR_STD&amp;window=popup_no_bar&amp;width=385&amp;height=120&amp;START_MAXIMIZED=FALSE&amp;creator=factset&amp;display_string=Audit"}</definedName>
    <definedName name="_1726__FDSAUDITLINK__" localSheetId="1" hidden="1">{"fdsup://Directions/FactSet Auditing Viewer?action=AUDIT_VALUE&amp;DB=129&amp;ID1=15189T10&amp;VALUEID=01001&amp;SDATE=201002&amp;PERIODTYPE=QTR_STD&amp;window=popup_no_bar&amp;width=385&amp;height=120&amp;START_MAXIMIZED=FALSE&amp;creator=factset&amp;display_string=Audit"}</definedName>
    <definedName name="_1726__FDSAUDITLINK__" hidden="1">{"fdsup://Directions/FactSet Auditing Viewer?action=AUDIT_VALUE&amp;DB=129&amp;ID1=15189T10&amp;VALUEID=01001&amp;SDATE=201002&amp;PERIODTYPE=QTR_STD&amp;window=popup_no_bar&amp;width=385&amp;height=120&amp;START_MAXIMIZED=FALSE&amp;creator=factset&amp;display_string=Audit"}</definedName>
    <definedName name="_1727__FDSAUDITLINK__" localSheetId="1" hidden="1">{"fdsup://Directions/FactSet Auditing Viewer?action=AUDIT_VALUE&amp;DB=129&amp;ID1=12589610&amp;VALUEID=01001&amp;SDATE=200902&amp;PERIODTYPE=QTR_STD&amp;window=popup_no_bar&amp;width=385&amp;height=120&amp;START_MAXIMIZED=FALSE&amp;creator=factset&amp;display_string=Audit"}</definedName>
    <definedName name="_1727__FDSAUDITLINK__" hidden="1">{"fdsup://Directions/FactSet Auditing Viewer?action=AUDIT_VALUE&amp;DB=129&amp;ID1=12589610&amp;VALUEID=01001&amp;SDATE=200902&amp;PERIODTYPE=QTR_STD&amp;window=popup_no_bar&amp;width=385&amp;height=120&amp;START_MAXIMIZED=FALSE&amp;creator=factset&amp;display_string=Audit"}</definedName>
    <definedName name="_1728__FDSAUDITLINK__" localSheetId="1" hidden="1">{"fdsup://Directions/FactSet Auditing Viewer?action=AUDIT_VALUE&amp;DB=129&amp;ID1=12589610&amp;VALUEID=01001&amp;SDATE=201002&amp;PERIODTYPE=QTR_STD&amp;window=popup_no_bar&amp;width=385&amp;height=120&amp;START_MAXIMIZED=FALSE&amp;creator=factset&amp;display_string=Audit"}</definedName>
    <definedName name="_1728__FDSAUDITLINK__" hidden="1">{"fdsup://Directions/FactSet Auditing Viewer?action=AUDIT_VALUE&amp;DB=129&amp;ID1=12589610&amp;VALUEID=01001&amp;SDATE=201002&amp;PERIODTYPE=QTR_STD&amp;window=popup_no_bar&amp;width=385&amp;height=120&amp;START_MAXIMIZED=FALSE&amp;creator=factset&amp;display_string=Audit"}</definedName>
    <definedName name="_1729__FDSAUDITLINK__" localSheetId="1" hidden="1">{"fdsup://Directions/FactSet Auditing Viewer?action=AUDIT_VALUE&amp;DB=129&amp;ID1=23102110&amp;VALUEID=01001&amp;SDATE=200902&amp;PERIODTYPE=QTR_STD&amp;window=popup_no_bar&amp;width=385&amp;height=120&amp;START_MAXIMIZED=FALSE&amp;creator=factset&amp;display_string=Audit"}</definedName>
    <definedName name="_1729__FDSAUDITLINK__" hidden="1">{"fdsup://Directions/FactSet Auditing Viewer?action=AUDIT_VALUE&amp;DB=129&amp;ID1=23102110&amp;VALUEID=01001&amp;SDATE=200902&amp;PERIODTYPE=QTR_STD&amp;window=popup_no_bar&amp;width=385&amp;height=120&amp;START_MAXIMIZED=FALSE&amp;creator=factset&amp;display_string=Audit"}</definedName>
    <definedName name="_173__FDSAUDITLINK__" localSheetId="1" hidden="1">{"fdsup://directions/FAT Viewer?action=UPDATE&amp;creator=factset&amp;DYN_ARGS=TRUE&amp;DOC_NAME=FAT:FQL_AUDITING_CLIENT_TEMPLATE.FAT&amp;display_string=Audit&amp;VAR:KEY=ZMNCJOFIFO&amp;VAR:QUERY=RkZfRUJJVERBX09QRVIoUVRSLDQvMS8yMDA5LDYvMzAvMjAwOSwsLFVTRCk=&amp;WINDOW=FIRST_POPUP&amp;HEIGH","T=450&amp;WIDTH=450&amp;START_MAXIMIZED=FALSE&amp;VAR:CALENDAR=US&amp;VAR:SYMBOL=SPG&amp;VAR:INDEX=0"}</definedName>
    <definedName name="_173__FDSAUDITLINK__" hidden="1">{"fdsup://directions/FAT Viewer?action=UPDATE&amp;creator=factset&amp;DYN_ARGS=TRUE&amp;DOC_NAME=FAT:FQL_AUDITING_CLIENT_TEMPLATE.FAT&amp;display_string=Audit&amp;VAR:KEY=ZMNCJOFIFO&amp;VAR:QUERY=RkZfRUJJVERBX09QRVIoUVRSLDQvMS8yMDA5LDYvMzAvMjAwOSwsLFVTRCk=&amp;WINDOW=FIRST_POPUP&amp;HEIGH","T=450&amp;WIDTH=450&amp;START_MAXIMIZED=FALSE&amp;VAR:CALENDAR=US&amp;VAR:SYMBOL=SPG&amp;VAR:INDEX=0"}</definedName>
    <definedName name="_1730__FDSAUDITLINK__" localSheetId="1" hidden="1">{"fdsup://Directions/FactSet Auditing Viewer?action=AUDIT_VALUE&amp;DB=129&amp;ID1=23102110&amp;VALUEID=01001&amp;SDATE=201002&amp;PERIODTYPE=QTR_STD&amp;window=popup_no_bar&amp;width=385&amp;height=120&amp;START_MAXIMIZED=FALSE&amp;creator=factset&amp;display_string=Audit"}</definedName>
    <definedName name="_1730__FDSAUDITLINK__" hidden="1">{"fdsup://Directions/FactSet Auditing Viewer?action=AUDIT_VALUE&amp;DB=129&amp;ID1=23102110&amp;VALUEID=01001&amp;SDATE=201002&amp;PERIODTYPE=QTR_STD&amp;window=popup_no_bar&amp;width=385&amp;height=120&amp;START_MAXIMIZED=FALSE&amp;creator=factset&amp;display_string=Audit"}</definedName>
    <definedName name="_1731__FDSAUDITLINK__" localSheetId="1" hidden="1">{"fdsup://Directions/FactSet Auditing Viewer?action=AUDIT_VALUE&amp;DB=129&amp;ID1=12572Q10&amp;VALUEID=01001&amp;SDATE=200902&amp;PERIODTYPE=QTR_STD&amp;window=popup_no_bar&amp;width=385&amp;height=120&amp;START_MAXIMIZED=FALSE&amp;creator=factset&amp;display_string=Audit"}</definedName>
    <definedName name="_1731__FDSAUDITLINK__" hidden="1">{"fdsup://Directions/FactSet Auditing Viewer?action=AUDIT_VALUE&amp;DB=129&amp;ID1=12572Q10&amp;VALUEID=01001&amp;SDATE=200902&amp;PERIODTYPE=QTR_STD&amp;window=popup_no_bar&amp;width=385&amp;height=120&amp;START_MAXIMIZED=FALSE&amp;creator=factset&amp;display_string=Audit"}</definedName>
    <definedName name="_1732__FDSAUDITLINK__" localSheetId="1" hidden="1">{"fdsup://Directions/FactSet Auditing Viewer?action=AUDIT_VALUE&amp;DB=129&amp;ID1=12572Q10&amp;VALUEID=01001&amp;SDATE=201002&amp;PERIODTYPE=QTR_STD&amp;window=popup_no_bar&amp;width=385&amp;height=120&amp;START_MAXIMIZED=FALSE&amp;creator=factset&amp;display_string=Audit"}</definedName>
    <definedName name="_1732__FDSAUDITLINK__" hidden="1">{"fdsup://Directions/FactSet Auditing Viewer?action=AUDIT_VALUE&amp;DB=129&amp;ID1=12572Q10&amp;VALUEID=01001&amp;SDATE=201002&amp;PERIODTYPE=QTR_STD&amp;window=popup_no_bar&amp;width=385&amp;height=120&amp;START_MAXIMIZED=FALSE&amp;creator=factset&amp;display_string=Audit"}</definedName>
    <definedName name="_1733__FDSAUDITLINK__" localSheetId="1" hidden="1">{"fdsup://Directions/FactSet Auditing Viewer?action=AUDIT_VALUE&amp;DB=129&amp;ID1=20030N10&amp;VALUEID=01001&amp;SDATE=200902&amp;PERIODTYPE=QTR_STD&amp;window=popup_no_bar&amp;width=385&amp;height=120&amp;START_MAXIMIZED=FALSE&amp;creator=factset&amp;display_string=Audit"}</definedName>
    <definedName name="_1733__FDSAUDITLINK__" hidden="1">{"fdsup://Directions/FactSet Auditing Viewer?action=AUDIT_VALUE&amp;DB=129&amp;ID1=20030N10&amp;VALUEID=01001&amp;SDATE=200902&amp;PERIODTYPE=QTR_STD&amp;window=popup_no_bar&amp;width=385&amp;height=120&amp;START_MAXIMIZED=FALSE&amp;creator=factset&amp;display_string=Audit"}</definedName>
    <definedName name="_1734__FDSAUDITLINK__" localSheetId="1" hidden="1">{"fdsup://Directions/FactSet Auditing Viewer?action=AUDIT_VALUE&amp;DB=129&amp;ID1=20030N10&amp;VALUEID=01001&amp;SDATE=201002&amp;PERIODTYPE=QTR_STD&amp;window=popup_no_bar&amp;width=385&amp;height=120&amp;START_MAXIMIZED=FALSE&amp;creator=factset&amp;display_string=Audit"}</definedName>
    <definedName name="_1734__FDSAUDITLINK__" hidden="1">{"fdsup://Directions/FactSet Auditing Viewer?action=AUDIT_VALUE&amp;DB=129&amp;ID1=20030N10&amp;VALUEID=01001&amp;SDATE=201002&amp;PERIODTYPE=QTR_STD&amp;window=popup_no_bar&amp;width=385&amp;height=120&amp;START_MAXIMIZED=FALSE&amp;creator=factset&amp;display_string=Audit"}</definedName>
    <definedName name="_1735__FDSAUDITLINK__" localSheetId="1" hidden="1">{"fdsup://Directions/FactSet Auditing Viewer?action=AUDIT_VALUE&amp;DB=129&amp;ID1=18905410&amp;VALUEID=01001&amp;SDATE=200904&amp;PERIODTYPE=QTR_STD&amp;window=popup_no_bar&amp;width=385&amp;height=120&amp;START_MAXIMIZED=FALSE&amp;creator=factset&amp;display_string=Audit"}</definedName>
    <definedName name="_1735__FDSAUDITLINK__" hidden="1">{"fdsup://Directions/FactSet Auditing Viewer?action=AUDIT_VALUE&amp;DB=129&amp;ID1=18905410&amp;VALUEID=01001&amp;SDATE=200904&amp;PERIODTYPE=QTR_STD&amp;window=popup_no_bar&amp;width=385&amp;height=120&amp;START_MAXIMIZED=FALSE&amp;creator=factset&amp;display_string=Audit"}</definedName>
    <definedName name="_1736__FDSAUDITLINK__" localSheetId="1" hidden="1">{"fdsup://Directions/FactSet Auditing Viewer?action=AUDIT_VALUE&amp;DB=129&amp;ID1=18905410&amp;VALUEID=01001&amp;SDATE=201004&amp;PERIODTYPE=QTR_STD&amp;window=popup_no_bar&amp;width=385&amp;height=120&amp;START_MAXIMIZED=FALSE&amp;creator=factset&amp;display_string=Audit"}</definedName>
    <definedName name="_1736__FDSAUDITLINK__" hidden="1">{"fdsup://Directions/FactSet Auditing Viewer?action=AUDIT_VALUE&amp;DB=129&amp;ID1=18905410&amp;VALUEID=01001&amp;SDATE=201004&amp;PERIODTYPE=QTR_STD&amp;window=popup_no_bar&amp;width=385&amp;height=120&amp;START_MAXIMIZED=FALSE&amp;creator=factset&amp;display_string=Audit"}</definedName>
    <definedName name="_1737__FDSAUDITLINK__" localSheetId="1" hidden="1">{"fdsup://Directions/FactSet Auditing Viewer?action=AUDIT_VALUE&amp;DB=129&amp;ID1=18683K10&amp;VALUEID=01001&amp;SDATE=200902&amp;PERIODTYPE=QTR_STD&amp;window=popup_no_bar&amp;width=385&amp;height=120&amp;START_MAXIMIZED=FALSE&amp;creator=factset&amp;display_string=Audit"}</definedName>
    <definedName name="_1737__FDSAUDITLINK__" hidden="1">{"fdsup://Directions/FactSet Auditing Viewer?action=AUDIT_VALUE&amp;DB=129&amp;ID1=18683K10&amp;VALUEID=01001&amp;SDATE=200902&amp;PERIODTYPE=QTR_STD&amp;window=popup_no_bar&amp;width=385&amp;height=120&amp;START_MAXIMIZED=FALSE&amp;creator=factset&amp;display_string=Audit"}</definedName>
    <definedName name="_1738__FDSAUDITLINK__" localSheetId="1" hidden="1">{"fdsup://Directions/FactSet Auditing Viewer?action=AUDIT_VALUE&amp;DB=129&amp;ID1=18683K10&amp;VALUEID=01001&amp;SDATE=201002&amp;PERIODTYPE=QTR_STD&amp;window=popup_no_bar&amp;width=385&amp;height=120&amp;START_MAXIMIZED=FALSE&amp;creator=factset&amp;display_string=Audit"}</definedName>
    <definedName name="_1738__FDSAUDITLINK__" hidden="1">{"fdsup://Directions/FactSet Auditing Viewer?action=AUDIT_VALUE&amp;DB=129&amp;ID1=18683K10&amp;VALUEID=01001&amp;SDATE=201002&amp;PERIODTYPE=QTR_STD&amp;window=popup_no_bar&amp;width=385&amp;height=120&amp;START_MAXIMIZED=FALSE&amp;creator=factset&amp;display_string=Audit"}</definedName>
    <definedName name="_1739__FDSAUDITLINK__" localSheetId="1" hidden="1">{"fdsup://Directions/FactSet Auditing Viewer?action=AUDIT_VALUE&amp;DB=129&amp;ID1=19416210&amp;VALUEID=01001&amp;SDATE=200902&amp;PERIODTYPE=QTR_STD&amp;window=popup_no_bar&amp;width=385&amp;height=120&amp;START_MAXIMIZED=FALSE&amp;creator=factset&amp;display_string=Audit"}</definedName>
    <definedName name="_1739__FDSAUDITLINK__" hidden="1">{"fdsup://Directions/FactSet Auditing Viewer?action=AUDIT_VALUE&amp;DB=129&amp;ID1=19416210&amp;VALUEID=01001&amp;SDATE=200902&amp;PERIODTYPE=QTR_STD&amp;window=popup_no_bar&amp;width=385&amp;height=120&amp;START_MAXIMIZED=FALSE&amp;creator=factset&amp;display_string=Audit"}</definedName>
    <definedName name="_174__FDSAUDITLINK__" localSheetId="1" hidden="1">{"fdsup://directions/FAT Viewer?action=UPDATE&amp;creator=factset&amp;DYN_ARGS=TRUE&amp;DOC_NAME=FAT:FQL_AUDITING_CLIENT_TEMPLATE.FAT&amp;display_string=Audit&amp;VAR:KEY=LYZEXSBEPA&amp;VAR:QUERY=RkZfRUJJVERBX09QRVIoUVRSLDQvMS8yMDEwLDYvMzAvMjAxMCwsLFVTRCk=&amp;WINDOW=FIRST_POPUP&amp;HEIGH","T=450&amp;WIDTH=450&amp;START_MAXIMIZED=FALSE&amp;VAR:CALENDAR=US&amp;VAR:SYMBOL=SPG&amp;VAR:INDEX=0"}</definedName>
    <definedName name="_174__FDSAUDITLINK__" hidden="1">{"fdsup://directions/FAT Viewer?action=UPDATE&amp;creator=factset&amp;DYN_ARGS=TRUE&amp;DOC_NAME=FAT:FQL_AUDITING_CLIENT_TEMPLATE.FAT&amp;display_string=Audit&amp;VAR:KEY=LYZEXSBEPA&amp;VAR:QUERY=RkZfRUJJVERBX09QRVIoUVRSLDQvMS8yMDEwLDYvMzAvMjAxMCwsLFVTRCk=&amp;WINDOW=FIRST_POPUP&amp;HEIGH","T=450&amp;WIDTH=450&amp;START_MAXIMIZED=FALSE&amp;VAR:CALENDAR=US&amp;VAR:SYMBOL=SPG&amp;VAR:INDEX=0"}</definedName>
    <definedName name="_1740__FDSAUDITLINK__" localSheetId="1" hidden="1">{"fdsup://Directions/FactSet Auditing Viewer?action=AUDIT_VALUE&amp;DB=129&amp;ID1=19416210&amp;VALUEID=01001&amp;SDATE=201002&amp;PERIODTYPE=QTR_STD&amp;window=popup_no_bar&amp;width=385&amp;height=120&amp;START_MAXIMIZED=FALSE&amp;creator=factset&amp;display_string=Audit"}</definedName>
    <definedName name="_1740__FDSAUDITLINK__" hidden="1">{"fdsup://Directions/FactSet Auditing Viewer?action=AUDIT_VALUE&amp;DB=129&amp;ID1=19416210&amp;VALUEID=01001&amp;SDATE=201002&amp;PERIODTYPE=QTR_STD&amp;window=popup_no_bar&amp;width=385&amp;height=120&amp;START_MAXIMIZED=FALSE&amp;creator=factset&amp;display_string=Audit"}</definedName>
    <definedName name="_1741__FDSAUDITLINK__" localSheetId="1" hidden="1">{"fdsup://Directions/FactSet Auditing Viewer?action=AUDIT_VALUE&amp;DB=129&amp;ID1=17206210&amp;VALUEID=01001&amp;SDATE=200902&amp;PERIODTYPE=QTR_STD&amp;window=popup_no_bar&amp;width=385&amp;height=120&amp;START_MAXIMIZED=FALSE&amp;creator=factset&amp;display_string=Audit"}</definedName>
    <definedName name="_1741__FDSAUDITLINK__" hidden="1">{"fdsup://Directions/FactSet Auditing Viewer?action=AUDIT_VALUE&amp;DB=129&amp;ID1=17206210&amp;VALUEID=01001&amp;SDATE=200902&amp;PERIODTYPE=QTR_STD&amp;window=popup_no_bar&amp;width=385&amp;height=120&amp;START_MAXIMIZED=FALSE&amp;creator=factset&amp;display_string=Audit"}</definedName>
    <definedName name="_1742__FDSAUDITLINK__" localSheetId="1" hidden="1">{"fdsup://Directions/FactSet Auditing Viewer?action=AUDIT_VALUE&amp;DB=129&amp;ID1=17206210&amp;VALUEID=01001&amp;SDATE=201002&amp;PERIODTYPE=QTR_STD&amp;window=popup_no_bar&amp;width=385&amp;height=120&amp;START_MAXIMIZED=FALSE&amp;creator=factset&amp;display_string=Audit"}</definedName>
    <definedName name="_1742__FDSAUDITLINK__" hidden="1">{"fdsup://Directions/FactSet Auditing Viewer?action=AUDIT_VALUE&amp;DB=129&amp;ID1=17206210&amp;VALUEID=01001&amp;SDATE=201002&amp;PERIODTYPE=QTR_STD&amp;window=popup_no_bar&amp;width=385&amp;height=120&amp;START_MAXIMIZED=FALSE&amp;creator=factset&amp;display_string=Audit"}</definedName>
    <definedName name="_1743__FDSAUDITLINK__" localSheetId="1" hidden="1">{"fdsup://Directions/FactSet Auditing Viewer?action=AUDIT_VALUE&amp;DB=129&amp;ID1=12550910&amp;VALUEID=01001&amp;SDATE=200902&amp;PERIODTYPE=QTR_STD&amp;window=popup_no_bar&amp;width=385&amp;height=120&amp;START_MAXIMIZED=FALSE&amp;creator=factset&amp;display_string=Audit"}</definedName>
    <definedName name="_1743__FDSAUDITLINK__" hidden="1">{"fdsup://Directions/FactSet Auditing Viewer?action=AUDIT_VALUE&amp;DB=129&amp;ID1=12550910&amp;VALUEID=01001&amp;SDATE=200902&amp;PERIODTYPE=QTR_STD&amp;window=popup_no_bar&amp;width=385&amp;height=120&amp;START_MAXIMIZED=FALSE&amp;creator=factset&amp;display_string=Audit"}</definedName>
    <definedName name="_1744__FDSAUDITLINK__" localSheetId="1" hidden="1">{"fdsup://Directions/FactSet Auditing Viewer?action=AUDIT_VALUE&amp;DB=129&amp;ID1=12550910&amp;VALUEID=01001&amp;SDATE=201002&amp;PERIODTYPE=QTR_STD&amp;window=popup_no_bar&amp;width=385&amp;height=120&amp;START_MAXIMIZED=FALSE&amp;creator=factset&amp;display_string=Audit"}</definedName>
    <definedName name="_1744__FDSAUDITLINK__" hidden="1">{"fdsup://Directions/FactSet Auditing Viewer?action=AUDIT_VALUE&amp;DB=129&amp;ID1=12550910&amp;VALUEID=01001&amp;SDATE=201002&amp;PERIODTYPE=QTR_STD&amp;window=popup_no_bar&amp;width=385&amp;height=120&amp;START_MAXIMIZED=FALSE&amp;creator=factset&amp;display_string=Audit"}</definedName>
    <definedName name="_1745__FDSAUDITLINK__" localSheetId="1" hidden="1">{"fdsup://Directions/FactSet Auditing Viewer?action=AUDIT_VALUE&amp;DB=129&amp;ID1=12541W20&amp;VALUEID=01001&amp;SDATE=200902&amp;PERIODTYPE=QTR_STD&amp;window=popup_no_bar&amp;width=385&amp;height=120&amp;START_MAXIMIZED=FALSE&amp;creator=factset&amp;display_string=Audit"}</definedName>
    <definedName name="_1745__FDSAUDITLINK__" hidden="1">{"fdsup://Directions/FactSet Auditing Viewer?action=AUDIT_VALUE&amp;DB=129&amp;ID1=12541W20&amp;VALUEID=01001&amp;SDATE=200902&amp;PERIODTYPE=QTR_STD&amp;window=popup_no_bar&amp;width=385&amp;height=120&amp;START_MAXIMIZED=FALSE&amp;creator=factset&amp;display_string=Audit"}</definedName>
    <definedName name="_1746__FDSAUDITLINK__" localSheetId="1" hidden="1">{"fdsup://Directions/FactSet Auditing Viewer?action=AUDIT_VALUE&amp;DB=129&amp;ID1=12541W20&amp;VALUEID=01001&amp;SDATE=201002&amp;PERIODTYPE=QTR_STD&amp;window=popup_no_bar&amp;width=385&amp;height=120&amp;START_MAXIMIZED=FALSE&amp;creator=factset&amp;display_string=Audit"}</definedName>
    <definedName name="_1746__FDSAUDITLINK__" hidden="1">{"fdsup://Directions/FactSet Auditing Viewer?action=AUDIT_VALUE&amp;DB=129&amp;ID1=12541W20&amp;VALUEID=01001&amp;SDATE=201002&amp;PERIODTYPE=QTR_STD&amp;window=popup_no_bar&amp;width=385&amp;height=120&amp;START_MAXIMIZED=FALSE&amp;creator=factset&amp;display_string=Audit"}</definedName>
    <definedName name="_1747__FDSAUDITLINK__" localSheetId="1" hidden="1">{"fdsup://Directions/FactSet Auditing Viewer?action=AUDIT_VALUE&amp;DB=129&amp;ID1=16516710&amp;VALUEID=01001&amp;SDATE=200902&amp;PERIODTYPE=QTR_STD&amp;window=popup_no_bar&amp;width=385&amp;height=120&amp;START_MAXIMIZED=FALSE&amp;creator=factset&amp;display_string=Audit"}</definedName>
    <definedName name="_1747__FDSAUDITLINK__" hidden="1">{"fdsup://Directions/FactSet Auditing Viewer?action=AUDIT_VALUE&amp;DB=129&amp;ID1=16516710&amp;VALUEID=01001&amp;SDATE=200902&amp;PERIODTYPE=QTR_STD&amp;window=popup_no_bar&amp;width=385&amp;height=120&amp;START_MAXIMIZED=FALSE&amp;creator=factset&amp;display_string=Audit"}</definedName>
    <definedName name="_1748__FDSAUDITLINK__" localSheetId="1" hidden="1">{"fdsup://Directions/FactSet Auditing Viewer?action=AUDIT_VALUE&amp;DB=129&amp;ID1=16516710&amp;VALUEID=01001&amp;SDATE=201002&amp;PERIODTYPE=QTR_STD&amp;window=popup_no_bar&amp;width=385&amp;height=120&amp;START_MAXIMIZED=FALSE&amp;creator=factset&amp;display_string=Audit"}</definedName>
    <definedName name="_1748__FDSAUDITLINK__" hidden="1">{"fdsup://Directions/FactSet Auditing Viewer?action=AUDIT_VALUE&amp;DB=129&amp;ID1=16516710&amp;VALUEID=01001&amp;SDATE=201002&amp;PERIODTYPE=QTR_STD&amp;window=popup_no_bar&amp;width=385&amp;height=120&amp;START_MAXIMIZED=FALSE&amp;creator=factset&amp;display_string=Audit"}</definedName>
    <definedName name="_1749__FDSAUDITLINK__" localSheetId="1" hidden="1">{"fdsup://Directions/FactSet Auditing Viewer?action=AUDIT_VALUE&amp;DB=129&amp;ID1=14170T10&amp;VALUEID=01001&amp;SDATE=201004&amp;PERIODTYPE=QTR_STD&amp;window=popup_no_bar&amp;width=385&amp;height=120&amp;START_MAXIMIZED=FALSE&amp;creator=factset&amp;display_string=Audit"}</definedName>
    <definedName name="_1749__FDSAUDITLINK__" hidden="1">{"fdsup://Directions/FactSet Auditing Viewer?action=AUDIT_VALUE&amp;DB=129&amp;ID1=14170T10&amp;VALUEID=01001&amp;SDATE=201004&amp;PERIODTYPE=QTR_STD&amp;window=popup_no_bar&amp;width=385&amp;height=120&amp;START_MAXIMIZED=FALSE&amp;creator=factset&amp;display_string=Audit"}</definedName>
    <definedName name="_175__FDSAUDITLINK__" localSheetId="1" hidden="1">{"fdsup://directions/FAT Viewer?action=UPDATE&amp;creator=factset&amp;DYN_ARGS=TRUE&amp;DOC_NAME=FAT:FQL_AUDITING_CLIENT_TEMPLATE.FAT&amp;display_string=Audit&amp;VAR:KEY=TABENGFCVQ&amp;VAR:QUERY=RkZfRUJJVERBX09QRVIoUVRSLDQvMS8yMDA5LDYvMzAvMjAwOSwsLFVTRCk=&amp;WINDOW=FIRST_POPUP&amp;HEIGH","T=450&amp;WIDTH=450&amp;START_MAXIMIZED=FALSE&amp;VAR:CALENDAR=US&amp;VAR:SYMBOL=SO&amp;VAR:INDEX=0"}</definedName>
    <definedName name="_175__FDSAUDITLINK__" hidden="1">{"fdsup://directions/FAT Viewer?action=UPDATE&amp;creator=factset&amp;DYN_ARGS=TRUE&amp;DOC_NAME=FAT:FQL_AUDITING_CLIENT_TEMPLATE.FAT&amp;display_string=Audit&amp;VAR:KEY=TABENGFCVQ&amp;VAR:QUERY=RkZfRUJJVERBX09QRVIoUVRSLDQvMS8yMDA5LDYvMzAvMjAwOSwsLFVTRCk=&amp;WINDOW=FIRST_POPUP&amp;HEIGH","T=450&amp;WIDTH=450&amp;START_MAXIMIZED=FALSE&amp;VAR:CALENDAR=US&amp;VAR:SYMBOL=SO&amp;VAR:INDEX=0"}</definedName>
    <definedName name="_1750__FDSAUDITLINK__" localSheetId="1" hidden="1">{"fdsup://Directions/FactSet Auditing Viewer?action=AUDIT_VALUE&amp;DB=129&amp;ID1=12526910&amp;VALUEID=01001&amp;SDATE=200902&amp;PERIODTYPE=QTR_STD&amp;window=popup_no_bar&amp;width=385&amp;height=120&amp;START_MAXIMIZED=FALSE&amp;creator=factset&amp;display_string=Audit"}</definedName>
    <definedName name="_1750__FDSAUDITLINK__" hidden="1">{"fdsup://Directions/FactSet Auditing Viewer?action=AUDIT_VALUE&amp;DB=129&amp;ID1=12526910&amp;VALUEID=01001&amp;SDATE=200902&amp;PERIODTYPE=QTR_STD&amp;window=popup_no_bar&amp;width=385&amp;height=120&amp;START_MAXIMIZED=FALSE&amp;creator=factset&amp;display_string=Audit"}</definedName>
    <definedName name="_1751__FDSAUDITLINK__" localSheetId="1" hidden="1">{"fdsup://Directions/FactSet Auditing Viewer?action=AUDIT_VALUE&amp;DB=129&amp;ID1=12526910&amp;VALUEID=01001&amp;SDATE=201002&amp;PERIODTYPE=QTR_STD&amp;window=popup_no_bar&amp;width=385&amp;height=120&amp;START_MAXIMIZED=FALSE&amp;creator=factset&amp;display_string=Audit"}</definedName>
    <definedName name="_1751__FDSAUDITLINK__" hidden="1">{"fdsup://Directions/FactSet Auditing Viewer?action=AUDIT_VALUE&amp;DB=129&amp;ID1=12526910&amp;VALUEID=01001&amp;SDATE=201002&amp;PERIODTYPE=QTR_STD&amp;window=popup_no_bar&amp;width=385&amp;height=120&amp;START_MAXIMIZED=FALSE&amp;creator=factset&amp;display_string=Audit"}</definedName>
    <definedName name="_1752__FDSAUDITLINK__" localSheetId="1" hidden="1">{"fdsup://Directions/FactSet Auditing Viewer?action=AUDIT_VALUE&amp;DB=129&amp;ID1=15678210&amp;VALUEID=01001&amp;SDATE=200902&amp;PERIODTYPE=QTR_STD&amp;window=popup_no_bar&amp;width=385&amp;height=120&amp;START_MAXIMIZED=FALSE&amp;creator=factset&amp;display_string=Audit"}</definedName>
    <definedName name="_1752__FDSAUDITLINK__" hidden="1">{"fdsup://Directions/FactSet Auditing Viewer?action=AUDIT_VALUE&amp;DB=129&amp;ID1=15678210&amp;VALUEID=01001&amp;SDATE=200902&amp;PERIODTYPE=QTR_STD&amp;window=popup_no_bar&amp;width=385&amp;height=120&amp;START_MAXIMIZED=FALSE&amp;creator=factset&amp;display_string=Audit"}</definedName>
    <definedName name="_1753__FDSAUDITLINK__" localSheetId="1" hidden="1">{"fdsup://Directions/FactSet Auditing Viewer?action=AUDIT_VALUE&amp;DB=129&amp;ID1=15678210&amp;VALUEID=01001&amp;SDATE=201002&amp;PERIODTYPE=QTR_STD&amp;window=popup_no_bar&amp;width=385&amp;height=120&amp;START_MAXIMIZED=FALSE&amp;creator=factset&amp;display_string=Audit"}</definedName>
    <definedName name="_1753__FDSAUDITLINK__" hidden="1">{"fdsup://Directions/FactSet Auditing Viewer?action=AUDIT_VALUE&amp;DB=129&amp;ID1=15678210&amp;VALUEID=01001&amp;SDATE=201002&amp;PERIODTYPE=QTR_STD&amp;window=popup_no_bar&amp;width=385&amp;height=120&amp;START_MAXIMIZED=FALSE&amp;creator=factset&amp;display_string=Audit"}</definedName>
    <definedName name="_1754__FDSAUDITLINK__" localSheetId="1" hidden="1">{"fdsup://Directions/FactSet Auditing Viewer?action=AUDIT_VALUE&amp;DB=129&amp;ID1=15670810&amp;VALUEID=01001&amp;SDATE=200902&amp;PERIODTYPE=QTR_STD&amp;window=popup_no_bar&amp;width=385&amp;height=120&amp;START_MAXIMIZED=FALSE&amp;creator=factset&amp;display_string=Audit"}</definedName>
    <definedName name="_1754__FDSAUDITLINK__" hidden="1">{"fdsup://Directions/FactSet Auditing Viewer?action=AUDIT_VALUE&amp;DB=129&amp;ID1=15670810&amp;VALUEID=01001&amp;SDATE=200902&amp;PERIODTYPE=QTR_STD&amp;window=popup_no_bar&amp;width=385&amp;height=120&amp;START_MAXIMIZED=FALSE&amp;creator=factset&amp;display_string=Audit"}</definedName>
    <definedName name="_1755__FDSAUDITLINK__" localSheetId="1" hidden="1">{"fdsup://Directions/FactSet Auditing Viewer?action=AUDIT_VALUE&amp;DB=129&amp;ID1=15670810&amp;VALUEID=01001&amp;SDATE=201002&amp;PERIODTYPE=QTR_STD&amp;window=popup_no_bar&amp;width=385&amp;height=120&amp;START_MAXIMIZED=FALSE&amp;creator=factset&amp;display_string=Audit"}</definedName>
    <definedName name="_1755__FDSAUDITLINK__" hidden="1">{"fdsup://Directions/FactSet Auditing Viewer?action=AUDIT_VALUE&amp;DB=129&amp;ID1=15670810&amp;VALUEID=01001&amp;SDATE=201002&amp;PERIODTYPE=QTR_STD&amp;window=popup_no_bar&amp;width=385&amp;height=120&amp;START_MAXIMIZED=FALSE&amp;creator=factset&amp;display_string=Audit"}</definedName>
    <definedName name="_1756__FDSAUDITLINK__" localSheetId="1" hidden="1">{"fdsup://Directions/FactSet Auditing Viewer?action=AUDIT_VALUE&amp;DB=129&amp;ID1=15102010&amp;VALUEID=01001&amp;SDATE=200902&amp;PERIODTYPE=QTR_STD&amp;window=popup_no_bar&amp;width=385&amp;height=120&amp;START_MAXIMIZED=FALSE&amp;creator=factset&amp;display_string=Audit"}</definedName>
    <definedName name="_1756__FDSAUDITLINK__" hidden="1">{"fdsup://Directions/FactSet Auditing Viewer?action=AUDIT_VALUE&amp;DB=129&amp;ID1=15102010&amp;VALUEID=01001&amp;SDATE=200902&amp;PERIODTYPE=QTR_STD&amp;window=popup_no_bar&amp;width=385&amp;height=120&amp;START_MAXIMIZED=FALSE&amp;creator=factset&amp;display_string=Audit"}</definedName>
    <definedName name="_1757__FDSAUDITLINK__" localSheetId="1" hidden="1">{"fdsup://Directions/FactSet Auditing Viewer?action=AUDIT_VALUE&amp;DB=129&amp;ID1=15102010&amp;VALUEID=01001&amp;SDATE=201002&amp;PERIODTYPE=QTR_STD&amp;window=popup_no_bar&amp;width=385&amp;height=120&amp;START_MAXIMIZED=FALSE&amp;creator=factset&amp;display_string=Audit"}</definedName>
    <definedName name="_1757__FDSAUDITLINK__" hidden="1">{"fdsup://Directions/FactSet Auditing Viewer?action=AUDIT_VALUE&amp;DB=129&amp;ID1=15102010&amp;VALUEID=01001&amp;SDATE=201002&amp;PERIODTYPE=QTR_STD&amp;window=popup_no_bar&amp;width=385&amp;height=120&amp;START_MAXIMIZED=FALSE&amp;creator=factset&amp;display_string=Audit"}</definedName>
    <definedName name="_1758__FDSAUDITLINK__" localSheetId="1" hidden="1">{"fdsup://Directions/FactSet Auditing Viewer?action=AUDIT_VALUE&amp;DB=129&amp;ID1=21037110&amp;VALUEID=01001&amp;SDATE=200902&amp;PERIODTYPE=QTR_STD&amp;window=popup_no_bar&amp;width=385&amp;height=120&amp;START_MAXIMIZED=FALSE&amp;creator=factset&amp;display_string=Audit"}</definedName>
    <definedName name="_1758__FDSAUDITLINK__" hidden="1">{"fdsup://Directions/FactSet Auditing Viewer?action=AUDIT_VALUE&amp;DB=129&amp;ID1=21037110&amp;VALUEID=01001&amp;SDATE=200902&amp;PERIODTYPE=QTR_STD&amp;window=popup_no_bar&amp;width=385&amp;height=120&amp;START_MAXIMIZED=FALSE&amp;creator=factset&amp;display_string=Audit"}</definedName>
    <definedName name="_1759__FDSAUDITLINK__" localSheetId="1" hidden="1">{"fdsup://Directions/FactSet Auditing Viewer?action=AUDIT_VALUE&amp;DB=129&amp;ID1=21037110&amp;VALUEID=01001&amp;SDATE=201002&amp;PERIODTYPE=QTR_STD&amp;window=popup_no_bar&amp;width=385&amp;height=120&amp;START_MAXIMIZED=FALSE&amp;creator=factset&amp;display_string=Audit"}</definedName>
    <definedName name="_1759__FDSAUDITLINK__" hidden="1">{"fdsup://Directions/FactSet Auditing Viewer?action=AUDIT_VALUE&amp;DB=129&amp;ID1=21037110&amp;VALUEID=01001&amp;SDATE=201002&amp;PERIODTYPE=QTR_STD&amp;window=popup_no_bar&amp;width=385&amp;height=120&amp;START_MAXIMIZED=FALSE&amp;creator=factset&amp;display_string=Audit"}</definedName>
    <definedName name="_176__FDSAUDITLINK__" localSheetId="1" hidden="1">{"fdsup://directions/FAT Viewer?action=UPDATE&amp;creator=factset&amp;DYN_ARGS=TRUE&amp;DOC_NAME=FAT:FQL_AUDITING_CLIENT_TEMPLATE.FAT&amp;display_string=Audit&amp;VAR:KEY=RUBKFCPCRU&amp;VAR:QUERY=RkZfRUJJVERBX09QRVIoUVRSLDQvMS8yMDEwLDYvMzAvMjAxMCwsLFVTRCk=&amp;WINDOW=FIRST_POPUP&amp;HEIGH","T=450&amp;WIDTH=450&amp;START_MAXIMIZED=FALSE&amp;VAR:CALENDAR=US&amp;VAR:SYMBOL=SO&amp;VAR:INDEX=0"}</definedName>
    <definedName name="_176__FDSAUDITLINK__" hidden="1">{"fdsup://directions/FAT Viewer?action=UPDATE&amp;creator=factset&amp;DYN_ARGS=TRUE&amp;DOC_NAME=FAT:FQL_AUDITING_CLIENT_TEMPLATE.FAT&amp;display_string=Audit&amp;VAR:KEY=RUBKFCPCRU&amp;VAR:QUERY=RkZfRUJJVERBX09QRVIoUVRSLDQvMS8yMDEwLDYvMzAvMjAxMCwsLFVTRCk=&amp;WINDOW=FIRST_POPUP&amp;HEIGH","T=450&amp;WIDTH=450&amp;START_MAXIMIZED=FALSE&amp;VAR:CALENDAR=US&amp;VAR:SYMBOL=SO&amp;VAR:INDEX=0"}</definedName>
    <definedName name="_1760__FDSAUDITLINK__" localSheetId="1" hidden="1">{"fdsup://Directions/FactSet Auditing Viewer?action=AUDIT_VALUE&amp;DB=129&amp;ID1=14365830&amp;VALUEID=01001&amp;SDATE=200902&amp;PERIODTYPE=QTR_STD&amp;window=popup_no_bar&amp;width=385&amp;height=120&amp;START_MAXIMIZED=FALSE&amp;creator=factset&amp;display_string=Audit"}</definedName>
    <definedName name="_1760__FDSAUDITLINK__" hidden="1">{"fdsup://Directions/FactSet Auditing Viewer?action=AUDIT_VALUE&amp;DB=129&amp;ID1=14365830&amp;VALUEID=01001&amp;SDATE=200902&amp;PERIODTYPE=QTR_STD&amp;window=popup_no_bar&amp;width=385&amp;height=120&amp;START_MAXIMIZED=FALSE&amp;creator=factset&amp;display_string=Audit"}</definedName>
    <definedName name="_1761__FDSAUDITLINK__" localSheetId="1" hidden="1">{"fdsup://Directions/FactSet Auditing Viewer?action=AUDIT_VALUE&amp;DB=129&amp;ID1=14365830&amp;VALUEID=01001&amp;SDATE=201002&amp;PERIODTYPE=QTR_STD&amp;window=popup_no_bar&amp;width=385&amp;height=120&amp;START_MAXIMIZED=FALSE&amp;creator=factset&amp;display_string=Audit"}</definedName>
    <definedName name="_1761__FDSAUDITLINK__" hidden="1">{"fdsup://Directions/FactSet Auditing Viewer?action=AUDIT_VALUE&amp;DB=129&amp;ID1=14365830&amp;VALUEID=01001&amp;SDATE=201002&amp;PERIODTYPE=QTR_STD&amp;window=popup_no_bar&amp;width=385&amp;height=120&amp;START_MAXIMIZED=FALSE&amp;creator=factset&amp;display_string=Audit"}</definedName>
    <definedName name="_1762__FDSAUDITLINK__" localSheetId="1" hidden="1">{"fdsup://Directions/FactSet Auditing Viewer?action=AUDIT_VALUE&amp;DB=129&amp;ID1=19121910&amp;VALUEID=01001&amp;SDATE=200902&amp;PERIODTYPE=QTR_STD&amp;window=popup_no_bar&amp;width=385&amp;height=120&amp;START_MAXIMIZED=FALSE&amp;creator=factset&amp;display_string=Audit"}</definedName>
    <definedName name="_1762__FDSAUDITLINK__" hidden="1">{"fdsup://Directions/FactSet Auditing Viewer?action=AUDIT_VALUE&amp;DB=129&amp;ID1=19121910&amp;VALUEID=01001&amp;SDATE=200902&amp;PERIODTYPE=QTR_STD&amp;window=popup_no_bar&amp;width=385&amp;height=120&amp;START_MAXIMIZED=FALSE&amp;creator=factset&amp;display_string=Audit"}</definedName>
    <definedName name="_1763__FDSAUDITLINK__" localSheetId="1" hidden="1">{"fdsup://Directions/FactSet Auditing Viewer?action=AUDIT_VALUE&amp;DB=129&amp;ID1=19121910&amp;VALUEID=01001&amp;SDATE=201002&amp;PERIODTYPE=QTR_STD&amp;window=popup_no_bar&amp;width=385&amp;height=120&amp;START_MAXIMIZED=FALSE&amp;creator=factset&amp;display_string=Audit"}</definedName>
    <definedName name="_1763__FDSAUDITLINK__" hidden="1">{"fdsup://Directions/FactSet Auditing Viewer?action=AUDIT_VALUE&amp;DB=129&amp;ID1=19121910&amp;VALUEID=01001&amp;SDATE=201002&amp;PERIODTYPE=QTR_STD&amp;window=popup_no_bar&amp;width=385&amp;height=120&amp;START_MAXIMIZED=FALSE&amp;creator=factset&amp;display_string=Audit"}</definedName>
    <definedName name="_1764__FDSAUDITLINK__" localSheetId="1" hidden="1">{"fdsup://Directions/FactSet Auditing Viewer?action=AUDIT_VALUE&amp;DB=129&amp;ID1=12485720&amp;VALUEID=01001&amp;SDATE=200902&amp;PERIODTYPE=QTR_STD&amp;window=popup_no_bar&amp;width=385&amp;height=120&amp;START_MAXIMIZED=FALSE&amp;creator=factset&amp;display_string=Audit"}</definedName>
    <definedName name="_1764__FDSAUDITLINK__" hidden="1">{"fdsup://Directions/FactSet Auditing Viewer?action=AUDIT_VALUE&amp;DB=129&amp;ID1=12485720&amp;VALUEID=01001&amp;SDATE=200902&amp;PERIODTYPE=QTR_STD&amp;window=popup_no_bar&amp;width=385&amp;height=120&amp;START_MAXIMIZED=FALSE&amp;creator=factset&amp;display_string=Audit"}</definedName>
    <definedName name="_1765__FDSAUDITLINK__" localSheetId="1" hidden="1">{"fdsup://Directions/FactSet Auditing Viewer?action=AUDIT_VALUE&amp;DB=129&amp;ID1=12485720&amp;VALUEID=01001&amp;SDATE=201002&amp;PERIODTYPE=QTR_STD&amp;window=popup_no_bar&amp;width=385&amp;height=120&amp;START_MAXIMIZED=FALSE&amp;creator=factset&amp;display_string=Audit"}</definedName>
    <definedName name="_1765__FDSAUDITLINK__" hidden="1">{"fdsup://Directions/FactSet Auditing Viewer?action=AUDIT_VALUE&amp;DB=129&amp;ID1=12485720&amp;VALUEID=01001&amp;SDATE=201002&amp;PERIODTYPE=QTR_STD&amp;window=popup_no_bar&amp;width=385&amp;height=120&amp;START_MAXIMIZED=FALSE&amp;creator=factset&amp;display_string=Audit"}</definedName>
    <definedName name="_1766__FDSAUDITLINK__" localSheetId="1" hidden="1">{"fdsup://Directions/FactSet Auditing Viewer?action=AUDIT_VALUE&amp;DB=129&amp;ID1=12497T10&amp;VALUEID=01001&amp;SDATE=200902&amp;PERIODTYPE=QTR_STD&amp;window=popup_no_bar&amp;width=385&amp;height=120&amp;START_MAXIMIZED=FALSE&amp;creator=factset&amp;display_string=Audit"}</definedName>
    <definedName name="_1766__FDSAUDITLINK__" hidden="1">{"fdsup://Directions/FactSet Auditing Viewer?action=AUDIT_VALUE&amp;DB=129&amp;ID1=12497T10&amp;VALUEID=01001&amp;SDATE=200902&amp;PERIODTYPE=QTR_STD&amp;window=popup_no_bar&amp;width=385&amp;height=120&amp;START_MAXIMIZED=FALSE&amp;creator=factset&amp;display_string=Audit"}</definedName>
    <definedName name="_1767__FDSAUDITLINK__" localSheetId="1" hidden="1">{"fdsup://Directions/FactSet Auditing Viewer?action=AUDIT_VALUE&amp;DB=129&amp;ID1=12497T10&amp;VALUEID=01001&amp;SDATE=201002&amp;PERIODTYPE=QTR_STD&amp;window=popup_no_bar&amp;width=385&amp;height=120&amp;START_MAXIMIZED=FALSE&amp;creator=factset&amp;display_string=Audit"}</definedName>
    <definedName name="_1767__FDSAUDITLINK__" hidden="1">{"fdsup://Directions/FactSet Auditing Viewer?action=AUDIT_VALUE&amp;DB=129&amp;ID1=12497T10&amp;VALUEID=01001&amp;SDATE=201002&amp;PERIODTYPE=QTR_STD&amp;window=popup_no_bar&amp;width=385&amp;height=120&amp;START_MAXIMIZED=FALSE&amp;creator=factset&amp;display_string=Audit"}</definedName>
    <definedName name="_1768__FDSAUDITLINK__" localSheetId="1" hidden="1">{"fdsup://Directions/FactSet Auditing Viewer?action=AUDIT_VALUE&amp;DB=129&amp;ID1=17123210&amp;VALUEID=01001&amp;SDATE=200902&amp;PERIODTYPE=QTR_STD&amp;window=popup_no_bar&amp;width=385&amp;height=120&amp;START_MAXIMIZED=FALSE&amp;creator=factset&amp;display_string=Audit"}</definedName>
    <definedName name="_1768__FDSAUDITLINK__" hidden="1">{"fdsup://Directions/FactSet Auditing Viewer?action=AUDIT_VALUE&amp;DB=129&amp;ID1=17123210&amp;VALUEID=01001&amp;SDATE=200902&amp;PERIODTYPE=QTR_STD&amp;window=popup_no_bar&amp;width=385&amp;height=120&amp;START_MAXIMIZED=FALSE&amp;creator=factset&amp;display_string=Audit"}</definedName>
    <definedName name="_1769__FDSAUDITLINK__" localSheetId="1" hidden="1">{"fdsup://Directions/FactSet Auditing Viewer?action=AUDIT_VALUE&amp;DB=129&amp;ID1=17123210&amp;VALUEID=01001&amp;SDATE=201002&amp;PERIODTYPE=QTR_STD&amp;window=popup_no_bar&amp;width=385&amp;height=120&amp;START_MAXIMIZED=FALSE&amp;creator=factset&amp;display_string=Audit"}</definedName>
    <definedName name="_1769__FDSAUDITLINK__" hidden="1">{"fdsup://Directions/FactSet Auditing Viewer?action=AUDIT_VALUE&amp;DB=129&amp;ID1=17123210&amp;VALUEID=01001&amp;SDATE=201002&amp;PERIODTYPE=QTR_STD&amp;window=popup_no_bar&amp;width=385&amp;height=120&amp;START_MAXIMIZED=FALSE&amp;creator=factset&amp;display_string=Audit"}</definedName>
    <definedName name="_177__FDSAUDITLINK__" localSheetId="1" hidden="1">{"fdsup://directions/FAT Viewer?action=UPDATE&amp;creator=factset&amp;DYN_ARGS=TRUE&amp;DOC_NAME=FAT:FQL_AUDITING_CLIENT_TEMPLATE.FAT&amp;display_string=Audit&amp;VAR:KEY=JUNKNQHYBK&amp;VAR:QUERY=RkZfRUJJVERBX09QRVIoUVRSLDQvMS8yMDA5LDYvMzAvMjAwOSwsLFVTRCk=&amp;WINDOW=FIRST_POPUP&amp;HEIGH","T=450&amp;WIDTH=450&amp;START_MAXIMIZED=FALSE&amp;VAR:CALENDAR=US&amp;VAR:SYMBOL=SNI&amp;VAR:INDEX=0"}</definedName>
    <definedName name="_177__FDSAUDITLINK__" hidden="1">{"fdsup://directions/FAT Viewer?action=UPDATE&amp;creator=factset&amp;DYN_ARGS=TRUE&amp;DOC_NAME=FAT:FQL_AUDITING_CLIENT_TEMPLATE.FAT&amp;display_string=Audit&amp;VAR:KEY=JUNKNQHYBK&amp;VAR:QUERY=RkZfRUJJVERBX09QRVIoUVRSLDQvMS8yMDA5LDYvMzAvMjAwOSwsLFVTRCk=&amp;WINDOW=FIRST_POPUP&amp;HEIGH","T=450&amp;WIDTH=450&amp;START_MAXIMIZED=FALSE&amp;VAR:CALENDAR=US&amp;VAR:SYMBOL=SNI&amp;VAR:INDEX=0"}</definedName>
    <definedName name="_1770__FDSAUDITLINK__" localSheetId="1" hidden="1">{"fdsup://Directions/FactSet Auditing Viewer?action=AUDIT_VALUE&amp;DB=129&amp;ID1=14912310&amp;VALUEID=01001&amp;SDATE=201002&amp;PERIODTYPE=QTR_STD&amp;window=popup_no_bar&amp;width=385&amp;height=120&amp;START_MAXIMIZED=FALSE&amp;creator=factset&amp;display_string=Audit"}</definedName>
    <definedName name="_1770__FDSAUDITLINK__" hidden="1">{"fdsup://Directions/FactSet Auditing Viewer?action=AUDIT_VALUE&amp;DB=129&amp;ID1=14912310&amp;VALUEID=01001&amp;SDATE=201002&amp;PERIODTYPE=QTR_STD&amp;window=popup_no_bar&amp;width=385&amp;height=120&amp;START_MAXIMIZED=FALSE&amp;creator=factset&amp;display_string=Audit"}</definedName>
    <definedName name="_1771__FDSAUDITLINK__" localSheetId="1" hidden="1">{"fdsup://Directions/FactSet Auditing Viewer?action=AUDIT_VALUE&amp;DB=129&amp;ID1=13342B10&amp;VALUEID=01001&amp;SDATE=200902&amp;PERIODTYPE=QTR_STD&amp;window=popup_no_bar&amp;width=385&amp;height=120&amp;START_MAXIMIZED=FALSE&amp;creator=factset&amp;display_string=Audit"}</definedName>
    <definedName name="_1771__FDSAUDITLINK__" hidden="1">{"fdsup://Directions/FactSet Auditing Viewer?action=AUDIT_VALUE&amp;DB=129&amp;ID1=13342B10&amp;VALUEID=01001&amp;SDATE=200902&amp;PERIODTYPE=QTR_STD&amp;window=popup_no_bar&amp;width=385&amp;height=120&amp;START_MAXIMIZED=FALSE&amp;creator=factset&amp;display_string=Audit"}</definedName>
    <definedName name="_1772__FDSAUDITLINK__" localSheetId="1" hidden="1">{"fdsup://Directions/FactSet Auditing Viewer?action=AUDIT_VALUE&amp;DB=129&amp;ID1=13342B10&amp;VALUEID=01001&amp;SDATE=201002&amp;PERIODTYPE=QTR_STD&amp;window=popup_no_bar&amp;width=385&amp;height=120&amp;START_MAXIMIZED=FALSE&amp;creator=factset&amp;display_string=Audit"}</definedName>
    <definedName name="_1772__FDSAUDITLINK__" hidden="1">{"fdsup://Directions/FactSet Auditing Viewer?action=AUDIT_VALUE&amp;DB=129&amp;ID1=13342B10&amp;VALUEID=01001&amp;SDATE=201002&amp;PERIODTYPE=QTR_STD&amp;window=popup_no_bar&amp;width=385&amp;height=120&amp;START_MAXIMIZED=FALSE&amp;creator=factset&amp;display_string=Audit"}</definedName>
    <definedName name="_1773__FDSAUDITLINK__" localSheetId="1" hidden="1">{"fdsup://Directions/FactSet Auditing Viewer?action=AUDIT_VALUE&amp;DB=129&amp;ID1=14149Y10&amp;VALUEID=01001&amp;SDATE=201004&amp;PERIODTYPE=QTR_STD&amp;window=popup_no_bar&amp;width=385&amp;height=120&amp;START_MAXIMIZED=FALSE&amp;creator=factset&amp;display_string=Audit"}</definedName>
    <definedName name="_1773__FDSAUDITLINK__" hidden="1">{"fdsup://Directions/FactSet Auditing Viewer?action=AUDIT_VALUE&amp;DB=129&amp;ID1=14149Y10&amp;VALUEID=01001&amp;SDATE=201004&amp;PERIODTYPE=QTR_STD&amp;window=popup_no_bar&amp;width=385&amp;height=120&amp;START_MAXIMIZED=FALSE&amp;creator=factset&amp;display_string=Audit"}</definedName>
    <definedName name="_1774__FDSAUDITLINK__" localSheetId="1" hidden="1">{"fdsup://Directions/FactSet Auditing Viewer?action=AUDIT_VALUE&amp;DB=129&amp;ID1=20588710&amp;VALUEID=01001&amp;SDATE=200804&amp;PERIODTYPE=QTR_STD&amp;window=popup_no_bar&amp;width=385&amp;height=120&amp;START_MAXIMIZED=FALSE&amp;creator=factset&amp;display_string=Audit"}</definedName>
    <definedName name="_1774__FDSAUDITLINK__" hidden="1">{"fdsup://Directions/FactSet Auditing Viewer?action=AUDIT_VALUE&amp;DB=129&amp;ID1=20588710&amp;VALUEID=01001&amp;SDATE=200804&amp;PERIODTYPE=QTR_STD&amp;window=popup_no_bar&amp;width=385&amp;height=120&amp;START_MAXIMIZED=FALSE&amp;creator=factset&amp;display_string=Audit"}</definedName>
    <definedName name="_1775__FDSAUDITLINK__" localSheetId="1" hidden="1">{"fdsup://Directions/FactSet Auditing Viewer?action=AUDIT_VALUE&amp;DB=129&amp;ID1=20588710&amp;VALUEID=01001&amp;SDATE=200904&amp;PERIODTYPE=QTR_STD&amp;window=popup_no_bar&amp;width=385&amp;height=120&amp;START_MAXIMIZED=FALSE&amp;creator=factset&amp;display_string=Audit"}</definedName>
    <definedName name="_1775__FDSAUDITLINK__" hidden="1">{"fdsup://Directions/FactSet Auditing Viewer?action=AUDIT_VALUE&amp;DB=129&amp;ID1=20588710&amp;VALUEID=01001&amp;SDATE=200904&amp;PERIODTYPE=QTR_STD&amp;window=popup_no_bar&amp;width=385&amp;height=120&amp;START_MAXIMIZED=FALSE&amp;creator=factset&amp;display_string=Audit"}</definedName>
    <definedName name="_1776__FDSAUDITLINK__" localSheetId="1" hidden="1">{"fdsup://Directions/FactSet Auditing Viewer?action=AUDIT_VALUE&amp;DB=129&amp;ID1=12673P10&amp;VALUEID=01001&amp;SDATE=200901&amp;PERIODTYPE=QTR_STD&amp;window=popup_no_bar&amp;width=385&amp;height=120&amp;START_MAXIMIZED=FALSE&amp;creator=factset&amp;display_string=Audit"}</definedName>
    <definedName name="_1776__FDSAUDITLINK__" hidden="1">{"fdsup://Directions/FactSet Auditing Viewer?action=AUDIT_VALUE&amp;DB=129&amp;ID1=12673P10&amp;VALUEID=01001&amp;SDATE=200901&amp;PERIODTYPE=QTR_STD&amp;window=popup_no_bar&amp;width=385&amp;height=120&amp;START_MAXIMIZED=FALSE&amp;creator=factset&amp;display_string=Audit"}</definedName>
    <definedName name="_1777__FDSAUDITLINK__" localSheetId="1" hidden="1">{"fdsup://Directions/FactSet Auditing Viewer?action=AUDIT_VALUE&amp;DB=129&amp;ID1=12673P10&amp;VALUEID=01001&amp;SDATE=201001&amp;PERIODTYPE=QTR_STD&amp;window=popup_no_bar&amp;width=385&amp;height=120&amp;START_MAXIMIZED=FALSE&amp;creator=factset&amp;display_string=Audit"}</definedName>
    <definedName name="_1777__FDSAUDITLINK__" hidden="1">{"fdsup://Directions/FactSet Auditing Viewer?action=AUDIT_VALUE&amp;DB=129&amp;ID1=12673P10&amp;VALUEID=01001&amp;SDATE=201001&amp;PERIODTYPE=QTR_STD&amp;window=popup_no_bar&amp;width=385&amp;height=120&amp;START_MAXIMIZED=FALSE&amp;creator=factset&amp;display_string=Audit"}</definedName>
    <definedName name="_1778__FDSAUDITLINK__" localSheetId="1" hidden="1">{"fdsup://Directions/FactSet Auditing Viewer?action=AUDIT_VALUE&amp;DB=129&amp;ID1=70454910&amp;VALUEID=01001&amp;SDATE=200902&amp;PERIODTYPE=QTR_STD&amp;window=popup_no_bar&amp;width=385&amp;height=120&amp;START_MAXIMIZED=FALSE&amp;creator=factset&amp;display_string=Audit"}</definedName>
    <definedName name="_1778__FDSAUDITLINK__" hidden="1">{"fdsup://Directions/FactSet Auditing Viewer?action=AUDIT_VALUE&amp;DB=129&amp;ID1=70454910&amp;VALUEID=01001&amp;SDATE=200902&amp;PERIODTYPE=QTR_STD&amp;window=popup_no_bar&amp;width=385&amp;height=120&amp;START_MAXIMIZED=FALSE&amp;creator=factset&amp;display_string=Audit"}</definedName>
    <definedName name="_1779__FDSAUDITLINK__" localSheetId="1" hidden="1">{"fdsup://Directions/FactSet Auditing Viewer?action=AUDIT_VALUE&amp;DB=129&amp;ID1=70454910&amp;VALUEID=01001&amp;SDATE=201002&amp;PERIODTYPE=QTR_STD&amp;window=popup_no_bar&amp;width=385&amp;height=120&amp;START_MAXIMIZED=FALSE&amp;creator=factset&amp;display_string=Audit"}</definedName>
    <definedName name="_1779__FDSAUDITLINK__" hidden="1">{"fdsup://Directions/FactSet Auditing Viewer?action=AUDIT_VALUE&amp;DB=129&amp;ID1=70454910&amp;VALUEID=01001&amp;SDATE=201002&amp;PERIODTYPE=QTR_STD&amp;window=popup_no_bar&amp;width=385&amp;height=120&amp;START_MAXIMIZED=FALSE&amp;creator=factset&amp;display_string=Audit"}</definedName>
    <definedName name="_178__FDSAUDITLINK__" localSheetId="1" hidden="1">{"fdsup://directions/FAT Viewer?action=UPDATE&amp;creator=factset&amp;DYN_ARGS=TRUE&amp;DOC_NAME=FAT:FQL_AUDITING_CLIENT_TEMPLATE.FAT&amp;display_string=Audit&amp;VAR:KEY=DQTUROXOHC&amp;VAR:QUERY=RkZfRUJJVERBX09QRVIoUVRSLDQvMS8yMDEwLDYvMzAvMjAxMCwsLFVTRCk=&amp;WINDOW=FIRST_POPUP&amp;HEIGH","T=450&amp;WIDTH=450&amp;START_MAXIMIZED=FALSE&amp;VAR:CALENDAR=US&amp;VAR:SYMBOL=SNI&amp;VAR:INDEX=0"}</definedName>
    <definedName name="_178__FDSAUDITLINK__" hidden="1">{"fdsup://directions/FAT Viewer?action=UPDATE&amp;creator=factset&amp;DYN_ARGS=TRUE&amp;DOC_NAME=FAT:FQL_AUDITING_CLIENT_TEMPLATE.FAT&amp;display_string=Audit&amp;VAR:KEY=DQTUROXOHC&amp;VAR:QUERY=RkZfRUJJVERBX09QRVIoUVRSLDQvMS8yMDEwLDYvMzAvMjAxMCwsLFVTRCk=&amp;WINDOW=FIRST_POPUP&amp;HEIGH","T=450&amp;WIDTH=450&amp;START_MAXIMIZED=FALSE&amp;VAR:CALENDAR=US&amp;VAR:SYMBOL=SNI&amp;VAR:INDEX=0"}</definedName>
    <definedName name="_1780__FDSAUDITLINK__" localSheetId="1" hidden="1">{"fdsup://Directions/FactSet Auditing Viewer?action=AUDIT_VALUE&amp;DB=129&amp;ID1=10113710&amp;VALUEID=01001&amp;SDATE=200902&amp;PERIODTYPE=QTR_STD&amp;window=popup_no_bar&amp;width=385&amp;height=120&amp;START_MAXIMIZED=FALSE&amp;creator=factset&amp;display_string=Audit"}</definedName>
    <definedName name="_1780__FDSAUDITLINK__" hidden="1">{"fdsup://Directions/FactSet Auditing Viewer?action=AUDIT_VALUE&amp;DB=129&amp;ID1=10113710&amp;VALUEID=01001&amp;SDATE=200902&amp;PERIODTYPE=QTR_STD&amp;window=popup_no_bar&amp;width=385&amp;height=120&amp;START_MAXIMIZED=FALSE&amp;creator=factset&amp;display_string=Audit"}</definedName>
    <definedName name="_1781__FDSAUDITLINK__" localSheetId="1" hidden="1">{"fdsup://Directions/FactSet Auditing Viewer?action=AUDIT_VALUE&amp;DB=129&amp;ID1=10113710&amp;VALUEID=01001&amp;SDATE=201002&amp;PERIODTYPE=QTR_STD&amp;window=popup_no_bar&amp;width=385&amp;height=120&amp;START_MAXIMIZED=FALSE&amp;creator=factset&amp;display_string=Audit"}</definedName>
    <definedName name="_1781__FDSAUDITLINK__" hidden="1">{"fdsup://Directions/FactSet Auditing Viewer?action=AUDIT_VALUE&amp;DB=129&amp;ID1=10113710&amp;VALUEID=01001&amp;SDATE=201002&amp;PERIODTYPE=QTR_STD&amp;window=popup_no_bar&amp;width=385&amp;height=120&amp;START_MAXIMIZED=FALSE&amp;creator=factset&amp;display_string=Audit"}</definedName>
    <definedName name="_1782__FDSAUDITLINK__" localSheetId="1" hidden="1">{"fdsup://Directions/FactSet Auditing Viewer?action=AUDIT_VALUE&amp;DB=129&amp;ID1=08467070&amp;VALUEID=01001&amp;SDATE=200902&amp;PERIODTYPE=QTR_STD&amp;window=popup_no_bar&amp;width=385&amp;height=120&amp;START_MAXIMIZED=FALSE&amp;creator=factset&amp;display_string=Audit"}</definedName>
    <definedName name="_1782__FDSAUDITLINK__" hidden="1">{"fdsup://Directions/FactSet Auditing Viewer?action=AUDIT_VALUE&amp;DB=129&amp;ID1=08467070&amp;VALUEID=01001&amp;SDATE=200902&amp;PERIODTYPE=QTR_STD&amp;window=popup_no_bar&amp;width=385&amp;height=120&amp;START_MAXIMIZED=FALSE&amp;creator=factset&amp;display_string=Audit"}</definedName>
    <definedName name="_1783__FDSAUDITLINK__" localSheetId="1" hidden="1">{"fdsup://Directions/FactSet Auditing Viewer?action=AUDIT_VALUE&amp;DB=129&amp;ID1=08467070&amp;VALUEID=01001&amp;SDATE=201002&amp;PERIODTYPE=QTR_STD&amp;window=popup_no_bar&amp;width=385&amp;height=120&amp;START_MAXIMIZED=FALSE&amp;creator=factset&amp;display_string=Audit"}</definedName>
    <definedName name="_1783__FDSAUDITLINK__" hidden="1">{"fdsup://Directions/FactSet Auditing Viewer?action=AUDIT_VALUE&amp;DB=129&amp;ID1=08467070&amp;VALUEID=01001&amp;SDATE=201002&amp;PERIODTYPE=QTR_STD&amp;window=popup_no_bar&amp;width=385&amp;height=120&amp;START_MAXIMIZED=FALSE&amp;creator=factset&amp;display_string=Audit"}</definedName>
    <definedName name="_1784__FDSAUDITLINK__" localSheetId="1" hidden="1">{"fdsup://Directions/FactSet Auditing Viewer?action=AUDIT_VALUE&amp;DB=129&amp;ID1=11132010&amp;VALUEID=01001&amp;SDATE=200902&amp;PERIODTYPE=QTR_STD&amp;window=popup_no_bar&amp;width=385&amp;height=120&amp;START_MAXIMIZED=FALSE&amp;creator=factset&amp;display_string=Audit"}</definedName>
    <definedName name="_1784__FDSAUDITLINK__" hidden="1">{"fdsup://Directions/FactSet Auditing Viewer?action=AUDIT_VALUE&amp;DB=129&amp;ID1=11132010&amp;VALUEID=01001&amp;SDATE=200902&amp;PERIODTYPE=QTR_STD&amp;window=popup_no_bar&amp;width=385&amp;height=120&amp;START_MAXIMIZED=FALSE&amp;creator=factset&amp;display_string=Audit"}</definedName>
    <definedName name="_1785__FDSAUDITLINK__" localSheetId="1" hidden="1">{"fdsup://Directions/FactSet Auditing Viewer?action=AUDIT_VALUE&amp;DB=129&amp;ID1=11132010&amp;VALUEID=01001&amp;SDATE=201002&amp;PERIODTYPE=QTR_STD&amp;window=popup_no_bar&amp;width=385&amp;height=120&amp;START_MAXIMIZED=FALSE&amp;creator=factset&amp;display_string=Audit"}</definedName>
    <definedName name="_1785__FDSAUDITLINK__" hidden="1">{"fdsup://Directions/FactSet Auditing Viewer?action=AUDIT_VALUE&amp;DB=129&amp;ID1=11132010&amp;VALUEID=01001&amp;SDATE=201002&amp;PERIODTYPE=QTR_STD&amp;window=popup_no_bar&amp;width=385&amp;height=120&amp;START_MAXIMIZED=FALSE&amp;creator=factset&amp;display_string=Audit"}</definedName>
    <definedName name="_1786__FDSAUDITLINK__" localSheetId="1" hidden="1">{"fdsup://Directions/FactSet Auditing Viewer?action=AUDIT_VALUE&amp;DB=129&amp;ID1=11012210&amp;VALUEID=01001&amp;SDATE=200902&amp;PERIODTYPE=QTR_STD&amp;window=popup_no_bar&amp;width=385&amp;height=120&amp;START_MAXIMIZED=FALSE&amp;creator=factset&amp;display_string=Audit"}</definedName>
    <definedName name="_1786__FDSAUDITLINK__" hidden="1">{"fdsup://Directions/FactSet Auditing Viewer?action=AUDIT_VALUE&amp;DB=129&amp;ID1=11012210&amp;VALUEID=01001&amp;SDATE=200902&amp;PERIODTYPE=QTR_STD&amp;window=popup_no_bar&amp;width=385&amp;height=120&amp;START_MAXIMIZED=FALSE&amp;creator=factset&amp;display_string=Audit"}</definedName>
    <definedName name="_1787__FDSAUDITLINK__" localSheetId="1" hidden="1">{"fdsup://Directions/FactSet Auditing Viewer?action=AUDIT_VALUE&amp;DB=129&amp;ID1=11012210&amp;VALUEID=01001&amp;SDATE=201002&amp;PERIODTYPE=QTR_STD&amp;window=popup_no_bar&amp;width=385&amp;height=120&amp;START_MAXIMIZED=FALSE&amp;creator=factset&amp;display_string=Audit"}</definedName>
    <definedName name="_1787__FDSAUDITLINK__" hidden="1">{"fdsup://Directions/FactSet Auditing Viewer?action=AUDIT_VALUE&amp;DB=129&amp;ID1=11012210&amp;VALUEID=01001&amp;SDATE=201002&amp;PERIODTYPE=QTR_STD&amp;window=popup_no_bar&amp;width=385&amp;height=120&amp;START_MAXIMIZED=FALSE&amp;creator=factset&amp;display_string=Audit"}</definedName>
    <definedName name="_1788__FDSAUDITLINK__" localSheetId="1" hidden="1">{"fdsup://Directions/FactSet Auditing Viewer?action=AUDIT_VALUE&amp;DB=129&amp;ID1=08143710&amp;VALUEID=01001&amp;SDATE=200902&amp;PERIODTYPE=QTR_STD&amp;window=popup_no_bar&amp;width=385&amp;height=120&amp;START_MAXIMIZED=FALSE&amp;creator=factset&amp;display_string=Audit"}</definedName>
    <definedName name="_1788__FDSAUDITLINK__" hidden="1">{"fdsup://Directions/FactSet Auditing Viewer?action=AUDIT_VALUE&amp;DB=129&amp;ID1=08143710&amp;VALUEID=01001&amp;SDATE=200902&amp;PERIODTYPE=QTR_STD&amp;window=popup_no_bar&amp;width=385&amp;height=120&amp;START_MAXIMIZED=FALSE&amp;creator=factset&amp;display_string=Audit"}</definedName>
    <definedName name="_1789__FDSAUDITLINK__" localSheetId="1" hidden="1">{"fdsup://Directions/FactSet Auditing Viewer?action=AUDIT_VALUE&amp;DB=129&amp;ID1=08143710&amp;VALUEID=01001&amp;SDATE=201002&amp;PERIODTYPE=QTR_STD&amp;window=popup_no_bar&amp;width=385&amp;height=120&amp;START_MAXIMIZED=FALSE&amp;creator=factset&amp;display_string=Audit"}</definedName>
    <definedName name="_1789__FDSAUDITLINK__" hidden="1">{"fdsup://Directions/FactSet Auditing Viewer?action=AUDIT_VALUE&amp;DB=129&amp;ID1=08143710&amp;VALUEID=01001&amp;SDATE=201002&amp;PERIODTYPE=QTR_STD&amp;window=popup_no_bar&amp;width=385&amp;height=120&amp;START_MAXIMIZED=FALSE&amp;creator=factset&amp;display_string=Audit"}</definedName>
    <definedName name="_179__FDSAUDITLINK__" localSheetId="1" hidden="1">{"fdsup://directions/FAT Viewer?action=UPDATE&amp;creator=factset&amp;DYN_ARGS=TRUE&amp;DOC_NAME=FAT:FQL_AUDITING_CLIENT_TEMPLATE.FAT&amp;display_string=Audit&amp;VAR:KEY=NCLCLONQJA&amp;VAR:QUERY=RkZfRUJJVERBX09QRVIoUVRSLDQvMS8yMDA5LDYvMzAvMjAwOSwsLFVTRCk=&amp;WINDOW=FIRST_POPUP&amp;HEIGH","T=450&amp;WIDTH=450&amp;START_MAXIMIZED=FALSE&amp;VAR:CALENDAR=US&amp;VAR:SYMBOL=SNDK&amp;VAR:INDEX=0"}</definedName>
    <definedName name="_179__FDSAUDITLINK__" hidden="1">{"fdsup://directions/FAT Viewer?action=UPDATE&amp;creator=factset&amp;DYN_ARGS=TRUE&amp;DOC_NAME=FAT:FQL_AUDITING_CLIENT_TEMPLATE.FAT&amp;display_string=Audit&amp;VAR:KEY=NCLCLONQJA&amp;VAR:QUERY=RkZfRUJJVERBX09QRVIoUVRSLDQvMS8yMDA5LDYvMzAvMjAwOSwsLFVTRCk=&amp;WINDOW=FIRST_POPUP&amp;HEIGH","T=450&amp;WIDTH=450&amp;START_MAXIMIZED=FALSE&amp;VAR:CALENDAR=US&amp;VAR:SYMBOL=SNDK&amp;VAR:INDEX=0"}</definedName>
    <definedName name="_1790__FDSAUDITLINK__" localSheetId="1" hidden="1">{"fdsup://Directions/FactSet Auditing Viewer?action=AUDIT_VALUE&amp;DB=129&amp;ID1=05592110&amp;VALUEID=01001&amp;SDATE=200901&amp;PERIODTYPE=QTR_STD&amp;window=popup_no_bar&amp;width=385&amp;height=120&amp;START_MAXIMIZED=FALSE&amp;creator=factset&amp;display_string=Audit"}</definedName>
    <definedName name="_1790__FDSAUDITLINK__" hidden="1">{"fdsup://Directions/FactSet Auditing Viewer?action=AUDIT_VALUE&amp;DB=129&amp;ID1=05592110&amp;VALUEID=01001&amp;SDATE=200901&amp;PERIODTYPE=QTR_STD&amp;window=popup_no_bar&amp;width=385&amp;height=120&amp;START_MAXIMIZED=FALSE&amp;creator=factset&amp;display_string=Audit"}</definedName>
    <definedName name="_1791__FDSAUDITLINK__" localSheetId="1" hidden="1">{"fdsup://Directions/FactSet Auditing Viewer?action=AUDIT_VALUE&amp;DB=129&amp;ID1=05592110&amp;VALUEID=01001&amp;SDATE=201001&amp;PERIODTYPE=QTR_STD&amp;window=popup_no_bar&amp;width=385&amp;height=120&amp;START_MAXIMIZED=FALSE&amp;creator=factset&amp;display_string=Audit"}</definedName>
    <definedName name="_1791__FDSAUDITLINK__" hidden="1">{"fdsup://Directions/FactSet Auditing Viewer?action=AUDIT_VALUE&amp;DB=129&amp;ID1=05592110&amp;VALUEID=01001&amp;SDATE=201001&amp;PERIODTYPE=QTR_STD&amp;window=popup_no_bar&amp;width=385&amp;height=120&amp;START_MAXIMIZED=FALSE&amp;creator=factset&amp;display_string=Audit"}</definedName>
    <definedName name="_1792__FDSAUDITLINK__" localSheetId="1" hidden="1">{"fdsup://Directions/FactSet Auditing Viewer?action=AUDIT_VALUE&amp;DB=129&amp;ID1=05849810&amp;VALUEID=01001&amp;SDATE=200902&amp;PERIODTYPE=QTR_STD&amp;window=popup_no_bar&amp;width=385&amp;height=120&amp;START_MAXIMIZED=FALSE&amp;creator=factset&amp;display_string=Audit"}</definedName>
    <definedName name="_1792__FDSAUDITLINK__" hidden="1">{"fdsup://Directions/FactSet Auditing Viewer?action=AUDIT_VALUE&amp;DB=129&amp;ID1=05849810&amp;VALUEID=01001&amp;SDATE=200902&amp;PERIODTYPE=QTR_STD&amp;window=popup_no_bar&amp;width=385&amp;height=120&amp;START_MAXIMIZED=FALSE&amp;creator=factset&amp;display_string=Audit"}</definedName>
    <definedName name="_1793__FDSAUDITLINK__" localSheetId="1" hidden="1">{"fdsup://Directions/FactSet Auditing Viewer?action=AUDIT_VALUE&amp;DB=129&amp;ID1=05849810&amp;VALUEID=01001&amp;SDATE=201002&amp;PERIODTYPE=QTR_STD&amp;window=popup_no_bar&amp;width=385&amp;height=120&amp;START_MAXIMIZED=FALSE&amp;creator=factset&amp;display_string=Audit"}</definedName>
    <definedName name="_1793__FDSAUDITLINK__" hidden="1">{"fdsup://Directions/FactSet Auditing Viewer?action=AUDIT_VALUE&amp;DB=129&amp;ID1=05849810&amp;VALUEID=01001&amp;SDATE=201002&amp;PERIODTYPE=QTR_STD&amp;window=popup_no_bar&amp;width=385&amp;height=120&amp;START_MAXIMIZED=FALSE&amp;creator=factset&amp;display_string=Audit"}</definedName>
    <definedName name="_1794__FDSAUDITLINK__" localSheetId="1" hidden="1">{"fdsup://Directions/FactSet Auditing Viewer?action=AUDIT_VALUE&amp;DB=129&amp;ID1=09062X10&amp;VALUEID=01001&amp;SDATE=200902&amp;PERIODTYPE=QTR_STD&amp;window=popup_no_bar&amp;width=385&amp;height=120&amp;START_MAXIMIZED=FALSE&amp;creator=factset&amp;display_string=Audit"}</definedName>
    <definedName name="_1794__FDSAUDITLINK__" hidden="1">{"fdsup://Directions/FactSet Auditing Viewer?action=AUDIT_VALUE&amp;DB=129&amp;ID1=09062X10&amp;VALUEID=01001&amp;SDATE=200902&amp;PERIODTYPE=QTR_STD&amp;window=popup_no_bar&amp;width=385&amp;height=120&amp;START_MAXIMIZED=FALSE&amp;creator=factset&amp;display_string=Audit"}</definedName>
    <definedName name="_1795__FDSAUDITLINK__" localSheetId="1" hidden="1">{"fdsup://Directions/FactSet Auditing Viewer?action=AUDIT_VALUE&amp;DB=129&amp;ID1=09062X10&amp;VALUEID=01001&amp;SDATE=201002&amp;PERIODTYPE=QTR_STD&amp;window=popup_no_bar&amp;width=385&amp;height=120&amp;START_MAXIMIZED=FALSE&amp;creator=factset&amp;display_string=Audit"}</definedName>
    <definedName name="_1795__FDSAUDITLINK__" hidden="1">{"fdsup://Directions/FactSet Auditing Viewer?action=AUDIT_VALUE&amp;DB=129&amp;ID1=09062X10&amp;VALUEID=01001&amp;SDATE=201002&amp;PERIODTYPE=QTR_STD&amp;window=popup_no_bar&amp;width=385&amp;height=120&amp;START_MAXIMIZED=FALSE&amp;creator=factset&amp;display_string=Audit"}</definedName>
    <definedName name="_1796__FDSAUDITLINK__" localSheetId="1" hidden="1">{"fdsup://Directions/FactSet Auditing Viewer?action=AUDIT_VALUE&amp;DB=129&amp;ID1=08930210&amp;VALUEID=01001&amp;SDATE=200901&amp;PERIODTYPE=QTR_STD&amp;window=popup_no_bar&amp;width=385&amp;height=120&amp;START_MAXIMIZED=FALSE&amp;creator=factset&amp;display_string=Audit"}</definedName>
    <definedName name="_1796__FDSAUDITLINK__" hidden="1">{"fdsup://Directions/FactSet Auditing Viewer?action=AUDIT_VALUE&amp;DB=129&amp;ID1=08930210&amp;VALUEID=01001&amp;SDATE=200901&amp;PERIODTYPE=QTR_STD&amp;window=popup_no_bar&amp;width=385&amp;height=120&amp;START_MAXIMIZED=FALSE&amp;creator=factset&amp;display_string=Audit"}</definedName>
    <definedName name="_1797__FDSAUDITLINK__" localSheetId="1" hidden="1">{"fdsup://Directions/FactSet Auditing Viewer?action=AUDIT_VALUE&amp;DB=129&amp;ID1=08930210&amp;VALUEID=01001&amp;SDATE=201001&amp;PERIODTYPE=QTR_STD&amp;window=popup_no_bar&amp;width=385&amp;height=120&amp;START_MAXIMIZED=FALSE&amp;creator=factset&amp;display_string=Audit"}</definedName>
    <definedName name="_1797__FDSAUDITLINK__" hidden="1">{"fdsup://Directions/FactSet Auditing Viewer?action=AUDIT_VALUE&amp;DB=129&amp;ID1=08930210&amp;VALUEID=01001&amp;SDATE=201001&amp;PERIODTYPE=QTR_STD&amp;window=popup_no_bar&amp;width=385&amp;height=120&amp;START_MAXIMIZED=FALSE&amp;creator=factset&amp;display_string=Audit"}</definedName>
    <definedName name="_1798__FDSAUDITLINK__" localSheetId="1" hidden="1">{"fdsup://Directions/FactSet Auditing Viewer?action=AUDIT_VALUE&amp;DB=129&amp;ID1=05722410&amp;VALUEID=01001&amp;SDATE=200902&amp;PERIODTYPE=QTR_STD&amp;window=popup_no_bar&amp;width=385&amp;height=120&amp;START_MAXIMIZED=FALSE&amp;creator=factset&amp;display_string=Audit"}</definedName>
    <definedName name="_1798__FDSAUDITLINK__" hidden="1">{"fdsup://Directions/FactSet Auditing Viewer?action=AUDIT_VALUE&amp;DB=129&amp;ID1=05722410&amp;VALUEID=01001&amp;SDATE=200902&amp;PERIODTYPE=QTR_STD&amp;window=popup_no_bar&amp;width=385&amp;height=120&amp;START_MAXIMIZED=FALSE&amp;creator=factset&amp;display_string=Audit"}</definedName>
    <definedName name="_1799__FDSAUDITLINK__" localSheetId="1" hidden="1">{"fdsup://Directions/FactSet Auditing Viewer?action=AUDIT_VALUE&amp;DB=129&amp;ID1=05722410&amp;VALUEID=01001&amp;SDATE=201002&amp;PERIODTYPE=QTR_STD&amp;window=popup_no_bar&amp;width=385&amp;height=120&amp;START_MAXIMIZED=FALSE&amp;creator=factset&amp;display_string=Audit"}</definedName>
    <definedName name="_1799__FDSAUDITLINK__" hidden="1">{"fdsup://Directions/FactSet Auditing Viewer?action=AUDIT_VALUE&amp;DB=129&amp;ID1=05722410&amp;VALUEID=01001&amp;SDATE=201002&amp;PERIODTYPE=QTR_STD&amp;window=popup_no_bar&amp;width=385&amp;height=120&amp;START_MAXIMIZED=FALSE&amp;creator=factset&amp;display_string=Audit"}</definedName>
    <definedName name="_18__FDSAUDITLINK__" localSheetId="1" hidden="1">{"fdsup://directions/FAT Viewer?action=UPDATE&amp;creator=factset&amp;DYN_ARGS=TRUE&amp;DOC_NAME=FAT:FQL_AUDITING_CLIENT_TEMPLATE.FAT&amp;display_string=Audit&amp;VAR:KEY=VSRGLEROZK&amp;VAR:QUERY=RkZfRUJJVERBX09QRVIoUVRSLDQvMS8yMDEwLDYvMzAvMjAxMCwsLFVTRCk=&amp;WINDOW=FIRST_POPUP&amp;HEIGH","T=450&amp;WIDTH=450&amp;START_MAXIMIZED=FALSE&amp;VAR:CALENDAR=US&amp;VAR:SYMBOL=XL&amp;VAR:INDEX=0"}</definedName>
    <definedName name="_18__FDSAUDITLINK__" hidden="1">{"fdsup://Directions/FactSet Auditing Viewer?action=AUDIT_VALUE&amp;DB=129&amp;ID1=11132010&amp;VALUEID=02001&amp;SDATE=200903&amp;PERIODTYPE=QTR_STD&amp;window=popup_no_bar&amp;width=385&amp;height=120&amp;START_MAXIMIZED=FALSE&amp;creator=factset&amp;display_string=Audit"}</definedName>
    <definedName name="_180__FDSAUDITLINK__" localSheetId="1" hidden="1">{"fdsup://directions/FAT Viewer?action=UPDATE&amp;creator=factset&amp;DYN_ARGS=TRUE&amp;DOC_NAME=FAT:FQL_AUDITING_CLIENT_TEMPLATE.FAT&amp;display_string=Audit&amp;VAR:KEY=TWVINYNEFC&amp;VAR:QUERY=RkZfRUJJVERBX09QRVIoUVRSLDQvMS8yMDEwLDYvMzAvMjAxMCwsLFVTRCk=&amp;WINDOW=FIRST_POPUP&amp;HEIGH","T=450&amp;WIDTH=450&amp;START_MAXIMIZED=FALSE&amp;VAR:CALENDAR=US&amp;VAR:SYMBOL=SNDK&amp;VAR:INDEX=0"}</definedName>
    <definedName name="_180__FDSAUDITLINK__" hidden="1">{"fdsup://directions/FAT Viewer?action=UPDATE&amp;creator=factset&amp;DYN_ARGS=TRUE&amp;DOC_NAME=FAT:FQL_AUDITING_CLIENT_TEMPLATE.FAT&amp;display_string=Audit&amp;VAR:KEY=TWVINYNEFC&amp;VAR:QUERY=RkZfRUJJVERBX09QRVIoUVRSLDQvMS8yMDEwLDYvMzAvMjAxMCwsLFVTRCk=&amp;WINDOW=FIRST_POPUP&amp;HEIGH","T=450&amp;WIDTH=450&amp;START_MAXIMIZED=FALSE&amp;VAR:CALENDAR=US&amp;VAR:SYMBOL=SNDK&amp;VAR:INDEX=0"}</definedName>
    <definedName name="_1800__FDSAUDITLINK__" localSheetId="1" hidden="1">{"fdsup://Directions/FactSet Auditing Viewer?action=AUDIT_VALUE&amp;DB=129&amp;ID1=11563720&amp;VALUEID=01001&amp;SDATE=200904&amp;PERIODTYPE=QTR_STD&amp;window=popup_no_bar&amp;width=385&amp;height=120&amp;START_MAXIMIZED=FALSE&amp;creator=factset&amp;display_string=Audit"}</definedName>
    <definedName name="_1800__FDSAUDITLINK__" hidden="1">{"fdsup://Directions/FactSet Auditing Viewer?action=AUDIT_VALUE&amp;DB=129&amp;ID1=11563720&amp;VALUEID=01001&amp;SDATE=200904&amp;PERIODTYPE=QTR_STD&amp;window=popup_no_bar&amp;width=385&amp;height=120&amp;START_MAXIMIZED=FALSE&amp;creator=factset&amp;display_string=Audit"}</definedName>
    <definedName name="_1801__FDSAUDITLINK__" localSheetId="1" hidden="1">{"fdsup://Directions/FactSet Auditing Viewer?action=AUDIT_VALUE&amp;DB=129&amp;ID1=35461310&amp;VALUEID=01001&amp;SDATE=200903&amp;PERIODTYPE=QTR_STD&amp;window=popup_no_bar&amp;width=385&amp;height=120&amp;START_MAXIMIZED=FALSE&amp;creator=factset&amp;display_string=Audit"}</definedName>
    <definedName name="_1801__FDSAUDITLINK__" hidden="1">{"fdsup://Directions/FactSet Auditing Viewer?action=AUDIT_VALUE&amp;DB=129&amp;ID1=35461310&amp;VALUEID=01001&amp;SDATE=200903&amp;PERIODTYPE=QTR_STD&amp;window=popup_no_bar&amp;width=385&amp;height=120&amp;START_MAXIMIZED=FALSE&amp;creator=factset&amp;display_string=Audit"}</definedName>
    <definedName name="_1802__FDSAUDITLINK__" localSheetId="1" hidden="1">{"fdsup://Directions/FactSet Auditing Viewer?action=AUDIT_VALUE&amp;DB=129&amp;ID1=35461310&amp;VALUEID=01001&amp;SDATE=201003&amp;PERIODTYPE=QTR_STD&amp;window=popup_no_bar&amp;width=385&amp;height=120&amp;START_MAXIMIZED=FALSE&amp;creator=factset&amp;display_string=Audit"}</definedName>
    <definedName name="_1802__FDSAUDITLINK__" hidden="1">{"fdsup://Directions/FactSet Auditing Viewer?action=AUDIT_VALUE&amp;DB=129&amp;ID1=35461310&amp;VALUEID=01001&amp;SDATE=201003&amp;PERIODTYPE=QTR_STD&amp;window=popup_no_bar&amp;width=385&amp;height=120&amp;START_MAXIMIZED=FALSE&amp;creator=factset&amp;display_string=Audit"}</definedName>
    <definedName name="_1803__FDSAUDITLINK__" localSheetId="1" hidden="1">{"fdsup://Directions/FactSet Auditing Viewer?action=AUDIT_VALUE&amp;DB=129&amp;ID1=07588710&amp;VALUEID=01001&amp;SDATE=200903&amp;PERIODTYPE=QTR_STD&amp;window=popup_no_bar&amp;width=385&amp;height=120&amp;START_MAXIMIZED=FALSE&amp;creator=factset&amp;display_string=Audit"}</definedName>
    <definedName name="_1803__FDSAUDITLINK__" hidden="1">{"fdsup://Directions/FactSet Auditing Viewer?action=AUDIT_VALUE&amp;DB=129&amp;ID1=07588710&amp;VALUEID=01001&amp;SDATE=200903&amp;PERIODTYPE=QTR_STD&amp;window=popup_no_bar&amp;width=385&amp;height=120&amp;START_MAXIMIZED=FALSE&amp;creator=factset&amp;display_string=Audit"}</definedName>
    <definedName name="_1804__FDSAUDITLINK__" localSheetId="1" hidden="1">{"fdsup://Directions/FactSet Auditing Viewer?action=AUDIT_VALUE&amp;DB=129&amp;ID1=07588710&amp;VALUEID=01001&amp;SDATE=201003&amp;PERIODTYPE=QTR_STD&amp;window=popup_no_bar&amp;width=385&amp;height=120&amp;START_MAXIMIZED=FALSE&amp;creator=factset&amp;display_string=Audit"}</definedName>
    <definedName name="_1804__FDSAUDITLINK__" hidden="1">{"fdsup://Directions/FactSet Auditing Viewer?action=AUDIT_VALUE&amp;DB=129&amp;ID1=07588710&amp;VALUEID=01001&amp;SDATE=201003&amp;PERIODTYPE=QTR_STD&amp;window=popup_no_bar&amp;width=385&amp;height=120&amp;START_MAXIMIZED=FALSE&amp;creator=factset&amp;display_string=Audit"}</definedName>
    <definedName name="_1805__FDSAUDITLINK__" localSheetId="1" hidden="1">{"fdsup://Directions/FactSet Auditing Viewer?action=AUDIT_VALUE&amp;DB=129&amp;ID1=06738310&amp;VALUEID=01001&amp;SDATE=200902&amp;PERIODTYPE=QTR_STD&amp;window=popup_no_bar&amp;width=385&amp;height=120&amp;START_MAXIMIZED=FALSE&amp;creator=factset&amp;display_string=Audit"}</definedName>
    <definedName name="_1805__FDSAUDITLINK__" hidden="1">{"fdsup://Directions/FactSet Auditing Viewer?action=AUDIT_VALUE&amp;DB=129&amp;ID1=06738310&amp;VALUEID=01001&amp;SDATE=200902&amp;PERIODTYPE=QTR_STD&amp;window=popup_no_bar&amp;width=385&amp;height=120&amp;START_MAXIMIZED=FALSE&amp;creator=factset&amp;display_string=Audit"}</definedName>
    <definedName name="_1806__FDSAUDITLINK__" localSheetId="1" hidden="1">{"fdsup://Directions/FactSet Auditing Viewer?action=AUDIT_VALUE&amp;DB=129&amp;ID1=06738310&amp;VALUEID=01001&amp;SDATE=201002&amp;PERIODTYPE=QTR_STD&amp;window=popup_no_bar&amp;width=385&amp;height=120&amp;START_MAXIMIZED=FALSE&amp;creator=factset&amp;display_string=Audit"}</definedName>
    <definedName name="_1806__FDSAUDITLINK__" hidden="1">{"fdsup://Directions/FactSet Auditing Viewer?action=AUDIT_VALUE&amp;DB=129&amp;ID1=06738310&amp;VALUEID=01001&amp;SDATE=201002&amp;PERIODTYPE=QTR_STD&amp;window=popup_no_bar&amp;width=385&amp;height=120&amp;START_MAXIMIZED=FALSE&amp;creator=factset&amp;display_string=Audit"}</definedName>
    <definedName name="_1807__FDSAUDITLINK__" localSheetId="1" hidden="1">{"fdsup://Directions/FactSet Auditing Viewer?action=AUDIT_VALUE&amp;DB=129&amp;ID1=08651610&amp;VALUEID=01001&amp;SDATE=200901&amp;PERIODTYPE=QTR_STD&amp;window=popup_no_bar&amp;width=385&amp;height=120&amp;START_MAXIMIZED=FALSE&amp;creator=factset&amp;display_string=Audit"}</definedName>
    <definedName name="_1807__FDSAUDITLINK__" hidden="1">{"fdsup://Directions/FactSet Auditing Viewer?action=AUDIT_VALUE&amp;DB=129&amp;ID1=08651610&amp;VALUEID=01001&amp;SDATE=200901&amp;PERIODTYPE=QTR_STD&amp;window=popup_no_bar&amp;width=385&amp;height=120&amp;START_MAXIMIZED=FALSE&amp;creator=factset&amp;display_string=Audit"}</definedName>
    <definedName name="_1808__FDSAUDITLINK__" localSheetId="1" hidden="1">{"fdsup://Directions/FactSet Auditing Viewer?action=AUDIT_VALUE&amp;DB=129&amp;ID1=08651610&amp;VALUEID=01001&amp;SDATE=201001&amp;PERIODTYPE=QTR_STD&amp;window=popup_no_bar&amp;width=385&amp;height=120&amp;START_MAXIMIZED=FALSE&amp;creator=factset&amp;display_string=Audit"}</definedName>
    <definedName name="_1808__FDSAUDITLINK__" hidden="1">{"fdsup://Directions/FactSet Auditing Viewer?action=AUDIT_VALUE&amp;DB=129&amp;ID1=08651610&amp;VALUEID=01001&amp;SDATE=201001&amp;PERIODTYPE=QTR_STD&amp;window=popup_no_bar&amp;width=385&amp;height=120&amp;START_MAXIMIZED=FALSE&amp;creator=factset&amp;display_string=Audit"}</definedName>
    <definedName name="_1809__FDSAUDITLINK__" localSheetId="1" hidden="1">{"fdsup://Directions/FactSet Auditing Viewer?action=AUDIT_VALUE&amp;DB=129&amp;ID1=07589610&amp;VALUEID=01001&amp;SDATE=200901&amp;PERIODTYPE=QTR_STD&amp;window=popup_no_bar&amp;width=385&amp;height=120&amp;START_MAXIMIZED=FALSE&amp;creator=factset&amp;display_string=Audit"}</definedName>
    <definedName name="_1809__FDSAUDITLINK__" hidden="1">{"fdsup://Directions/FactSet Auditing Viewer?action=AUDIT_VALUE&amp;DB=129&amp;ID1=07589610&amp;VALUEID=01001&amp;SDATE=200901&amp;PERIODTYPE=QTR_STD&amp;window=popup_no_bar&amp;width=385&amp;height=120&amp;START_MAXIMIZED=FALSE&amp;creator=factset&amp;display_string=Audit"}</definedName>
    <definedName name="_181__FDSAUDITLINK__" localSheetId="1" hidden="1">{"fdsup://directions/FAT Viewer?action=UPDATE&amp;creator=factset&amp;DYN_ARGS=TRUE&amp;DOC_NAME=FAT:FQL_AUDITING_CLIENT_TEMPLATE.FAT&amp;display_string=Audit&amp;VAR:KEY=HITQNWJMRG&amp;VAR:QUERY=RkZfRUJJVERBX09QRVIoUVRSLDQvMS8yMDA5LDYvMzAvMjAwOSwsLFVTRCk=&amp;WINDOW=FIRST_POPUP&amp;HEIGH","T=450&amp;WIDTH=450&amp;START_MAXIMIZED=FALSE&amp;VAR:CALENDAR=US&amp;VAR:SYMBOL=SNA&amp;VAR:INDEX=0"}</definedName>
    <definedName name="_181__FDSAUDITLINK__" hidden="1">{"fdsup://directions/FAT Viewer?action=UPDATE&amp;creator=factset&amp;DYN_ARGS=TRUE&amp;DOC_NAME=FAT:FQL_AUDITING_CLIENT_TEMPLATE.FAT&amp;display_string=Audit&amp;VAR:KEY=HITQNWJMRG&amp;VAR:QUERY=RkZfRUJJVERBX09QRVIoUVRSLDQvMS8yMDA5LDYvMzAvMjAwOSwsLFVTRCk=&amp;WINDOW=FIRST_POPUP&amp;HEIGH","T=450&amp;WIDTH=450&amp;START_MAXIMIZED=FALSE&amp;VAR:CALENDAR=US&amp;VAR:SYMBOL=SNA&amp;VAR:INDEX=0"}</definedName>
    <definedName name="_1810__FDSAUDITLINK__" localSheetId="1" hidden="1">{"fdsup://Directions/FactSet Auditing Viewer?action=AUDIT_VALUE&amp;DB=129&amp;ID1=07589610&amp;VALUEID=01001&amp;SDATE=201001&amp;PERIODTYPE=QTR_STD&amp;window=popup_no_bar&amp;width=385&amp;height=120&amp;START_MAXIMIZED=FALSE&amp;creator=factset&amp;display_string=Audit"}</definedName>
    <definedName name="_1810__FDSAUDITLINK__" hidden="1">{"fdsup://Directions/FactSet Auditing Viewer?action=AUDIT_VALUE&amp;DB=129&amp;ID1=07589610&amp;VALUEID=01001&amp;SDATE=201001&amp;PERIODTYPE=QTR_STD&amp;window=popup_no_bar&amp;width=385&amp;height=120&amp;START_MAXIMIZED=FALSE&amp;creator=factset&amp;display_string=Audit"}</definedName>
    <definedName name="_1811__FDSAUDITLINK__" localSheetId="1" hidden="1">{"fdsup://Directions/FactSet Auditing Viewer?action=AUDIT_VALUE&amp;DB=129&amp;ID1=07181310&amp;VALUEID=01001&amp;SDATE=200902&amp;PERIODTYPE=QTR_STD&amp;window=popup_no_bar&amp;width=385&amp;height=120&amp;START_MAXIMIZED=FALSE&amp;creator=factset&amp;display_string=Audit"}</definedName>
    <definedName name="_1811__FDSAUDITLINK__" hidden="1">{"fdsup://Directions/FactSet Auditing Viewer?action=AUDIT_VALUE&amp;DB=129&amp;ID1=07181310&amp;VALUEID=01001&amp;SDATE=200902&amp;PERIODTYPE=QTR_STD&amp;window=popup_no_bar&amp;width=385&amp;height=120&amp;START_MAXIMIZED=FALSE&amp;creator=factset&amp;display_string=Audit"}</definedName>
    <definedName name="_1812__FDSAUDITLINK__" localSheetId="1" hidden="1">{"fdsup://Directions/FactSet Auditing Viewer?action=AUDIT_VALUE&amp;DB=129&amp;ID1=07181310&amp;VALUEID=01001&amp;SDATE=201002&amp;PERIODTYPE=QTR_STD&amp;window=popup_no_bar&amp;width=385&amp;height=120&amp;START_MAXIMIZED=FALSE&amp;creator=factset&amp;display_string=Audit"}</definedName>
    <definedName name="_1812__FDSAUDITLINK__" hidden="1">{"fdsup://Directions/FactSet Auditing Viewer?action=AUDIT_VALUE&amp;DB=129&amp;ID1=07181310&amp;VALUEID=01001&amp;SDATE=201002&amp;PERIODTYPE=QTR_STD&amp;window=popup_no_bar&amp;width=385&amp;height=120&amp;START_MAXIMIZED=FALSE&amp;creator=factset&amp;display_string=Audit"}</definedName>
    <definedName name="_1813__FDSAUDITLINK__" localSheetId="1" hidden="1">{"fdsup://Directions/FactSet Auditing Viewer?action=AUDIT_VALUE&amp;DB=129&amp;ID1=09702310&amp;VALUEID=01001&amp;SDATE=200902&amp;PERIODTYPE=QTR_STD&amp;window=popup_no_bar&amp;width=385&amp;height=120&amp;START_MAXIMIZED=FALSE&amp;creator=factset&amp;display_string=Audit"}</definedName>
    <definedName name="_1813__FDSAUDITLINK__" hidden="1">{"fdsup://Directions/FactSet Auditing Viewer?action=AUDIT_VALUE&amp;DB=129&amp;ID1=09702310&amp;VALUEID=01001&amp;SDATE=200902&amp;PERIODTYPE=QTR_STD&amp;window=popup_no_bar&amp;width=385&amp;height=120&amp;START_MAXIMIZED=FALSE&amp;creator=factset&amp;display_string=Audit"}</definedName>
    <definedName name="_1814__FDSAUDITLINK__" localSheetId="1" hidden="1">{"fdsup://Directions/FactSet Auditing Viewer?action=AUDIT_VALUE&amp;DB=129&amp;ID1=09702310&amp;VALUEID=01001&amp;SDATE=201002&amp;PERIODTYPE=QTR_STD&amp;window=popup_no_bar&amp;width=385&amp;height=120&amp;START_MAXIMIZED=FALSE&amp;creator=factset&amp;display_string=Audit"}</definedName>
    <definedName name="_1814__FDSAUDITLINK__" hidden="1">{"fdsup://Directions/FactSet Auditing Viewer?action=AUDIT_VALUE&amp;DB=129&amp;ID1=09702310&amp;VALUEID=01001&amp;SDATE=201002&amp;PERIODTYPE=QTR_STD&amp;window=popup_no_bar&amp;width=385&amp;height=120&amp;START_MAXIMIZED=FALSE&amp;creator=factset&amp;display_string=Audit"}</definedName>
    <definedName name="_1815__FDSAUDITLINK__" localSheetId="1" hidden="1">{"fdsup://Directions/FactSet Auditing Viewer?action=AUDIT_VALUE&amp;DB=129&amp;ID1=05333210&amp;VALUEID=01001&amp;SDATE=200903&amp;PERIODTYPE=QTR_STD&amp;window=popup_no_bar&amp;width=385&amp;height=120&amp;START_MAXIMIZED=FALSE&amp;creator=factset&amp;display_string=Audit"}</definedName>
    <definedName name="_1815__FDSAUDITLINK__" hidden="1">{"fdsup://Directions/FactSet Auditing Viewer?action=AUDIT_VALUE&amp;DB=129&amp;ID1=05333210&amp;VALUEID=01001&amp;SDATE=200903&amp;PERIODTYPE=QTR_STD&amp;window=popup_no_bar&amp;width=385&amp;height=120&amp;START_MAXIMIZED=FALSE&amp;creator=factset&amp;display_string=Audit"}</definedName>
    <definedName name="_1816__FDSAUDITLINK__" localSheetId="1" hidden="1">{"fdsup://Directions/FactSet Auditing Viewer?action=AUDIT_VALUE&amp;DB=129&amp;ID1=05333210&amp;VALUEID=01001&amp;SDATE=201003&amp;PERIODTYPE=QTR_STD&amp;window=popup_no_bar&amp;width=385&amp;height=120&amp;START_MAXIMIZED=FALSE&amp;creator=factset&amp;display_string=Audit"}</definedName>
    <definedName name="_1816__FDSAUDITLINK__" hidden="1">{"fdsup://Directions/FactSet Auditing Viewer?action=AUDIT_VALUE&amp;DB=129&amp;ID1=05333210&amp;VALUEID=01001&amp;SDATE=201003&amp;PERIODTYPE=QTR_STD&amp;window=popup_no_bar&amp;width=385&amp;height=120&amp;START_MAXIMIZED=FALSE&amp;creator=factset&amp;display_string=Audit"}</definedName>
    <definedName name="_1817__FDSAUDITLINK__" localSheetId="1" hidden="1">{"fdsup://Directions/FactSet Auditing Viewer?action=AUDIT_VALUE&amp;DB=129&amp;ID1=01736110&amp;VALUEID=01001&amp;SDATE=200902&amp;PERIODTYPE=QTR_STD&amp;window=popup_no_bar&amp;width=385&amp;height=120&amp;START_MAXIMIZED=FALSE&amp;creator=factset&amp;display_string=Audit"}</definedName>
    <definedName name="_1817__FDSAUDITLINK__" hidden="1">{"fdsup://Directions/FactSet Auditing Viewer?action=AUDIT_VALUE&amp;DB=129&amp;ID1=01736110&amp;VALUEID=01001&amp;SDATE=200902&amp;PERIODTYPE=QTR_STD&amp;window=popup_no_bar&amp;width=385&amp;height=120&amp;START_MAXIMIZED=FALSE&amp;creator=factset&amp;display_string=Audit"}</definedName>
    <definedName name="_1818__FDSAUDITLINK__" localSheetId="1" hidden="1">{"fdsup://Directions/FactSet Auditing Viewer?action=AUDIT_VALUE&amp;DB=129&amp;ID1=01736110&amp;VALUEID=01001&amp;SDATE=201002&amp;PERIODTYPE=QTR_STD&amp;window=popup_no_bar&amp;width=385&amp;height=120&amp;START_MAXIMIZED=FALSE&amp;creator=factset&amp;display_string=Audit"}</definedName>
    <definedName name="_1818__FDSAUDITLINK__" hidden="1">{"fdsup://Directions/FactSet Auditing Viewer?action=AUDIT_VALUE&amp;DB=129&amp;ID1=01736110&amp;VALUEID=01001&amp;SDATE=201002&amp;PERIODTYPE=QTR_STD&amp;window=popup_no_bar&amp;width=385&amp;height=120&amp;START_MAXIMIZED=FALSE&amp;creator=factset&amp;display_string=Audit"}</definedName>
    <definedName name="_1819__FDSAUDITLINK__" localSheetId="1" hidden="1">{"fdsup://Directions/FactSet Auditing Viewer?action=AUDIT_VALUE&amp;DB=129&amp;ID1=02581610&amp;VALUEID=01001&amp;SDATE=200902&amp;PERIODTYPE=QTR_STD&amp;window=popup_no_bar&amp;width=385&amp;height=120&amp;START_MAXIMIZED=FALSE&amp;creator=factset&amp;display_string=Audit"}</definedName>
    <definedName name="_1819__FDSAUDITLINK__" hidden="1">{"fdsup://Directions/FactSet Auditing Viewer?action=AUDIT_VALUE&amp;DB=129&amp;ID1=02581610&amp;VALUEID=01001&amp;SDATE=200902&amp;PERIODTYPE=QTR_STD&amp;window=popup_no_bar&amp;width=385&amp;height=120&amp;START_MAXIMIZED=FALSE&amp;creator=factset&amp;display_string=Audit"}</definedName>
    <definedName name="_182__FDSAUDITLINK__" localSheetId="1" hidden="1">{"fdsup://directions/FAT Viewer?action=UPDATE&amp;creator=factset&amp;DYN_ARGS=TRUE&amp;DOC_NAME=FAT:FQL_AUDITING_CLIENT_TEMPLATE.FAT&amp;display_string=Audit&amp;VAR:KEY=DMDCZWFOPY&amp;VAR:QUERY=RkZfRUJJVERBX09QRVIoUVRSLDQvMS8yMDEwLDYvMzAvMjAxMCwsLFVTRCk=&amp;WINDOW=FIRST_POPUP&amp;HEIGH","T=450&amp;WIDTH=450&amp;START_MAXIMIZED=FALSE&amp;VAR:CALENDAR=US&amp;VAR:SYMBOL=SNA&amp;VAR:INDEX=0"}</definedName>
    <definedName name="_182__FDSAUDITLINK__" hidden="1">{"fdsup://directions/FAT Viewer?action=UPDATE&amp;creator=factset&amp;DYN_ARGS=TRUE&amp;DOC_NAME=FAT:FQL_AUDITING_CLIENT_TEMPLATE.FAT&amp;display_string=Audit&amp;VAR:KEY=DMDCZWFOPY&amp;VAR:QUERY=RkZfRUJJVERBX09QRVIoUVRSLDQvMS8yMDEwLDYvMzAvMjAxMCwsLFVTRCk=&amp;WINDOW=FIRST_POPUP&amp;HEIGH","T=450&amp;WIDTH=450&amp;START_MAXIMIZED=FALSE&amp;VAR:CALENDAR=US&amp;VAR:SYMBOL=SNA&amp;VAR:INDEX=0"}</definedName>
    <definedName name="_1820__FDSAUDITLINK__" localSheetId="1" hidden="1">{"fdsup://Directions/FactSet Auditing Viewer?action=AUDIT_VALUE&amp;DB=129&amp;ID1=02581610&amp;VALUEID=01001&amp;SDATE=201002&amp;PERIODTYPE=QTR_STD&amp;window=popup_no_bar&amp;width=385&amp;height=120&amp;START_MAXIMIZED=FALSE&amp;creator=factset&amp;display_string=Audit"}</definedName>
    <definedName name="_1820__FDSAUDITLINK__" hidden="1">{"fdsup://Directions/FactSet Auditing Viewer?action=AUDIT_VALUE&amp;DB=129&amp;ID1=02581610&amp;VALUEID=01001&amp;SDATE=201002&amp;PERIODTYPE=QTR_STD&amp;window=popup_no_bar&amp;width=385&amp;height=120&amp;START_MAXIMIZED=FALSE&amp;creator=factset&amp;display_string=Audit"}</definedName>
    <definedName name="_1821__FDSAUDITLINK__" localSheetId="1" hidden="1">{"fdsup://Directions/FactSet Auditing Viewer?action=AUDIT_VALUE&amp;DB=129&amp;ID1=05361110&amp;VALUEID=01001&amp;SDATE=200902&amp;PERIODTYPE=QTR_STD&amp;window=popup_no_bar&amp;width=385&amp;height=120&amp;START_MAXIMIZED=FALSE&amp;creator=factset&amp;display_string=Audit"}</definedName>
    <definedName name="_1821__FDSAUDITLINK__" hidden="1">{"fdsup://Directions/FactSet Auditing Viewer?action=AUDIT_VALUE&amp;DB=129&amp;ID1=05361110&amp;VALUEID=01001&amp;SDATE=200902&amp;PERIODTYPE=QTR_STD&amp;window=popup_no_bar&amp;width=385&amp;height=120&amp;START_MAXIMIZED=FALSE&amp;creator=factset&amp;display_string=Audit"}</definedName>
    <definedName name="_1822__FDSAUDITLINK__" localSheetId="1" hidden="1">{"fdsup://Directions/FactSet Auditing Viewer?action=AUDIT_VALUE&amp;DB=129&amp;ID1=05361110&amp;VALUEID=01001&amp;SDATE=201002&amp;PERIODTYPE=QTR_STD&amp;window=popup_no_bar&amp;width=385&amp;height=120&amp;START_MAXIMIZED=FALSE&amp;creator=factset&amp;display_string=Audit"}</definedName>
    <definedName name="_1822__FDSAUDITLINK__" hidden="1">{"fdsup://Directions/FactSet Auditing Viewer?action=AUDIT_VALUE&amp;DB=129&amp;ID1=05361110&amp;VALUEID=01001&amp;SDATE=201002&amp;PERIODTYPE=QTR_STD&amp;window=popup_no_bar&amp;width=385&amp;height=120&amp;START_MAXIMIZED=FALSE&amp;creator=factset&amp;display_string=Audit"}</definedName>
    <definedName name="_1823__FDSAUDITLINK__" localSheetId="1" hidden="1">{"fdsup://Directions/FactSet Auditing Viewer?action=AUDIT_VALUE&amp;DB=129&amp;ID1=05430310&amp;VALUEID=01001&amp;SDATE=200902&amp;PERIODTYPE=QTR_STD&amp;window=popup_no_bar&amp;width=385&amp;height=120&amp;START_MAXIMIZED=FALSE&amp;creator=factset&amp;display_string=Audit"}</definedName>
    <definedName name="_1823__FDSAUDITLINK__" hidden="1">{"fdsup://Directions/FactSet Auditing Viewer?action=AUDIT_VALUE&amp;DB=129&amp;ID1=05430310&amp;VALUEID=01001&amp;SDATE=200902&amp;PERIODTYPE=QTR_STD&amp;window=popup_no_bar&amp;width=385&amp;height=120&amp;START_MAXIMIZED=FALSE&amp;creator=factset&amp;display_string=Audit"}</definedName>
    <definedName name="_1824__FDSAUDITLINK__" localSheetId="1" hidden="1">{"fdsup://Directions/FactSet Auditing Viewer?action=AUDIT_VALUE&amp;DB=129&amp;ID1=05430310&amp;VALUEID=01001&amp;SDATE=201002&amp;PERIODTYPE=QTR_STD&amp;window=popup_no_bar&amp;width=385&amp;height=120&amp;START_MAXIMIZED=FALSE&amp;creator=factset&amp;display_string=Audit"}</definedName>
    <definedName name="_1824__FDSAUDITLINK__" hidden="1">{"fdsup://Directions/FactSet Auditing Viewer?action=AUDIT_VALUE&amp;DB=129&amp;ID1=05430310&amp;VALUEID=01001&amp;SDATE=201002&amp;PERIODTYPE=QTR_STD&amp;window=popup_no_bar&amp;width=385&amp;height=120&amp;START_MAXIMIZED=FALSE&amp;creator=factset&amp;display_string=Audit"}</definedName>
    <definedName name="_1825__FDSAUDITLINK__" localSheetId="1" hidden="1">{"fdsup://Directions/FactSet Auditing Viewer?action=AUDIT_VALUE&amp;DB=129&amp;ID1=05348410&amp;VALUEID=01001&amp;SDATE=200902&amp;PERIODTYPE=QTR_STD&amp;window=popup_no_bar&amp;width=385&amp;height=120&amp;START_MAXIMIZED=FALSE&amp;creator=factset&amp;display_string=Audit"}</definedName>
    <definedName name="_1825__FDSAUDITLINK__" hidden="1">{"fdsup://Directions/FactSet Auditing Viewer?action=AUDIT_VALUE&amp;DB=129&amp;ID1=05348410&amp;VALUEID=01001&amp;SDATE=200902&amp;PERIODTYPE=QTR_STD&amp;window=popup_no_bar&amp;width=385&amp;height=120&amp;START_MAXIMIZED=FALSE&amp;creator=factset&amp;display_string=Audit"}</definedName>
    <definedName name="_1826__FDSAUDITLINK__" localSheetId="1" hidden="1">{"fdsup://Directions/FactSet Auditing Viewer?action=AUDIT_VALUE&amp;DB=129&amp;ID1=05348410&amp;VALUEID=01001&amp;SDATE=201002&amp;PERIODTYPE=QTR_STD&amp;window=popup_no_bar&amp;width=385&amp;height=120&amp;START_MAXIMIZED=FALSE&amp;creator=factset&amp;display_string=Audit"}</definedName>
    <definedName name="_1826__FDSAUDITLINK__" hidden="1">{"fdsup://Directions/FactSet Auditing Viewer?action=AUDIT_VALUE&amp;DB=129&amp;ID1=05348410&amp;VALUEID=01001&amp;SDATE=201002&amp;PERIODTYPE=QTR_STD&amp;window=popup_no_bar&amp;width=385&amp;height=120&amp;START_MAXIMIZED=FALSE&amp;creator=factset&amp;display_string=Audit"}</definedName>
    <definedName name="_1827__FDSAUDITLINK__" localSheetId="1" hidden="1">{"fdsup://Directions/FactSet Auditing Viewer?action=AUDIT_VALUE&amp;DB=129&amp;ID1=01741R10&amp;VALUEID=01001&amp;SDATE=200902&amp;PERIODTYPE=QTR_STD&amp;window=popup_no_bar&amp;width=385&amp;height=120&amp;START_MAXIMIZED=FALSE&amp;creator=factset&amp;display_string=Audit"}</definedName>
    <definedName name="_1827__FDSAUDITLINK__" hidden="1">{"fdsup://Directions/FactSet Auditing Viewer?action=AUDIT_VALUE&amp;DB=129&amp;ID1=01741R10&amp;VALUEID=01001&amp;SDATE=200902&amp;PERIODTYPE=QTR_STD&amp;window=popup_no_bar&amp;width=385&amp;height=120&amp;START_MAXIMIZED=FALSE&amp;creator=factset&amp;display_string=Audit"}</definedName>
    <definedName name="_1828__FDSAUDITLINK__" localSheetId="1" hidden="1">{"fdsup://Directions/FactSet Auditing Viewer?action=AUDIT_VALUE&amp;DB=129&amp;ID1=01741R10&amp;VALUEID=01001&amp;SDATE=201002&amp;PERIODTYPE=QTR_STD&amp;window=popup_no_bar&amp;width=385&amp;height=120&amp;START_MAXIMIZED=FALSE&amp;creator=factset&amp;display_string=Audit"}</definedName>
    <definedName name="_1828__FDSAUDITLINK__" hidden="1">{"fdsup://Directions/FactSet Auditing Viewer?action=AUDIT_VALUE&amp;DB=129&amp;ID1=01741R10&amp;VALUEID=01001&amp;SDATE=201002&amp;PERIODTYPE=QTR_STD&amp;window=popup_no_bar&amp;width=385&amp;height=120&amp;START_MAXIMIZED=FALSE&amp;creator=factset&amp;display_string=Audit"}</definedName>
    <definedName name="_1829__FDSAUDITLINK__" localSheetId="1" hidden="1">{"fdsup://Directions/FactSet Auditing Viewer?action=AUDIT_VALUE&amp;DB=129&amp;ID1=00936310&amp;VALUEID=01001&amp;SDATE=200901&amp;PERIODTYPE=QTR_STD&amp;window=popup_no_bar&amp;width=385&amp;height=120&amp;START_MAXIMIZED=FALSE&amp;creator=factset&amp;display_string=Audit"}</definedName>
    <definedName name="_1829__FDSAUDITLINK__" hidden="1">{"fdsup://Directions/FactSet Auditing Viewer?action=AUDIT_VALUE&amp;DB=129&amp;ID1=00936310&amp;VALUEID=01001&amp;SDATE=200901&amp;PERIODTYPE=QTR_STD&amp;window=popup_no_bar&amp;width=385&amp;height=120&amp;START_MAXIMIZED=FALSE&amp;creator=factset&amp;display_string=Audit"}</definedName>
    <definedName name="_183__FDSAUDITLINK__" localSheetId="1" hidden="1">{"fdsup://directions/FAT Viewer?action=UPDATE&amp;creator=factset&amp;DYN_ARGS=TRUE&amp;DOC_NAME=FAT:FQL_AUDITING_CLIENT_TEMPLATE.FAT&amp;display_string=Audit&amp;VAR:KEY=TWZWZYHAHE&amp;VAR:QUERY=RkZfRUJJVERBX09QRVIoUVRSLDQvMS8yMDA5LDYvMzAvMjAwOSwsLFVTRCk=&amp;WINDOW=FIRST_POPUP&amp;HEIGH","T=450&amp;WIDTH=450&amp;START_MAXIMIZED=FALSE&amp;VAR:CALENDAR=US&amp;VAR:SYMBOL=SLM&amp;VAR:INDEX=0"}</definedName>
    <definedName name="_183__FDSAUDITLINK__" hidden="1">{"fdsup://directions/FAT Viewer?action=UPDATE&amp;creator=factset&amp;DYN_ARGS=TRUE&amp;DOC_NAME=FAT:FQL_AUDITING_CLIENT_TEMPLATE.FAT&amp;display_string=Audit&amp;VAR:KEY=TWZWZYHAHE&amp;VAR:QUERY=RkZfRUJJVERBX09QRVIoUVRSLDQvMS8yMDA5LDYvMzAvMjAwOSwsLFVTRCk=&amp;WINDOW=FIRST_POPUP&amp;HEIGH","T=450&amp;WIDTH=450&amp;START_MAXIMIZED=FALSE&amp;VAR:CALENDAR=US&amp;VAR:SYMBOL=SLM&amp;VAR:INDEX=0"}</definedName>
    <definedName name="_1830__FDSAUDITLINK__" localSheetId="1" hidden="1">{"fdsup://Directions/FactSet Auditing Viewer?action=AUDIT_VALUE&amp;DB=129&amp;ID1=00936310&amp;VALUEID=01001&amp;SDATE=201001&amp;PERIODTYPE=QTR_STD&amp;window=popup_no_bar&amp;width=385&amp;height=120&amp;START_MAXIMIZED=FALSE&amp;creator=factset&amp;display_string=Audit"}</definedName>
    <definedName name="_1830__FDSAUDITLINK__" hidden="1">{"fdsup://Directions/FactSet Auditing Viewer?action=AUDIT_VALUE&amp;DB=129&amp;ID1=00936310&amp;VALUEID=01001&amp;SDATE=201001&amp;PERIODTYPE=QTR_STD&amp;window=popup_no_bar&amp;width=385&amp;height=120&amp;START_MAXIMIZED=FALSE&amp;creator=factset&amp;display_string=Audit"}</definedName>
    <definedName name="_1831__FDSAUDITLINK__" localSheetId="1" hidden="1">{"fdsup://Directions/FactSet Auditing Viewer?action=AUDIT_VALUE&amp;DB=129&amp;ID1=03760410&amp;VALUEID=01001&amp;SDATE=200903&amp;PERIODTYPE=QTR_STD&amp;window=popup_no_bar&amp;width=385&amp;height=120&amp;START_MAXIMIZED=FALSE&amp;creator=factset&amp;display_string=Audit"}</definedName>
    <definedName name="_1831__FDSAUDITLINK__" hidden="1">{"fdsup://Directions/FactSet Auditing Viewer?action=AUDIT_VALUE&amp;DB=129&amp;ID1=03760410&amp;VALUEID=01001&amp;SDATE=200903&amp;PERIODTYPE=QTR_STD&amp;window=popup_no_bar&amp;width=385&amp;height=120&amp;START_MAXIMIZED=FALSE&amp;creator=factset&amp;display_string=Audit"}</definedName>
    <definedName name="_1832__FDSAUDITLINK__" localSheetId="1" hidden="1">{"fdsup://Directions/FactSet Auditing Viewer?action=AUDIT_VALUE&amp;DB=129&amp;ID1=03760410&amp;VALUEID=01001&amp;SDATE=201003&amp;PERIODTYPE=QTR_STD&amp;window=popup_no_bar&amp;width=385&amp;height=120&amp;START_MAXIMIZED=FALSE&amp;creator=factset&amp;display_string=Audit"}</definedName>
    <definedName name="_1832__FDSAUDITLINK__" hidden="1">{"fdsup://Directions/FactSet Auditing Viewer?action=AUDIT_VALUE&amp;DB=129&amp;ID1=03760410&amp;VALUEID=01001&amp;SDATE=201003&amp;PERIODTYPE=QTR_STD&amp;window=popup_no_bar&amp;width=385&amp;height=120&amp;START_MAXIMIZED=FALSE&amp;creator=factset&amp;display_string=Audit"}</definedName>
    <definedName name="_1833__FDSAUDITLINK__" localSheetId="1" hidden="1">{"fdsup://Directions/FactSet Auditing Viewer?action=AUDIT_VALUE&amp;DB=129&amp;ID1=03209510&amp;VALUEID=01001&amp;SDATE=200902&amp;PERIODTYPE=QTR_STD&amp;window=popup_no_bar&amp;width=385&amp;height=120&amp;START_MAXIMIZED=FALSE&amp;creator=factset&amp;display_string=Audit"}</definedName>
    <definedName name="_1833__FDSAUDITLINK__" hidden="1">{"fdsup://Directions/FactSet Auditing Viewer?action=AUDIT_VALUE&amp;DB=129&amp;ID1=03209510&amp;VALUEID=01001&amp;SDATE=200902&amp;PERIODTYPE=QTR_STD&amp;window=popup_no_bar&amp;width=385&amp;height=120&amp;START_MAXIMIZED=FALSE&amp;creator=factset&amp;display_string=Audit"}</definedName>
    <definedName name="_1834__FDSAUDITLINK__" localSheetId="1" hidden="1">{"fdsup://Directions/FactSet Auditing Viewer?action=AUDIT_VALUE&amp;DB=129&amp;ID1=03209510&amp;VALUEID=01001&amp;SDATE=201002&amp;PERIODTYPE=QTR_STD&amp;window=popup_no_bar&amp;width=385&amp;height=120&amp;START_MAXIMIZED=FALSE&amp;creator=factset&amp;display_string=Audit"}</definedName>
    <definedName name="_1834__FDSAUDITLINK__" hidden="1">{"fdsup://Directions/FactSet Auditing Viewer?action=AUDIT_VALUE&amp;DB=129&amp;ID1=03209510&amp;VALUEID=01001&amp;SDATE=201002&amp;PERIODTYPE=QTR_STD&amp;window=popup_no_bar&amp;width=385&amp;height=120&amp;START_MAXIMIZED=FALSE&amp;creator=factset&amp;display_string=Audit"}</definedName>
    <definedName name="_1835__FDSAUDITLINK__" localSheetId="1" hidden="1">{"fdsup://Directions/FactSet Auditing Viewer?action=AUDIT_VALUE&amp;DB=129&amp;ID1=00915810&amp;VALUEID=01001&amp;SDATE=200903&amp;PERIODTYPE=QTR_STD&amp;window=popup_no_bar&amp;width=385&amp;height=120&amp;START_MAXIMIZED=FALSE&amp;creator=factset&amp;display_string=Audit"}</definedName>
    <definedName name="_1835__FDSAUDITLINK__" hidden="1">{"fdsup://Directions/FactSet Auditing Viewer?action=AUDIT_VALUE&amp;DB=129&amp;ID1=00915810&amp;VALUEID=01001&amp;SDATE=200903&amp;PERIODTYPE=QTR_STD&amp;window=popup_no_bar&amp;width=385&amp;height=120&amp;START_MAXIMIZED=FALSE&amp;creator=factset&amp;display_string=Audit"}</definedName>
    <definedName name="_1836__FDSAUDITLINK__" localSheetId="1" hidden="1">{"fdsup://Directions/FactSet Auditing Viewer?action=AUDIT_VALUE&amp;DB=129&amp;ID1=00915810&amp;VALUEID=01001&amp;SDATE=201003&amp;PERIODTYPE=QTR_STD&amp;window=popup_no_bar&amp;width=385&amp;height=120&amp;START_MAXIMIZED=FALSE&amp;creator=factset&amp;display_string=Audit"}</definedName>
    <definedName name="_1836__FDSAUDITLINK__" hidden="1">{"fdsup://Directions/FactSet Auditing Viewer?action=AUDIT_VALUE&amp;DB=129&amp;ID1=00915810&amp;VALUEID=01001&amp;SDATE=201003&amp;PERIODTYPE=QTR_STD&amp;window=popup_no_bar&amp;width=385&amp;height=120&amp;START_MAXIMIZED=FALSE&amp;creator=factset&amp;display_string=Audit"}</definedName>
    <definedName name="_1837__FDSAUDITLINK__" localSheetId="1" hidden="1">{"fdsup://Directions/FactSet Auditing Viewer?action=AUDIT_VALUE&amp;DB=129&amp;ID1=03251110&amp;VALUEID=01001&amp;SDATE=200902&amp;PERIODTYPE=QTR_STD&amp;window=popup_no_bar&amp;width=385&amp;height=120&amp;START_MAXIMIZED=FALSE&amp;creator=factset&amp;display_string=Audit"}</definedName>
    <definedName name="_1837__FDSAUDITLINK__" hidden="1">{"fdsup://Directions/FactSet Auditing Viewer?action=AUDIT_VALUE&amp;DB=129&amp;ID1=03251110&amp;VALUEID=01001&amp;SDATE=200902&amp;PERIODTYPE=QTR_STD&amp;window=popup_no_bar&amp;width=385&amp;height=120&amp;START_MAXIMIZED=FALSE&amp;creator=factset&amp;display_string=Audit"}</definedName>
    <definedName name="_1838__FDSAUDITLINK__" localSheetId="1" hidden="1">{"fdsup://Directions/FactSet Auditing Viewer?action=AUDIT_VALUE&amp;DB=129&amp;ID1=03251110&amp;VALUEID=01001&amp;SDATE=201002&amp;PERIODTYPE=QTR_STD&amp;window=popup_no_bar&amp;width=385&amp;height=120&amp;START_MAXIMIZED=FALSE&amp;creator=factset&amp;display_string=Audit"}</definedName>
    <definedName name="_1838__FDSAUDITLINK__" hidden="1">{"fdsup://Directions/FactSet Auditing Viewer?action=AUDIT_VALUE&amp;DB=129&amp;ID1=03251110&amp;VALUEID=01001&amp;SDATE=201002&amp;PERIODTYPE=QTR_STD&amp;window=popup_no_bar&amp;width=385&amp;height=120&amp;START_MAXIMIZED=FALSE&amp;creator=factset&amp;display_string=Audit"}</definedName>
    <definedName name="_1839__FDSAUDITLINK__" localSheetId="1" hidden="1">{"fdsup://Directions/FactSet Auditing Viewer?action=AUDIT_VALUE&amp;DB=129&amp;ID1=03741110&amp;VALUEID=01001&amp;SDATE=200902&amp;PERIODTYPE=QTR_STD&amp;window=popup_no_bar&amp;width=385&amp;height=120&amp;START_MAXIMIZED=FALSE&amp;creator=factset&amp;display_string=Audit"}</definedName>
    <definedName name="_1839__FDSAUDITLINK__" hidden="1">{"fdsup://Directions/FactSet Auditing Viewer?action=AUDIT_VALUE&amp;DB=129&amp;ID1=03741110&amp;VALUEID=01001&amp;SDATE=200902&amp;PERIODTYPE=QTR_STD&amp;window=popup_no_bar&amp;width=385&amp;height=120&amp;START_MAXIMIZED=FALSE&amp;creator=factset&amp;display_string=Audit"}</definedName>
    <definedName name="_184__FDSAUDITLINK__" localSheetId="1" hidden="1">{"fdsup://directions/FAT Viewer?action=UPDATE&amp;creator=factset&amp;DYN_ARGS=TRUE&amp;DOC_NAME=FAT:FQL_AUDITING_CLIENT_TEMPLATE.FAT&amp;display_string=Audit&amp;VAR:KEY=BEBELCHIHU&amp;VAR:QUERY=RkZfRUJJVERBX09QRVIoUVRSLDQvMS8yMDEwLDYvMzAvMjAxMCwsLFVTRCk=&amp;WINDOW=FIRST_POPUP&amp;HEIGH","T=450&amp;WIDTH=450&amp;START_MAXIMIZED=FALSE&amp;VAR:CALENDAR=US&amp;VAR:SYMBOL=SLM&amp;VAR:INDEX=0"}</definedName>
    <definedName name="_184__FDSAUDITLINK__" hidden="1">{"fdsup://directions/FAT Viewer?action=UPDATE&amp;creator=factset&amp;DYN_ARGS=TRUE&amp;DOC_NAME=FAT:FQL_AUDITING_CLIENT_TEMPLATE.FAT&amp;display_string=Audit&amp;VAR:KEY=BEBELCHIHU&amp;VAR:QUERY=RkZfRUJJVERBX09QRVIoUVRSLDQvMS8yMDEwLDYvMzAvMjAxMCwsLFVTRCk=&amp;WINDOW=FIRST_POPUP&amp;HEIGH","T=450&amp;WIDTH=450&amp;START_MAXIMIZED=FALSE&amp;VAR:CALENDAR=US&amp;VAR:SYMBOL=SLM&amp;VAR:INDEX=0"}</definedName>
    <definedName name="_1840__FDSAUDITLINK__" localSheetId="1" hidden="1">{"fdsup://Directions/FactSet Auditing Viewer?action=AUDIT_VALUE&amp;DB=129&amp;ID1=03741110&amp;VALUEID=01001&amp;SDATE=201002&amp;PERIODTYPE=QTR_STD&amp;window=popup_no_bar&amp;width=385&amp;height=120&amp;START_MAXIMIZED=FALSE&amp;creator=factset&amp;display_string=Audit"}</definedName>
    <definedName name="_1840__FDSAUDITLINK__" hidden="1">{"fdsup://Directions/FactSet Auditing Viewer?action=AUDIT_VALUE&amp;DB=129&amp;ID1=03741110&amp;VALUEID=01001&amp;SDATE=201002&amp;PERIODTYPE=QTR_STD&amp;window=popup_no_bar&amp;width=385&amp;height=120&amp;START_MAXIMIZED=FALSE&amp;creator=factset&amp;display_string=Audit"}</definedName>
    <definedName name="_1841__FDSAUDITLINK__" localSheetId="1" hidden="1">{"fdsup://Directions/FactSet Auditing Viewer?action=AUDIT_VALUE&amp;DB=129&amp;ID1=03738910&amp;VALUEID=01001&amp;SDATE=200902&amp;PERIODTYPE=QTR_STD&amp;window=popup_no_bar&amp;width=385&amp;height=120&amp;START_MAXIMIZED=FALSE&amp;creator=factset&amp;display_string=Audit"}</definedName>
    <definedName name="_1841__FDSAUDITLINK__" hidden="1">{"fdsup://Directions/FactSet Auditing Viewer?action=AUDIT_VALUE&amp;DB=129&amp;ID1=03738910&amp;VALUEID=01001&amp;SDATE=200902&amp;PERIODTYPE=QTR_STD&amp;window=popup_no_bar&amp;width=385&amp;height=120&amp;START_MAXIMIZED=FALSE&amp;creator=factset&amp;display_string=Audit"}</definedName>
    <definedName name="_1842__FDSAUDITLINK__" localSheetId="1" hidden="1">{"fdsup://Directions/FactSet Auditing Viewer?action=AUDIT_VALUE&amp;DB=129&amp;ID1=03738910&amp;VALUEID=01001&amp;SDATE=201002&amp;PERIODTYPE=QTR_STD&amp;window=popup_no_bar&amp;width=385&amp;height=120&amp;START_MAXIMIZED=FALSE&amp;creator=factset&amp;display_string=Audit"}</definedName>
    <definedName name="_1842__FDSAUDITLINK__" hidden="1">{"fdsup://Directions/FactSet Auditing Viewer?action=AUDIT_VALUE&amp;DB=129&amp;ID1=03738910&amp;VALUEID=01001&amp;SDATE=201002&amp;PERIODTYPE=QTR_STD&amp;window=popup_no_bar&amp;width=385&amp;height=120&amp;START_MAXIMIZED=FALSE&amp;creator=factset&amp;display_string=Audit"}</definedName>
    <definedName name="_1843__FDSAUDITLINK__" localSheetId="1" hidden="1">{"fdsup://Directions/FactSet Auditing Viewer?action=AUDIT_VALUE&amp;DB=129&amp;ID1=00289620&amp;VALUEID=01001&amp;SDATE=201001&amp;PERIODTYPE=QTR_STD&amp;window=popup_no_bar&amp;width=385&amp;height=120&amp;START_MAXIMIZED=FALSE&amp;creator=factset&amp;display_string=Audit"}</definedName>
    <definedName name="_1843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1844__FDSAUDITLINK__" localSheetId="1" hidden="1">{"fdsup://Directions/FactSet Auditing Viewer?action=AUDIT_VALUE&amp;DB=129&amp;ID1=05329W10&amp;VALUEID=01001&amp;SDATE=200902&amp;PERIODTYPE=QTR_STD&amp;window=popup_no_bar&amp;width=385&amp;height=120&amp;START_MAXIMIZED=FALSE&amp;creator=factset&amp;display_string=Audit"}</definedName>
    <definedName name="_1844__FDSAUDITLINK__" hidden="1">{"fdsup://Directions/FactSet Auditing Viewer?action=AUDIT_VALUE&amp;DB=129&amp;ID1=05329W10&amp;VALUEID=01001&amp;SDATE=200902&amp;PERIODTYPE=QTR_STD&amp;window=popup_no_bar&amp;width=385&amp;height=120&amp;START_MAXIMIZED=FALSE&amp;creator=factset&amp;display_string=Audit"}</definedName>
    <definedName name="_1845__FDSAUDITLINK__" localSheetId="1" hidden="1">{"fdsup://Directions/FactSet Auditing Viewer?action=AUDIT_VALUE&amp;DB=129&amp;ID1=05329W10&amp;VALUEID=01001&amp;SDATE=201002&amp;PERIODTYPE=QTR_STD&amp;window=popup_no_bar&amp;width=385&amp;height=120&amp;START_MAXIMIZED=FALSE&amp;creator=factset&amp;display_string=Audit"}</definedName>
    <definedName name="_1845__FDSAUDITLINK__" hidden="1">{"fdsup://Directions/FactSet Auditing Viewer?action=AUDIT_VALUE&amp;DB=129&amp;ID1=05329W10&amp;VALUEID=01001&amp;SDATE=201002&amp;PERIODTYPE=QTR_STD&amp;window=popup_no_bar&amp;width=385&amp;height=120&amp;START_MAXIMIZED=FALSE&amp;creator=factset&amp;display_string=Audit"}</definedName>
    <definedName name="_1846__FDSAUDITLINK__" localSheetId="1" hidden="1">{"fdsup://Directions/FactSet Auditing Viewer?action=AUDIT_VALUE&amp;DB=129&amp;ID1=02313510&amp;VALUEID=01001&amp;SDATE=200902&amp;PERIODTYPE=QTR_STD&amp;window=popup_no_bar&amp;width=385&amp;height=120&amp;START_MAXIMIZED=FALSE&amp;creator=factset&amp;display_string=Audit"}</definedName>
    <definedName name="_1846__FDSAUDITLINK__" hidden="1">{"fdsup://Directions/FactSet Auditing Viewer?action=AUDIT_VALUE&amp;DB=129&amp;ID1=02313510&amp;VALUEID=01001&amp;SDATE=200902&amp;PERIODTYPE=QTR_STD&amp;window=popup_no_bar&amp;width=385&amp;height=120&amp;START_MAXIMIZED=FALSE&amp;creator=factset&amp;display_string=Audit"}</definedName>
    <definedName name="_1847__FDSAUDITLINK__" localSheetId="1" hidden="1">{"fdsup://Directions/FactSet Auditing Viewer?action=AUDIT_VALUE&amp;DB=129&amp;ID1=02313510&amp;VALUEID=01001&amp;SDATE=201002&amp;PERIODTYPE=QTR_STD&amp;window=popup_no_bar&amp;width=385&amp;height=120&amp;START_MAXIMIZED=FALSE&amp;creator=factset&amp;display_string=Audit"}</definedName>
    <definedName name="_1847__FDSAUDITLINK__" hidden="1">{"fdsup://Directions/FactSet Auditing Viewer?action=AUDIT_VALUE&amp;DB=129&amp;ID1=02313510&amp;VALUEID=01001&amp;SDATE=201002&amp;PERIODTYPE=QTR_STD&amp;window=popup_no_bar&amp;width=385&amp;height=120&amp;START_MAXIMIZED=FALSE&amp;creator=factset&amp;display_string=Audit"}</definedName>
    <definedName name="_1848__FDSAUDITLINK__" localSheetId="1" hidden="1">{"fdsup://Directions/FactSet Auditing Viewer?action=AUDIT_VALUE&amp;DB=129&amp;ID1=02991220&amp;VALUEID=01001&amp;SDATE=200902&amp;PERIODTYPE=QTR_STD&amp;window=popup_no_bar&amp;width=385&amp;height=120&amp;START_MAXIMIZED=FALSE&amp;creator=factset&amp;display_string=Audit"}</definedName>
    <definedName name="_1848__FDSAUDITLINK__" hidden="1">{"fdsup://Directions/FactSet Auditing Viewer?action=AUDIT_VALUE&amp;DB=129&amp;ID1=02991220&amp;VALUEID=01001&amp;SDATE=200902&amp;PERIODTYPE=QTR_STD&amp;window=popup_no_bar&amp;width=385&amp;height=120&amp;START_MAXIMIZED=FALSE&amp;creator=factset&amp;display_string=Audit"}</definedName>
    <definedName name="_1849__FDSAUDITLINK__" localSheetId="1" hidden="1">{"fdsup://Directions/FactSet Auditing Viewer?action=AUDIT_VALUE&amp;DB=129&amp;ID1=02991220&amp;VALUEID=01001&amp;SDATE=201002&amp;PERIODTYPE=QTR_STD&amp;window=popup_no_bar&amp;width=385&amp;height=120&amp;START_MAXIMIZED=FALSE&amp;creator=factset&amp;display_string=Audit"}</definedName>
    <definedName name="_1849__FDSAUDITLINK__" hidden="1">{"fdsup://Directions/FactSet Auditing Viewer?action=AUDIT_VALUE&amp;DB=129&amp;ID1=02991220&amp;VALUEID=01001&amp;SDATE=201002&amp;PERIODTYPE=QTR_STD&amp;window=popup_no_bar&amp;width=385&amp;height=120&amp;START_MAXIMIZED=FALSE&amp;creator=factset&amp;display_string=Audit"}</definedName>
    <definedName name="_185__FDSAUDITLINK__" localSheetId="1" hidden="1">{"fdsup://directions/FAT Viewer?action=UPDATE&amp;creator=factset&amp;DYN_ARGS=TRUE&amp;DOC_NAME=FAT:FQL_AUDITING_CLIENT_TEMPLATE.FAT&amp;display_string=Audit&amp;VAR:KEY=PERGZWPWVQ&amp;VAR:QUERY=RkZfRUJJVERBX09QRVIoUVRSLDQvMS8yMDA5LDYvMzAvMjAwOSwsLFVTRCk=&amp;WINDOW=FIRST_POPUP&amp;HEIGH","T=450&amp;WIDTH=450&amp;START_MAXIMIZED=FALSE&amp;VAR:CALENDAR=US&amp;VAR:SYMBOL=SLE&amp;VAR:INDEX=0"}</definedName>
    <definedName name="_185__FDSAUDITLINK__" hidden="1">{"fdsup://directions/FAT Viewer?action=UPDATE&amp;creator=factset&amp;DYN_ARGS=TRUE&amp;DOC_NAME=FAT:FQL_AUDITING_CLIENT_TEMPLATE.FAT&amp;display_string=Audit&amp;VAR:KEY=PERGZWPWVQ&amp;VAR:QUERY=RkZfRUJJVERBX09QRVIoUVRSLDQvMS8yMDA5LDYvMzAvMjAwOSwsLFVTRCk=&amp;WINDOW=FIRST_POPUP&amp;HEIGH","T=450&amp;WIDTH=450&amp;START_MAXIMIZED=FALSE&amp;VAR:CALENDAR=US&amp;VAR:SYMBOL=SLE&amp;VAR:INDEX=0"}</definedName>
    <definedName name="_1850__FDSAUDITLINK__" localSheetId="1" hidden="1">{"fdsup://Directions/FactSet Auditing Viewer?action=AUDIT_VALUE&amp;DB=129&amp;ID1=03076C10&amp;VALUEID=01001&amp;SDATE=200902&amp;PERIODTYPE=QTR_STD&amp;window=popup_no_bar&amp;width=385&amp;height=120&amp;START_MAXIMIZED=FALSE&amp;creator=factset&amp;display_string=Audit"}</definedName>
    <definedName name="_1850__FDSAUDITLINK__" hidden="1">{"fdsup://Directions/FactSet Auditing Viewer?action=AUDIT_VALUE&amp;DB=129&amp;ID1=03076C10&amp;VALUEID=01001&amp;SDATE=200902&amp;PERIODTYPE=QTR_STD&amp;window=popup_no_bar&amp;width=385&amp;height=120&amp;START_MAXIMIZED=FALSE&amp;creator=factset&amp;display_string=Audit"}</definedName>
    <definedName name="_1851__FDSAUDITLINK__" localSheetId="1" hidden="1">{"fdsup://Directions/FactSet Auditing Viewer?action=AUDIT_VALUE&amp;DB=129&amp;ID1=03076C10&amp;VALUEID=01001&amp;SDATE=201002&amp;PERIODTYPE=QTR_STD&amp;window=popup_no_bar&amp;width=385&amp;height=120&amp;START_MAXIMIZED=FALSE&amp;creator=factset&amp;display_string=Audit"}</definedName>
    <definedName name="_1851__FDSAUDITLINK__" hidden="1">{"fdsup://Directions/FactSet Auditing Viewer?action=AUDIT_VALUE&amp;DB=129&amp;ID1=03076C10&amp;VALUEID=01001&amp;SDATE=201002&amp;PERIODTYPE=QTR_STD&amp;window=popup_no_bar&amp;width=385&amp;height=120&amp;START_MAXIMIZED=FALSE&amp;creator=factset&amp;display_string=Audit"}</definedName>
    <definedName name="_1852__FDSAUDITLINK__" localSheetId="1" hidden="1">{"fdsup://Directions/FactSet Auditing Viewer?action=AUDIT_VALUE&amp;DB=129&amp;ID1=03116210&amp;VALUEID=01001&amp;SDATE=200902&amp;PERIODTYPE=QTR_STD&amp;window=popup_no_bar&amp;width=385&amp;height=120&amp;START_MAXIMIZED=FALSE&amp;creator=factset&amp;display_string=Audit"}</definedName>
    <definedName name="_1852__FDSAUDITLINK__" hidden="1">{"fdsup://Directions/FactSet Auditing Viewer?action=AUDIT_VALUE&amp;DB=129&amp;ID1=03116210&amp;VALUEID=01001&amp;SDATE=200902&amp;PERIODTYPE=QTR_STD&amp;window=popup_no_bar&amp;width=385&amp;height=120&amp;START_MAXIMIZED=FALSE&amp;creator=factset&amp;display_string=Audit"}</definedName>
    <definedName name="_1853__FDSAUDITLINK__" localSheetId="1" hidden="1">{"fdsup://Directions/FactSet Auditing Viewer?action=AUDIT_VALUE&amp;DB=129&amp;ID1=03116210&amp;VALUEID=01001&amp;SDATE=201002&amp;PERIODTYPE=QTR_STD&amp;window=popup_no_bar&amp;width=385&amp;height=120&amp;START_MAXIMIZED=FALSE&amp;creator=factset&amp;display_string=Audit"}</definedName>
    <definedName name="_1853__FDSAUDITLINK__" hidden="1">{"fdsup://Directions/FactSet Auditing Viewer?action=AUDIT_VALUE&amp;DB=129&amp;ID1=03116210&amp;VALUEID=01001&amp;SDATE=201002&amp;PERIODTYPE=QTR_STD&amp;window=popup_no_bar&amp;width=385&amp;height=120&amp;START_MAXIMIZED=FALSE&amp;creator=factset&amp;display_string=Audit"}</definedName>
    <definedName name="_1854__FDSAUDITLINK__" localSheetId="1" hidden="1">{"fdsup://Directions/FactSet Auditing Viewer?action=AUDIT_VALUE&amp;DB=129&amp;ID1=00790310&amp;VALUEID=01001&amp;SDATE=200902&amp;PERIODTYPE=QTR_STD&amp;window=popup_no_bar&amp;width=385&amp;height=120&amp;START_MAXIMIZED=FALSE&amp;creator=factset&amp;display_string=Audit"}</definedName>
    <definedName name="_1854__FDSAUDITLINK__" hidden="1">{"fdsup://Directions/FactSet Auditing Viewer?action=AUDIT_VALUE&amp;DB=129&amp;ID1=00790310&amp;VALUEID=01001&amp;SDATE=200902&amp;PERIODTYPE=QTR_STD&amp;window=popup_no_bar&amp;width=385&amp;height=120&amp;START_MAXIMIZED=FALSE&amp;creator=factset&amp;display_string=Audit"}</definedName>
    <definedName name="_1855__FDSAUDITLINK__" localSheetId="1" hidden="1">{"fdsup://Directions/FactSet Auditing Viewer?action=AUDIT_VALUE&amp;DB=129&amp;ID1=00790310&amp;VALUEID=01001&amp;SDATE=201002&amp;PERIODTYPE=QTR_STD&amp;window=popup_no_bar&amp;width=385&amp;height=120&amp;START_MAXIMIZED=FALSE&amp;creator=factset&amp;display_string=Audit"}</definedName>
    <definedName name="_1855__FDSAUDITLINK__" hidden="1">{"fdsup://Directions/FactSet Auditing Viewer?action=AUDIT_VALUE&amp;DB=129&amp;ID1=00790310&amp;VALUEID=01001&amp;SDATE=201002&amp;PERIODTYPE=QTR_STD&amp;window=popup_no_bar&amp;width=385&amp;height=120&amp;START_MAXIMIZED=FALSE&amp;creator=factset&amp;display_string=Audit"}</definedName>
    <definedName name="_1856__FDSAUDITLINK__" localSheetId="1" hidden="1">{"fdsup://Directions/FactSet Auditing Viewer?action=AUDIT_VALUE&amp;DB=129&amp;ID1=03822210&amp;VALUEID=01001&amp;SDATE=200902&amp;PERIODTYPE=QTR_STD&amp;window=popup_no_bar&amp;width=385&amp;height=120&amp;START_MAXIMIZED=FALSE&amp;creator=factset&amp;display_string=Audit"}</definedName>
    <definedName name="_1856__FDSAUDITLINK__" hidden="1">{"fdsup://Directions/FactSet Auditing Viewer?action=AUDIT_VALUE&amp;DB=129&amp;ID1=03822210&amp;VALUEID=01001&amp;SDATE=200902&amp;PERIODTYPE=QTR_STD&amp;window=popup_no_bar&amp;width=385&amp;height=120&amp;START_MAXIMIZED=FALSE&amp;creator=factset&amp;display_string=Audit"}</definedName>
    <definedName name="_1857__FDSAUDITLINK__" localSheetId="1" hidden="1">{"fdsup://Directions/FactSet Auditing Viewer?action=AUDIT_VALUE&amp;DB=129&amp;ID1=03822210&amp;VALUEID=01001&amp;SDATE=201002&amp;PERIODTYPE=QTR_STD&amp;window=popup_no_bar&amp;width=385&amp;height=120&amp;START_MAXIMIZED=FALSE&amp;creator=factset&amp;display_string=Audit"}</definedName>
    <definedName name="_1857__FDSAUDITLINK__" hidden="1">{"fdsup://Directions/FactSet Auditing Viewer?action=AUDIT_VALUE&amp;DB=129&amp;ID1=03822210&amp;VALUEID=01001&amp;SDATE=201002&amp;PERIODTYPE=QTR_STD&amp;window=popup_no_bar&amp;width=385&amp;height=120&amp;START_MAXIMIZED=FALSE&amp;creator=factset&amp;display_string=Audit"}</definedName>
    <definedName name="_1858__FDSAUDITLINK__" localSheetId="1" hidden="1">{"fdsup://Directions/FactSet Auditing Viewer?action=AUDIT_VALUE&amp;DB=129&amp;ID1=02144110&amp;VALUEID=01001&amp;SDATE=200902&amp;PERIODTYPE=QTR_STD&amp;window=popup_no_bar&amp;width=385&amp;height=120&amp;START_MAXIMIZED=FALSE&amp;creator=factset&amp;display_string=Audit"}</definedName>
    <definedName name="_1858__FDSAUDITLINK__" hidden="1">{"fdsup://Directions/FactSet Auditing Viewer?action=AUDIT_VALUE&amp;DB=129&amp;ID1=02144110&amp;VALUEID=01001&amp;SDATE=200902&amp;PERIODTYPE=QTR_STD&amp;window=popup_no_bar&amp;width=385&amp;height=120&amp;START_MAXIMIZED=FALSE&amp;creator=factset&amp;display_string=Audit"}</definedName>
    <definedName name="_1859__FDSAUDITLINK__" localSheetId="1" hidden="1">{"fdsup://Directions/FactSet Auditing Viewer?action=AUDIT_VALUE&amp;DB=129&amp;ID1=02144110&amp;VALUEID=01001&amp;SDATE=201002&amp;PERIODTYPE=QTR_STD&amp;window=popup_no_bar&amp;width=385&amp;height=120&amp;START_MAXIMIZED=FALSE&amp;creator=factset&amp;display_string=Audit"}</definedName>
    <definedName name="_1859__FDSAUDITLINK__" hidden="1">{"fdsup://Directions/FactSet Auditing Viewer?action=AUDIT_VALUE&amp;DB=129&amp;ID1=02144110&amp;VALUEID=01001&amp;SDATE=201002&amp;PERIODTYPE=QTR_STD&amp;window=popup_no_bar&amp;width=385&amp;height=120&amp;START_MAXIMIZED=FALSE&amp;creator=factset&amp;display_string=Audit"}</definedName>
    <definedName name="_186__FDSAUDITLINK__" localSheetId="1" hidden="1">{"fdsup://directions/FAT Viewer?action=UPDATE&amp;creator=factset&amp;DYN_ARGS=TRUE&amp;DOC_NAME=FAT:FQL_AUDITING_CLIENT_TEMPLATE.FAT&amp;display_string=Audit&amp;VAR:KEY=TQJQRSXSHA&amp;VAR:QUERY=RkZfRUJJVERBX09QRVIoUVRSLDQvMS8yMDEwLDYvMzAvMjAxMCwsLFVTRCk=&amp;WINDOW=FIRST_POPUP&amp;HEIGH","T=450&amp;WIDTH=450&amp;START_MAXIMIZED=FALSE&amp;VAR:CALENDAR=US&amp;VAR:SYMBOL=SLE&amp;VAR:INDEX=0"}</definedName>
    <definedName name="_186__FDSAUDITLINK__" hidden="1">{"fdsup://directions/FAT Viewer?action=UPDATE&amp;creator=factset&amp;DYN_ARGS=TRUE&amp;DOC_NAME=FAT:FQL_AUDITING_CLIENT_TEMPLATE.FAT&amp;display_string=Audit&amp;VAR:KEY=TQJQRSXSHA&amp;VAR:QUERY=RkZfRUJJVERBX09QRVIoUVRSLDQvMS8yMDEwLDYvMzAvMjAxMCwsLFVTRCk=&amp;WINDOW=FIRST_POPUP&amp;HEIGH","T=450&amp;WIDTH=450&amp;START_MAXIMIZED=FALSE&amp;VAR:CALENDAR=US&amp;VAR:SYMBOL=SLE&amp;VAR:INDEX=0"}</definedName>
    <definedName name="_1860__FDSAUDITLINK__" localSheetId="1" hidden="1">{"fdsup://Directions/FactSet Auditing Viewer?action=AUDIT_VALUE&amp;DB=129&amp;ID1=02000210&amp;VALUEID=01001&amp;SDATE=200902&amp;PERIODTYPE=QTR_STD&amp;window=popup_no_bar&amp;width=385&amp;height=120&amp;START_MAXIMIZED=FALSE&amp;creator=factset&amp;display_string=Audit"}</definedName>
    <definedName name="_1860__FDSAUDITLINK__" hidden="1">{"fdsup://Directions/FactSet Auditing Viewer?action=AUDIT_VALUE&amp;DB=129&amp;ID1=02000210&amp;VALUEID=01001&amp;SDATE=200902&amp;PERIODTYPE=QTR_STD&amp;window=popup_no_bar&amp;width=385&amp;height=120&amp;START_MAXIMIZED=FALSE&amp;creator=factset&amp;display_string=Audit"}</definedName>
    <definedName name="_1861__FDSAUDITLINK__" localSheetId="1" hidden="1">{"fdsup://Directions/FactSet Auditing Viewer?action=AUDIT_VALUE&amp;DB=129&amp;ID1=02000210&amp;VALUEID=01001&amp;SDATE=201002&amp;PERIODTYPE=QTR_STD&amp;window=popup_no_bar&amp;width=385&amp;height=120&amp;START_MAXIMIZED=FALSE&amp;creator=factset&amp;display_string=Audit"}</definedName>
    <definedName name="_1861__FDSAUDITLINK__" hidden="1">{"fdsup://Directions/FactSet Auditing Viewer?action=AUDIT_VALUE&amp;DB=129&amp;ID1=02000210&amp;VALUEID=01001&amp;SDATE=201002&amp;PERIODTYPE=QTR_STD&amp;window=popup_no_bar&amp;width=385&amp;height=120&amp;START_MAXIMIZED=FALSE&amp;creator=factset&amp;display_string=Audit"}</definedName>
    <definedName name="_1862__FDSAUDITLINK__" localSheetId="1" hidden="1">{"fdsup://Directions/FactSet Auditing Viewer?action=AUDIT_VALUE&amp;DB=129&amp;ID1=00154710&amp;VALUEID=01001&amp;SDATE=200902&amp;PERIODTYPE=QTR_STD&amp;window=popup_no_bar&amp;width=385&amp;height=120&amp;START_MAXIMIZED=FALSE&amp;creator=factset&amp;display_string=Audit"}</definedName>
    <definedName name="_1862__FDSAUDITLINK__" hidden="1">{"fdsup://Directions/FactSet Auditing Viewer?action=AUDIT_VALUE&amp;DB=129&amp;ID1=00154710&amp;VALUEID=01001&amp;SDATE=200902&amp;PERIODTYPE=QTR_STD&amp;window=popup_no_bar&amp;width=385&amp;height=120&amp;START_MAXIMIZED=FALSE&amp;creator=factset&amp;display_string=Audit"}</definedName>
    <definedName name="_1863__FDSAUDITLINK__" localSheetId="1" hidden="1">{"fdsup://Directions/FactSet Auditing Viewer?action=AUDIT_VALUE&amp;DB=129&amp;ID1=00154710&amp;VALUEID=01001&amp;SDATE=201002&amp;PERIODTYPE=QTR_STD&amp;window=popup_no_bar&amp;width=385&amp;height=120&amp;START_MAXIMIZED=FALSE&amp;creator=factset&amp;display_string=Audit"}</definedName>
    <definedName name="_1863__FDSAUDITLINK__" hidden="1">{"fdsup://Directions/FactSet Auditing Viewer?action=AUDIT_VALUE&amp;DB=129&amp;ID1=00154710&amp;VALUEID=01001&amp;SDATE=201002&amp;PERIODTYPE=QTR_STD&amp;window=popup_no_bar&amp;width=385&amp;height=120&amp;START_MAXIMIZED=FALSE&amp;creator=factset&amp;display_string=Audit"}</definedName>
    <definedName name="_1864__FDSAUDITLINK__" localSheetId="1" hidden="1">{"fdsup://Directions/FactSet Auditing Viewer?action=AUDIT_VALUE&amp;DB=129&amp;ID1=00971T10&amp;VALUEID=01001&amp;SDATE=200902&amp;PERIODTYPE=QTR_STD&amp;window=popup_no_bar&amp;width=385&amp;height=120&amp;START_MAXIMIZED=FALSE&amp;creator=factset&amp;display_string=Audit"}</definedName>
    <definedName name="_1864__FDSAUDITLINK__" hidden="1">{"fdsup://Directions/FactSet Auditing Viewer?action=AUDIT_VALUE&amp;DB=129&amp;ID1=00971T10&amp;VALUEID=01001&amp;SDATE=200902&amp;PERIODTYPE=QTR_STD&amp;window=popup_no_bar&amp;width=385&amp;height=120&amp;START_MAXIMIZED=FALSE&amp;creator=factset&amp;display_string=Audit"}</definedName>
    <definedName name="_1865__FDSAUDITLINK__" localSheetId="1" hidden="1">{"fdsup://Directions/FactSet Auditing Viewer?action=AUDIT_VALUE&amp;DB=129&amp;ID1=00971T10&amp;VALUEID=01001&amp;SDATE=201002&amp;PERIODTYPE=QTR_STD&amp;window=popup_no_bar&amp;width=385&amp;height=120&amp;START_MAXIMIZED=FALSE&amp;creator=factset&amp;display_string=Audit"}</definedName>
    <definedName name="_1865__FDSAUDITLINK__" hidden="1">{"fdsup://Directions/FactSet Auditing Viewer?action=AUDIT_VALUE&amp;DB=129&amp;ID1=00971T10&amp;VALUEID=01001&amp;SDATE=201002&amp;PERIODTYPE=QTR_STD&amp;window=popup_no_bar&amp;width=385&amp;height=120&amp;START_MAXIMIZED=FALSE&amp;creator=factset&amp;display_string=Audit"}</definedName>
    <definedName name="_1866__FDSAUDITLINK__" localSheetId="1" hidden="1">{"fdsup://Directions/FactSet Auditing Viewer?action=AUDIT_VALUE&amp;DB=129&amp;ID1=04621X10&amp;VALUEID=01001&amp;SDATE=200902&amp;PERIODTYPE=QTR_STD&amp;window=popup_no_bar&amp;width=385&amp;height=120&amp;START_MAXIMIZED=FALSE&amp;creator=factset&amp;display_string=Audit"}</definedName>
    <definedName name="_1866__FDSAUDITLINK__" hidden="1">{"fdsup://Directions/FactSet Auditing Viewer?action=AUDIT_VALUE&amp;DB=129&amp;ID1=04621X10&amp;VALUEID=01001&amp;SDATE=200902&amp;PERIODTYPE=QTR_STD&amp;window=popup_no_bar&amp;width=385&amp;height=120&amp;START_MAXIMIZED=FALSE&amp;creator=factset&amp;display_string=Audit"}</definedName>
    <definedName name="_1867__FDSAUDITLINK__" localSheetId="1" hidden="1">{"fdsup://Directions/FactSet Auditing Viewer?action=AUDIT_VALUE&amp;DB=129&amp;ID1=04621X10&amp;VALUEID=01001&amp;SDATE=201002&amp;PERIODTYPE=QTR_STD&amp;window=popup_no_bar&amp;width=385&amp;height=120&amp;START_MAXIMIZED=FALSE&amp;creator=factset&amp;display_string=Audit"}</definedName>
    <definedName name="_1867__FDSAUDITLINK__" hidden="1">{"fdsup://Directions/FactSet Auditing Viewer?action=AUDIT_VALUE&amp;DB=129&amp;ID1=04621X10&amp;VALUEID=01001&amp;SDATE=201002&amp;PERIODTYPE=QTR_STD&amp;window=popup_no_bar&amp;width=385&amp;height=120&amp;START_MAXIMIZED=FALSE&amp;creator=factset&amp;display_string=Audit"}</definedName>
    <definedName name="_1868__FDSAUDITLINK__" localSheetId="1" hidden="1">{"fdsup://Directions/FactSet Auditing Viewer?action=AUDIT_VALUE&amp;DB=129&amp;ID1=03748R10&amp;VALUEID=01001&amp;SDATE=200902&amp;PERIODTYPE=QTR_STD&amp;window=popup_no_bar&amp;width=385&amp;height=120&amp;START_MAXIMIZED=FALSE&amp;creator=factset&amp;display_string=Audit"}</definedName>
    <definedName name="_1868__FDSAUDITLINK__" hidden="1">{"fdsup://Directions/FactSet Auditing Viewer?action=AUDIT_VALUE&amp;DB=129&amp;ID1=03748R10&amp;VALUEID=01001&amp;SDATE=200902&amp;PERIODTYPE=QTR_STD&amp;window=popup_no_bar&amp;width=385&amp;height=120&amp;START_MAXIMIZED=FALSE&amp;creator=factset&amp;display_string=Audit"}</definedName>
    <definedName name="_1869__FDSAUDITLINK__" localSheetId="1" hidden="1">{"fdsup://Directions/FactSet Auditing Viewer?action=AUDIT_VALUE&amp;DB=129&amp;ID1=03748R10&amp;VALUEID=01001&amp;SDATE=201002&amp;PERIODTYPE=QTR_STD&amp;window=popup_no_bar&amp;width=385&amp;height=120&amp;START_MAXIMIZED=FALSE&amp;creator=factset&amp;display_string=Audit"}</definedName>
    <definedName name="_1869__FDSAUDITLINK__" hidden="1">{"fdsup://Directions/FactSet Auditing Viewer?action=AUDIT_VALUE&amp;DB=129&amp;ID1=03748R10&amp;VALUEID=01001&amp;SDATE=201002&amp;PERIODTYPE=QTR_STD&amp;window=popup_no_bar&amp;width=385&amp;height=120&amp;START_MAXIMIZED=FALSE&amp;creator=factset&amp;display_string=Audit"}</definedName>
    <definedName name="_187__FDSAUDITLINK__" localSheetId="1" hidden="1">{"fdsup://directions/FAT Viewer?action=UPDATE&amp;creator=factset&amp;DYN_ARGS=TRUE&amp;DOC_NAME=FAT:FQL_AUDITING_CLIENT_TEMPLATE.FAT&amp;display_string=Audit&amp;VAR:KEY=NIBYJQBCTS&amp;VAR:QUERY=RkZfRUJJVERBX09QRVIoUVRSLDQvMS8yMDA5LDYvMzAvMjAwOSwsLFVTRCk=&amp;WINDOW=FIRST_POPUP&amp;HEIGH","T=450&amp;WIDTH=450&amp;START_MAXIMIZED=FALSE&amp;VAR:CALENDAR=US&amp;VAR:SYMBOL=SLB&amp;VAR:INDEX=0"}</definedName>
    <definedName name="_187__FDSAUDITLINK__" hidden="1">{"fdsup://directions/FAT Viewer?action=UPDATE&amp;creator=factset&amp;DYN_ARGS=TRUE&amp;DOC_NAME=FAT:FQL_AUDITING_CLIENT_TEMPLATE.FAT&amp;display_string=Audit&amp;VAR:KEY=NIBYJQBCTS&amp;VAR:QUERY=RkZfRUJJVERBX09QRVIoUVRSLDQvMS8yMDA5LDYvMzAvMjAwOSwsLFVTRCk=&amp;WINDOW=FIRST_POPUP&amp;HEIGH","T=450&amp;WIDTH=450&amp;START_MAXIMIZED=FALSE&amp;VAR:CALENDAR=US&amp;VAR:SYMBOL=SLB&amp;VAR:INDEX=0"}</definedName>
    <definedName name="_1870__FDSAUDITLINK__" localSheetId="1" hidden="1">{"fdsup://Directions/FactSet Auditing Viewer?action=AUDIT_VALUE&amp;DB=129&amp;ID1=02687478&amp;VALUEID=01001&amp;SDATE=200902&amp;PERIODTYPE=QTR_STD&amp;window=popup_no_bar&amp;width=385&amp;height=120&amp;START_MAXIMIZED=FALSE&amp;creator=factset&amp;display_string=Audit"}</definedName>
    <definedName name="_1870__FDSAUDITLINK__" hidden="1">{"fdsup://Directions/FactSet Auditing Viewer?action=AUDIT_VALUE&amp;DB=129&amp;ID1=02687478&amp;VALUEID=01001&amp;SDATE=200902&amp;PERIODTYPE=QTR_STD&amp;window=popup_no_bar&amp;width=385&amp;height=120&amp;START_MAXIMIZED=FALSE&amp;creator=factset&amp;display_string=Audit"}</definedName>
    <definedName name="_1871__FDSAUDITLINK__" localSheetId="1" hidden="1">{"fdsup://Directions/FactSet Auditing Viewer?action=AUDIT_VALUE&amp;DB=129&amp;ID1=02687478&amp;VALUEID=01001&amp;SDATE=201002&amp;PERIODTYPE=QTR_STD&amp;window=popup_no_bar&amp;width=385&amp;height=120&amp;START_MAXIMIZED=FALSE&amp;creator=factset&amp;display_string=Audit"}</definedName>
    <definedName name="_1871__FDSAUDITLINK__" hidden="1">{"fdsup://Directions/FactSet Auditing Viewer?action=AUDIT_VALUE&amp;DB=129&amp;ID1=02687478&amp;VALUEID=01001&amp;SDATE=201002&amp;PERIODTYPE=QTR_STD&amp;window=popup_no_bar&amp;width=385&amp;height=120&amp;START_MAXIMIZED=FALSE&amp;creator=factset&amp;display_string=Audit"}</definedName>
    <definedName name="_1872__FDSAUDITLINK__" localSheetId="1" hidden="1">{"fdsup://Directions/FactSet Auditing Viewer?action=AUDIT_VALUE&amp;DB=129&amp;ID1=01849010&amp;VALUEID=01001&amp;SDATE=200902&amp;PERIODTYPE=QTR_STD&amp;window=popup_no_bar&amp;width=385&amp;height=120&amp;START_MAXIMIZED=FALSE&amp;creator=factset&amp;display_string=Audit"}</definedName>
    <definedName name="_1872__FDSAUDITLINK__" hidden="1">{"fdsup://Directions/FactSet Auditing Viewer?action=AUDIT_VALUE&amp;DB=129&amp;ID1=01849010&amp;VALUEID=01001&amp;SDATE=200902&amp;PERIODTYPE=QTR_STD&amp;window=popup_no_bar&amp;width=385&amp;height=120&amp;START_MAXIMIZED=FALSE&amp;creator=factset&amp;display_string=Audit"}</definedName>
    <definedName name="_1873__FDSAUDITLINK__" localSheetId="1" hidden="1">{"fdsup://Directions/FactSet Auditing Viewer?action=AUDIT_VALUE&amp;DB=129&amp;ID1=01849010&amp;VALUEID=01001&amp;SDATE=201002&amp;PERIODTYPE=QTR_STD&amp;window=popup_no_bar&amp;width=385&amp;height=120&amp;START_MAXIMIZED=FALSE&amp;creator=factset&amp;display_string=Audit"}</definedName>
    <definedName name="_1873__FDSAUDITLINK__" hidden="1">{"fdsup://Directions/FactSet Auditing Viewer?action=AUDIT_VALUE&amp;DB=129&amp;ID1=01849010&amp;VALUEID=01001&amp;SDATE=201002&amp;PERIODTYPE=QTR_STD&amp;window=popup_no_bar&amp;width=385&amp;height=120&amp;START_MAXIMIZED=FALSE&amp;creator=factset&amp;display_string=Audit"}</definedName>
    <definedName name="_1874__FDSAUDITLINK__" localSheetId="1" hidden="1">{"fdsup://Directions/FactSet Auditing Viewer?action=AUDIT_VALUE&amp;DB=129&amp;ID1=00105510&amp;VALUEID=01001&amp;SDATE=200902&amp;PERIODTYPE=QTR_STD&amp;window=popup_no_bar&amp;width=385&amp;height=120&amp;START_MAXIMIZED=FALSE&amp;creator=factset&amp;display_string=Audit"}</definedName>
    <definedName name="_1874__FDSAUDITLINK__" hidden="1">{"fdsup://Directions/FactSet Auditing Viewer?action=AUDIT_VALUE&amp;DB=129&amp;ID1=00105510&amp;VALUEID=01001&amp;SDATE=200902&amp;PERIODTYPE=QTR_STD&amp;window=popup_no_bar&amp;width=385&amp;height=120&amp;START_MAXIMIZED=FALSE&amp;creator=factset&amp;display_string=Audit"}</definedName>
    <definedName name="_1875__FDSAUDITLINK__" localSheetId="1" hidden="1">{"fdsup://Directions/FactSet Auditing Viewer?action=AUDIT_VALUE&amp;DB=129&amp;ID1=00105510&amp;VALUEID=01001&amp;SDATE=201002&amp;PERIODTYPE=QTR_STD&amp;window=popup_no_bar&amp;width=385&amp;height=120&amp;START_MAXIMIZED=FALSE&amp;creator=factset&amp;display_string=Audit"}</definedName>
    <definedName name="_1875__FDSAUDITLINK__" hidden="1">{"fdsup://Directions/FactSet Auditing Viewer?action=AUDIT_VALUE&amp;DB=129&amp;ID1=00105510&amp;VALUEID=01001&amp;SDATE=201002&amp;PERIODTYPE=QTR_STD&amp;window=popup_no_bar&amp;width=385&amp;height=120&amp;START_MAXIMIZED=FALSE&amp;creator=factset&amp;display_string=Audit"}</definedName>
    <definedName name="_1876__FDSAUDITLINK__" localSheetId="1" hidden="1">{"fdsup://Directions/FactSet Auditing Viewer?action=AUDIT_VALUE&amp;DB=129&amp;ID1=00817Y10&amp;VALUEID=01001&amp;SDATE=201002&amp;PERIODTYPE=QTR_STD&amp;window=popup_no_bar&amp;width=385&amp;height=120&amp;START_MAXIMIZED=FALSE&amp;creator=factset&amp;display_string=Audit"}</definedName>
    <definedName name="_1876__FDSAUDITLINK__" hidden="1">{"fdsup://Directions/FactSet Auditing Viewer?action=AUDIT_VALUE&amp;DB=129&amp;ID1=00817Y10&amp;VALUEID=01001&amp;SDATE=201002&amp;PERIODTYPE=QTR_STD&amp;window=popup_no_bar&amp;width=385&amp;height=120&amp;START_MAXIMIZED=FALSE&amp;creator=factset&amp;display_string=Audit"}</definedName>
    <definedName name="_1877__FDSAUDITLINK__" localSheetId="1" hidden="1">{"fdsup://Directions/FactSet Auditing Viewer?action=AUDIT_VALUE&amp;DB=129&amp;ID1=00130H10&amp;VALUEID=01001&amp;SDATE=200902&amp;PERIODTYPE=QTR_STD&amp;window=popup_no_bar&amp;width=385&amp;height=120&amp;START_MAXIMIZED=FALSE&amp;creator=factset&amp;display_string=Audit"}</definedName>
    <definedName name="_1877__FDSAUDITLINK__" hidden="1">{"fdsup://Directions/FactSet Auditing Viewer?action=AUDIT_VALUE&amp;DB=129&amp;ID1=00130H10&amp;VALUEID=01001&amp;SDATE=200902&amp;PERIODTYPE=QTR_STD&amp;window=popup_no_bar&amp;width=385&amp;height=120&amp;START_MAXIMIZED=FALSE&amp;creator=factset&amp;display_string=Audit"}</definedName>
    <definedName name="_1878__FDSAUDITLINK__" localSheetId="1" hidden="1">{"fdsup://Directions/FactSet Auditing Viewer?action=AUDIT_VALUE&amp;DB=129&amp;ID1=00130H10&amp;VALUEID=01001&amp;SDATE=201002&amp;PERIODTYPE=QTR_STD&amp;window=popup_no_bar&amp;width=385&amp;height=120&amp;START_MAXIMIZED=FALSE&amp;creator=factset&amp;display_string=Audit"}</definedName>
    <definedName name="_1878__FDSAUDITLINK__" hidden="1">{"fdsup://Directions/FactSet Auditing Viewer?action=AUDIT_VALUE&amp;DB=129&amp;ID1=00130H10&amp;VALUEID=01001&amp;SDATE=201002&amp;PERIODTYPE=QTR_STD&amp;window=popup_no_bar&amp;width=385&amp;height=120&amp;START_MAXIMIZED=FALSE&amp;creator=factset&amp;display_string=Audit"}</definedName>
    <definedName name="_1879__FDSAUDITLINK__" localSheetId="1" hidden="1">{"fdsup://Directions/FactSet Auditing Viewer?action=AUDIT_VALUE&amp;DB=129&amp;ID1=02553710&amp;VALUEID=01001&amp;SDATE=200902&amp;PERIODTYPE=QTR_STD&amp;window=popup_no_bar&amp;width=385&amp;height=120&amp;START_MAXIMIZED=FALSE&amp;creator=factset&amp;display_string=Audit"}</definedName>
    <definedName name="_1879__FDSAUDITLINK__" hidden="1">{"fdsup://Directions/FactSet Auditing Viewer?action=AUDIT_VALUE&amp;DB=129&amp;ID1=02553710&amp;VALUEID=01001&amp;SDATE=200902&amp;PERIODTYPE=QTR_STD&amp;window=popup_no_bar&amp;width=385&amp;height=120&amp;START_MAXIMIZED=FALSE&amp;creator=factset&amp;display_string=Audit"}</definedName>
    <definedName name="_188__FDSAUDITLINK__" localSheetId="1" hidden="1">{"fdsup://directions/FAT Viewer?action=UPDATE&amp;creator=factset&amp;DYN_ARGS=TRUE&amp;DOC_NAME=FAT:FQL_AUDITING_CLIENT_TEMPLATE.FAT&amp;display_string=Audit&amp;VAR:KEY=XMJCHQTGFI&amp;VAR:QUERY=RkZfRUJJVERBX09QRVIoUVRSLDQvMS8yMDEwLDYvMzAvMjAxMCwsLFVTRCk=&amp;WINDOW=FIRST_POPUP&amp;HEIGH","T=450&amp;WIDTH=450&amp;START_MAXIMIZED=FALSE&amp;VAR:CALENDAR=US&amp;VAR:SYMBOL=SLB&amp;VAR:INDEX=0"}</definedName>
    <definedName name="_188__FDSAUDITLINK__" hidden="1">{"fdsup://directions/FAT Viewer?action=UPDATE&amp;creator=factset&amp;DYN_ARGS=TRUE&amp;DOC_NAME=FAT:FQL_AUDITING_CLIENT_TEMPLATE.FAT&amp;display_string=Audit&amp;VAR:KEY=XMJCHQTGFI&amp;VAR:QUERY=RkZfRUJJVERBX09QRVIoUVRSLDQvMS8yMDEwLDYvMzAvMjAxMCwsLFVTRCk=&amp;WINDOW=FIRST_POPUP&amp;HEIGH","T=450&amp;WIDTH=450&amp;START_MAXIMIZED=FALSE&amp;VAR:CALENDAR=US&amp;VAR:SYMBOL=SLB&amp;VAR:INDEX=0"}</definedName>
    <definedName name="_1880__FDSAUDITLINK__" localSheetId="1" hidden="1">{"fdsup://Directions/FactSet Auditing Viewer?action=AUDIT_VALUE&amp;DB=129&amp;ID1=02553710&amp;VALUEID=01001&amp;SDATE=201002&amp;PERIODTYPE=QTR_STD&amp;window=popup_no_bar&amp;width=385&amp;height=120&amp;START_MAXIMIZED=FALSE&amp;creator=factset&amp;display_string=Audit"}</definedName>
    <definedName name="_1880__FDSAUDITLINK__" hidden="1">{"fdsup://Directions/FactSet Auditing Viewer?action=AUDIT_VALUE&amp;DB=129&amp;ID1=02553710&amp;VALUEID=01001&amp;SDATE=201002&amp;PERIODTYPE=QTR_STD&amp;window=popup_no_bar&amp;width=385&amp;height=120&amp;START_MAXIMIZED=FALSE&amp;creator=factset&amp;display_string=Audit"}</definedName>
    <definedName name="_1881__FDSAUDITLINK__" localSheetId="1" hidden="1">{"fdsup://Directions/FactSet Auditing Viewer?action=AUDIT_VALUE&amp;DB=129&amp;ID1=02360810&amp;VALUEID=01001&amp;SDATE=200902&amp;PERIODTYPE=QTR_STD&amp;window=popup_no_bar&amp;width=385&amp;height=120&amp;START_MAXIMIZED=FALSE&amp;creator=factset&amp;display_string=Audit"}</definedName>
    <definedName name="_1881__FDSAUDITLINK__" hidden="1">{"fdsup://Directions/FactSet Auditing Viewer?action=AUDIT_VALUE&amp;DB=129&amp;ID1=02360810&amp;VALUEID=01001&amp;SDATE=200902&amp;PERIODTYPE=QTR_STD&amp;window=popup_no_bar&amp;width=385&amp;height=120&amp;START_MAXIMIZED=FALSE&amp;creator=factset&amp;display_string=Audit"}</definedName>
    <definedName name="_1882__FDSAUDITLINK__" localSheetId="1" hidden="1">{"fdsup://Directions/FactSet Auditing Viewer?action=AUDIT_VALUE&amp;DB=129&amp;ID1=02360810&amp;VALUEID=01001&amp;SDATE=201002&amp;PERIODTYPE=QTR_STD&amp;window=popup_no_bar&amp;width=385&amp;height=120&amp;START_MAXIMIZED=FALSE&amp;creator=factset&amp;display_string=Audit"}</definedName>
    <definedName name="_1882__FDSAUDITLINK__" hidden="1">{"fdsup://Directions/FactSet Auditing Viewer?action=AUDIT_VALUE&amp;DB=129&amp;ID1=02360810&amp;VALUEID=01001&amp;SDATE=201002&amp;PERIODTYPE=QTR_STD&amp;window=popup_no_bar&amp;width=385&amp;height=120&amp;START_MAXIMIZED=FALSE&amp;creator=factset&amp;display_string=Audit"}</definedName>
    <definedName name="_1883__FDSAUDITLINK__" localSheetId="1" hidden="1">{"fdsup://Directions/FactSet Auditing Viewer?action=AUDIT_VALUE&amp;DB=129&amp;ID1=05276910&amp;VALUEID=01001&amp;SDATE=201001&amp;PERIODTYPE=QTR_STD&amp;window=popup_no_bar&amp;width=385&amp;height=120&amp;START_MAXIMIZED=FALSE&amp;creator=factset&amp;display_string=Audit"}</definedName>
    <definedName name="_1883__FDSAUDITLINK__" hidden="1">{"fdsup://Directions/FactSet Auditing Viewer?action=AUDIT_VALUE&amp;DB=129&amp;ID1=05276910&amp;VALUEID=01001&amp;SDATE=201001&amp;PERIODTYPE=QTR_STD&amp;window=popup_no_bar&amp;width=385&amp;height=120&amp;START_MAXIMIZED=FALSE&amp;creator=factset&amp;display_string=Audit"}</definedName>
    <definedName name="_1884__FDSAUDITLINK__" localSheetId="1" hidden="1">{"fdsup://Directions/FactSet Auditing Viewer?action=AUDIT_VALUE&amp;DB=129&amp;ID1=05301510&amp;VALUEID=01001&amp;SDATE=200904&amp;PERIODTYPE=QTR_STD&amp;window=popup_no_bar&amp;width=385&amp;height=120&amp;START_MAXIMIZED=FALSE&amp;creator=factset&amp;display_string=Audit"}</definedName>
    <definedName name="_1884__FDSAUDITLINK__" hidden="1">{"fdsup://Directions/FactSet Auditing Viewer?action=AUDIT_VALUE&amp;DB=129&amp;ID1=05301510&amp;VALUEID=01001&amp;SDATE=200904&amp;PERIODTYPE=QTR_STD&amp;window=popup_no_bar&amp;width=385&amp;height=120&amp;START_MAXIMIZED=FALSE&amp;creator=factset&amp;display_string=Audit"}</definedName>
    <definedName name="_1885__FDSAUDITLINK__" localSheetId="1" hidden="1">{"fdsup://Directions/FactSet Auditing Viewer?action=AUDIT_VALUE&amp;DB=129&amp;ID1=05301510&amp;VALUEID=01001&amp;SDATE=201004&amp;PERIODTYPE=QTR_STD&amp;window=popup_no_bar&amp;width=385&amp;height=120&amp;START_MAXIMIZED=FALSE&amp;creator=factset&amp;display_string=Audit"}</definedName>
    <definedName name="_1885__FDSAUDITLINK__" hidden="1">{"fdsup://Directions/FactSet Auditing Viewer?action=AUDIT_VALUE&amp;DB=129&amp;ID1=05301510&amp;VALUEID=01001&amp;SDATE=201004&amp;PERIODTYPE=QTR_STD&amp;window=popup_no_bar&amp;width=385&amp;height=120&amp;START_MAXIMIZED=FALSE&amp;creator=factset&amp;display_string=Audit"}</definedName>
    <definedName name="_1886__FDSAUDITLINK__" localSheetId="1" hidden="1">{"fdsup://Directions/FactSet Auditing Viewer?action=AUDIT_VALUE&amp;DB=129&amp;ID1=03948310&amp;VALUEID=01001&amp;SDATE=201004&amp;PERIODTYPE=QTR_STD&amp;window=popup_no_bar&amp;width=385&amp;height=120&amp;START_MAXIMIZED=FALSE&amp;creator=factset&amp;display_string=Audit"}</definedName>
    <definedName name="_1886__FDSAUDITLINK__" hidden="1">{"fdsup://Directions/FactSet Auditing Viewer?action=AUDIT_VALUE&amp;DB=129&amp;ID1=03948310&amp;VALUEID=01001&amp;SDATE=201004&amp;PERIODTYPE=QTR_STD&amp;window=popup_no_bar&amp;width=385&amp;height=120&amp;START_MAXIMIZED=FALSE&amp;creator=factset&amp;display_string=Audit"}</definedName>
    <definedName name="_1887__FDSAUDITLINK__" localSheetId="1" hidden="1">{"fdsup://Directions/FactSet Auditing Viewer?action=AUDIT_VALUE&amp;DB=129&amp;ID1=03265410&amp;VALUEID=01001&amp;SDATE=201002&amp;PERIODTYPE=QTR_STD&amp;window=popup_no_bar&amp;width=385&amp;height=120&amp;START_MAXIMIZED=FALSE&amp;creator=factset&amp;display_string=Audit"}</definedName>
    <definedName name="_1887__FDSAUDITLINK__" hidden="1">{"fdsup://Directions/FactSet Auditing Viewer?action=AUDIT_VALUE&amp;DB=129&amp;ID1=03265410&amp;VALUEID=01001&amp;SDATE=201002&amp;PERIODTYPE=QTR_STD&amp;window=popup_no_bar&amp;width=385&amp;height=120&amp;START_MAXIMIZED=FALSE&amp;creator=factset&amp;display_string=Audit"}</definedName>
    <definedName name="_1888__FDSAUDITLINK__" localSheetId="1" hidden="1">{"fdsup://Directions/FactSet Auditing Viewer?action=AUDIT_VALUE&amp;DB=129&amp;ID1=00724F10&amp;VALUEID=01001&amp;SDATE=200902&amp;PERIODTYPE=QTR_STD&amp;window=popup_no_bar&amp;width=385&amp;height=120&amp;START_MAXIMIZED=FALSE&amp;creator=factset&amp;display_string=Audit"}</definedName>
    <definedName name="_1888__FDSAUDITLINK__" hidden="1">{"fdsup://Directions/FactSet Auditing Viewer?action=AUDIT_VALUE&amp;DB=129&amp;ID1=00724F10&amp;VALUEID=01001&amp;SDATE=200902&amp;PERIODTYPE=QTR_STD&amp;window=popup_no_bar&amp;width=385&amp;height=120&amp;START_MAXIMIZED=FALSE&amp;creator=factset&amp;display_string=Audit"}</definedName>
    <definedName name="_1889__FDSAUDITLINK__" localSheetId="1" hidden="1">{"fdsup://Directions/FactSet Auditing Viewer?action=AUDIT_VALUE&amp;DB=129&amp;ID1=00724F10&amp;VALUEID=01001&amp;SDATE=201002&amp;PERIODTYPE=QTR_STD&amp;window=popup_no_bar&amp;width=385&amp;height=120&amp;START_MAXIMIZED=FALSE&amp;creator=factset&amp;display_string=Audit"}</definedName>
    <definedName name="_1889__FDSAUDITLINK__" hidden="1">{"fdsup://Directions/FactSet Auditing Viewer?action=AUDIT_VALUE&amp;DB=129&amp;ID1=00724F10&amp;VALUEID=01001&amp;SDATE=201002&amp;PERIODTYPE=QTR_STD&amp;window=popup_no_bar&amp;width=385&amp;height=120&amp;START_MAXIMIZED=FALSE&amp;creator=factset&amp;display_string=Audit"}</definedName>
    <definedName name="_189__FDSAUDITLINK__" localSheetId="1" hidden="1">{"fdsup://directions/FAT Viewer?action=UPDATE&amp;creator=factset&amp;DYN_ARGS=TRUE&amp;DOC_NAME=FAT:FQL_AUDITING_CLIENT_TEMPLATE.FAT&amp;display_string=Audit&amp;VAR:KEY=LYRKBCXMTW&amp;VAR:QUERY=RkZfRUJJVERBX09QRVIoUVRSLDQvMS8yMDA5LDYvMzAvMjAwOSwsLFVTRCk=&amp;WINDOW=FIRST_POPUP&amp;HEIGH","T=450&amp;WIDTH=450&amp;START_MAXIMIZED=FALSE&amp;VAR:CALENDAR=US&amp;VAR:SYMBOL=SJM&amp;VAR:INDEX=0"}</definedName>
    <definedName name="_189__FDSAUDITLINK__" hidden="1">{"fdsup://directions/FAT Viewer?action=UPDATE&amp;creator=factset&amp;DYN_ARGS=TRUE&amp;DOC_NAME=FAT:FQL_AUDITING_CLIENT_TEMPLATE.FAT&amp;display_string=Audit&amp;VAR:KEY=LYRKBCXMTW&amp;VAR:QUERY=RkZfRUJJVERBX09QRVIoUVRSLDQvMS8yMDA5LDYvMzAvMjAwOSwsLFVTRCk=&amp;WINDOW=FIRST_POPUP&amp;HEIGH","T=450&amp;WIDTH=450&amp;START_MAXIMIZED=FALSE&amp;VAR:CALENDAR=US&amp;VAR:SYMBOL=SJM&amp;VAR:INDEX=0"}</definedName>
    <definedName name="_1890__FDSAUDITLINK__" localSheetId="1" hidden="1">{"fdsup://Directions/FactSet Auditing Viewer?action=AUDIT_VALUE&amp;DB=129&amp;ID1=H0023R10&amp;VALUEID=01001&amp;SDATE=200902&amp;PERIODTYPE=QTR_STD&amp;window=popup_no_bar&amp;width=385&amp;height=120&amp;START_MAXIMIZED=FALSE&amp;creator=factset&amp;display_string=Audit"}</definedName>
    <definedName name="_1890__FDSAUDITLINK__" hidden="1">{"fdsup://Directions/FactSet Auditing Viewer?action=AUDIT_VALUE&amp;DB=129&amp;ID1=H0023R10&amp;VALUEID=01001&amp;SDATE=200902&amp;PERIODTYPE=QTR_STD&amp;window=popup_no_bar&amp;width=385&amp;height=120&amp;START_MAXIMIZED=FALSE&amp;creator=factset&amp;display_string=Audit"}</definedName>
    <definedName name="_1891__FDSAUDITLINK__" localSheetId="1" hidden="1">{"fdsup://Directions/FactSet Auditing Viewer?action=AUDIT_VALUE&amp;DB=129&amp;ID1=H0023R10&amp;VALUEID=01001&amp;SDATE=201002&amp;PERIODTYPE=QTR_STD&amp;window=popup_no_bar&amp;width=385&amp;height=120&amp;START_MAXIMIZED=FALSE&amp;creator=factset&amp;display_string=Audit"}</definedName>
    <definedName name="_1891__FDSAUDITLINK__" hidden="1">{"fdsup://Directions/FactSet Auditing Viewer?action=AUDIT_VALUE&amp;DB=129&amp;ID1=H0023R10&amp;VALUEID=01001&amp;SDATE=201002&amp;PERIODTYPE=QTR_STD&amp;window=popup_no_bar&amp;width=385&amp;height=120&amp;START_MAXIMIZED=FALSE&amp;creator=factset&amp;display_string=Audit"}</definedName>
    <definedName name="_1892__FDSAUDITLINK__" localSheetId="1" hidden="1">{"fdsup://Directions/FactSet Auditing Viewer?action=AUDIT_VALUE&amp;DB=129&amp;ID1=00282410&amp;VALUEID=01001&amp;SDATE=200902&amp;PERIODTYPE=QTR_STD&amp;window=popup_no_bar&amp;width=385&amp;height=120&amp;START_MAXIMIZED=FALSE&amp;creator=factset&amp;display_string=Audit"}</definedName>
    <definedName name="_1892__FDSAUDITLINK__" hidden="1">{"fdsup://Directions/FactSet Auditing Viewer?action=AUDIT_VALUE&amp;DB=129&amp;ID1=00282410&amp;VALUEID=01001&amp;SDATE=200902&amp;PERIODTYPE=QTR_STD&amp;window=popup_no_bar&amp;width=385&amp;height=120&amp;START_MAXIMIZED=FALSE&amp;creator=factset&amp;display_string=Audit"}</definedName>
    <definedName name="_1893__FDSAUDITLINK__" localSheetId="1" hidden="1">{"fdsup://Directions/FactSet Auditing Viewer?action=AUDIT_VALUE&amp;DB=129&amp;ID1=00282410&amp;VALUEID=01001&amp;SDATE=201002&amp;PERIODTYPE=QTR_STD&amp;window=popup_no_bar&amp;width=385&amp;height=120&amp;START_MAXIMIZED=FALSE&amp;creator=factset&amp;display_string=Audit"}</definedName>
    <definedName name="_1893__FDSAUDITLINK__" hidden="1">{"fdsup://Directions/FactSet Auditing Viewer?action=AUDIT_VALUE&amp;DB=129&amp;ID1=00282410&amp;VALUEID=01001&amp;SDATE=201002&amp;PERIODTYPE=QTR_STD&amp;window=popup_no_bar&amp;width=385&amp;height=120&amp;START_MAXIMIZED=FALSE&amp;creator=factset&amp;display_string=Audit"}</definedName>
    <definedName name="_1894__FDSAUDITLINK__" localSheetId="1" hidden="1">{"fdsup://Directions/FactSet Auditing Viewer?action=AUDIT_VALUE&amp;DB=129&amp;ID1=03073E10&amp;VALUEID=01001&amp;SDATE=200903&amp;PERIODTYPE=QTR_STD&amp;window=popup_no_bar&amp;width=385&amp;height=120&amp;START_MAXIMIZED=FALSE&amp;creator=factset&amp;display_string=Audit"}</definedName>
    <definedName name="_1894__FDSAUDITLINK__" hidden="1">{"fdsup://Directions/FactSet Auditing Viewer?action=AUDIT_VALUE&amp;DB=129&amp;ID1=03073E10&amp;VALUEID=01001&amp;SDATE=200903&amp;PERIODTYPE=QTR_STD&amp;window=popup_no_bar&amp;width=385&amp;height=120&amp;START_MAXIMIZED=FALSE&amp;creator=factset&amp;display_string=Audit"}</definedName>
    <definedName name="_1895__FDSAUDITLINK__" localSheetId="1" hidden="1">{"fdsup://Directions/FactSet Auditing Viewer?action=AUDIT_VALUE&amp;DB=129&amp;ID1=03073E10&amp;VALUEID=01001&amp;SDATE=201003&amp;PERIODTYPE=QTR_STD&amp;window=popup_no_bar&amp;width=385&amp;height=120&amp;START_MAXIMIZED=FALSE&amp;creator=factset&amp;display_string=Audit"}</definedName>
    <definedName name="_1895__FDSAUDITLINK__" hidden="1">{"fdsup://Directions/FactSet Auditing Viewer?action=AUDIT_VALUE&amp;DB=129&amp;ID1=03073E10&amp;VALUEID=01001&amp;SDATE=201003&amp;PERIODTYPE=QTR_STD&amp;window=popup_no_bar&amp;width=385&amp;height=120&amp;START_MAXIMIZED=FALSE&amp;creator=factset&amp;display_string=Audit"}</definedName>
    <definedName name="_1896__FDSAUDITLINK__" localSheetId="1" hidden="1">{"fdsup://Directions/FactSet Auditing Viewer?action=AUDIT_VALUE&amp;DB=129&amp;ID1=03783310&amp;VALUEID=01001&amp;SDATE=200903&amp;PERIODTYPE=QTR_STD&amp;window=popup_no_bar&amp;width=385&amp;height=120&amp;START_MAXIMIZED=FALSE&amp;creator=factset&amp;display_string=Audit"}</definedName>
    <definedName name="_1896__FDSAUDITLINK__" hidden="1">{"fdsup://Directions/FactSet Auditing Viewer?action=AUDIT_VALUE&amp;DB=129&amp;ID1=03783310&amp;VALUEID=01001&amp;SDATE=200903&amp;PERIODTYPE=QTR_STD&amp;window=popup_no_bar&amp;width=385&amp;height=120&amp;START_MAXIMIZED=FALSE&amp;creator=factset&amp;display_string=Audit"}</definedName>
    <definedName name="_1897__FDSAUDITLINK__" localSheetId="1" hidden="1">{"fdsup://Directions/FactSet Auditing Viewer?action=AUDIT_VALUE&amp;DB=129&amp;ID1=03783310&amp;VALUEID=01001&amp;SDATE=201003&amp;PERIODTYPE=QTR_STD&amp;window=popup_no_bar&amp;width=385&amp;height=120&amp;START_MAXIMIZED=FALSE&amp;creator=factset&amp;display_string=Audit"}</definedName>
    <definedName name="_1897__FDSAUDITLINK__" hidden="1">{"fdsup://Directions/FactSet Auditing Viewer?action=AUDIT_VALUE&amp;DB=129&amp;ID1=03783310&amp;VALUEID=01001&amp;SDATE=201003&amp;PERIODTYPE=QTR_STD&amp;window=popup_no_bar&amp;width=385&amp;height=120&amp;START_MAXIMIZED=FALSE&amp;creator=factset&amp;display_string=Audit"}</definedName>
    <definedName name="_1898__FDSAUDITLINK__" localSheetId="1" hidden="1">{"fdsup://Directions/FactSet Auditing Viewer?action=AUDIT_VALUE&amp;DB=129&amp;ID1=01381710&amp;VALUEID=01001&amp;SDATE=200902&amp;PERIODTYPE=QTR_STD&amp;window=popup_no_bar&amp;width=385&amp;height=120&amp;START_MAXIMIZED=FALSE&amp;creator=factset&amp;display_string=Audit"}</definedName>
    <definedName name="_1898__FDSAUDITLINK__" hidden="1">{"fdsup://Directions/FactSet Auditing Viewer?action=AUDIT_VALUE&amp;DB=129&amp;ID1=01381710&amp;VALUEID=01001&amp;SDATE=200902&amp;PERIODTYPE=QTR_STD&amp;window=popup_no_bar&amp;width=385&amp;height=120&amp;START_MAXIMIZED=FALSE&amp;creator=factset&amp;display_string=Audit"}</definedName>
    <definedName name="_1899__FDSAUDITLINK__" localSheetId="1" hidden="1">{"fdsup://Directions/FactSet Auditing Viewer?action=AUDIT_VALUE&amp;DB=129&amp;ID1=01381710&amp;VALUEID=01001&amp;SDATE=201002&amp;PERIODTYPE=QTR_STD&amp;window=popup_no_bar&amp;width=385&amp;height=120&amp;START_MAXIMIZED=FALSE&amp;creator=factset&amp;display_string=Audit"}</definedName>
    <definedName name="_1899__FDSAUDITLINK__" hidden="1">{"fdsup://Directions/FactSet Auditing Viewer?action=AUDIT_VALUE&amp;DB=129&amp;ID1=01381710&amp;VALUEID=01001&amp;SDATE=201002&amp;PERIODTYPE=QTR_STD&amp;window=popup_no_bar&amp;width=385&amp;height=120&amp;START_MAXIMIZED=FALSE&amp;creator=factset&amp;display_string=Audit"}</definedName>
    <definedName name="_19__FDSAUDITLINK__" localSheetId="1" hidden="1">{"fdsup://directions/FAT Viewer?action=UPDATE&amp;creator=factset&amp;DYN_ARGS=TRUE&amp;DOC_NAME=FAT:FQL_AUDITING_CLIENT_TEMPLATE.FAT&amp;display_string=Audit&amp;VAR:KEY=LQFIVAVIRA&amp;VAR:QUERY=RkZfRUJJVERBX09QRVIoUVRSLDQvMS8yMDA5LDYvMzAvMjAwOSwsLFVTRCk=&amp;WINDOW=FIRST_POPUP&amp;HEIGH","T=450&amp;WIDTH=450&amp;START_MAXIMIZED=FALSE&amp;VAR:CALENDAR=US&amp;VAR:SYMBOL=XEL&amp;VAR:INDEX=0"}</definedName>
    <definedName name="_19__FDSAUDITLINK__" hidden="1">{"fdsup://directions/FAT Viewer?action=UPDATE&amp;creator=factset&amp;DYN_ARGS=TRUE&amp;DOC_NAME=FAT:FQL_AUDITING_CLIENT_TEMPLATE.FAT&amp;display_string=Audit&amp;VAR:KEY=LQFIVAVIRA&amp;VAR:QUERY=RkZfRUJJVERBX09QRVIoUVRSLDQvMS8yMDA5LDYvMzAvMjAwOSwsLFVTRCk=&amp;WINDOW=FIRST_POPUP&amp;HEIGH","T=450&amp;WIDTH=450&amp;START_MAXIMIZED=FALSE&amp;VAR:CALENDAR=US&amp;VAR:SYMBOL=XEL&amp;VAR:INDEX=0"}</definedName>
    <definedName name="_190__FDSAUDITLINK__" localSheetId="1" hidden="1">{"fdsup://directions/FAT Viewer?action=UPDATE&amp;creator=factset&amp;DYN_ARGS=TRUE&amp;DOC_NAME=FAT:FQL_AUDITING_CLIENT_TEMPLATE.FAT&amp;display_string=Audit&amp;VAR:KEY=HIPYTYRUBC&amp;VAR:QUERY=RkZfRUJJVERBX09QRVIoUVRSLDQvMS8yMDEwLDYvMzAvMjAxMCwsLFVTRCk=&amp;WINDOW=FIRST_POPUP&amp;HEIGH","T=450&amp;WIDTH=450&amp;START_MAXIMIZED=FALSE&amp;VAR:CALENDAR=US&amp;VAR:SYMBOL=SJM&amp;VAR:INDEX=0"}</definedName>
    <definedName name="_190__FDSAUDITLINK__" hidden="1">{"fdsup://directions/FAT Viewer?action=UPDATE&amp;creator=factset&amp;DYN_ARGS=TRUE&amp;DOC_NAME=FAT:FQL_AUDITING_CLIENT_TEMPLATE.FAT&amp;display_string=Audit&amp;VAR:KEY=HIPYTYRUBC&amp;VAR:QUERY=RkZfRUJJVERBX09QRVIoUVRSLDQvMS8yMDEwLDYvMzAvMjAxMCwsLFVTRCk=&amp;WINDOW=FIRST_POPUP&amp;HEIGH","T=450&amp;WIDTH=450&amp;START_MAXIMIZED=FALSE&amp;VAR:CALENDAR=US&amp;VAR:SYMBOL=SJM&amp;VAR:INDEX=0"}</definedName>
    <definedName name="_1900__FDSAUDITLINK__" localSheetId="1" hidden="1">{"fdsup://Directions/FactSet Auditing Viewer?action=AUDIT_VALUE&amp;DB=129&amp;ID1=00846U10&amp;VALUEID=01001&amp;SDATE=200902&amp;PERIODTYPE=QTR_STD&amp;window=popup_no_bar&amp;width=385&amp;height=120&amp;START_MAXIMIZED=FALSE&amp;creator=factset&amp;display_string=Audit"}</definedName>
    <definedName name="_1900__FDSAUDITLINK__" hidden="1">{"fdsup://Directions/FactSet Auditing Viewer?action=AUDIT_VALUE&amp;DB=129&amp;ID1=00846U10&amp;VALUEID=01001&amp;SDATE=200902&amp;PERIODTYPE=QTR_STD&amp;window=popup_no_bar&amp;width=385&amp;height=120&amp;START_MAXIMIZED=FALSE&amp;creator=factset&amp;display_string=Audit"}</definedName>
    <definedName name="_1901__FDSAUDITLINK__" localSheetId="1" hidden="1">{"fdsup://Directions/FactSet Auditing Viewer?action=AUDIT_VALUE&amp;DB=129&amp;ID1=00846U10&amp;VALUEID=01001&amp;SDATE=201002&amp;PERIODTYPE=QTR_STD&amp;window=popup_no_bar&amp;width=385&amp;height=120&amp;START_MAXIMIZED=FALSE&amp;creator=factset&amp;display_string=Audit"}</definedName>
    <definedName name="_1901__FDSAUDITLINK__" hidden="1">{"fdsup://Directions/FactSet Auditing Viewer?action=AUDIT_VALUE&amp;DB=129&amp;ID1=00846U10&amp;VALUEID=01001&amp;SDATE=201002&amp;PERIODTYPE=QTR_STD&amp;window=popup_no_bar&amp;width=385&amp;height=120&amp;START_MAXIMIZED=FALSE&amp;creator=factset&amp;display_string=Audit"}</definedName>
    <definedName name="_191__FDSAUDITLINK__" localSheetId="1" hidden="1">{"fdsup://directions/FAT Viewer?action=UPDATE&amp;creator=factset&amp;DYN_ARGS=TRUE&amp;DOC_NAME=FAT:FQL_AUDITING_CLIENT_TEMPLATE.FAT&amp;display_string=Audit&amp;VAR:KEY=FOFABKDYZA&amp;VAR:QUERY=RkZfRUJJVERBX09QRVIoUVRSLDQvMS8yMDA5LDYvMzAvMjAwOSwsLFVTRCk=&amp;WINDOW=FIRST_POPUP&amp;HEIGH","T=450&amp;WIDTH=450&amp;START_MAXIMIZED=FALSE&amp;VAR:CALENDAR=US&amp;VAR:SYMBOL=SIAL&amp;VAR:INDEX=0"}</definedName>
    <definedName name="_191__FDSAUDITLINK__" hidden="1">{"fdsup://directions/FAT Viewer?action=UPDATE&amp;creator=factset&amp;DYN_ARGS=TRUE&amp;DOC_NAME=FAT:FQL_AUDITING_CLIENT_TEMPLATE.FAT&amp;display_string=Audit&amp;VAR:KEY=FOFABKDYZA&amp;VAR:QUERY=RkZfRUJJVERBX09QRVIoUVRSLDQvMS8yMDA5LDYvMzAvMjAwOSwsLFVTRCk=&amp;WINDOW=FIRST_POPUP&amp;HEIGH","T=450&amp;WIDTH=450&amp;START_MAXIMIZED=FALSE&amp;VAR:CALENDAR=US&amp;VAR:SYMBOL=SIAL&amp;VAR:INDEX=0"}</definedName>
    <definedName name="_192__FDSAUDITLINK__" localSheetId="1" hidden="1">{"fdsup://directions/FAT Viewer?action=UPDATE&amp;creator=factset&amp;DYN_ARGS=TRUE&amp;DOC_NAME=FAT:FQL_AUDITING_CLIENT_TEMPLATE.FAT&amp;display_string=Audit&amp;VAR:KEY=HMJIHUHGXA&amp;VAR:QUERY=RkZfRUJJVERBX09QRVIoUVRSLDQvMS8yMDEwLDYvMzAvMjAxMCwsLFVTRCk=&amp;WINDOW=FIRST_POPUP&amp;HEIGH","T=450&amp;WIDTH=450&amp;START_MAXIMIZED=FALSE&amp;VAR:CALENDAR=US&amp;VAR:SYMBOL=SIAL&amp;VAR:INDEX=0"}</definedName>
    <definedName name="_192__FDSAUDITLINK__" hidden="1">{"fdsup://directions/FAT Viewer?action=UPDATE&amp;creator=factset&amp;DYN_ARGS=TRUE&amp;DOC_NAME=FAT:FQL_AUDITING_CLIENT_TEMPLATE.FAT&amp;display_string=Audit&amp;VAR:KEY=HMJIHUHGXA&amp;VAR:QUERY=RkZfRUJJVERBX09QRVIoUVRSLDQvMS8yMDEwLDYvMzAvMjAxMCwsLFVTRCk=&amp;WINDOW=FIRST_POPUP&amp;HEIGH","T=450&amp;WIDTH=450&amp;START_MAXIMIZED=FALSE&amp;VAR:CALENDAR=US&amp;VAR:SYMBOL=SIAL&amp;VAR:INDEX=0"}</definedName>
    <definedName name="_193__FDSAUDITLINK__" localSheetId="1" hidden="1">{"fdsup://directions/FAT Viewer?action=UPDATE&amp;creator=factset&amp;DYN_ARGS=TRUE&amp;DOC_NAME=FAT:FQL_AUDITING_CLIENT_TEMPLATE.FAT&amp;display_string=Audit&amp;VAR:KEY=NOXOVYBIVS&amp;VAR:QUERY=RkZfRUJJVERBX09QRVIoUVRSLDQvMS8yMDA5LDYvMzAvMjAwOSwsLFVTRCk=&amp;WINDOW=FIRST_POPUP&amp;HEIGH","T=450&amp;WIDTH=450&amp;START_MAXIMIZED=FALSE&amp;VAR:CALENDAR=US&amp;VAR:SYMBOL=SHW&amp;VAR:INDEX=0"}</definedName>
    <definedName name="_193__FDSAUDITLINK__" hidden="1">{"fdsup://directions/FAT Viewer?action=UPDATE&amp;creator=factset&amp;DYN_ARGS=TRUE&amp;DOC_NAME=FAT:FQL_AUDITING_CLIENT_TEMPLATE.FAT&amp;display_string=Audit&amp;VAR:KEY=NOXOVYBIVS&amp;VAR:QUERY=RkZfRUJJVERBX09QRVIoUVRSLDQvMS8yMDA5LDYvMzAvMjAwOSwsLFVTRCk=&amp;WINDOW=FIRST_POPUP&amp;HEIGH","T=450&amp;WIDTH=450&amp;START_MAXIMIZED=FALSE&amp;VAR:CALENDAR=US&amp;VAR:SYMBOL=SHW&amp;VAR:INDEX=0"}</definedName>
    <definedName name="_194__FDSAUDITLINK__" localSheetId="1" hidden="1">{"fdsup://directions/FAT Viewer?action=UPDATE&amp;creator=factset&amp;DYN_ARGS=TRUE&amp;DOC_NAME=FAT:FQL_AUDITING_CLIENT_TEMPLATE.FAT&amp;display_string=Audit&amp;VAR:KEY=LALEVWNALE&amp;VAR:QUERY=RkZfRUJJVERBX09QRVIoUVRSLDQvMS8yMDEwLDYvMzAvMjAxMCwsLFVTRCk=&amp;WINDOW=FIRST_POPUP&amp;HEIGH","T=450&amp;WIDTH=450&amp;START_MAXIMIZED=FALSE&amp;VAR:CALENDAR=US&amp;VAR:SYMBOL=SHW&amp;VAR:INDEX=0"}</definedName>
    <definedName name="_194__FDSAUDITLINK__" hidden="1">{"fdsup://directions/FAT Viewer?action=UPDATE&amp;creator=factset&amp;DYN_ARGS=TRUE&amp;DOC_NAME=FAT:FQL_AUDITING_CLIENT_TEMPLATE.FAT&amp;display_string=Audit&amp;VAR:KEY=LALEVWNALE&amp;VAR:QUERY=RkZfRUJJVERBX09QRVIoUVRSLDQvMS8yMDEwLDYvMzAvMjAxMCwsLFVTRCk=&amp;WINDOW=FIRST_POPUP&amp;HEIGH","T=450&amp;WIDTH=450&amp;START_MAXIMIZED=FALSE&amp;VAR:CALENDAR=US&amp;VAR:SYMBOL=SHW&amp;VAR:INDEX=0"}</definedName>
    <definedName name="_195__FDSAUDITLINK__" localSheetId="1" hidden="1">{"fdsup://directions/FAT Viewer?action=UPDATE&amp;creator=factset&amp;DYN_ARGS=TRUE&amp;DOC_NAME=FAT:FQL_AUDITING_CLIENT_TEMPLATE.FAT&amp;display_string=Audit&amp;VAR:KEY=BWRWPCJELG&amp;VAR:QUERY=RkZfRUJJVERBX09QRVIoUVRSLDQvMS8yMDA5LDYvMzAvMjAwOSwsLFVTRCk=&amp;WINDOW=FIRST_POPUP&amp;HEIGH","T=450&amp;WIDTH=450&amp;START_MAXIMIZED=FALSE&amp;VAR:CALENDAR=US&amp;VAR:SYMBOL=SHLD&amp;VAR:INDEX=0"}</definedName>
    <definedName name="_195__FDSAUDITLINK__" hidden="1">{"fdsup://directions/FAT Viewer?action=UPDATE&amp;creator=factset&amp;DYN_ARGS=TRUE&amp;DOC_NAME=FAT:FQL_AUDITING_CLIENT_TEMPLATE.FAT&amp;display_string=Audit&amp;VAR:KEY=BWRWPCJELG&amp;VAR:QUERY=RkZfRUJJVERBX09QRVIoUVRSLDQvMS8yMDA5LDYvMzAvMjAwOSwsLFVTRCk=&amp;WINDOW=FIRST_POPUP&amp;HEIGH","T=450&amp;WIDTH=450&amp;START_MAXIMIZED=FALSE&amp;VAR:CALENDAR=US&amp;VAR:SYMBOL=SHLD&amp;VAR:INDEX=0"}</definedName>
    <definedName name="_196__FDSAUDITLINK__" localSheetId="1" hidden="1">{"fdsup://directions/FAT Viewer?action=UPDATE&amp;creator=factset&amp;DYN_ARGS=TRUE&amp;DOC_NAME=FAT:FQL_AUDITING_CLIENT_TEMPLATE.FAT&amp;display_string=Audit&amp;VAR:KEY=TIJURCVMNO&amp;VAR:QUERY=RkZfRUJJVERBX09QRVIoUVRSLDQvMS8yMDEwLDYvMzAvMjAxMCwsLFVTRCk=&amp;WINDOW=FIRST_POPUP&amp;HEIGH","T=450&amp;WIDTH=450&amp;START_MAXIMIZED=FALSE&amp;VAR:CALENDAR=US&amp;VAR:SYMBOL=SHLD&amp;VAR:INDEX=0"}</definedName>
    <definedName name="_196__FDSAUDITLINK__" hidden="1">{"fdsup://directions/FAT Viewer?action=UPDATE&amp;creator=factset&amp;DYN_ARGS=TRUE&amp;DOC_NAME=FAT:FQL_AUDITING_CLIENT_TEMPLATE.FAT&amp;display_string=Audit&amp;VAR:KEY=TIJURCVMNO&amp;VAR:QUERY=RkZfRUJJVERBX09QRVIoUVRSLDQvMS8yMDEwLDYvMzAvMjAxMCwsLFVTRCk=&amp;WINDOW=FIRST_POPUP&amp;HEIGH","T=450&amp;WIDTH=450&amp;START_MAXIMIZED=FALSE&amp;VAR:CALENDAR=US&amp;VAR:SYMBOL=SHLD&amp;VAR:INDEX=0"}</definedName>
    <definedName name="_197__FDSAUDITLINK__" localSheetId="1" hidden="1">{"fdsup://directions/FAT Viewer?action=UPDATE&amp;creator=factset&amp;DYN_ARGS=TRUE&amp;DOC_NAME=FAT:FQL_AUDITING_CLIENT_TEMPLATE.FAT&amp;display_string=Audit&amp;VAR:KEY=HSJUPEXEBS&amp;VAR:QUERY=RkZfRUJJVERBX09QRVIoUVRSLDQvMS8yMDA5LDYvMzAvMjAwOSwsLFVTRCk=&amp;WINDOW=FIRST_POPUP&amp;HEIGH","T=450&amp;WIDTH=450&amp;START_MAXIMIZED=FALSE&amp;VAR:CALENDAR=US&amp;VAR:SYMBOL=SEE&amp;VAR:INDEX=0"}</definedName>
    <definedName name="_197__FDSAUDITLINK__" hidden="1">{"fdsup://directions/FAT Viewer?action=UPDATE&amp;creator=factset&amp;DYN_ARGS=TRUE&amp;DOC_NAME=FAT:FQL_AUDITING_CLIENT_TEMPLATE.FAT&amp;display_string=Audit&amp;VAR:KEY=HSJUPEXEBS&amp;VAR:QUERY=RkZfRUJJVERBX09QRVIoUVRSLDQvMS8yMDA5LDYvMzAvMjAwOSwsLFVTRCk=&amp;WINDOW=FIRST_POPUP&amp;HEIGH","T=450&amp;WIDTH=450&amp;START_MAXIMIZED=FALSE&amp;VAR:CALENDAR=US&amp;VAR:SYMBOL=SEE&amp;VAR:INDEX=0"}</definedName>
    <definedName name="_198__FDSAUDITLINK__" localSheetId="1" hidden="1">{"fdsup://directions/FAT Viewer?action=UPDATE&amp;creator=factset&amp;DYN_ARGS=TRUE&amp;DOC_NAME=FAT:FQL_AUDITING_CLIENT_TEMPLATE.FAT&amp;display_string=Audit&amp;VAR:KEY=RMDYXIHQFI&amp;VAR:QUERY=RkZfRUJJVERBX09QRVIoUVRSLDQvMS8yMDEwLDYvMzAvMjAxMCwsLFVTRCk=&amp;WINDOW=FIRST_POPUP&amp;HEIGH","T=450&amp;WIDTH=450&amp;START_MAXIMIZED=FALSE&amp;VAR:CALENDAR=US&amp;VAR:SYMBOL=SEE&amp;VAR:INDEX=0"}</definedName>
    <definedName name="_198__FDSAUDITLINK__" hidden="1">{"fdsup://directions/FAT Viewer?action=UPDATE&amp;creator=factset&amp;DYN_ARGS=TRUE&amp;DOC_NAME=FAT:FQL_AUDITING_CLIENT_TEMPLATE.FAT&amp;display_string=Audit&amp;VAR:KEY=RMDYXIHQFI&amp;VAR:QUERY=RkZfRUJJVERBX09QRVIoUVRSLDQvMS8yMDEwLDYvMzAvMjAxMCwsLFVTRCk=&amp;WINDOW=FIRST_POPUP&amp;HEIGH","T=450&amp;WIDTH=450&amp;START_MAXIMIZED=FALSE&amp;VAR:CALENDAR=US&amp;VAR:SYMBOL=SEE&amp;VAR:INDEX=0"}</definedName>
    <definedName name="_199__FDSAUDITLINK__" localSheetId="1" hidden="1">{"fdsup://directions/FAT Viewer?action=UPDATE&amp;creator=factset&amp;DYN_ARGS=TRUE&amp;DOC_NAME=FAT:FQL_AUDITING_CLIENT_TEMPLATE.FAT&amp;display_string=Audit&amp;VAR:KEY=JCHMDCTUFM&amp;VAR:QUERY=RkZfRUJJVERBX09QRVIoUVRSLDQvMS8yMDA5LDYvMzAvMjAwOSwsLFVTRCk=&amp;WINDOW=FIRST_POPUP&amp;HEIGH","T=450&amp;WIDTH=450&amp;START_MAXIMIZED=FALSE&amp;VAR:CALENDAR=US&amp;VAR:SYMBOL=SE&amp;VAR:INDEX=0"}</definedName>
    <definedName name="_199__FDSAUDITLINK__" hidden="1">{"fdsup://directions/FAT Viewer?action=UPDATE&amp;creator=factset&amp;DYN_ARGS=TRUE&amp;DOC_NAME=FAT:FQL_AUDITING_CLIENT_TEMPLATE.FAT&amp;display_string=Audit&amp;VAR:KEY=JCHMDCTUFM&amp;VAR:QUERY=RkZfRUJJVERBX09QRVIoUVRSLDQvMS8yMDA5LDYvMzAvMjAwOSwsLFVTRCk=&amp;WINDOW=FIRST_POPUP&amp;HEIGH","T=450&amp;WIDTH=450&amp;START_MAXIMIZED=FALSE&amp;VAR:CALENDAR=US&amp;VAR:SYMBOL=SE&amp;VAR:INDEX=0"}</definedName>
    <definedName name="_2__FDSAUDITLINK__" localSheetId="1" hidden="1">{"fdsup://directions/FAT Viewer?action=UPDATE&amp;creator=factset&amp;DYN_ARGS=TRUE&amp;DOC_NAME=FAT:FQL_AUDITING_CLIENT_TEMPLATE.FAT&amp;display_string=Audit&amp;VAR:KEY=BWLABMHOFO&amp;VAR:QUERY=RkZfRUJJVERBX09QRVIoUVRSLDQvMS8yMDEwLDYvMzAvMjAxMCwsLFVTRCk=&amp;WINDOW=FIRST_POPUP&amp;HEIGH","T=450&amp;WIDTH=450&amp;START_MAXIMIZED=FALSE&amp;VAR:CALENDAR=US&amp;VAR:SYMBOL=ZMH&amp;VAR:INDEX=0"}</definedName>
    <definedName name="_2__FDSAUDITLINK__" hidden="1">{"fdsup://Directions/FactSet Auditing Viewer?action=AUDIT_VALUE&amp;DB=129&amp;ID1=03783310&amp;VALUEID=02001&amp;SDATE=2009&amp;PERIODTYPE=ANN_STD&amp;window=popup_no_bar&amp;width=385&amp;height=120&amp;START_MAXIMIZED=FALSE&amp;creator=factset&amp;display_string=Audit"}</definedName>
    <definedName name="_20__FDSAUDITLINK__" localSheetId="1" hidden="1">{"fdsup://directions/FAT Viewer?action=UPDATE&amp;creator=factset&amp;DYN_ARGS=TRUE&amp;DOC_NAME=FAT:FQL_AUDITING_CLIENT_TEMPLATE.FAT&amp;display_string=Audit&amp;VAR:KEY=NEVSZIZQHY&amp;VAR:QUERY=RkZfRUJJVERBX09QRVIoUVRSLDQvMS8yMDEwLDYvMzAvMjAxMCwsLFVTRCk=&amp;WINDOW=FIRST_POPUP&amp;HEIGH","T=450&amp;WIDTH=450&amp;START_MAXIMIZED=FALSE&amp;VAR:CALENDAR=US&amp;VAR:SYMBOL=XEL&amp;VAR:INDEX=0"}</definedName>
    <definedName name="_20__FDSAUDITLINK__" hidden="1">{"fdsup://directions/FAT Viewer?action=UPDATE&amp;creator=factset&amp;DYN_ARGS=TRUE&amp;DOC_NAME=FAT:FQL_AUDITING_CLIENT_TEMPLATE.FAT&amp;display_string=Audit&amp;VAR:KEY=NEVSZIZQHY&amp;VAR:QUERY=RkZfRUJJVERBX09QRVIoUVRSLDQvMS8yMDEwLDYvMzAvMjAxMCwsLFVTRCk=&amp;WINDOW=FIRST_POPUP&amp;HEIGH","T=450&amp;WIDTH=450&amp;START_MAXIMIZED=FALSE&amp;VAR:CALENDAR=US&amp;VAR:SYMBOL=XEL&amp;VAR:INDEX=0"}</definedName>
    <definedName name="_200__FDSAUDITLINK__" localSheetId="1" hidden="1">{"fdsup://directions/FAT Viewer?action=UPDATE&amp;creator=factset&amp;DYN_ARGS=TRUE&amp;DOC_NAME=FAT:FQL_AUDITING_CLIENT_TEMPLATE.FAT&amp;display_string=Audit&amp;VAR:KEY=PAVUDCPSRE&amp;VAR:QUERY=RkZfRUJJVERBX09QRVIoUVRSLDQvMS8yMDEwLDYvMzAvMjAxMCwsLFVTRCk=&amp;WINDOW=FIRST_POPUP&amp;HEIGH","T=450&amp;WIDTH=450&amp;START_MAXIMIZED=FALSE&amp;VAR:CALENDAR=US&amp;VAR:SYMBOL=SE&amp;VAR:INDEX=0"}</definedName>
    <definedName name="_200__FDSAUDITLINK__" hidden="1">{"fdsup://directions/FAT Viewer?action=UPDATE&amp;creator=factset&amp;DYN_ARGS=TRUE&amp;DOC_NAME=FAT:FQL_AUDITING_CLIENT_TEMPLATE.FAT&amp;display_string=Audit&amp;VAR:KEY=PAVUDCPSRE&amp;VAR:QUERY=RkZfRUJJVERBX09QRVIoUVRSLDQvMS8yMDEwLDYvMzAvMjAxMCwsLFVTRCk=&amp;WINDOW=FIRST_POPUP&amp;HEIGH","T=450&amp;WIDTH=450&amp;START_MAXIMIZED=FALSE&amp;VAR:CALENDAR=US&amp;VAR:SYMBOL=SE&amp;VAR:INDEX=0"}</definedName>
    <definedName name="_201__FDSAUDITLINK__" localSheetId="1" hidden="1">{"fdsup://directions/FAT Viewer?action=UPDATE&amp;creator=factset&amp;DYN_ARGS=TRUE&amp;DOC_NAME=FAT:FQL_AUDITING_CLIENT_TEMPLATE.FAT&amp;display_string=Audit&amp;VAR:KEY=VSJODOHYLS&amp;VAR:QUERY=RkZfRUJJVERBX09QRVIoUVRSLDQvMS8yMDA5LDYvMzAvMjAwOSwsLFVTRCk=&amp;WINDOW=FIRST_POPUP&amp;HEIGH","T=450&amp;WIDTH=450&amp;START_MAXIMIZED=FALSE&amp;VAR:CALENDAR=US&amp;VAR:SYMBOL=SCHW&amp;VAR:INDEX=0"}</definedName>
    <definedName name="_201__FDSAUDITLINK__" hidden="1">{"fdsup://directions/FAT Viewer?action=UPDATE&amp;creator=factset&amp;DYN_ARGS=TRUE&amp;DOC_NAME=FAT:FQL_AUDITING_CLIENT_TEMPLATE.FAT&amp;display_string=Audit&amp;VAR:KEY=VSJODOHYLS&amp;VAR:QUERY=RkZfRUJJVERBX09QRVIoUVRSLDQvMS8yMDA5LDYvMzAvMjAwOSwsLFVTRCk=&amp;WINDOW=FIRST_POPUP&amp;HEIGH","T=450&amp;WIDTH=450&amp;START_MAXIMIZED=FALSE&amp;VAR:CALENDAR=US&amp;VAR:SYMBOL=SCHW&amp;VAR:INDEX=0"}</definedName>
    <definedName name="_202__FDSAUDITLINK__" localSheetId="1" hidden="1">{"fdsup://directions/FAT Viewer?action=UPDATE&amp;creator=factset&amp;DYN_ARGS=TRUE&amp;DOC_NAME=FAT:FQL_AUDITING_CLIENT_TEMPLATE.FAT&amp;display_string=Audit&amp;VAR:KEY=LSRMTSZEFM&amp;VAR:QUERY=RkZfRUJJVERBX09QRVIoUVRSLDQvMS8yMDEwLDYvMzAvMjAxMCwsLFVTRCk=&amp;WINDOW=FIRST_POPUP&amp;HEIGH","T=450&amp;WIDTH=450&amp;START_MAXIMIZED=FALSE&amp;VAR:CALENDAR=US&amp;VAR:SYMBOL=SCHW&amp;VAR:INDEX=0"}</definedName>
    <definedName name="_202__FDSAUDITLINK__" hidden="1">{"fdsup://directions/FAT Viewer?action=UPDATE&amp;creator=factset&amp;DYN_ARGS=TRUE&amp;DOC_NAME=FAT:FQL_AUDITING_CLIENT_TEMPLATE.FAT&amp;display_string=Audit&amp;VAR:KEY=LSRMTSZEFM&amp;VAR:QUERY=RkZfRUJJVERBX09QRVIoUVRSLDQvMS8yMDEwLDYvMzAvMjAxMCwsLFVTRCk=&amp;WINDOW=FIRST_POPUP&amp;HEIGH","T=450&amp;WIDTH=450&amp;START_MAXIMIZED=FALSE&amp;VAR:CALENDAR=US&amp;VAR:SYMBOL=SCHW&amp;VAR:INDEX=0"}</definedName>
    <definedName name="_203__FDSAUDITLINK__" localSheetId="1" hidden="1">{"fdsup://directions/FAT Viewer?action=UPDATE&amp;creator=factset&amp;DYN_ARGS=TRUE&amp;DOC_NAME=FAT:FQL_AUDITING_CLIENT_TEMPLATE.FAT&amp;display_string=Audit&amp;VAR:KEY=XQPQTEJAXO&amp;VAR:QUERY=RkZfRUJJVERBX09QRVIoUVRSLDQvMS8yMDA5LDYvMzAvMjAwOSwsLFVTRCk=&amp;WINDOW=FIRST_POPUP&amp;HEIGH","T=450&amp;WIDTH=450&amp;START_MAXIMIZED=FALSE&amp;VAR:CALENDAR=US&amp;VAR:SYMBOL=SCG&amp;VAR:INDEX=0"}</definedName>
    <definedName name="_203__FDSAUDITLINK__" hidden="1">{"fdsup://directions/FAT Viewer?action=UPDATE&amp;creator=factset&amp;DYN_ARGS=TRUE&amp;DOC_NAME=FAT:FQL_AUDITING_CLIENT_TEMPLATE.FAT&amp;display_string=Audit&amp;VAR:KEY=XQPQTEJAXO&amp;VAR:QUERY=RkZfRUJJVERBX09QRVIoUVRSLDQvMS8yMDA5LDYvMzAvMjAwOSwsLFVTRCk=&amp;WINDOW=FIRST_POPUP&amp;HEIGH","T=450&amp;WIDTH=450&amp;START_MAXIMIZED=FALSE&amp;VAR:CALENDAR=US&amp;VAR:SYMBOL=SCG&amp;VAR:INDEX=0"}</definedName>
    <definedName name="_204__FDSAUDITLINK__" localSheetId="1" hidden="1">{"fdsup://directions/FAT Viewer?action=UPDATE&amp;creator=factset&amp;DYN_ARGS=TRUE&amp;DOC_NAME=FAT:FQL_AUDITING_CLIENT_TEMPLATE.FAT&amp;display_string=Audit&amp;VAR:KEY=VOFIPILIZY&amp;VAR:QUERY=RkZfRUJJVERBX09QRVIoUVRSLDQvMS8yMDEwLDYvMzAvMjAxMCwsLFVTRCk=&amp;WINDOW=FIRST_POPUP&amp;HEIGH","T=450&amp;WIDTH=450&amp;START_MAXIMIZED=FALSE&amp;VAR:CALENDAR=US&amp;VAR:SYMBOL=SCG&amp;VAR:INDEX=0"}</definedName>
    <definedName name="_204__FDSAUDITLINK__" hidden="1">{"fdsup://directions/FAT Viewer?action=UPDATE&amp;creator=factset&amp;DYN_ARGS=TRUE&amp;DOC_NAME=FAT:FQL_AUDITING_CLIENT_TEMPLATE.FAT&amp;display_string=Audit&amp;VAR:KEY=VOFIPILIZY&amp;VAR:QUERY=RkZfRUJJVERBX09QRVIoUVRSLDQvMS8yMDEwLDYvMzAvMjAxMCwsLFVTRCk=&amp;WINDOW=FIRST_POPUP&amp;HEIGH","T=450&amp;WIDTH=450&amp;START_MAXIMIZED=FALSE&amp;VAR:CALENDAR=US&amp;VAR:SYMBOL=SCG&amp;VAR:INDEX=0"}</definedName>
    <definedName name="_205__FDSAUDITLINK__" localSheetId="1" hidden="1">{"fdsup://directions/FAT Viewer?action=UPDATE&amp;creator=factset&amp;DYN_ARGS=TRUE&amp;DOC_NAME=FAT:FQL_AUDITING_CLIENT_TEMPLATE.FAT&amp;display_string=Audit&amp;VAR:KEY=VOFKTUNUFC&amp;VAR:QUERY=RkZfRUJJVERBX09QRVIoUVRSLDQvMS8yMDA5LDYvMzAvMjAwOSwsLFVTRCk=&amp;WINDOW=FIRST_POPUP&amp;HEIGH","T=450&amp;WIDTH=450&amp;START_MAXIMIZED=FALSE&amp;VAR:CALENDAR=US&amp;VAR:SYMBOL=SBUX&amp;VAR:INDEX=0"}</definedName>
    <definedName name="_205__FDSAUDITLINK__" hidden="1">{"fdsup://directions/FAT Viewer?action=UPDATE&amp;creator=factset&amp;DYN_ARGS=TRUE&amp;DOC_NAME=FAT:FQL_AUDITING_CLIENT_TEMPLATE.FAT&amp;display_string=Audit&amp;VAR:KEY=VOFKTUNUFC&amp;VAR:QUERY=RkZfRUJJVERBX09QRVIoUVRSLDQvMS8yMDA5LDYvMzAvMjAwOSwsLFVTRCk=&amp;WINDOW=FIRST_POPUP&amp;HEIGH","T=450&amp;WIDTH=450&amp;START_MAXIMIZED=FALSE&amp;VAR:CALENDAR=US&amp;VAR:SYMBOL=SBUX&amp;VAR:INDEX=0"}</definedName>
    <definedName name="_206__FDSAUDITLINK__" localSheetId="1" hidden="1">{"fdsup://directions/FAT Viewer?action=UPDATE&amp;creator=factset&amp;DYN_ARGS=TRUE&amp;DOC_NAME=FAT:FQL_AUDITING_CLIENT_TEMPLATE.FAT&amp;display_string=Audit&amp;VAR:KEY=LMJGFMDADY&amp;VAR:QUERY=RkZfRUJJVERBX09QRVIoUVRSLDQvMS8yMDEwLDYvMzAvMjAxMCwsLFVTRCk=&amp;WINDOW=FIRST_POPUP&amp;HEIGH","T=450&amp;WIDTH=450&amp;START_MAXIMIZED=FALSE&amp;VAR:CALENDAR=US&amp;VAR:SYMBOL=SBUX&amp;VAR:INDEX=0"}</definedName>
    <definedName name="_206__FDSAUDITLINK__" hidden="1">{"fdsup://directions/FAT Viewer?action=UPDATE&amp;creator=factset&amp;DYN_ARGS=TRUE&amp;DOC_NAME=FAT:FQL_AUDITING_CLIENT_TEMPLATE.FAT&amp;display_string=Audit&amp;VAR:KEY=LMJGFMDADY&amp;VAR:QUERY=RkZfRUJJVERBX09QRVIoUVRSLDQvMS8yMDEwLDYvMzAvMjAxMCwsLFVTRCk=&amp;WINDOW=FIRST_POPUP&amp;HEIGH","T=450&amp;WIDTH=450&amp;START_MAXIMIZED=FALSE&amp;VAR:CALENDAR=US&amp;VAR:SYMBOL=SBUX&amp;VAR:INDEX=0"}</definedName>
    <definedName name="_207__FDSAUDITLINK__" localSheetId="1" hidden="1">{"fdsup://directions/FAT Viewer?action=UPDATE&amp;creator=factset&amp;DYN_ARGS=TRUE&amp;DOC_NAME=FAT:FQL_AUDITING_CLIENT_TEMPLATE.FAT&amp;display_string=Audit&amp;VAR:KEY=RYHUPELOVO&amp;VAR:QUERY=RkZfRUJJVERBX09QRVIoUVRSLDQvMS8yMDA5LDYvMzAvMjAwOSwsLFVTRCk=&amp;WINDOW=FIRST_POPUP&amp;HEIGH","T=450&amp;WIDTH=450&amp;START_MAXIMIZED=FALSE&amp;VAR:CALENDAR=US&amp;VAR:SYMBOL=SAI&amp;VAR:INDEX=0"}</definedName>
    <definedName name="_207__FDSAUDITLINK__" hidden="1">{"fdsup://directions/FAT Viewer?action=UPDATE&amp;creator=factset&amp;DYN_ARGS=TRUE&amp;DOC_NAME=FAT:FQL_AUDITING_CLIENT_TEMPLATE.FAT&amp;display_string=Audit&amp;VAR:KEY=RYHUPELOVO&amp;VAR:QUERY=RkZfRUJJVERBX09QRVIoUVRSLDQvMS8yMDA5LDYvMzAvMjAwOSwsLFVTRCk=&amp;WINDOW=FIRST_POPUP&amp;HEIGH","T=450&amp;WIDTH=450&amp;START_MAXIMIZED=FALSE&amp;VAR:CALENDAR=US&amp;VAR:SYMBOL=SAI&amp;VAR:INDEX=0"}</definedName>
    <definedName name="_208__FDSAUDITLINK__" localSheetId="1" hidden="1">{"fdsup://directions/FAT Viewer?action=UPDATE&amp;creator=factset&amp;DYN_ARGS=TRUE&amp;DOC_NAME=FAT:FQL_AUDITING_CLIENT_TEMPLATE.FAT&amp;display_string=Audit&amp;VAR:KEY=VOHITUVEVS&amp;VAR:QUERY=RkZfRUJJVERBX09QRVIoUVRSLDQvMS8yMDEwLDYvMzAvMjAxMCwsLFVTRCk=&amp;WINDOW=FIRST_POPUP&amp;HEIGH","T=450&amp;WIDTH=450&amp;START_MAXIMIZED=FALSE&amp;VAR:CALENDAR=US&amp;VAR:SYMBOL=SAI&amp;VAR:INDEX=0"}</definedName>
    <definedName name="_208__FDSAUDITLINK__" hidden="1">{"fdsup://directions/FAT Viewer?action=UPDATE&amp;creator=factset&amp;DYN_ARGS=TRUE&amp;DOC_NAME=FAT:FQL_AUDITING_CLIENT_TEMPLATE.FAT&amp;display_string=Audit&amp;VAR:KEY=VOHITUVEVS&amp;VAR:QUERY=RkZfRUJJVERBX09QRVIoUVRSLDQvMS8yMDEwLDYvMzAvMjAxMCwsLFVTRCk=&amp;WINDOW=FIRST_POPUP&amp;HEIGH","T=450&amp;WIDTH=450&amp;START_MAXIMIZED=FALSE&amp;VAR:CALENDAR=US&amp;VAR:SYMBOL=SAI&amp;VAR:INDEX=0"}</definedName>
    <definedName name="_209__FDSAUDITLINK__" localSheetId="1" hidden="1">{"fdsup://directions/FAT Viewer?action=UPDATE&amp;creator=factset&amp;DYN_ARGS=TRUE&amp;DOC_NAME=FAT:FQL_AUDITING_CLIENT_TEMPLATE.FAT&amp;display_string=Audit&amp;VAR:KEY=FOTOZMLGDA&amp;VAR:QUERY=RkZfRUJJVERBX09QRVIoUVRSLDQvMS8yMDA5LDYvMzAvMjAwOSwsLFVTRCk=&amp;WINDOW=FIRST_POPUP&amp;HEIGH","T=450&amp;WIDTH=450&amp;START_MAXIMIZED=FALSE&amp;VAR:CALENDAR=US&amp;VAR:SYMBOL=S&amp;VAR:INDEX=0"}</definedName>
    <definedName name="_209__FDSAUDITLINK__" hidden="1">{"fdsup://directions/FAT Viewer?action=UPDATE&amp;creator=factset&amp;DYN_ARGS=TRUE&amp;DOC_NAME=FAT:FQL_AUDITING_CLIENT_TEMPLATE.FAT&amp;display_string=Audit&amp;VAR:KEY=FOTOZMLGDA&amp;VAR:QUERY=RkZfRUJJVERBX09QRVIoUVRSLDQvMS8yMDA5LDYvMzAvMjAwOSwsLFVTRCk=&amp;WINDOW=FIRST_POPUP&amp;HEIGH","T=450&amp;WIDTH=450&amp;START_MAXIMIZED=FALSE&amp;VAR:CALENDAR=US&amp;VAR:SYMBOL=S&amp;VAR:INDEX=0"}</definedName>
    <definedName name="_21__FDSAUDITLINK__" localSheetId="1" hidden="1">{"fdsup://directions/FAT Viewer?action=UPDATE&amp;creator=factset&amp;DYN_ARGS=TRUE&amp;DOC_NAME=FAT:FQL_AUDITING_CLIENT_TEMPLATE.FAT&amp;display_string=Audit&amp;VAR:KEY=NUDGVWTODA&amp;VAR:QUERY=RkZfRUJJVERBX09QRVIoUVRSLDQvMS8yMDA5LDYvMzAvMjAwOSwsLFVTRCk=&amp;WINDOW=FIRST_POPUP&amp;HEIGH","T=450&amp;WIDTH=450&amp;START_MAXIMIZED=FALSE&amp;VAR:CALENDAR=US&amp;VAR:SYMBOL=X&amp;VAR:INDEX=0"}</definedName>
    <definedName name="_21__FDSAUDITLINK__" hidden="1">{"fdsup://directions/FAT Viewer?action=UPDATE&amp;creator=factset&amp;DYN_ARGS=TRUE&amp;DOC_NAME=FAT:FQL_AUDITING_CLIENT_TEMPLATE.FAT&amp;display_string=Audit&amp;VAR:KEY=NUDGVWTODA&amp;VAR:QUERY=RkZfRUJJVERBX09QRVIoUVRSLDQvMS8yMDA5LDYvMzAvMjAwOSwsLFVTRCk=&amp;WINDOW=FIRST_POPUP&amp;HEIGH","T=450&amp;WIDTH=450&amp;START_MAXIMIZED=FALSE&amp;VAR:CALENDAR=US&amp;VAR:SYMBOL=X&amp;VAR:INDEX=0"}</definedName>
    <definedName name="_210__FDSAUDITLINK__" localSheetId="1" hidden="1">{"fdsup://directions/FAT Viewer?action=UPDATE&amp;creator=factset&amp;DYN_ARGS=TRUE&amp;DOC_NAME=FAT:FQL_AUDITING_CLIENT_TEMPLATE.FAT&amp;display_string=Audit&amp;VAR:KEY=HCZADMXGZA&amp;VAR:QUERY=RkZfRUJJVERBX09QRVIoUVRSLDQvMS8yMDEwLDYvMzAvMjAxMCwsLFVTRCk=&amp;WINDOW=FIRST_POPUP&amp;HEIGH","T=450&amp;WIDTH=450&amp;START_MAXIMIZED=FALSE&amp;VAR:CALENDAR=US&amp;VAR:SYMBOL=S&amp;VAR:INDEX=0"}</definedName>
    <definedName name="_210__FDSAUDITLINK__" hidden="1">{"fdsup://directions/FAT Viewer?action=UPDATE&amp;creator=factset&amp;DYN_ARGS=TRUE&amp;DOC_NAME=FAT:FQL_AUDITING_CLIENT_TEMPLATE.FAT&amp;display_string=Audit&amp;VAR:KEY=HCZADMXGZA&amp;VAR:QUERY=RkZfRUJJVERBX09QRVIoUVRSLDQvMS8yMDEwLDYvMzAvMjAxMCwsLFVTRCk=&amp;WINDOW=FIRST_POPUP&amp;HEIGH","T=450&amp;WIDTH=450&amp;START_MAXIMIZED=FALSE&amp;VAR:CALENDAR=US&amp;VAR:SYMBOL=S&amp;VAR:INDEX=0"}</definedName>
    <definedName name="_211__FDSAUDITLINK__" localSheetId="1" hidden="1">{"fdsup://directions/FAT Viewer?action=UPDATE&amp;creator=factset&amp;DYN_ARGS=TRUE&amp;DOC_NAME=FAT:FQL_AUDITING_CLIENT_TEMPLATE.FAT&amp;display_string=Audit&amp;VAR:KEY=FKFMFOBOLU&amp;VAR:QUERY=RkZfRUJJVERBX09QRVIoUVRSLDQvMS8yMDA5LDYvMzAvMjAwOSwsLFVTRCk=&amp;WINDOW=FIRST_POPUP&amp;HEIGH","T=450&amp;WIDTH=450&amp;START_MAXIMIZED=FALSE&amp;VAR:CALENDAR=US&amp;VAR:SYMBOL=RTN&amp;VAR:INDEX=0"}</definedName>
    <definedName name="_211__FDSAUDITLINK__" hidden="1">{"fdsup://directions/FAT Viewer?action=UPDATE&amp;creator=factset&amp;DYN_ARGS=TRUE&amp;DOC_NAME=FAT:FQL_AUDITING_CLIENT_TEMPLATE.FAT&amp;display_string=Audit&amp;VAR:KEY=FKFMFOBOLU&amp;VAR:QUERY=RkZfRUJJVERBX09QRVIoUVRSLDQvMS8yMDA5LDYvMzAvMjAwOSwsLFVTRCk=&amp;WINDOW=FIRST_POPUP&amp;HEIGH","T=450&amp;WIDTH=450&amp;START_MAXIMIZED=FALSE&amp;VAR:CALENDAR=US&amp;VAR:SYMBOL=RTN&amp;VAR:INDEX=0"}</definedName>
    <definedName name="_212__FDSAUDITLINK__" localSheetId="1" hidden="1">{"fdsup://directions/FAT Viewer?action=UPDATE&amp;creator=factset&amp;DYN_ARGS=TRUE&amp;DOC_NAME=FAT:FQL_AUDITING_CLIENT_TEMPLATE.FAT&amp;display_string=Audit&amp;VAR:KEY=XYJADKHUBC&amp;VAR:QUERY=RkZfRUJJVERBX09QRVIoUVRSLDQvMS8yMDEwLDYvMzAvMjAxMCwsLFVTRCk=&amp;WINDOW=FIRST_POPUP&amp;HEIGH","T=450&amp;WIDTH=450&amp;START_MAXIMIZED=FALSE&amp;VAR:CALENDAR=US&amp;VAR:SYMBOL=RTN&amp;VAR:INDEX=0"}</definedName>
    <definedName name="_212__FDSAUDITLINK__" hidden="1">{"fdsup://directions/FAT Viewer?action=UPDATE&amp;creator=factset&amp;DYN_ARGS=TRUE&amp;DOC_NAME=FAT:FQL_AUDITING_CLIENT_TEMPLATE.FAT&amp;display_string=Audit&amp;VAR:KEY=XYJADKHUBC&amp;VAR:QUERY=RkZfRUJJVERBX09QRVIoUVRSLDQvMS8yMDEwLDYvMzAvMjAxMCwsLFVTRCk=&amp;WINDOW=FIRST_POPUP&amp;HEIGH","T=450&amp;WIDTH=450&amp;START_MAXIMIZED=FALSE&amp;VAR:CALENDAR=US&amp;VAR:SYMBOL=RTN&amp;VAR:INDEX=0"}</definedName>
    <definedName name="_213__FDSAUDITLINK__" localSheetId="1" hidden="1">{"fdsup://directions/FAT Viewer?action=UPDATE&amp;creator=factset&amp;DYN_ARGS=TRUE&amp;DOC_NAME=FAT:FQL_AUDITING_CLIENT_TEMPLATE.FAT&amp;display_string=Audit&amp;VAR:KEY=DCVUZETEHK&amp;VAR:QUERY=RkZfRUJJVERBX09QRVIoUVRSLDQvMS8yMDA5LDYvMzAvMjAwOSwsLFVTRCk=&amp;WINDOW=FIRST_POPUP&amp;HEIGH","T=450&amp;WIDTH=450&amp;START_MAXIMIZED=FALSE&amp;VAR:CALENDAR=US&amp;VAR:SYMBOL=RSH&amp;VAR:INDEX=0"}</definedName>
    <definedName name="_213__FDSAUDITLINK__" hidden="1">{"fdsup://directions/FAT Viewer?action=UPDATE&amp;creator=factset&amp;DYN_ARGS=TRUE&amp;DOC_NAME=FAT:FQL_AUDITING_CLIENT_TEMPLATE.FAT&amp;display_string=Audit&amp;VAR:KEY=DCVUZETEHK&amp;VAR:QUERY=RkZfRUJJVERBX09QRVIoUVRSLDQvMS8yMDA5LDYvMzAvMjAwOSwsLFVTRCk=&amp;WINDOW=FIRST_POPUP&amp;HEIGH","T=450&amp;WIDTH=450&amp;START_MAXIMIZED=FALSE&amp;VAR:CALENDAR=US&amp;VAR:SYMBOL=RSH&amp;VAR:INDEX=0"}</definedName>
    <definedName name="_214__FDSAUDITLINK__" localSheetId="1" hidden="1">{"fdsup://directions/FAT Viewer?action=UPDATE&amp;creator=factset&amp;DYN_ARGS=TRUE&amp;DOC_NAME=FAT:FQL_AUDITING_CLIENT_TEMPLATE.FAT&amp;display_string=Audit&amp;VAR:KEY=PAHYRYDELM&amp;VAR:QUERY=RkZfRUJJVERBX09QRVIoUVRSLDQvMS8yMDEwLDYvMzAvMjAxMCwsLFVTRCk=&amp;WINDOW=FIRST_POPUP&amp;HEIGH","T=450&amp;WIDTH=450&amp;START_MAXIMIZED=FALSE&amp;VAR:CALENDAR=US&amp;VAR:SYMBOL=RSH&amp;VAR:INDEX=0"}</definedName>
    <definedName name="_214__FDSAUDITLINK__" hidden="1">{"fdsup://directions/FAT Viewer?action=UPDATE&amp;creator=factset&amp;DYN_ARGS=TRUE&amp;DOC_NAME=FAT:FQL_AUDITING_CLIENT_TEMPLATE.FAT&amp;display_string=Audit&amp;VAR:KEY=PAHYRYDELM&amp;VAR:QUERY=RkZfRUJJVERBX09QRVIoUVRSLDQvMS8yMDEwLDYvMzAvMjAxMCwsLFVTRCk=&amp;WINDOW=FIRST_POPUP&amp;HEIGH","T=450&amp;WIDTH=450&amp;START_MAXIMIZED=FALSE&amp;VAR:CALENDAR=US&amp;VAR:SYMBOL=RSH&amp;VAR:INDEX=0"}</definedName>
    <definedName name="_215__FDSAUDITLINK__" localSheetId="1" hidden="1">{"fdsup://directions/FAT Viewer?action=UPDATE&amp;creator=factset&amp;DYN_ARGS=TRUE&amp;DOC_NAME=FAT:FQL_AUDITING_CLIENT_TEMPLATE.FAT&amp;display_string=Audit&amp;VAR:KEY=BGTULIBOLS&amp;VAR:QUERY=RkZfRUJJVERBX09QRVIoUVRSLDQvMS8yMDA5LDYvMzAvMjAwOSwsLFVTRCk=&amp;WINDOW=FIRST_POPUP&amp;HEIGH","T=450&amp;WIDTH=450&amp;START_MAXIMIZED=FALSE&amp;VAR:CALENDAR=US&amp;VAR:SYMBOL=RSG&amp;VAR:INDEX=0"}</definedName>
    <definedName name="_215__FDSAUDITLINK__" hidden="1">{"fdsup://directions/FAT Viewer?action=UPDATE&amp;creator=factset&amp;DYN_ARGS=TRUE&amp;DOC_NAME=FAT:FQL_AUDITING_CLIENT_TEMPLATE.FAT&amp;display_string=Audit&amp;VAR:KEY=BGTULIBOLS&amp;VAR:QUERY=RkZfRUJJVERBX09QRVIoUVRSLDQvMS8yMDA5LDYvMzAvMjAwOSwsLFVTRCk=&amp;WINDOW=FIRST_POPUP&amp;HEIGH","T=450&amp;WIDTH=450&amp;START_MAXIMIZED=FALSE&amp;VAR:CALENDAR=US&amp;VAR:SYMBOL=RSG&amp;VAR:INDEX=0"}</definedName>
    <definedName name="_216__FDSAUDITLINK__" localSheetId="1" hidden="1">{"fdsup://directions/FAT Viewer?action=UPDATE&amp;creator=factset&amp;DYN_ARGS=TRUE&amp;DOC_NAME=FAT:FQL_AUDITING_CLIENT_TEMPLATE.FAT&amp;display_string=Audit&amp;VAR:KEY=HWNOVORCDM&amp;VAR:QUERY=RkZfRUJJVERBX09QRVIoUVRSLDQvMS8yMDEwLDYvMzAvMjAxMCwsLFVTRCk=&amp;WINDOW=FIRST_POPUP&amp;HEIGH","T=450&amp;WIDTH=450&amp;START_MAXIMIZED=FALSE&amp;VAR:CALENDAR=US&amp;VAR:SYMBOL=RSG&amp;VAR:INDEX=0"}</definedName>
    <definedName name="_216__FDSAUDITLINK__" hidden="1">{"fdsup://directions/FAT Viewer?action=UPDATE&amp;creator=factset&amp;DYN_ARGS=TRUE&amp;DOC_NAME=FAT:FQL_AUDITING_CLIENT_TEMPLATE.FAT&amp;display_string=Audit&amp;VAR:KEY=HWNOVORCDM&amp;VAR:QUERY=RkZfRUJJVERBX09QRVIoUVRSLDQvMS8yMDEwLDYvMzAvMjAxMCwsLFVTRCk=&amp;WINDOW=FIRST_POPUP&amp;HEIGH","T=450&amp;WIDTH=450&amp;START_MAXIMIZED=FALSE&amp;VAR:CALENDAR=US&amp;VAR:SYMBOL=RSG&amp;VAR:INDEX=0"}</definedName>
    <definedName name="_217__FDSAUDITLINK__" localSheetId="1" hidden="1">{"fdsup://directions/FAT Viewer?action=UPDATE&amp;creator=factset&amp;DYN_ARGS=TRUE&amp;DOC_NAME=FAT:FQL_AUDITING_CLIENT_TEMPLATE.FAT&amp;display_string=Audit&amp;VAR:KEY=XAFCPMLMFU&amp;VAR:QUERY=RkZfRUJJVERBX09QRVIoUVRSLDQvMS8yMDA5LDYvMzAvMjAwOSwsLFVTRCk=&amp;WINDOW=FIRST_POPUP&amp;HEIGH","T=450&amp;WIDTH=450&amp;START_MAXIMIZED=FALSE&amp;VAR:CALENDAR=US&amp;VAR:SYMBOL=RRD&amp;VAR:INDEX=0"}</definedName>
    <definedName name="_217__FDSAUDITLINK__" hidden="1">{"fdsup://directions/FAT Viewer?action=UPDATE&amp;creator=factset&amp;DYN_ARGS=TRUE&amp;DOC_NAME=FAT:FQL_AUDITING_CLIENT_TEMPLATE.FAT&amp;display_string=Audit&amp;VAR:KEY=XAFCPMLMFU&amp;VAR:QUERY=RkZfRUJJVERBX09QRVIoUVRSLDQvMS8yMDA5LDYvMzAvMjAwOSwsLFVTRCk=&amp;WINDOW=FIRST_POPUP&amp;HEIGH","T=450&amp;WIDTH=450&amp;START_MAXIMIZED=FALSE&amp;VAR:CALENDAR=US&amp;VAR:SYMBOL=RRD&amp;VAR:INDEX=0"}</definedName>
    <definedName name="_218__FDSAUDITLINK__" localSheetId="1" hidden="1">{"fdsup://directions/FAT Viewer?action=UPDATE&amp;creator=factset&amp;DYN_ARGS=TRUE&amp;DOC_NAME=FAT:FQL_AUDITING_CLIENT_TEMPLATE.FAT&amp;display_string=Audit&amp;VAR:KEY=TANQJGBMBK&amp;VAR:QUERY=RkZfRUJJVERBX09QRVIoUVRSLDQvMS8yMDEwLDYvMzAvMjAxMCwsLFVTRCk=&amp;WINDOW=FIRST_POPUP&amp;HEIGH","T=450&amp;WIDTH=450&amp;START_MAXIMIZED=FALSE&amp;VAR:CALENDAR=US&amp;VAR:SYMBOL=RRD&amp;VAR:INDEX=0"}</definedName>
    <definedName name="_218__FDSAUDITLINK__" hidden="1">{"fdsup://directions/FAT Viewer?action=UPDATE&amp;creator=factset&amp;DYN_ARGS=TRUE&amp;DOC_NAME=FAT:FQL_AUDITING_CLIENT_TEMPLATE.FAT&amp;display_string=Audit&amp;VAR:KEY=TANQJGBMBK&amp;VAR:QUERY=RkZfRUJJVERBX09QRVIoUVRSLDQvMS8yMDEwLDYvMzAvMjAxMCwsLFVTRCk=&amp;WINDOW=FIRST_POPUP&amp;HEIGH","T=450&amp;WIDTH=450&amp;START_MAXIMIZED=FALSE&amp;VAR:CALENDAR=US&amp;VAR:SYMBOL=RRD&amp;VAR:INDEX=0"}</definedName>
    <definedName name="_219__FDSAUDITLINK__" localSheetId="1" hidden="1">{"fdsup://directions/FAT Viewer?action=UPDATE&amp;creator=factset&amp;DYN_ARGS=TRUE&amp;DOC_NAME=FAT:FQL_AUDITING_CLIENT_TEMPLATE.FAT&amp;display_string=Audit&amp;VAR:KEY=XKFULUREDW&amp;VAR:QUERY=RkZfRUJJVERBX09QRVIoUVRSLDQvMS8yMDA5LDYvMzAvMjAwOSwsLFVTRCk=&amp;WINDOW=FIRST_POPUP&amp;HEIGH","T=450&amp;WIDTH=450&amp;START_MAXIMIZED=FALSE&amp;VAR:CALENDAR=US&amp;VAR:SYMBOL=RRC&amp;VAR:INDEX=0"}</definedName>
    <definedName name="_219__FDSAUDITLINK__" hidden="1">{"fdsup://directions/FAT Viewer?action=UPDATE&amp;creator=factset&amp;DYN_ARGS=TRUE&amp;DOC_NAME=FAT:FQL_AUDITING_CLIENT_TEMPLATE.FAT&amp;display_string=Audit&amp;VAR:KEY=XKFULUREDW&amp;VAR:QUERY=RkZfRUJJVERBX09QRVIoUVRSLDQvMS8yMDA5LDYvMzAvMjAwOSwsLFVTRCk=&amp;WINDOW=FIRST_POPUP&amp;HEIGH","T=450&amp;WIDTH=450&amp;START_MAXIMIZED=FALSE&amp;VAR:CALENDAR=US&amp;VAR:SYMBOL=RRC&amp;VAR:INDEX=0"}</definedName>
    <definedName name="_22__FDSAUDITLINK__" localSheetId="1" hidden="1">{"fdsup://directions/FAT Viewer?action=UPDATE&amp;creator=factset&amp;DYN_ARGS=TRUE&amp;DOC_NAME=FAT:FQL_AUDITING_CLIENT_TEMPLATE.FAT&amp;display_string=Audit&amp;VAR:KEY=ZCDGZERAJK&amp;VAR:QUERY=RkZfRUJJVERBX09QRVIoUVRSLDQvMS8yMDEwLDYvMzAvMjAxMCwsLFVTRCk=&amp;WINDOW=FIRST_POPUP&amp;HEIGH","T=450&amp;WIDTH=450&amp;START_MAXIMIZED=FALSE&amp;VAR:CALENDAR=US&amp;VAR:SYMBOL=X&amp;VAR:INDEX=0"}</definedName>
    <definedName name="_22__FDSAUDITLINK__" hidden="1">{"fdsup://directions/FAT Viewer?action=UPDATE&amp;creator=factset&amp;DYN_ARGS=TRUE&amp;DOC_NAME=FAT:FQL_AUDITING_CLIENT_TEMPLATE.FAT&amp;display_string=Audit&amp;VAR:KEY=ZCDGZERAJK&amp;VAR:QUERY=RkZfRUJJVERBX09QRVIoUVRSLDQvMS8yMDEwLDYvMzAvMjAxMCwsLFVTRCk=&amp;WINDOW=FIRST_POPUP&amp;HEIGH","T=450&amp;WIDTH=450&amp;START_MAXIMIZED=FALSE&amp;VAR:CALENDAR=US&amp;VAR:SYMBOL=X&amp;VAR:INDEX=0"}</definedName>
    <definedName name="_220__FDSAUDITLINK__" localSheetId="1" hidden="1">{"fdsup://directions/FAT Viewer?action=UPDATE&amp;creator=factset&amp;DYN_ARGS=TRUE&amp;DOC_NAME=FAT:FQL_AUDITING_CLIENT_TEMPLATE.FAT&amp;display_string=Audit&amp;VAR:KEY=DSVKBEHWRE&amp;VAR:QUERY=RkZfRUJJVERBX09QRVIoUVRSLDQvMS8yMDEwLDYvMzAvMjAxMCwsLFVTRCk=&amp;WINDOW=FIRST_POPUP&amp;HEIGH","T=450&amp;WIDTH=450&amp;START_MAXIMIZED=FALSE&amp;VAR:CALENDAR=US&amp;VAR:SYMBOL=RRC&amp;VAR:INDEX=0"}</definedName>
    <definedName name="_220__FDSAUDITLINK__" hidden="1">{"fdsup://directions/FAT Viewer?action=UPDATE&amp;creator=factset&amp;DYN_ARGS=TRUE&amp;DOC_NAME=FAT:FQL_AUDITING_CLIENT_TEMPLATE.FAT&amp;display_string=Audit&amp;VAR:KEY=DSVKBEHWRE&amp;VAR:QUERY=RkZfRUJJVERBX09QRVIoUVRSLDQvMS8yMDEwLDYvMzAvMjAxMCwsLFVTRCk=&amp;WINDOW=FIRST_POPUP&amp;HEIGH","T=450&amp;WIDTH=450&amp;START_MAXIMIZED=FALSE&amp;VAR:CALENDAR=US&amp;VAR:SYMBOL=RRC&amp;VAR:INDEX=0"}</definedName>
    <definedName name="_221__FDSAUDITLINK__" localSheetId="1" hidden="1">{"fdsup://directions/FAT Viewer?action=UPDATE&amp;creator=factset&amp;DYN_ARGS=TRUE&amp;DOC_NAME=FAT:FQL_AUDITING_CLIENT_TEMPLATE.FAT&amp;display_string=Audit&amp;VAR:KEY=ZGBSLYDWHA&amp;VAR:QUERY=RkZfRUJJVERBX09QRVIoUVRSLDQvMS8yMDA5LDYvMzAvMjAwOSwsLFVTRCk=&amp;WINDOW=FIRST_POPUP&amp;HEIGH","T=450&amp;WIDTH=450&amp;START_MAXIMIZED=FALSE&amp;VAR:CALENDAR=US&amp;VAR:SYMBOL=ROST&amp;VAR:INDEX=0"}</definedName>
    <definedName name="_221__FDSAUDITLINK__" hidden="1">{"fdsup://directions/FAT Viewer?action=UPDATE&amp;creator=factset&amp;DYN_ARGS=TRUE&amp;DOC_NAME=FAT:FQL_AUDITING_CLIENT_TEMPLATE.FAT&amp;display_string=Audit&amp;VAR:KEY=ZGBSLYDWHA&amp;VAR:QUERY=RkZfRUJJVERBX09QRVIoUVRSLDQvMS8yMDA5LDYvMzAvMjAwOSwsLFVTRCk=&amp;WINDOW=FIRST_POPUP&amp;HEIGH","T=450&amp;WIDTH=450&amp;START_MAXIMIZED=FALSE&amp;VAR:CALENDAR=US&amp;VAR:SYMBOL=ROST&amp;VAR:INDEX=0"}</definedName>
    <definedName name="_222__FDSAUDITLINK__" localSheetId="1" hidden="1">{"fdsup://directions/FAT Viewer?action=UPDATE&amp;creator=factset&amp;DYN_ARGS=TRUE&amp;DOC_NAME=FAT:FQL_AUDITING_CLIENT_TEMPLATE.FAT&amp;display_string=Audit&amp;VAR:KEY=HKVUFKFQTU&amp;VAR:QUERY=RkZfRUJJVERBX09QRVIoUVRSLDQvMS8yMDEwLDYvMzAvMjAxMCwsLFVTRCk=&amp;WINDOW=FIRST_POPUP&amp;HEIGH","T=450&amp;WIDTH=450&amp;START_MAXIMIZED=FALSE&amp;VAR:CALENDAR=US&amp;VAR:SYMBOL=ROST&amp;VAR:INDEX=0"}</definedName>
    <definedName name="_222__FDSAUDITLINK__" hidden="1">{"fdsup://directions/FAT Viewer?action=UPDATE&amp;creator=factset&amp;DYN_ARGS=TRUE&amp;DOC_NAME=FAT:FQL_AUDITING_CLIENT_TEMPLATE.FAT&amp;display_string=Audit&amp;VAR:KEY=HKVUFKFQTU&amp;VAR:QUERY=RkZfRUJJVERBX09QRVIoUVRSLDQvMS8yMDEwLDYvMzAvMjAxMCwsLFVTRCk=&amp;WINDOW=FIRST_POPUP&amp;HEIGH","T=450&amp;WIDTH=450&amp;START_MAXIMIZED=FALSE&amp;VAR:CALENDAR=US&amp;VAR:SYMBOL=ROST&amp;VAR:INDEX=0"}</definedName>
    <definedName name="_223__FDSAUDITLINK__" localSheetId="1" hidden="1">{"fdsup://directions/FAT Viewer?action=UPDATE&amp;creator=factset&amp;DYN_ARGS=TRUE&amp;DOC_NAME=FAT:FQL_AUDITING_CLIENT_TEMPLATE.FAT&amp;display_string=Audit&amp;VAR:KEY=NKFQFQRSXS&amp;VAR:QUERY=RkZfRUJJVERBX09QRVIoUVRSLDQvMS8yMDA5LDYvMzAvMjAwOSwsLFVTRCk=&amp;WINDOW=FIRST_POPUP&amp;HEIGH","T=450&amp;WIDTH=450&amp;START_MAXIMIZED=FALSE&amp;VAR:CALENDAR=US&amp;VAR:SYMBOL=ROP&amp;VAR:INDEX=0"}</definedName>
    <definedName name="_223__FDSAUDITLINK__" hidden="1">{"fdsup://directions/FAT Viewer?action=UPDATE&amp;creator=factset&amp;DYN_ARGS=TRUE&amp;DOC_NAME=FAT:FQL_AUDITING_CLIENT_TEMPLATE.FAT&amp;display_string=Audit&amp;VAR:KEY=NKFQFQRSXS&amp;VAR:QUERY=RkZfRUJJVERBX09QRVIoUVRSLDQvMS8yMDA5LDYvMzAvMjAwOSwsLFVTRCk=&amp;WINDOW=FIRST_POPUP&amp;HEIGH","T=450&amp;WIDTH=450&amp;START_MAXIMIZED=FALSE&amp;VAR:CALENDAR=US&amp;VAR:SYMBOL=ROP&amp;VAR:INDEX=0"}</definedName>
    <definedName name="_224__FDSAUDITLINK__" localSheetId="1" hidden="1">{"fdsup://directions/FAT Viewer?action=UPDATE&amp;creator=factset&amp;DYN_ARGS=TRUE&amp;DOC_NAME=FAT:FQL_AUDITING_CLIENT_TEMPLATE.FAT&amp;display_string=Audit&amp;VAR:KEY=XWZQNWLOHU&amp;VAR:QUERY=RkZfRUJJVERBX09QRVIoUVRSLDQvMS8yMDEwLDYvMzAvMjAxMCwsLFVTRCk=&amp;WINDOW=FIRST_POPUP&amp;HEIGH","T=450&amp;WIDTH=450&amp;START_MAXIMIZED=FALSE&amp;VAR:CALENDAR=US&amp;VAR:SYMBOL=ROP&amp;VAR:INDEX=0"}</definedName>
    <definedName name="_224__FDSAUDITLINK__" hidden="1">{"fdsup://directions/FAT Viewer?action=UPDATE&amp;creator=factset&amp;DYN_ARGS=TRUE&amp;DOC_NAME=FAT:FQL_AUDITING_CLIENT_TEMPLATE.FAT&amp;display_string=Audit&amp;VAR:KEY=XWZQNWLOHU&amp;VAR:QUERY=RkZfRUJJVERBX09QRVIoUVRSLDQvMS8yMDEwLDYvMzAvMjAxMCwsLFVTRCk=&amp;WINDOW=FIRST_POPUP&amp;HEIGH","T=450&amp;WIDTH=450&amp;START_MAXIMIZED=FALSE&amp;VAR:CALENDAR=US&amp;VAR:SYMBOL=ROP&amp;VAR:INDEX=0"}</definedName>
    <definedName name="_225__FDSAUDITLINK__" localSheetId="1" hidden="1">{"fdsup://directions/FAT Viewer?action=UPDATE&amp;creator=factset&amp;DYN_ARGS=TRUE&amp;DOC_NAME=FAT:FQL_AUDITING_CLIENT_TEMPLATE.FAT&amp;display_string=Audit&amp;VAR:KEY=VYJQZIHMTG&amp;VAR:QUERY=RkZfRUJJVERBX09QRVIoUVRSLDQvMS8yMDA5LDYvMzAvMjAwOSwsLFVTRCk=&amp;WINDOW=FIRST_POPUP&amp;HEIGH","T=450&amp;WIDTH=450&amp;START_MAXIMIZED=FALSE&amp;VAR:CALENDAR=US&amp;VAR:SYMBOL=ROK&amp;VAR:INDEX=0"}</definedName>
    <definedName name="_225__FDSAUDITLINK__" hidden="1">{"fdsup://directions/FAT Viewer?action=UPDATE&amp;creator=factset&amp;DYN_ARGS=TRUE&amp;DOC_NAME=FAT:FQL_AUDITING_CLIENT_TEMPLATE.FAT&amp;display_string=Audit&amp;VAR:KEY=VYJQZIHMTG&amp;VAR:QUERY=RkZfRUJJVERBX09QRVIoUVRSLDQvMS8yMDA5LDYvMzAvMjAwOSwsLFVTRCk=&amp;WINDOW=FIRST_POPUP&amp;HEIGH","T=450&amp;WIDTH=450&amp;START_MAXIMIZED=FALSE&amp;VAR:CALENDAR=US&amp;VAR:SYMBOL=ROK&amp;VAR:INDEX=0"}</definedName>
    <definedName name="_226__FDSAUDITLINK__" localSheetId="1" hidden="1">{"fdsup://directions/FAT Viewer?action=UPDATE&amp;creator=factset&amp;DYN_ARGS=TRUE&amp;DOC_NAME=FAT:FQL_AUDITING_CLIENT_TEMPLATE.FAT&amp;display_string=Audit&amp;VAR:KEY=NIVEJCDGJE&amp;VAR:QUERY=RkZfRUJJVERBX09QRVIoUVRSLDQvMS8yMDEwLDYvMzAvMjAxMCwsLFVTRCk=&amp;WINDOW=FIRST_POPUP&amp;HEIGH","T=450&amp;WIDTH=450&amp;START_MAXIMIZED=FALSE&amp;VAR:CALENDAR=US&amp;VAR:SYMBOL=ROK&amp;VAR:INDEX=0"}</definedName>
    <definedName name="_226__FDSAUDITLINK__" hidden="1">{"fdsup://directions/FAT Viewer?action=UPDATE&amp;creator=factset&amp;DYN_ARGS=TRUE&amp;DOC_NAME=FAT:FQL_AUDITING_CLIENT_TEMPLATE.FAT&amp;display_string=Audit&amp;VAR:KEY=NIVEJCDGJE&amp;VAR:QUERY=RkZfRUJJVERBX09QRVIoUVRSLDQvMS8yMDEwLDYvMzAvMjAxMCwsLFVTRCk=&amp;WINDOW=FIRST_POPUP&amp;HEIGH","T=450&amp;WIDTH=450&amp;START_MAXIMIZED=FALSE&amp;VAR:CALENDAR=US&amp;VAR:SYMBOL=ROK&amp;VAR:INDEX=0"}</definedName>
    <definedName name="_227__FDSAUDITLINK__" localSheetId="1" hidden="1">{"fdsup://directions/FAT Viewer?action=UPDATE&amp;creator=factset&amp;DYN_ARGS=TRUE&amp;DOC_NAME=FAT:FQL_AUDITING_CLIENT_TEMPLATE.FAT&amp;display_string=Audit&amp;VAR:KEY=BGVILEHQPS&amp;VAR:QUERY=RkZfRUJJVERBX09QRVIoUVRSLDQvMS8yMDA5LDYvMzAvMjAwOSwsLFVTRCk=&amp;WINDOW=FIRST_POPUP&amp;HEIGH","T=450&amp;WIDTH=450&amp;START_MAXIMIZED=FALSE&amp;VAR:CALENDAR=US&amp;VAR:SYMBOL=RL&amp;VAR:INDEX=0"}</definedName>
    <definedName name="_227__FDSAUDITLINK__" hidden="1">{"fdsup://directions/FAT Viewer?action=UPDATE&amp;creator=factset&amp;DYN_ARGS=TRUE&amp;DOC_NAME=FAT:FQL_AUDITING_CLIENT_TEMPLATE.FAT&amp;display_string=Audit&amp;VAR:KEY=BGVILEHQPS&amp;VAR:QUERY=RkZfRUJJVERBX09QRVIoUVRSLDQvMS8yMDA5LDYvMzAvMjAwOSwsLFVTRCk=&amp;WINDOW=FIRST_POPUP&amp;HEIGH","T=450&amp;WIDTH=450&amp;START_MAXIMIZED=FALSE&amp;VAR:CALENDAR=US&amp;VAR:SYMBOL=RL&amp;VAR:INDEX=0"}</definedName>
    <definedName name="_228__FDSAUDITLINK__" localSheetId="1" hidden="1">{"fdsup://directions/FAT Viewer?action=UPDATE&amp;creator=factset&amp;DYN_ARGS=TRUE&amp;DOC_NAME=FAT:FQL_AUDITING_CLIENT_TEMPLATE.FAT&amp;display_string=Audit&amp;VAR:KEY=RUFCBCXSDU&amp;VAR:QUERY=RkZfRUJJVERBX09QRVIoUVRSLDQvMS8yMDEwLDYvMzAvMjAxMCwsLFVTRCk=&amp;WINDOW=FIRST_POPUP&amp;HEIGH","T=450&amp;WIDTH=450&amp;START_MAXIMIZED=FALSE&amp;VAR:CALENDAR=US&amp;VAR:SYMBOL=RL&amp;VAR:INDEX=0"}</definedName>
    <definedName name="_228__FDSAUDITLINK__" hidden="1">{"fdsup://directions/FAT Viewer?action=UPDATE&amp;creator=factset&amp;DYN_ARGS=TRUE&amp;DOC_NAME=FAT:FQL_AUDITING_CLIENT_TEMPLATE.FAT&amp;display_string=Audit&amp;VAR:KEY=RUFCBCXSDU&amp;VAR:QUERY=RkZfRUJJVERBX09QRVIoUVRSLDQvMS8yMDEwLDYvMzAvMjAxMCwsLFVTRCk=&amp;WINDOW=FIRST_POPUP&amp;HEIGH","T=450&amp;WIDTH=450&amp;START_MAXIMIZED=FALSE&amp;VAR:CALENDAR=US&amp;VAR:SYMBOL=RL&amp;VAR:INDEX=0"}</definedName>
    <definedName name="_229__FDSAUDITLINK__" localSheetId="1" hidden="1">{"fdsup://directions/FAT Viewer?action=UPDATE&amp;creator=factset&amp;DYN_ARGS=TRUE&amp;DOC_NAME=FAT:FQL_AUDITING_CLIENT_TEMPLATE.FAT&amp;display_string=Audit&amp;VAR:KEY=FMRWDADEFC&amp;VAR:QUERY=RkZfRUJJVERBX09QRVIoUVRSLDQvMS8yMDA5LDYvMzAvMjAwOSwsLFVTRCk=&amp;WINDOW=FIRST_POPUP&amp;HEIGH","T=450&amp;WIDTH=450&amp;START_MAXIMIZED=FALSE&amp;VAR:CALENDAR=US&amp;VAR:SYMBOL=RHT&amp;VAR:INDEX=0"}</definedName>
    <definedName name="_229__FDSAUDITLINK__" hidden="1">{"fdsup://directions/FAT Viewer?action=UPDATE&amp;creator=factset&amp;DYN_ARGS=TRUE&amp;DOC_NAME=FAT:FQL_AUDITING_CLIENT_TEMPLATE.FAT&amp;display_string=Audit&amp;VAR:KEY=FMRWDADEFC&amp;VAR:QUERY=RkZfRUJJVERBX09QRVIoUVRSLDQvMS8yMDA5LDYvMzAvMjAwOSwsLFVTRCk=&amp;WINDOW=FIRST_POPUP&amp;HEIGH","T=450&amp;WIDTH=450&amp;START_MAXIMIZED=FALSE&amp;VAR:CALENDAR=US&amp;VAR:SYMBOL=RHT&amp;VAR:INDEX=0"}</definedName>
    <definedName name="_23__FDSAUDITLINK__" localSheetId="1" hidden="1">{"fdsup://directions/FAT Viewer?action=UPDATE&amp;creator=factset&amp;DYN_ARGS=TRUE&amp;DOC_NAME=FAT:FQL_AUDITING_CLIENT_TEMPLATE.FAT&amp;display_string=Audit&amp;VAR:KEY=TOXUBALQZG&amp;VAR:QUERY=RkZfRUJJVERBX09QRVIoUVRSLDQvMS8yMDA5LDYvMzAvMjAwOSwsLFVTRCk=&amp;WINDOW=FIRST_POPUP&amp;HEIGH","T=450&amp;WIDTH=450&amp;START_MAXIMIZED=FALSE&amp;VAR:CALENDAR=US&amp;VAR:SYMBOL=WYNN&amp;VAR:INDEX=0"}</definedName>
    <definedName name="_23__FDSAUDITLINK__" hidden="1">{"fdsup://directions/FAT Viewer?action=UPDATE&amp;creator=factset&amp;DYN_ARGS=TRUE&amp;DOC_NAME=FAT:FQL_AUDITING_CLIENT_TEMPLATE.FAT&amp;display_string=Audit&amp;VAR:KEY=TOXUBALQZG&amp;VAR:QUERY=RkZfRUJJVERBX09QRVIoUVRSLDQvMS8yMDA5LDYvMzAvMjAwOSwsLFVTRCk=&amp;WINDOW=FIRST_POPUP&amp;HEIGH","T=450&amp;WIDTH=450&amp;START_MAXIMIZED=FALSE&amp;VAR:CALENDAR=US&amp;VAR:SYMBOL=WYNN&amp;VAR:INDEX=0"}</definedName>
    <definedName name="_230__FDSAUDITLINK__" localSheetId="1" hidden="1">{"fdsup://directions/FAT Viewer?action=UPDATE&amp;creator=factset&amp;DYN_ARGS=TRUE&amp;DOC_NAME=FAT:FQL_AUDITING_CLIENT_TEMPLATE.FAT&amp;display_string=Audit&amp;VAR:KEY=ZSXARITWRU&amp;VAR:QUERY=RkZfRUJJVERBX09QRVIoUVRSLDQvMS8yMDEwLDYvMzAvMjAxMCwsLFVTRCk=&amp;WINDOW=FIRST_POPUP&amp;HEIGH","T=450&amp;WIDTH=450&amp;START_MAXIMIZED=FALSE&amp;VAR:CALENDAR=US&amp;VAR:SYMBOL=RHT&amp;VAR:INDEX=0"}</definedName>
    <definedName name="_230__FDSAUDITLINK__" hidden="1">{"fdsup://directions/FAT Viewer?action=UPDATE&amp;creator=factset&amp;DYN_ARGS=TRUE&amp;DOC_NAME=FAT:FQL_AUDITING_CLIENT_TEMPLATE.FAT&amp;display_string=Audit&amp;VAR:KEY=ZSXARITWRU&amp;VAR:QUERY=RkZfRUJJVERBX09QRVIoUVRSLDQvMS8yMDEwLDYvMzAvMjAxMCwsLFVTRCk=&amp;WINDOW=FIRST_POPUP&amp;HEIGH","T=450&amp;WIDTH=450&amp;START_MAXIMIZED=FALSE&amp;VAR:CALENDAR=US&amp;VAR:SYMBOL=RHT&amp;VAR:INDEX=0"}</definedName>
    <definedName name="_231__FDSAUDITLINK__" localSheetId="1" hidden="1">{"fdsup://directions/FAT Viewer?action=UPDATE&amp;creator=factset&amp;DYN_ARGS=TRUE&amp;DOC_NAME=FAT:FQL_AUDITING_CLIENT_TEMPLATE.FAT&amp;display_string=Audit&amp;VAR:KEY=NMPIZKTCPO&amp;VAR:QUERY=RkZfRUJJVERBX09QRVIoUVRSLDQvMS8yMDA5LDYvMzAvMjAwOSwsLFVTRCk=&amp;WINDOW=FIRST_POPUP&amp;HEIGH","T=450&amp;WIDTH=450&amp;START_MAXIMIZED=FALSE&amp;VAR:CALENDAR=US&amp;VAR:SYMBOL=RHI&amp;VAR:INDEX=0"}</definedName>
    <definedName name="_231__FDSAUDITLINK__" hidden="1">{"fdsup://directions/FAT Viewer?action=UPDATE&amp;creator=factset&amp;DYN_ARGS=TRUE&amp;DOC_NAME=FAT:FQL_AUDITING_CLIENT_TEMPLATE.FAT&amp;display_string=Audit&amp;VAR:KEY=NMPIZKTCPO&amp;VAR:QUERY=RkZfRUJJVERBX09QRVIoUVRSLDQvMS8yMDA5LDYvMzAvMjAwOSwsLFVTRCk=&amp;WINDOW=FIRST_POPUP&amp;HEIGH","T=450&amp;WIDTH=450&amp;START_MAXIMIZED=FALSE&amp;VAR:CALENDAR=US&amp;VAR:SYMBOL=RHI&amp;VAR:INDEX=0"}</definedName>
    <definedName name="_232__FDSAUDITLINK__" localSheetId="1" hidden="1">{"fdsup://directions/FAT Viewer?action=UPDATE&amp;creator=factset&amp;DYN_ARGS=TRUE&amp;DOC_NAME=FAT:FQL_AUDITING_CLIENT_TEMPLATE.FAT&amp;display_string=Audit&amp;VAR:KEY=BAFINQXYJK&amp;VAR:QUERY=RkZfRUJJVERBX09QRVIoUVRSLDQvMS8yMDEwLDYvMzAvMjAxMCwsLFVTRCk=&amp;WINDOW=FIRST_POPUP&amp;HEIGH","T=450&amp;WIDTH=450&amp;START_MAXIMIZED=FALSE&amp;VAR:CALENDAR=US&amp;VAR:SYMBOL=RHI&amp;VAR:INDEX=0"}</definedName>
    <definedName name="_232__FDSAUDITLINK__" hidden="1">{"fdsup://directions/FAT Viewer?action=UPDATE&amp;creator=factset&amp;DYN_ARGS=TRUE&amp;DOC_NAME=FAT:FQL_AUDITING_CLIENT_TEMPLATE.FAT&amp;display_string=Audit&amp;VAR:KEY=BAFINQXYJK&amp;VAR:QUERY=RkZfRUJJVERBX09QRVIoUVRSLDQvMS8yMDEwLDYvMzAvMjAxMCwsLFVTRCk=&amp;WINDOW=FIRST_POPUP&amp;HEIGH","T=450&amp;WIDTH=450&amp;START_MAXIMIZED=FALSE&amp;VAR:CALENDAR=US&amp;VAR:SYMBOL=RHI&amp;VAR:INDEX=0"}</definedName>
    <definedName name="_233__FDSAUDITLINK__" localSheetId="1" hidden="1">{"fdsup://directions/FAT Viewer?action=UPDATE&amp;creator=factset&amp;DYN_ARGS=TRUE&amp;DOC_NAME=FAT:FQL_AUDITING_CLIENT_TEMPLATE.FAT&amp;display_string=Audit&amp;VAR:KEY=FWVIDMRWPC&amp;VAR:QUERY=RkZfRUJJVERBX09QRVIoUVRSLDQvMS8yMDA5LDYvMzAvMjAwOSwsLFVTRCk=&amp;WINDOW=FIRST_POPUP&amp;HEIGH","T=450&amp;WIDTH=450&amp;START_MAXIMIZED=FALSE&amp;VAR:CALENDAR=US&amp;VAR:SYMBOL=RF&amp;VAR:INDEX=0"}</definedName>
    <definedName name="_233__FDSAUDITLINK__" hidden="1">{"fdsup://directions/FAT Viewer?action=UPDATE&amp;creator=factset&amp;DYN_ARGS=TRUE&amp;DOC_NAME=FAT:FQL_AUDITING_CLIENT_TEMPLATE.FAT&amp;display_string=Audit&amp;VAR:KEY=FWVIDMRWPC&amp;VAR:QUERY=RkZfRUJJVERBX09QRVIoUVRSLDQvMS8yMDA5LDYvMzAvMjAwOSwsLFVTRCk=&amp;WINDOW=FIRST_POPUP&amp;HEIGH","T=450&amp;WIDTH=450&amp;START_MAXIMIZED=FALSE&amp;VAR:CALENDAR=US&amp;VAR:SYMBOL=RF&amp;VAR:INDEX=0"}</definedName>
    <definedName name="_234__FDSAUDITLINK__" localSheetId="1" hidden="1">{"fdsup://directions/FAT Viewer?action=UPDATE&amp;creator=factset&amp;DYN_ARGS=TRUE&amp;DOC_NAME=FAT:FQL_AUDITING_CLIENT_TEMPLATE.FAT&amp;display_string=Audit&amp;VAR:KEY=LEJOXSTWRA&amp;VAR:QUERY=RkZfRUJJVERBX09QRVIoUVRSLDQvMS8yMDEwLDYvMzAvMjAxMCwsLFVTRCk=&amp;WINDOW=FIRST_POPUP&amp;HEIGH","T=450&amp;WIDTH=450&amp;START_MAXIMIZED=FALSE&amp;VAR:CALENDAR=US&amp;VAR:SYMBOL=RF&amp;VAR:INDEX=0"}</definedName>
    <definedName name="_234__FDSAUDITLINK__" hidden="1">{"fdsup://directions/FAT Viewer?action=UPDATE&amp;creator=factset&amp;DYN_ARGS=TRUE&amp;DOC_NAME=FAT:FQL_AUDITING_CLIENT_TEMPLATE.FAT&amp;display_string=Audit&amp;VAR:KEY=LEJOXSTWRA&amp;VAR:QUERY=RkZfRUJJVERBX09QRVIoUVRSLDQvMS8yMDEwLDYvMzAvMjAxMCwsLFVTRCk=&amp;WINDOW=FIRST_POPUP&amp;HEIGH","T=450&amp;WIDTH=450&amp;START_MAXIMIZED=FALSE&amp;VAR:CALENDAR=US&amp;VAR:SYMBOL=RF&amp;VAR:INDEX=0"}</definedName>
    <definedName name="_235__FDSAUDITLINK__" localSheetId="1" hidden="1">{"fdsup://directions/FAT Viewer?action=UPDATE&amp;creator=factset&amp;DYN_ARGS=TRUE&amp;DOC_NAME=FAT:FQL_AUDITING_CLIENT_TEMPLATE.FAT&amp;display_string=Audit&amp;VAR:KEY=NOJQDUBABU&amp;VAR:QUERY=RkZfRUJJVERBX09QRVIoUVRSLDQvMS8yMDA5LDYvMzAvMjAwOSwsLFVTRCk=&amp;WINDOW=FIRST_POPUP&amp;HEIGH","T=450&amp;WIDTH=450&amp;START_MAXIMIZED=FALSE&amp;VAR:CALENDAR=US&amp;VAR:SYMBOL=RDC&amp;VAR:INDEX=0"}</definedName>
    <definedName name="_235__FDSAUDITLINK__" hidden="1">{"fdsup://directions/FAT Viewer?action=UPDATE&amp;creator=factset&amp;DYN_ARGS=TRUE&amp;DOC_NAME=FAT:FQL_AUDITING_CLIENT_TEMPLATE.FAT&amp;display_string=Audit&amp;VAR:KEY=NOJQDUBABU&amp;VAR:QUERY=RkZfRUJJVERBX09QRVIoUVRSLDQvMS8yMDA5LDYvMzAvMjAwOSwsLFVTRCk=&amp;WINDOW=FIRST_POPUP&amp;HEIGH","T=450&amp;WIDTH=450&amp;START_MAXIMIZED=FALSE&amp;VAR:CALENDAR=US&amp;VAR:SYMBOL=RDC&amp;VAR:INDEX=0"}</definedName>
    <definedName name="_236__FDSAUDITLINK__" localSheetId="1" hidden="1">{"fdsup://directions/FAT Viewer?action=UPDATE&amp;creator=factset&amp;DYN_ARGS=TRUE&amp;DOC_NAME=FAT:FQL_AUDITING_CLIENT_TEMPLATE.FAT&amp;display_string=Audit&amp;VAR:KEY=BAHQHAPMZM&amp;VAR:QUERY=RkZfRUJJVERBX09QRVIoUVRSLDQvMS8yMDEwLDYvMzAvMjAxMCwsLFVTRCk=&amp;WINDOW=FIRST_POPUP&amp;HEIGH","T=450&amp;WIDTH=450&amp;START_MAXIMIZED=FALSE&amp;VAR:CALENDAR=US&amp;VAR:SYMBOL=RDC&amp;VAR:INDEX=0"}</definedName>
    <definedName name="_236__FDSAUDITLINK__" hidden="1">{"fdsup://directions/FAT Viewer?action=UPDATE&amp;creator=factset&amp;DYN_ARGS=TRUE&amp;DOC_NAME=FAT:FQL_AUDITING_CLIENT_TEMPLATE.FAT&amp;display_string=Audit&amp;VAR:KEY=BAHQHAPMZM&amp;VAR:QUERY=RkZfRUJJVERBX09QRVIoUVRSLDQvMS8yMDEwLDYvMzAvMjAxMCwsLFVTRCk=&amp;WINDOW=FIRST_POPUP&amp;HEIGH","T=450&amp;WIDTH=450&amp;START_MAXIMIZED=FALSE&amp;VAR:CALENDAR=US&amp;VAR:SYMBOL=RDC&amp;VAR:INDEX=0"}</definedName>
    <definedName name="_237__FDSAUDITLINK__" localSheetId="1" hidden="1">{"fdsup://directions/FAT Viewer?action=UPDATE&amp;creator=factset&amp;DYN_ARGS=TRUE&amp;DOC_NAME=FAT:FQL_AUDITING_CLIENT_TEMPLATE.FAT&amp;display_string=Audit&amp;VAR:KEY=BIHMFOJWVG&amp;VAR:QUERY=RkZfRUJJVERBX09QRVIoUVRSLDQvMS8yMDA5LDYvMzAvMjAwOSwsLFVTRCk=&amp;WINDOW=FIRST_POPUP&amp;HEIGH","T=450&amp;WIDTH=450&amp;START_MAXIMIZED=FALSE&amp;VAR:CALENDAR=US&amp;VAR:SYMBOL=RAI&amp;VAR:INDEX=0"}</definedName>
    <definedName name="_237__FDSAUDITLINK__" hidden="1">{"fdsup://directions/FAT Viewer?action=UPDATE&amp;creator=factset&amp;DYN_ARGS=TRUE&amp;DOC_NAME=FAT:FQL_AUDITING_CLIENT_TEMPLATE.FAT&amp;display_string=Audit&amp;VAR:KEY=BIHMFOJWVG&amp;VAR:QUERY=RkZfRUJJVERBX09QRVIoUVRSLDQvMS8yMDA5LDYvMzAvMjAwOSwsLFVTRCk=&amp;WINDOW=FIRST_POPUP&amp;HEIGH","T=450&amp;WIDTH=450&amp;START_MAXIMIZED=FALSE&amp;VAR:CALENDAR=US&amp;VAR:SYMBOL=RAI&amp;VAR:INDEX=0"}</definedName>
    <definedName name="_238__FDSAUDITLINK__" localSheetId="1" hidden="1">{"fdsup://directions/FAT Viewer?action=UPDATE&amp;creator=factset&amp;DYN_ARGS=TRUE&amp;DOC_NAME=FAT:FQL_AUDITING_CLIENT_TEMPLATE.FAT&amp;display_string=Audit&amp;VAR:KEY=HKVILWBGJG&amp;VAR:QUERY=RkZfRUJJVERBX09QRVIoUVRSLDQvMS8yMDEwLDYvMzAvMjAxMCwsLFVTRCk=&amp;WINDOW=FIRST_POPUP&amp;HEIGH","T=450&amp;WIDTH=450&amp;START_MAXIMIZED=FALSE&amp;VAR:CALENDAR=US&amp;VAR:SYMBOL=RAI&amp;VAR:INDEX=0"}</definedName>
    <definedName name="_238__FDSAUDITLINK__" hidden="1">{"fdsup://directions/FAT Viewer?action=UPDATE&amp;creator=factset&amp;DYN_ARGS=TRUE&amp;DOC_NAME=FAT:FQL_AUDITING_CLIENT_TEMPLATE.FAT&amp;display_string=Audit&amp;VAR:KEY=HKVILWBGJG&amp;VAR:QUERY=RkZfRUJJVERBX09QRVIoUVRSLDQvMS8yMDEwLDYvMzAvMjAxMCwsLFVTRCk=&amp;WINDOW=FIRST_POPUP&amp;HEIGH","T=450&amp;WIDTH=450&amp;START_MAXIMIZED=FALSE&amp;VAR:CALENDAR=US&amp;VAR:SYMBOL=RAI&amp;VAR:INDEX=0"}</definedName>
    <definedName name="_239__FDSAUDITLINK__" localSheetId="1" hidden="1">{"fdsup://directions/FAT Viewer?action=UPDATE&amp;creator=factset&amp;DYN_ARGS=TRUE&amp;DOC_NAME=FAT:FQL_AUDITING_CLIENT_TEMPLATE.FAT&amp;display_string=Audit&amp;VAR:KEY=DGLCBEPGVO&amp;VAR:QUERY=RkZfRUJJVERBX09QRVIoUVRSLDQvMS8yMDA5LDYvMzAvMjAwOSwsLFVTRCk=&amp;WINDOW=FIRST_POPUP&amp;HEIGH","T=450&amp;WIDTH=450&amp;START_MAXIMIZED=FALSE&amp;VAR:CALENDAR=US&amp;VAR:SYMBOL=R&amp;VAR:INDEX=0"}</definedName>
    <definedName name="_239__FDSAUDITLINK__" hidden="1">{"fdsup://directions/FAT Viewer?action=UPDATE&amp;creator=factset&amp;DYN_ARGS=TRUE&amp;DOC_NAME=FAT:FQL_AUDITING_CLIENT_TEMPLATE.FAT&amp;display_string=Audit&amp;VAR:KEY=DGLCBEPGVO&amp;VAR:QUERY=RkZfRUJJVERBX09QRVIoUVRSLDQvMS8yMDA5LDYvMzAvMjAwOSwsLFVTRCk=&amp;WINDOW=FIRST_POPUP&amp;HEIGH","T=450&amp;WIDTH=450&amp;START_MAXIMIZED=FALSE&amp;VAR:CALENDAR=US&amp;VAR:SYMBOL=R&amp;VAR:INDEX=0"}</definedName>
    <definedName name="_24__FDSAUDITLINK__" localSheetId="1" hidden="1">{"fdsup://directions/FAT Viewer?action=UPDATE&amp;creator=factset&amp;DYN_ARGS=TRUE&amp;DOC_NAME=FAT:FQL_AUDITING_CLIENT_TEMPLATE.FAT&amp;display_string=Audit&amp;VAR:KEY=DCPIFIFMNU&amp;VAR:QUERY=RkZfRUJJVERBX09QRVIoUVRSLDQvMS8yMDEwLDYvMzAvMjAxMCwsLFVTRCk=&amp;WINDOW=FIRST_POPUP&amp;HEIGH","T=450&amp;WIDTH=450&amp;START_MAXIMIZED=FALSE&amp;VAR:CALENDAR=US&amp;VAR:SYMBOL=WYNN&amp;VAR:INDEX=0"}</definedName>
    <definedName name="_24__FDSAUDITLINK__" hidden="1">{"fdsup://directions/FAT Viewer?action=UPDATE&amp;creator=factset&amp;DYN_ARGS=TRUE&amp;DOC_NAME=FAT:FQL_AUDITING_CLIENT_TEMPLATE.FAT&amp;display_string=Audit&amp;VAR:KEY=DCPIFIFMNU&amp;VAR:QUERY=RkZfRUJJVERBX09QRVIoUVRSLDQvMS8yMDEwLDYvMzAvMjAxMCwsLFVTRCk=&amp;WINDOW=FIRST_POPUP&amp;HEIGH","T=450&amp;WIDTH=450&amp;START_MAXIMIZED=FALSE&amp;VAR:CALENDAR=US&amp;VAR:SYMBOL=WYNN&amp;VAR:INDEX=0"}</definedName>
    <definedName name="_240__FDSAUDITLINK__" localSheetId="1" hidden="1">{"fdsup://directions/FAT Viewer?action=UPDATE&amp;creator=factset&amp;DYN_ARGS=TRUE&amp;DOC_NAME=FAT:FQL_AUDITING_CLIENT_TEMPLATE.FAT&amp;display_string=Audit&amp;VAR:KEY=BYXSTIJCXA&amp;VAR:QUERY=RkZfRUJJVERBX09QRVIoUVRSLDQvMS8yMDEwLDYvMzAvMjAxMCwsLFVTRCk=&amp;WINDOW=FIRST_POPUP&amp;HEIGH","T=450&amp;WIDTH=450&amp;START_MAXIMIZED=FALSE&amp;VAR:CALENDAR=US&amp;VAR:SYMBOL=R&amp;VAR:INDEX=0"}</definedName>
    <definedName name="_240__FDSAUDITLINK__" hidden="1">{"fdsup://directions/FAT Viewer?action=UPDATE&amp;creator=factset&amp;DYN_ARGS=TRUE&amp;DOC_NAME=FAT:FQL_AUDITING_CLIENT_TEMPLATE.FAT&amp;display_string=Audit&amp;VAR:KEY=BYXSTIJCXA&amp;VAR:QUERY=RkZfRUJJVERBX09QRVIoUVRSLDQvMS8yMDEwLDYvMzAvMjAxMCwsLFVTRCk=&amp;WINDOW=FIRST_POPUP&amp;HEIGH","T=450&amp;WIDTH=450&amp;START_MAXIMIZED=FALSE&amp;VAR:CALENDAR=US&amp;VAR:SYMBOL=R&amp;VAR:INDEX=0"}</definedName>
    <definedName name="_241__FDSAUDITLINK__" localSheetId="1" hidden="1">{"fdsup://directions/FAT Viewer?action=UPDATE&amp;creator=factset&amp;DYN_ARGS=TRUE&amp;DOC_NAME=FAT:FQL_AUDITING_CLIENT_TEMPLATE.FAT&amp;display_string=Audit&amp;VAR:KEY=VEHCPYZOXY&amp;VAR:QUERY=RkZfRUJJVERBX09QRVIoUVRSLDQvMS8yMDA5LDYvMzAvMjAwOSwsLFVTRCk=&amp;WINDOW=FIRST_POPUP&amp;HEIGH","T=450&amp;WIDTH=450&amp;START_MAXIMIZED=FALSE&amp;VAR:CALENDAR=US&amp;VAR:SYMBOL=QLGC&amp;VAR:INDEX=0"}</definedName>
    <definedName name="_241__FDSAUDITLINK__" hidden="1">{"fdsup://directions/FAT Viewer?action=UPDATE&amp;creator=factset&amp;DYN_ARGS=TRUE&amp;DOC_NAME=FAT:FQL_AUDITING_CLIENT_TEMPLATE.FAT&amp;display_string=Audit&amp;VAR:KEY=VEHCPYZOXY&amp;VAR:QUERY=RkZfRUJJVERBX09QRVIoUVRSLDQvMS8yMDA5LDYvMzAvMjAwOSwsLFVTRCk=&amp;WINDOW=FIRST_POPUP&amp;HEIGH","T=450&amp;WIDTH=450&amp;START_MAXIMIZED=FALSE&amp;VAR:CALENDAR=US&amp;VAR:SYMBOL=QLGC&amp;VAR:INDEX=0"}</definedName>
    <definedName name="_242__FDSAUDITLINK__" localSheetId="1" hidden="1">{"fdsup://directions/FAT Viewer?action=UPDATE&amp;creator=factset&amp;DYN_ARGS=TRUE&amp;DOC_NAME=FAT:FQL_AUDITING_CLIENT_TEMPLATE.FAT&amp;display_string=Audit&amp;VAR:KEY=BKNMVUNOXK&amp;VAR:QUERY=RkZfRUJJVERBX09QRVIoUVRSLDQvMS8yMDEwLDYvMzAvMjAxMCwsLFVTRCk=&amp;WINDOW=FIRST_POPUP&amp;HEIGH","T=450&amp;WIDTH=450&amp;START_MAXIMIZED=FALSE&amp;VAR:CALENDAR=US&amp;VAR:SYMBOL=QLGC&amp;VAR:INDEX=0"}</definedName>
    <definedName name="_242__FDSAUDITLINK__" hidden="1">{"fdsup://directions/FAT Viewer?action=UPDATE&amp;creator=factset&amp;DYN_ARGS=TRUE&amp;DOC_NAME=FAT:FQL_AUDITING_CLIENT_TEMPLATE.FAT&amp;display_string=Audit&amp;VAR:KEY=BKNMVUNOXK&amp;VAR:QUERY=RkZfRUJJVERBX09QRVIoUVRSLDQvMS8yMDEwLDYvMzAvMjAxMCwsLFVTRCk=&amp;WINDOW=FIRST_POPUP&amp;HEIGH","T=450&amp;WIDTH=450&amp;START_MAXIMIZED=FALSE&amp;VAR:CALENDAR=US&amp;VAR:SYMBOL=QLGC&amp;VAR:INDEX=0"}</definedName>
    <definedName name="_243__FDSAUDITLINK__" localSheetId="1" hidden="1">{"fdsup://directions/FAT Viewer?action=UPDATE&amp;creator=factset&amp;DYN_ARGS=TRUE&amp;DOC_NAME=FAT:FQL_AUDITING_CLIENT_TEMPLATE.FAT&amp;display_string=Audit&amp;VAR:KEY=VORMTIVMZE&amp;VAR:QUERY=RkZfRUJJVERBX09QRVIoUVRSLDQvMS8yMDA5LDYvMzAvMjAwOSwsLFVTRCk=&amp;WINDOW=FIRST_POPUP&amp;HEIGH","T=450&amp;WIDTH=450&amp;START_MAXIMIZED=FALSE&amp;VAR:CALENDAR=US&amp;VAR:SYMBOL=QEP&amp;VAR:INDEX=0"}</definedName>
    <definedName name="_243__FDSAUDITLINK__" hidden="1">{"fdsup://directions/FAT Viewer?action=UPDATE&amp;creator=factset&amp;DYN_ARGS=TRUE&amp;DOC_NAME=FAT:FQL_AUDITING_CLIENT_TEMPLATE.FAT&amp;display_string=Audit&amp;VAR:KEY=VORMTIVMZE&amp;VAR:QUERY=RkZfRUJJVERBX09QRVIoUVRSLDQvMS8yMDA5LDYvMzAvMjAwOSwsLFVTRCk=&amp;WINDOW=FIRST_POPUP&amp;HEIGH","T=450&amp;WIDTH=450&amp;START_MAXIMIZED=FALSE&amp;VAR:CALENDAR=US&amp;VAR:SYMBOL=QEP&amp;VAR:INDEX=0"}</definedName>
    <definedName name="_244__FDSAUDITLINK__" localSheetId="1" hidden="1">{"fdsup://directions/FAT Viewer?action=UPDATE&amp;creator=factset&amp;DYN_ARGS=TRUE&amp;DOC_NAME=FAT:FQL_AUDITING_CLIENT_TEMPLATE.FAT&amp;display_string=Audit&amp;VAR:KEY=HUJMPIFYXI&amp;VAR:QUERY=RkZfRUJJVERBX09QRVIoUVRSLDQvMS8yMDEwLDYvMzAvMjAxMCwsLFVTRCk=&amp;WINDOW=FIRST_POPUP&amp;HEIGH","T=450&amp;WIDTH=450&amp;START_MAXIMIZED=FALSE&amp;VAR:CALENDAR=US&amp;VAR:SYMBOL=QEP&amp;VAR:INDEX=0"}</definedName>
    <definedName name="_244__FDSAUDITLINK__" hidden="1">{"fdsup://directions/FAT Viewer?action=UPDATE&amp;creator=factset&amp;DYN_ARGS=TRUE&amp;DOC_NAME=FAT:FQL_AUDITING_CLIENT_TEMPLATE.FAT&amp;display_string=Audit&amp;VAR:KEY=HUJMPIFYXI&amp;VAR:QUERY=RkZfRUJJVERBX09QRVIoUVRSLDQvMS8yMDEwLDYvMzAvMjAxMCwsLFVTRCk=&amp;WINDOW=FIRST_POPUP&amp;HEIGH","T=450&amp;WIDTH=450&amp;START_MAXIMIZED=FALSE&amp;VAR:CALENDAR=US&amp;VAR:SYMBOL=QEP&amp;VAR:INDEX=0"}</definedName>
    <definedName name="_245__FDSAUDITLINK__" localSheetId="1" hidden="1">{"fdsup://directions/FAT Viewer?action=UPDATE&amp;creator=factset&amp;DYN_ARGS=TRUE&amp;DOC_NAME=FAT:FQL_AUDITING_CLIENT_TEMPLATE.FAT&amp;display_string=Audit&amp;VAR:KEY=LMLSLUBWVY&amp;VAR:QUERY=RkZfRUJJVERBX09QRVIoUVRSLDQvMS8yMDA5LDYvMzAvMjAwOSwsLFVTRCk=&amp;WINDOW=FIRST_POPUP&amp;HEIGH","T=450&amp;WIDTH=450&amp;START_MAXIMIZED=FALSE&amp;VAR:CALENDAR=US&amp;VAR:SYMBOL=QCOM&amp;VAR:INDEX=0"}</definedName>
    <definedName name="_245__FDSAUDITLINK__" hidden="1">{"fdsup://directions/FAT Viewer?action=UPDATE&amp;creator=factset&amp;DYN_ARGS=TRUE&amp;DOC_NAME=FAT:FQL_AUDITING_CLIENT_TEMPLATE.FAT&amp;display_string=Audit&amp;VAR:KEY=LMLSLUBWVY&amp;VAR:QUERY=RkZfRUJJVERBX09QRVIoUVRSLDQvMS8yMDA5LDYvMzAvMjAwOSwsLFVTRCk=&amp;WINDOW=FIRST_POPUP&amp;HEIGH","T=450&amp;WIDTH=450&amp;START_MAXIMIZED=FALSE&amp;VAR:CALENDAR=US&amp;VAR:SYMBOL=QCOM&amp;VAR:INDEX=0"}</definedName>
    <definedName name="_246__FDSAUDITLINK__" localSheetId="1" hidden="1">{"fdsup://directions/FAT Viewer?action=UPDATE&amp;creator=factset&amp;DYN_ARGS=TRUE&amp;DOC_NAME=FAT:FQL_AUDITING_CLIENT_TEMPLATE.FAT&amp;display_string=Audit&amp;VAR:KEY=VMXURULYBA&amp;VAR:QUERY=RkZfRUJJVERBX09QRVIoUVRSLDQvMS8yMDEwLDYvMzAvMjAxMCwsLFVTRCk=&amp;WINDOW=FIRST_POPUP&amp;HEIGH","T=450&amp;WIDTH=450&amp;START_MAXIMIZED=FALSE&amp;VAR:CALENDAR=US&amp;VAR:SYMBOL=QCOM&amp;VAR:INDEX=0"}</definedName>
    <definedName name="_246__FDSAUDITLINK__" hidden="1">{"fdsup://directions/FAT Viewer?action=UPDATE&amp;creator=factset&amp;DYN_ARGS=TRUE&amp;DOC_NAME=FAT:FQL_AUDITING_CLIENT_TEMPLATE.FAT&amp;display_string=Audit&amp;VAR:KEY=VMXURULYBA&amp;VAR:QUERY=RkZfRUJJVERBX09QRVIoUVRSLDQvMS8yMDEwLDYvMzAvMjAxMCwsLFVTRCk=&amp;WINDOW=FIRST_POPUP&amp;HEIGH","T=450&amp;WIDTH=450&amp;START_MAXIMIZED=FALSE&amp;VAR:CALENDAR=US&amp;VAR:SYMBOL=QCOM&amp;VAR:INDEX=0"}</definedName>
    <definedName name="_247__FDSAUDITLINK__" localSheetId="1" hidden="1">{"fdsup://directions/FAT Viewer?action=UPDATE&amp;creator=factset&amp;DYN_ARGS=TRUE&amp;DOC_NAME=FAT:FQL_AUDITING_CLIENT_TEMPLATE.FAT&amp;display_string=Audit&amp;VAR:KEY=NCLCDMPKBU&amp;VAR:QUERY=RkZfRUJJVERBX09QRVIoUVRSLDQvMS8yMDA5LDYvMzAvMjAwOSwsLFVTRCk=&amp;WINDOW=FIRST_POPUP&amp;HEIGH","T=450&amp;WIDTH=450&amp;START_MAXIMIZED=FALSE&amp;VAR:CALENDAR=US&amp;VAR:SYMBOL=Q&amp;VAR:INDEX=0"}</definedName>
    <definedName name="_247__FDSAUDITLINK__" hidden="1">{"fdsup://directions/FAT Viewer?action=UPDATE&amp;creator=factset&amp;DYN_ARGS=TRUE&amp;DOC_NAME=FAT:FQL_AUDITING_CLIENT_TEMPLATE.FAT&amp;display_string=Audit&amp;VAR:KEY=NCLCDMPKBU&amp;VAR:QUERY=RkZfRUJJVERBX09QRVIoUVRSLDQvMS8yMDA5LDYvMzAvMjAwOSwsLFVTRCk=&amp;WINDOW=FIRST_POPUP&amp;HEIGH","T=450&amp;WIDTH=450&amp;START_MAXIMIZED=FALSE&amp;VAR:CALENDAR=US&amp;VAR:SYMBOL=Q&amp;VAR:INDEX=0"}</definedName>
    <definedName name="_248__FDSAUDITLINK__" localSheetId="1" hidden="1">{"fdsup://directions/FAT Viewer?action=UPDATE&amp;creator=factset&amp;DYN_ARGS=TRUE&amp;DOC_NAME=FAT:FQL_AUDITING_CLIENT_TEMPLATE.FAT&amp;display_string=Audit&amp;VAR:KEY=NINIHQHIPO&amp;VAR:QUERY=RkZfRUJJVERBX09QRVIoUVRSLDQvMS8yMDEwLDYvMzAvMjAxMCwsLFVTRCk=&amp;WINDOW=FIRST_POPUP&amp;HEIGH","T=450&amp;WIDTH=450&amp;START_MAXIMIZED=FALSE&amp;VAR:CALENDAR=US&amp;VAR:SYMBOL=Q&amp;VAR:INDEX=0"}</definedName>
    <definedName name="_248__FDSAUDITLINK__" hidden="1">{"fdsup://directions/FAT Viewer?action=UPDATE&amp;creator=factset&amp;DYN_ARGS=TRUE&amp;DOC_NAME=FAT:FQL_AUDITING_CLIENT_TEMPLATE.FAT&amp;display_string=Audit&amp;VAR:KEY=NINIHQHIPO&amp;VAR:QUERY=RkZfRUJJVERBX09QRVIoUVRSLDQvMS8yMDEwLDYvMzAvMjAxMCwsLFVTRCk=&amp;WINDOW=FIRST_POPUP&amp;HEIGH","T=450&amp;WIDTH=450&amp;START_MAXIMIZED=FALSE&amp;VAR:CALENDAR=US&amp;VAR:SYMBOL=Q&amp;VAR:INDEX=0"}</definedName>
    <definedName name="_249__FDSAUDITLINK__" localSheetId="1" hidden="1">{"fdsup://directions/FAT Viewer?action=UPDATE&amp;creator=factset&amp;DYN_ARGS=TRUE&amp;DOC_NAME=FAT:FQL_AUDITING_CLIENT_TEMPLATE.FAT&amp;display_string=Audit&amp;VAR:KEY=LQNQPGDQJK&amp;VAR:QUERY=RkZfRUJJVERBX09QRVIoUVRSLDQvMS8yMDA5LDYvMzAvMjAwOSwsLFVTRCk=&amp;WINDOW=FIRST_POPUP&amp;HEIGH","T=450&amp;WIDTH=450&amp;START_MAXIMIZED=FALSE&amp;VAR:CALENDAR=US&amp;VAR:SYMBOL=PXD&amp;VAR:INDEX=0"}</definedName>
    <definedName name="_249__FDSAUDITLINK__" hidden="1">{"fdsup://directions/FAT Viewer?action=UPDATE&amp;creator=factset&amp;DYN_ARGS=TRUE&amp;DOC_NAME=FAT:FQL_AUDITING_CLIENT_TEMPLATE.FAT&amp;display_string=Audit&amp;VAR:KEY=LQNQPGDQJK&amp;VAR:QUERY=RkZfRUJJVERBX09QRVIoUVRSLDQvMS8yMDA5LDYvMzAvMjAwOSwsLFVTRCk=&amp;WINDOW=FIRST_POPUP&amp;HEIGH","T=450&amp;WIDTH=450&amp;START_MAXIMIZED=FALSE&amp;VAR:CALENDAR=US&amp;VAR:SYMBOL=PXD&amp;VAR:INDEX=0"}</definedName>
    <definedName name="_25__FDSAUDITLINK__" localSheetId="1" hidden="1">{"fdsup://directions/FAT Viewer?action=UPDATE&amp;creator=factset&amp;DYN_ARGS=TRUE&amp;DOC_NAME=FAT:FQL_AUDITING_CLIENT_TEMPLATE.FAT&amp;display_string=Audit&amp;VAR:KEY=BSHUTKFQTQ&amp;VAR:QUERY=RkZfRUJJVERBX09QRVIoUVRSLDQvMS8yMDA5LDYvMzAvMjAwOSwsLFVTRCk=&amp;WINDOW=FIRST_POPUP&amp;HEIGH","T=450&amp;WIDTH=450&amp;START_MAXIMIZED=FALSE&amp;VAR:CALENDAR=US&amp;VAR:SYMBOL=WYN&amp;VAR:INDEX=0"}</definedName>
    <definedName name="_25__FDSAUDITLINK__" hidden="1">{"fdsup://directions/FAT Viewer?action=UPDATE&amp;creator=factset&amp;DYN_ARGS=TRUE&amp;DOC_NAME=FAT:FQL_AUDITING_CLIENT_TEMPLATE.FAT&amp;display_string=Audit&amp;VAR:KEY=BSHUTKFQTQ&amp;VAR:QUERY=RkZfRUJJVERBX09QRVIoUVRSLDQvMS8yMDA5LDYvMzAvMjAwOSwsLFVTRCk=&amp;WINDOW=FIRST_POPUP&amp;HEIGH","T=450&amp;WIDTH=450&amp;START_MAXIMIZED=FALSE&amp;VAR:CALENDAR=US&amp;VAR:SYMBOL=WYN&amp;VAR:INDEX=0"}</definedName>
    <definedName name="_250__FDSAUDITLINK__" localSheetId="1" hidden="1">{"fdsup://directions/FAT Viewer?action=UPDATE&amp;creator=factset&amp;DYN_ARGS=TRUE&amp;DOC_NAME=FAT:FQL_AUDITING_CLIENT_TEMPLATE.FAT&amp;display_string=Audit&amp;VAR:KEY=PYPOPIFAVQ&amp;VAR:QUERY=RkZfRUJJVERBX09QRVIoUVRSLDQvMS8yMDEwLDYvMzAvMjAxMCwsLFVTRCk=&amp;WINDOW=FIRST_POPUP&amp;HEIGH","T=450&amp;WIDTH=450&amp;START_MAXIMIZED=FALSE&amp;VAR:CALENDAR=US&amp;VAR:SYMBOL=PXD&amp;VAR:INDEX=0"}</definedName>
    <definedName name="_250__FDSAUDITLINK__" hidden="1">{"fdsup://directions/FAT Viewer?action=UPDATE&amp;creator=factset&amp;DYN_ARGS=TRUE&amp;DOC_NAME=FAT:FQL_AUDITING_CLIENT_TEMPLATE.FAT&amp;display_string=Audit&amp;VAR:KEY=PYPOPIFAVQ&amp;VAR:QUERY=RkZfRUJJVERBX09QRVIoUVRSLDQvMS8yMDEwLDYvMzAvMjAxMCwsLFVTRCk=&amp;WINDOW=FIRST_POPUP&amp;HEIGH","T=450&amp;WIDTH=450&amp;START_MAXIMIZED=FALSE&amp;VAR:CALENDAR=US&amp;VAR:SYMBOL=PXD&amp;VAR:INDEX=0"}</definedName>
    <definedName name="_251__FDSAUDITLINK__" localSheetId="1" hidden="1">{"fdsup://directions/FAT Viewer?action=UPDATE&amp;creator=factset&amp;DYN_ARGS=TRUE&amp;DOC_NAME=FAT:FQL_AUDITING_CLIENT_TEMPLATE.FAT&amp;display_string=Audit&amp;VAR:KEY=ZYDCBYBGFI&amp;VAR:QUERY=RkZfRUJJVERBX09QRVIoUVRSLDQvMS8yMDA5LDYvMzAvMjAwOSwsLFVTRCk=&amp;WINDOW=FIRST_POPUP&amp;HEIGH","T=450&amp;WIDTH=450&amp;START_MAXIMIZED=FALSE&amp;VAR:CALENDAR=US&amp;VAR:SYMBOL=PX&amp;VAR:INDEX=0"}</definedName>
    <definedName name="_251__FDSAUDITLINK__" hidden="1">{"fdsup://directions/FAT Viewer?action=UPDATE&amp;creator=factset&amp;DYN_ARGS=TRUE&amp;DOC_NAME=FAT:FQL_AUDITING_CLIENT_TEMPLATE.FAT&amp;display_string=Audit&amp;VAR:KEY=ZYDCBYBGFI&amp;VAR:QUERY=RkZfRUJJVERBX09QRVIoUVRSLDQvMS8yMDA5LDYvMzAvMjAwOSwsLFVTRCk=&amp;WINDOW=FIRST_POPUP&amp;HEIGH","T=450&amp;WIDTH=450&amp;START_MAXIMIZED=FALSE&amp;VAR:CALENDAR=US&amp;VAR:SYMBOL=PX&amp;VAR:INDEX=0"}</definedName>
    <definedName name="_252__FDSAUDITLINK__" localSheetId="1" hidden="1">{"fdsup://directions/FAT Viewer?action=UPDATE&amp;creator=factset&amp;DYN_ARGS=TRUE&amp;DOC_NAME=FAT:FQL_AUDITING_CLIENT_TEMPLATE.FAT&amp;display_string=Audit&amp;VAR:KEY=NEVUZSLSJA&amp;VAR:QUERY=RkZfRUJJVERBX09QRVIoUVRSLDQvMS8yMDEwLDYvMzAvMjAxMCwsLFVTRCk=&amp;WINDOW=FIRST_POPUP&amp;HEIGH","T=450&amp;WIDTH=450&amp;START_MAXIMIZED=FALSE&amp;VAR:CALENDAR=US&amp;VAR:SYMBOL=PX&amp;VAR:INDEX=0"}</definedName>
    <definedName name="_252__FDSAUDITLINK__" hidden="1">{"fdsup://directions/FAT Viewer?action=UPDATE&amp;creator=factset&amp;DYN_ARGS=TRUE&amp;DOC_NAME=FAT:FQL_AUDITING_CLIENT_TEMPLATE.FAT&amp;display_string=Audit&amp;VAR:KEY=NEVUZSLSJA&amp;VAR:QUERY=RkZfRUJJVERBX09QRVIoUVRSLDQvMS8yMDEwLDYvMzAvMjAxMCwsLFVTRCk=&amp;WINDOW=FIRST_POPUP&amp;HEIGH","T=450&amp;WIDTH=450&amp;START_MAXIMIZED=FALSE&amp;VAR:CALENDAR=US&amp;VAR:SYMBOL=PX&amp;VAR:INDEX=0"}</definedName>
    <definedName name="_253__FDSAUDITLINK__" localSheetId="1" hidden="1">{"fdsup://directions/FAT Viewer?action=UPDATE&amp;creator=factset&amp;DYN_ARGS=TRUE&amp;DOC_NAME=FAT:FQL_AUDITING_CLIENT_TEMPLATE.FAT&amp;display_string=Audit&amp;VAR:KEY=LQDYTWLQDS&amp;VAR:QUERY=RkZfRUJJVERBX09QRVIoUVRSLDQvMS8yMDA5LDYvMzAvMjAwOSwsLFVTRCk=&amp;WINDOW=FIRST_POPUP&amp;HEIGH","T=450&amp;WIDTH=450&amp;START_MAXIMIZED=FALSE&amp;VAR:CALENDAR=US&amp;VAR:SYMBOL=PWR&amp;VAR:INDEX=0"}</definedName>
    <definedName name="_253__FDSAUDITLINK__" hidden="1">{"fdsup://directions/FAT Viewer?action=UPDATE&amp;creator=factset&amp;DYN_ARGS=TRUE&amp;DOC_NAME=FAT:FQL_AUDITING_CLIENT_TEMPLATE.FAT&amp;display_string=Audit&amp;VAR:KEY=LQDYTWLQDS&amp;VAR:QUERY=RkZfRUJJVERBX09QRVIoUVRSLDQvMS8yMDA5LDYvMzAvMjAwOSwsLFVTRCk=&amp;WINDOW=FIRST_POPUP&amp;HEIGH","T=450&amp;WIDTH=450&amp;START_MAXIMIZED=FALSE&amp;VAR:CALENDAR=US&amp;VAR:SYMBOL=PWR&amp;VAR:INDEX=0"}</definedName>
    <definedName name="_254__FDSAUDITLINK__" localSheetId="1" hidden="1">{"fdsup://directions/FAT Viewer?action=UPDATE&amp;creator=factset&amp;DYN_ARGS=TRUE&amp;DOC_NAME=FAT:FQL_AUDITING_CLIENT_TEMPLATE.FAT&amp;display_string=Audit&amp;VAR:KEY=BAPOXMBUFG&amp;VAR:QUERY=RkZfRUJJVERBX09QRVIoUVRSLDQvMS8yMDEwLDYvMzAvMjAxMCwsLFVTRCk=&amp;WINDOW=FIRST_POPUP&amp;HEIGH","T=450&amp;WIDTH=450&amp;START_MAXIMIZED=FALSE&amp;VAR:CALENDAR=US&amp;VAR:SYMBOL=PWR&amp;VAR:INDEX=0"}</definedName>
    <definedName name="_254__FDSAUDITLINK__" hidden="1">{"fdsup://directions/FAT Viewer?action=UPDATE&amp;creator=factset&amp;DYN_ARGS=TRUE&amp;DOC_NAME=FAT:FQL_AUDITING_CLIENT_TEMPLATE.FAT&amp;display_string=Audit&amp;VAR:KEY=BAPOXMBUFG&amp;VAR:QUERY=RkZfRUJJVERBX09QRVIoUVRSLDQvMS8yMDEwLDYvMzAvMjAxMCwsLFVTRCk=&amp;WINDOW=FIRST_POPUP&amp;HEIGH","T=450&amp;WIDTH=450&amp;START_MAXIMIZED=FALSE&amp;VAR:CALENDAR=US&amp;VAR:SYMBOL=PWR&amp;VAR:INDEX=0"}</definedName>
    <definedName name="_255__FDSAUDITLINK__" localSheetId="1" hidden="1">{"fdsup://directions/FAT Viewer?action=UPDATE&amp;creator=factset&amp;DYN_ARGS=TRUE&amp;DOC_NAME=FAT:FQL_AUDITING_CLIENT_TEMPLATE.FAT&amp;display_string=Audit&amp;VAR:KEY=LSXWVWVETI&amp;VAR:QUERY=RkZfRUJJVERBX09QRVIoUVRSLDQvMS8yMDA5LDYvMzAvMjAwOSwsLFVTRCk=&amp;WINDOW=FIRST_POPUP&amp;HEIGH","T=450&amp;WIDTH=450&amp;START_MAXIMIZED=FALSE&amp;VAR:CALENDAR=US&amp;VAR:SYMBOL=PTV&amp;VAR:INDEX=0"}</definedName>
    <definedName name="_255__FDSAUDITLINK__" hidden="1">{"fdsup://directions/FAT Viewer?action=UPDATE&amp;creator=factset&amp;DYN_ARGS=TRUE&amp;DOC_NAME=FAT:FQL_AUDITING_CLIENT_TEMPLATE.FAT&amp;display_string=Audit&amp;VAR:KEY=LSXWVWVETI&amp;VAR:QUERY=RkZfRUJJVERBX09QRVIoUVRSLDQvMS8yMDA5LDYvMzAvMjAwOSwsLFVTRCk=&amp;WINDOW=FIRST_POPUP&amp;HEIGH","T=450&amp;WIDTH=450&amp;START_MAXIMIZED=FALSE&amp;VAR:CALENDAR=US&amp;VAR:SYMBOL=PTV&amp;VAR:INDEX=0"}</definedName>
    <definedName name="_256__FDSAUDITLINK__" localSheetId="1" hidden="1">{"fdsup://directions/FAT Viewer?action=UPDATE&amp;creator=factset&amp;DYN_ARGS=TRUE&amp;DOC_NAME=FAT:FQL_AUDITING_CLIENT_TEMPLATE.FAT&amp;display_string=Audit&amp;VAR:KEY=ZYTQLKNSPW&amp;VAR:QUERY=RkZfRUJJVERBX09QRVIoUVRSLDQvMS8yMDEwLDYvMzAvMjAxMCwsLFVTRCk=&amp;WINDOW=FIRST_POPUP&amp;HEIGH","T=450&amp;WIDTH=450&amp;START_MAXIMIZED=FALSE&amp;VAR:CALENDAR=US&amp;VAR:SYMBOL=PTV&amp;VAR:INDEX=0"}</definedName>
    <definedName name="_256__FDSAUDITLINK__" hidden="1">{"fdsup://directions/FAT Viewer?action=UPDATE&amp;creator=factset&amp;DYN_ARGS=TRUE&amp;DOC_NAME=FAT:FQL_AUDITING_CLIENT_TEMPLATE.FAT&amp;display_string=Audit&amp;VAR:KEY=ZYTQLKNSPW&amp;VAR:QUERY=RkZfRUJJVERBX09QRVIoUVRSLDQvMS8yMDEwLDYvMzAvMjAxMCwsLFVTRCk=&amp;WINDOW=FIRST_POPUP&amp;HEIGH","T=450&amp;WIDTH=450&amp;START_MAXIMIZED=FALSE&amp;VAR:CALENDAR=US&amp;VAR:SYMBOL=PTV&amp;VAR:INDEX=0"}</definedName>
    <definedName name="_257__FDSAUDITLINK__" localSheetId="1" hidden="1">{"fdsup://directions/FAT Viewer?action=UPDATE&amp;creator=factset&amp;DYN_ARGS=TRUE&amp;DOC_NAME=FAT:FQL_AUDITING_CLIENT_TEMPLATE.FAT&amp;display_string=Audit&amp;VAR:KEY=FKDUNMPQBY&amp;VAR:QUERY=RkZfRUJJVERBX09QRVIoUVRSLDQvMS8yMDA5LDYvMzAvMjAwOSwsLFVTRCk=&amp;WINDOW=FIRST_POPUP&amp;HEIGH","T=450&amp;WIDTH=450&amp;START_MAXIMIZED=FALSE&amp;VAR:CALENDAR=US&amp;VAR:SYMBOL=PSA&amp;VAR:INDEX=0"}</definedName>
    <definedName name="_257__FDSAUDITLINK__" hidden="1">{"fdsup://directions/FAT Viewer?action=UPDATE&amp;creator=factset&amp;DYN_ARGS=TRUE&amp;DOC_NAME=FAT:FQL_AUDITING_CLIENT_TEMPLATE.FAT&amp;display_string=Audit&amp;VAR:KEY=FKDUNMPQBY&amp;VAR:QUERY=RkZfRUJJVERBX09QRVIoUVRSLDQvMS8yMDA5LDYvMzAvMjAwOSwsLFVTRCk=&amp;WINDOW=FIRST_POPUP&amp;HEIGH","T=450&amp;WIDTH=450&amp;START_MAXIMIZED=FALSE&amp;VAR:CALENDAR=US&amp;VAR:SYMBOL=PSA&amp;VAR:INDEX=0"}</definedName>
    <definedName name="_258__FDSAUDITLINK__" localSheetId="1" hidden="1">{"fdsup://directions/FAT Viewer?action=UPDATE&amp;creator=factset&amp;DYN_ARGS=TRUE&amp;DOC_NAME=FAT:FQL_AUDITING_CLIENT_TEMPLATE.FAT&amp;display_string=Audit&amp;VAR:KEY=VGJSLUPADS&amp;VAR:QUERY=RkZfRUJJVERBX09QRVIoUVRSLDQvMS8yMDEwLDYvMzAvMjAxMCwsLFVTRCk=&amp;WINDOW=FIRST_POPUP&amp;HEIGH","T=450&amp;WIDTH=450&amp;START_MAXIMIZED=FALSE&amp;VAR:CALENDAR=US&amp;VAR:SYMBOL=PSA&amp;VAR:INDEX=0"}</definedName>
    <definedName name="_258__FDSAUDITLINK__" hidden="1">{"fdsup://directions/FAT Viewer?action=UPDATE&amp;creator=factset&amp;DYN_ARGS=TRUE&amp;DOC_NAME=FAT:FQL_AUDITING_CLIENT_TEMPLATE.FAT&amp;display_string=Audit&amp;VAR:KEY=VGJSLUPADS&amp;VAR:QUERY=RkZfRUJJVERBX09QRVIoUVRSLDQvMS8yMDEwLDYvMzAvMjAxMCwsLFVTRCk=&amp;WINDOW=FIRST_POPUP&amp;HEIGH","T=450&amp;WIDTH=450&amp;START_MAXIMIZED=FALSE&amp;VAR:CALENDAR=US&amp;VAR:SYMBOL=PSA&amp;VAR:INDEX=0"}</definedName>
    <definedName name="_259__FDSAUDITLINK__" localSheetId="1" hidden="1">{"fdsup://directions/FAT Viewer?action=UPDATE&amp;creator=factset&amp;DYN_ARGS=TRUE&amp;DOC_NAME=FAT:FQL_AUDITING_CLIENT_TEMPLATE.FAT&amp;display_string=Audit&amp;VAR:KEY=LSLQZARINE&amp;VAR:QUERY=RkZfRUJJVERBX09QRVIoUVRSLDQvMS8yMDA5LDYvMzAvMjAwOSwsLFVTRCk=&amp;WINDOW=FIRST_POPUP&amp;HEIGH","T=450&amp;WIDTH=450&amp;START_MAXIMIZED=FALSE&amp;VAR:CALENDAR=US&amp;VAR:SYMBOL=PRU&amp;VAR:INDEX=0"}</definedName>
    <definedName name="_259__FDSAUDITLINK__" hidden="1">{"fdsup://directions/FAT Viewer?action=UPDATE&amp;creator=factset&amp;DYN_ARGS=TRUE&amp;DOC_NAME=FAT:FQL_AUDITING_CLIENT_TEMPLATE.FAT&amp;display_string=Audit&amp;VAR:KEY=LSLQZARINE&amp;VAR:QUERY=RkZfRUJJVERBX09QRVIoUVRSLDQvMS8yMDA5LDYvMzAvMjAwOSwsLFVTRCk=&amp;WINDOW=FIRST_POPUP&amp;HEIGH","T=450&amp;WIDTH=450&amp;START_MAXIMIZED=FALSE&amp;VAR:CALENDAR=US&amp;VAR:SYMBOL=PRU&amp;VAR:INDEX=0"}</definedName>
    <definedName name="_26__FDSAUDITLINK__" localSheetId="1" hidden="1">{"fdsup://directions/FAT Viewer?action=UPDATE&amp;creator=factset&amp;DYN_ARGS=TRUE&amp;DOC_NAME=FAT:FQL_AUDITING_CLIENT_TEMPLATE.FAT&amp;display_string=Audit&amp;VAR:KEY=FKBOTWFQTY&amp;VAR:QUERY=RkZfRUJJVERBX09QRVIoUVRSLDQvMS8yMDEwLDYvMzAvMjAxMCwsLFVTRCk=&amp;WINDOW=FIRST_POPUP&amp;HEIGH","T=450&amp;WIDTH=450&amp;START_MAXIMIZED=FALSE&amp;VAR:CALENDAR=US&amp;VAR:SYMBOL=WYN&amp;VAR:INDEX=0"}</definedName>
    <definedName name="_26__FDSAUDITLINK__" hidden="1">{"fdsup://directions/FAT Viewer?action=UPDATE&amp;creator=factset&amp;DYN_ARGS=TRUE&amp;DOC_NAME=FAT:FQL_AUDITING_CLIENT_TEMPLATE.FAT&amp;display_string=Audit&amp;VAR:KEY=FKBOTWFQTY&amp;VAR:QUERY=RkZfRUJJVERBX09QRVIoUVRSLDQvMS8yMDEwLDYvMzAvMjAxMCwsLFVTRCk=&amp;WINDOW=FIRST_POPUP&amp;HEIGH","T=450&amp;WIDTH=450&amp;START_MAXIMIZED=FALSE&amp;VAR:CALENDAR=US&amp;VAR:SYMBOL=WYN&amp;VAR:INDEX=0"}</definedName>
    <definedName name="_260__FDSAUDITLINK__" localSheetId="1" hidden="1">{"fdsup://directions/FAT Viewer?action=UPDATE&amp;creator=factset&amp;DYN_ARGS=TRUE&amp;DOC_NAME=FAT:FQL_AUDITING_CLIENT_TEMPLATE.FAT&amp;display_string=Audit&amp;VAR:KEY=HKZGBUXAXG&amp;VAR:QUERY=RkZfRUJJVERBX09QRVIoUVRSLDQvMS8yMDEwLDYvMzAvMjAxMCwsLFVTRCk=&amp;WINDOW=FIRST_POPUP&amp;HEIGH","T=450&amp;WIDTH=450&amp;START_MAXIMIZED=FALSE&amp;VAR:CALENDAR=US&amp;VAR:SYMBOL=PRU&amp;VAR:INDEX=0"}</definedName>
    <definedName name="_260__FDSAUDITLINK__" hidden="1">{"fdsup://directions/FAT Viewer?action=UPDATE&amp;creator=factset&amp;DYN_ARGS=TRUE&amp;DOC_NAME=FAT:FQL_AUDITING_CLIENT_TEMPLATE.FAT&amp;display_string=Audit&amp;VAR:KEY=HKZGBUXAXG&amp;VAR:QUERY=RkZfRUJJVERBX09QRVIoUVRSLDQvMS8yMDEwLDYvMzAvMjAxMCwsLFVTRCk=&amp;WINDOW=FIRST_POPUP&amp;HEIGH","T=450&amp;WIDTH=450&amp;START_MAXIMIZED=FALSE&amp;VAR:CALENDAR=US&amp;VAR:SYMBOL=PRU&amp;VAR:INDEX=0"}</definedName>
    <definedName name="_261__FDSAUDITLINK__" localSheetId="1" hidden="1">{"fdsup://directions/FAT Viewer?action=UPDATE&amp;creator=factset&amp;DYN_ARGS=TRUE&amp;DOC_NAME=FAT:FQL_AUDITING_CLIENT_TEMPLATE.FAT&amp;display_string=Audit&amp;VAR:KEY=VEZCFSZMRO&amp;VAR:QUERY=RkZfRUJJVERBX09QRVIoUVRSLDQvMS8yMDA5LDYvMzAvMjAwOSwsLFVTRCk=&amp;WINDOW=FIRST_POPUP&amp;HEIGH","T=450&amp;WIDTH=450&amp;START_MAXIMIZED=FALSE&amp;VAR:CALENDAR=US&amp;VAR:SYMBOL=PPL&amp;VAR:INDEX=0"}</definedName>
    <definedName name="_261__FDSAUDITLINK__" hidden="1">{"fdsup://directions/FAT Viewer?action=UPDATE&amp;creator=factset&amp;DYN_ARGS=TRUE&amp;DOC_NAME=FAT:FQL_AUDITING_CLIENT_TEMPLATE.FAT&amp;display_string=Audit&amp;VAR:KEY=VEZCFSZMRO&amp;VAR:QUERY=RkZfRUJJVERBX09QRVIoUVRSLDQvMS8yMDA5LDYvMzAvMjAwOSwsLFVTRCk=&amp;WINDOW=FIRST_POPUP&amp;HEIGH","T=450&amp;WIDTH=450&amp;START_MAXIMIZED=FALSE&amp;VAR:CALENDAR=US&amp;VAR:SYMBOL=PPL&amp;VAR:INDEX=0"}</definedName>
    <definedName name="_262__FDSAUDITLINK__" localSheetId="1" hidden="1">{"fdsup://directions/FAT Viewer?action=UPDATE&amp;creator=factset&amp;DYN_ARGS=TRUE&amp;DOC_NAME=FAT:FQL_AUDITING_CLIENT_TEMPLATE.FAT&amp;display_string=Audit&amp;VAR:KEY=FMDWBKVCBA&amp;VAR:QUERY=RkZfRUJJVERBX09QRVIoUVRSLDQvMS8yMDEwLDYvMzAvMjAxMCwsLFVTRCk=&amp;WINDOW=FIRST_POPUP&amp;HEIGH","T=450&amp;WIDTH=450&amp;START_MAXIMIZED=FALSE&amp;VAR:CALENDAR=US&amp;VAR:SYMBOL=PPL&amp;VAR:INDEX=0"}</definedName>
    <definedName name="_262__FDSAUDITLINK__" hidden="1">{"fdsup://directions/FAT Viewer?action=UPDATE&amp;creator=factset&amp;DYN_ARGS=TRUE&amp;DOC_NAME=FAT:FQL_AUDITING_CLIENT_TEMPLATE.FAT&amp;display_string=Audit&amp;VAR:KEY=FMDWBKVCBA&amp;VAR:QUERY=RkZfRUJJVERBX09QRVIoUVRSLDQvMS8yMDEwLDYvMzAvMjAxMCwsLFVTRCk=&amp;WINDOW=FIRST_POPUP&amp;HEIGH","T=450&amp;WIDTH=450&amp;START_MAXIMIZED=FALSE&amp;VAR:CALENDAR=US&amp;VAR:SYMBOL=PPL&amp;VAR:INDEX=0"}</definedName>
    <definedName name="_263__FDSAUDITLINK__" localSheetId="1" hidden="1">{"fdsup://directions/FAT Viewer?action=UPDATE&amp;creator=factset&amp;DYN_ARGS=TRUE&amp;DOC_NAME=FAT:FQL_AUDITING_CLIENT_TEMPLATE.FAT&amp;display_string=Audit&amp;VAR:KEY=NERYVKHSBY&amp;VAR:QUERY=RkZfRUJJVERBX09QRVIoUVRSLDQvMS8yMDA5LDYvMzAvMjAwOSwsLFVTRCk=&amp;WINDOW=FIRST_POPUP&amp;HEIGH","T=450&amp;WIDTH=450&amp;START_MAXIMIZED=FALSE&amp;VAR:CALENDAR=US&amp;VAR:SYMBOL=PPG&amp;VAR:INDEX=0"}</definedName>
    <definedName name="_263__FDSAUDITLINK__" hidden="1">{"fdsup://directions/FAT Viewer?action=UPDATE&amp;creator=factset&amp;DYN_ARGS=TRUE&amp;DOC_NAME=FAT:FQL_AUDITING_CLIENT_TEMPLATE.FAT&amp;display_string=Audit&amp;VAR:KEY=NERYVKHSBY&amp;VAR:QUERY=RkZfRUJJVERBX09QRVIoUVRSLDQvMS8yMDA5LDYvMzAvMjAwOSwsLFVTRCk=&amp;WINDOW=FIRST_POPUP&amp;HEIGH","T=450&amp;WIDTH=450&amp;START_MAXIMIZED=FALSE&amp;VAR:CALENDAR=US&amp;VAR:SYMBOL=PPG&amp;VAR:INDEX=0"}</definedName>
    <definedName name="_264__FDSAUDITLINK__" localSheetId="1" hidden="1">{"fdsup://directions/FAT Viewer?action=UPDATE&amp;creator=factset&amp;DYN_ARGS=TRUE&amp;DOC_NAME=FAT:FQL_AUDITING_CLIENT_TEMPLATE.FAT&amp;display_string=Audit&amp;VAR:KEY=ZKNILWTMTI&amp;VAR:QUERY=RkZfRUJJVERBX09QRVIoUVRSLDQvMS8yMDEwLDYvMzAvMjAxMCwsLFVTRCk=&amp;WINDOW=FIRST_POPUP&amp;HEIGH","T=450&amp;WIDTH=450&amp;START_MAXIMIZED=FALSE&amp;VAR:CALENDAR=US&amp;VAR:SYMBOL=PPG&amp;VAR:INDEX=0"}</definedName>
    <definedName name="_264__FDSAUDITLINK__" hidden="1">{"fdsup://directions/FAT Viewer?action=UPDATE&amp;creator=factset&amp;DYN_ARGS=TRUE&amp;DOC_NAME=FAT:FQL_AUDITING_CLIENT_TEMPLATE.FAT&amp;display_string=Audit&amp;VAR:KEY=ZKNILWTMTI&amp;VAR:QUERY=RkZfRUJJVERBX09QRVIoUVRSLDQvMS8yMDEwLDYvMzAvMjAxMCwsLFVTRCk=&amp;WINDOW=FIRST_POPUP&amp;HEIGH","T=450&amp;WIDTH=450&amp;START_MAXIMIZED=FALSE&amp;VAR:CALENDAR=US&amp;VAR:SYMBOL=PPG&amp;VAR:INDEX=0"}</definedName>
    <definedName name="_265__FDSAUDITLINK__" localSheetId="1" hidden="1">{"fdsup://directions/FAT Viewer?action=UPDATE&amp;creator=factset&amp;DYN_ARGS=TRUE&amp;DOC_NAME=FAT:FQL_AUDITING_CLIENT_TEMPLATE.FAT&amp;display_string=Audit&amp;VAR:KEY=VADWJQTWXS&amp;VAR:QUERY=RkZfRUJJVERBX09QRVIoUVRSLDQvMS8yMDA5LDYvMzAvMjAwOSwsLFVTRCk=&amp;WINDOW=FIRST_POPUP&amp;HEIGH","T=450&amp;WIDTH=450&amp;START_MAXIMIZED=FALSE&amp;VAR:CALENDAR=US&amp;VAR:SYMBOL=POM&amp;VAR:INDEX=0"}</definedName>
    <definedName name="_265__FDSAUDITLINK__" hidden="1">{"fdsup://directions/FAT Viewer?action=UPDATE&amp;creator=factset&amp;DYN_ARGS=TRUE&amp;DOC_NAME=FAT:FQL_AUDITING_CLIENT_TEMPLATE.FAT&amp;display_string=Audit&amp;VAR:KEY=VADWJQTWXS&amp;VAR:QUERY=RkZfRUJJVERBX09QRVIoUVRSLDQvMS8yMDA5LDYvMzAvMjAwOSwsLFVTRCk=&amp;WINDOW=FIRST_POPUP&amp;HEIGH","T=450&amp;WIDTH=450&amp;START_MAXIMIZED=FALSE&amp;VAR:CALENDAR=US&amp;VAR:SYMBOL=POM&amp;VAR:INDEX=0"}</definedName>
    <definedName name="_266__FDSAUDITLINK__" localSheetId="1" hidden="1">{"fdsup://directions/FAT Viewer?action=UPDATE&amp;creator=factset&amp;DYN_ARGS=TRUE&amp;DOC_NAME=FAT:FQL_AUDITING_CLIENT_TEMPLATE.FAT&amp;display_string=Audit&amp;VAR:KEY=DMJUBWPEVY&amp;VAR:QUERY=RkZfRUJJVERBX09QRVIoUVRSLDQvMS8yMDEwLDYvMzAvMjAxMCwsLFVTRCk=&amp;WINDOW=FIRST_POPUP&amp;HEIGH","T=450&amp;WIDTH=450&amp;START_MAXIMIZED=FALSE&amp;VAR:CALENDAR=US&amp;VAR:SYMBOL=POM&amp;VAR:INDEX=0"}</definedName>
    <definedName name="_266__FDSAUDITLINK__" hidden="1">{"fdsup://directions/FAT Viewer?action=UPDATE&amp;creator=factset&amp;DYN_ARGS=TRUE&amp;DOC_NAME=FAT:FQL_AUDITING_CLIENT_TEMPLATE.FAT&amp;display_string=Audit&amp;VAR:KEY=DMJUBWPEVY&amp;VAR:QUERY=RkZfRUJJVERBX09QRVIoUVRSLDQvMS8yMDEwLDYvMzAvMjAxMCwsLFVTRCk=&amp;WINDOW=FIRST_POPUP&amp;HEIGH","T=450&amp;WIDTH=450&amp;START_MAXIMIZED=FALSE&amp;VAR:CALENDAR=US&amp;VAR:SYMBOL=POM&amp;VAR:INDEX=0"}</definedName>
    <definedName name="_267__FDSAUDITLINK__" localSheetId="1" hidden="1">{"fdsup://directions/FAT Viewer?action=UPDATE&amp;creator=factset&amp;DYN_ARGS=TRUE&amp;DOC_NAME=FAT:FQL_AUDITING_CLIENT_TEMPLATE.FAT&amp;display_string=Audit&amp;VAR:KEY=ZIXUTKBSVQ&amp;VAR:QUERY=RkZfRUJJVERBX09QRVIoUVRSLDQvMS8yMDA5LDYvMzAvMjAwOSwsLFVTRCk=&amp;WINDOW=FIRST_POPUP&amp;HEIGH","T=450&amp;WIDTH=450&amp;START_MAXIMIZED=FALSE&amp;VAR:CALENDAR=US&amp;VAR:SYMBOL=PNW&amp;VAR:INDEX=0"}</definedName>
    <definedName name="_267__FDSAUDITLINK__" hidden="1">{"fdsup://directions/FAT Viewer?action=UPDATE&amp;creator=factset&amp;DYN_ARGS=TRUE&amp;DOC_NAME=FAT:FQL_AUDITING_CLIENT_TEMPLATE.FAT&amp;display_string=Audit&amp;VAR:KEY=ZIXUTKBSVQ&amp;VAR:QUERY=RkZfRUJJVERBX09QRVIoUVRSLDQvMS8yMDA5LDYvMzAvMjAwOSwsLFVTRCk=&amp;WINDOW=FIRST_POPUP&amp;HEIGH","T=450&amp;WIDTH=450&amp;START_MAXIMIZED=FALSE&amp;VAR:CALENDAR=US&amp;VAR:SYMBOL=PNW&amp;VAR:INDEX=0"}</definedName>
    <definedName name="_268__FDSAUDITLINK__" localSheetId="1" hidden="1">{"fdsup://directions/FAT Viewer?action=UPDATE&amp;creator=factset&amp;DYN_ARGS=TRUE&amp;DOC_NAME=FAT:FQL_AUDITING_CLIENT_TEMPLATE.FAT&amp;display_string=Audit&amp;VAR:KEY=ZMDADMXGPO&amp;VAR:QUERY=RkZfRUJJVERBX09QRVIoUVRSLDQvMS8yMDEwLDYvMzAvMjAxMCwsLFVTRCk=&amp;WINDOW=FIRST_POPUP&amp;HEIGH","T=450&amp;WIDTH=450&amp;START_MAXIMIZED=FALSE&amp;VAR:CALENDAR=US&amp;VAR:SYMBOL=PNW&amp;VAR:INDEX=0"}</definedName>
    <definedName name="_268__FDSAUDITLINK__" hidden="1">{"fdsup://directions/FAT Viewer?action=UPDATE&amp;creator=factset&amp;DYN_ARGS=TRUE&amp;DOC_NAME=FAT:FQL_AUDITING_CLIENT_TEMPLATE.FAT&amp;display_string=Audit&amp;VAR:KEY=ZMDADMXGPO&amp;VAR:QUERY=RkZfRUJJVERBX09QRVIoUVRSLDQvMS8yMDEwLDYvMzAvMjAxMCwsLFVTRCk=&amp;WINDOW=FIRST_POPUP&amp;HEIGH","T=450&amp;WIDTH=450&amp;START_MAXIMIZED=FALSE&amp;VAR:CALENDAR=US&amp;VAR:SYMBOL=PNW&amp;VAR:INDEX=0"}</definedName>
    <definedName name="_269__FDSAUDITLINK__" localSheetId="1" hidden="1">{"fdsup://directions/FAT Viewer?action=UPDATE&amp;creator=factset&amp;DYN_ARGS=TRUE&amp;DOC_NAME=FAT:FQL_AUDITING_CLIENT_TEMPLATE.FAT&amp;display_string=Audit&amp;VAR:KEY=BIVKRYBUZQ&amp;VAR:QUERY=RkZfRUJJVERBX09QRVIoUVRSLDQvMS8yMDA5LDYvMzAvMjAwOSwsLFVTRCk=&amp;WINDOW=FIRST_POPUP&amp;HEIGH","T=450&amp;WIDTH=450&amp;START_MAXIMIZED=FALSE&amp;VAR:CALENDAR=US&amp;VAR:SYMBOL=PNC&amp;VAR:INDEX=0"}</definedName>
    <definedName name="_269__FDSAUDITLINK__" hidden="1">{"fdsup://directions/FAT Viewer?action=UPDATE&amp;creator=factset&amp;DYN_ARGS=TRUE&amp;DOC_NAME=FAT:FQL_AUDITING_CLIENT_TEMPLATE.FAT&amp;display_string=Audit&amp;VAR:KEY=BIVKRYBUZQ&amp;VAR:QUERY=RkZfRUJJVERBX09QRVIoUVRSLDQvMS8yMDA5LDYvMzAvMjAwOSwsLFVTRCk=&amp;WINDOW=FIRST_POPUP&amp;HEIGH","T=450&amp;WIDTH=450&amp;START_MAXIMIZED=FALSE&amp;VAR:CALENDAR=US&amp;VAR:SYMBOL=PNC&amp;VAR:INDEX=0"}</definedName>
    <definedName name="_27__FDSAUDITLINK__" localSheetId="1" hidden="1">{"fdsup://directions/FAT Viewer?action=UPDATE&amp;creator=factset&amp;DYN_ARGS=TRUE&amp;DOC_NAME=FAT:FQL_AUDITING_CLIENT_TEMPLATE.FAT&amp;display_string=Audit&amp;VAR:KEY=TKRCZANMHQ&amp;VAR:QUERY=RkZfRUJJVERBX09QRVIoUVRSLDQvMS8yMDA5LDYvMzAvMjAwOSwsLFVTRCk=&amp;WINDOW=FIRST_POPUP&amp;HEIGH","T=450&amp;WIDTH=450&amp;START_MAXIMIZED=FALSE&amp;VAR:CALENDAR=US&amp;VAR:SYMBOL=WY&amp;VAR:INDEX=0"}</definedName>
    <definedName name="_27__FDSAUDITLINK__" hidden="1">{"fdsup://directions/FAT Viewer?action=UPDATE&amp;creator=factset&amp;DYN_ARGS=TRUE&amp;DOC_NAME=FAT:FQL_AUDITING_CLIENT_TEMPLATE.FAT&amp;display_string=Audit&amp;VAR:KEY=TKRCZANMHQ&amp;VAR:QUERY=RkZfRUJJVERBX09QRVIoUVRSLDQvMS8yMDA5LDYvMzAvMjAwOSwsLFVTRCk=&amp;WINDOW=FIRST_POPUP&amp;HEIGH","T=450&amp;WIDTH=450&amp;START_MAXIMIZED=FALSE&amp;VAR:CALENDAR=US&amp;VAR:SYMBOL=WY&amp;VAR:INDEX=0"}</definedName>
    <definedName name="_270__FDSAUDITLINK__" localSheetId="1" hidden="1">{"fdsup://directions/FAT Viewer?action=UPDATE&amp;creator=factset&amp;DYN_ARGS=TRUE&amp;DOC_NAME=FAT:FQL_AUDITING_CLIENT_TEMPLATE.FAT&amp;display_string=Audit&amp;VAR:KEY=FYPYHQBQTS&amp;VAR:QUERY=RkZfRUJJVERBX09QRVIoUVRSLDQvMS8yMDEwLDYvMzAvMjAxMCwsLFVTRCk=&amp;WINDOW=FIRST_POPUP&amp;HEIGH","T=450&amp;WIDTH=450&amp;START_MAXIMIZED=FALSE&amp;VAR:CALENDAR=US&amp;VAR:SYMBOL=PNC&amp;VAR:INDEX=0"}</definedName>
    <definedName name="_270__FDSAUDITLINK__" hidden="1">{"fdsup://directions/FAT Viewer?action=UPDATE&amp;creator=factset&amp;DYN_ARGS=TRUE&amp;DOC_NAME=FAT:FQL_AUDITING_CLIENT_TEMPLATE.FAT&amp;display_string=Audit&amp;VAR:KEY=FYPYHQBQTS&amp;VAR:QUERY=RkZfRUJJVERBX09QRVIoUVRSLDQvMS8yMDEwLDYvMzAvMjAxMCwsLFVTRCk=&amp;WINDOW=FIRST_POPUP&amp;HEIGH","T=450&amp;WIDTH=450&amp;START_MAXIMIZED=FALSE&amp;VAR:CALENDAR=US&amp;VAR:SYMBOL=PNC&amp;VAR:INDEX=0"}</definedName>
    <definedName name="_271__FDSAUDITLINK__" localSheetId="1" hidden="1">{"fdsup://directions/FAT Viewer?action=UPDATE&amp;creator=factset&amp;DYN_ARGS=TRUE&amp;DOC_NAME=FAT:FQL_AUDITING_CLIENT_TEMPLATE.FAT&amp;display_string=Audit&amp;VAR:KEY=NWFANCHYXE&amp;VAR:QUERY=RkZfRUJJVERBX09QRVIoUVRSLDQvMS8yMDA5LDYvMzAvMjAwOSwsLFVTRCk=&amp;WINDOW=FIRST_POPUP&amp;HEIGH","T=450&amp;WIDTH=450&amp;START_MAXIMIZED=FALSE&amp;VAR:CALENDAR=US&amp;VAR:SYMBOL=PM&amp;VAR:INDEX=0"}</definedName>
    <definedName name="_271__FDSAUDITLINK__" hidden="1">{"fdsup://directions/FAT Viewer?action=UPDATE&amp;creator=factset&amp;DYN_ARGS=TRUE&amp;DOC_NAME=FAT:FQL_AUDITING_CLIENT_TEMPLATE.FAT&amp;display_string=Audit&amp;VAR:KEY=NWFANCHYXE&amp;VAR:QUERY=RkZfRUJJVERBX09QRVIoUVRSLDQvMS8yMDA5LDYvMzAvMjAwOSwsLFVTRCk=&amp;WINDOW=FIRST_POPUP&amp;HEIGH","T=450&amp;WIDTH=450&amp;START_MAXIMIZED=FALSE&amp;VAR:CALENDAR=US&amp;VAR:SYMBOL=PM&amp;VAR:INDEX=0"}</definedName>
    <definedName name="_272__FDSAUDITLINK__" localSheetId="1" hidden="1">{"fdsup://directions/FAT Viewer?action=UPDATE&amp;creator=factset&amp;DYN_ARGS=TRUE&amp;DOC_NAME=FAT:FQL_AUDITING_CLIENT_TEMPLATE.FAT&amp;display_string=Audit&amp;VAR:KEY=LYRUBWRWDK&amp;VAR:QUERY=RkZfRUJJVERBX09QRVIoUVRSLDQvMS8yMDEwLDYvMzAvMjAxMCwsLFVTRCk=&amp;WINDOW=FIRST_POPUP&amp;HEIGH","T=450&amp;WIDTH=450&amp;START_MAXIMIZED=FALSE&amp;VAR:CALENDAR=US&amp;VAR:SYMBOL=PM&amp;VAR:INDEX=0"}</definedName>
    <definedName name="_272__FDSAUDITLINK__" hidden="1">{"fdsup://directions/FAT Viewer?action=UPDATE&amp;creator=factset&amp;DYN_ARGS=TRUE&amp;DOC_NAME=FAT:FQL_AUDITING_CLIENT_TEMPLATE.FAT&amp;display_string=Audit&amp;VAR:KEY=LYRUBWRWDK&amp;VAR:QUERY=RkZfRUJJVERBX09QRVIoUVRSLDQvMS8yMDEwLDYvMzAvMjAxMCwsLFVTRCk=&amp;WINDOW=FIRST_POPUP&amp;HEIGH","T=450&amp;WIDTH=450&amp;START_MAXIMIZED=FALSE&amp;VAR:CALENDAR=US&amp;VAR:SYMBOL=PM&amp;VAR:INDEX=0"}</definedName>
    <definedName name="_273__FDSAUDITLINK__" localSheetId="1" hidden="1">{"fdsup://directions/FAT Viewer?action=UPDATE&amp;creator=factset&amp;DYN_ARGS=TRUE&amp;DOC_NAME=FAT:FQL_AUDITING_CLIENT_TEMPLATE.FAT&amp;display_string=Audit&amp;VAR:KEY=FCLKDENQBO&amp;VAR:QUERY=RkZfRUJJVERBX09QRVIoUVRSLDQvMS8yMDA5LDYvMzAvMjAwOSwsLFVTRCk=&amp;WINDOW=FIRST_POPUP&amp;HEIGH","T=450&amp;WIDTH=450&amp;START_MAXIMIZED=FALSE&amp;VAR:CALENDAR=US&amp;VAR:SYMBOL=PLL&amp;VAR:INDEX=0"}</definedName>
    <definedName name="_273__FDSAUDITLINK__" hidden="1">{"fdsup://directions/FAT Viewer?action=UPDATE&amp;creator=factset&amp;DYN_ARGS=TRUE&amp;DOC_NAME=FAT:FQL_AUDITING_CLIENT_TEMPLATE.FAT&amp;display_string=Audit&amp;VAR:KEY=FCLKDENQBO&amp;VAR:QUERY=RkZfRUJJVERBX09QRVIoUVRSLDQvMS8yMDA5LDYvMzAvMjAwOSwsLFVTRCk=&amp;WINDOW=FIRST_POPUP&amp;HEIGH","T=450&amp;WIDTH=450&amp;START_MAXIMIZED=FALSE&amp;VAR:CALENDAR=US&amp;VAR:SYMBOL=PLL&amp;VAR:INDEX=0"}</definedName>
    <definedName name="_274__FDSAUDITLINK__" localSheetId="1" hidden="1">{"fdsup://directions/FAT Viewer?action=UPDATE&amp;creator=factset&amp;DYN_ARGS=TRUE&amp;DOC_NAME=FAT:FQL_AUDITING_CLIENT_TEMPLATE.FAT&amp;display_string=Audit&amp;VAR:KEY=XCJQRQPARI&amp;VAR:QUERY=RkZfRUJJVERBX09QRVIoUVRSLDQvMS8yMDEwLDYvMzAvMjAxMCwsLFVTRCk=&amp;WINDOW=FIRST_POPUP&amp;HEIGH","T=450&amp;WIDTH=450&amp;START_MAXIMIZED=FALSE&amp;VAR:CALENDAR=US&amp;VAR:SYMBOL=PLL&amp;VAR:INDEX=0"}</definedName>
    <definedName name="_274__FDSAUDITLINK__" hidden="1">{"fdsup://directions/FAT Viewer?action=UPDATE&amp;creator=factset&amp;DYN_ARGS=TRUE&amp;DOC_NAME=FAT:FQL_AUDITING_CLIENT_TEMPLATE.FAT&amp;display_string=Audit&amp;VAR:KEY=XCJQRQPARI&amp;VAR:QUERY=RkZfRUJJVERBX09QRVIoUVRSLDQvMS8yMDEwLDYvMzAvMjAxMCwsLFVTRCk=&amp;WINDOW=FIRST_POPUP&amp;HEIGH","T=450&amp;WIDTH=450&amp;START_MAXIMIZED=FALSE&amp;VAR:CALENDAR=US&amp;VAR:SYMBOL=PLL&amp;VAR:INDEX=0"}</definedName>
    <definedName name="_275__FDSAUDITLINK__" localSheetId="1" hidden="1">{"fdsup://directions/FAT Viewer?action=UPDATE&amp;creator=factset&amp;DYN_ARGS=TRUE&amp;DOC_NAME=FAT:FQL_AUDITING_CLIENT_TEMPLATE.FAT&amp;display_string=Audit&amp;VAR:KEY=PARKJSTSXU&amp;VAR:QUERY=RkZfRUJJVERBX09QRVIoUVRSLDQvMS8yMDA5LDYvMzAvMjAwOSwsLFVTRCk=&amp;WINDOW=FIRST_POPUP&amp;HEIGH","T=450&amp;WIDTH=450&amp;START_MAXIMIZED=FALSE&amp;VAR:CALENDAR=US&amp;VAR:SYMBOL=PLD&amp;VAR:INDEX=0"}</definedName>
    <definedName name="_275__FDSAUDITLINK__" hidden="1">{"fdsup://directions/FAT Viewer?action=UPDATE&amp;creator=factset&amp;DYN_ARGS=TRUE&amp;DOC_NAME=FAT:FQL_AUDITING_CLIENT_TEMPLATE.FAT&amp;display_string=Audit&amp;VAR:KEY=PARKJSTSXU&amp;VAR:QUERY=RkZfRUJJVERBX09QRVIoUVRSLDQvMS8yMDA5LDYvMzAvMjAwOSwsLFVTRCk=&amp;WINDOW=FIRST_POPUP&amp;HEIGH","T=450&amp;WIDTH=450&amp;START_MAXIMIZED=FALSE&amp;VAR:CALENDAR=US&amp;VAR:SYMBOL=PLD&amp;VAR:INDEX=0"}</definedName>
    <definedName name="_276__FDSAUDITLINK__" localSheetId="1" hidden="1">{"fdsup://directions/FAT Viewer?action=UPDATE&amp;creator=factset&amp;DYN_ARGS=TRUE&amp;DOC_NAME=FAT:FQL_AUDITING_CLIENT_TEMPLATE.FAT&amp;display_string=Audit&amp;VAR:KEY=BAJUVGJMJW&amp;VAR:QUERY=RkZfRUJJVERBX09QRVIoUVRSLDQvMS8yMDEwLDYvMzAvMjAxMCwsLFVTRCk=&amp;WINDOW=FIRST_POPUP&amp;HEIGH","T=450&amp;WIDTH=450&amp;START_MAXIMIZED=FALSE&amp;VAR:CALENDAR=US&amp;VAR:SYMBOL=PLD&amp;VAR:INDEX=0"}</definedName>
    <definedName name="_276__FDSAUDITLINK__" hidden="1">{"fdsup://directions/FAT Viewer?action=UPDATE&amp;creator=factset&amp;DYN_ARGS=TRUE&amp;DOC_NAME=FAT:FQL_AUDITING_CLIENT_TEMPLATE.FAT&amp;display_string=Audit&amp;VAR:KEY=BAJUVGJMJW&amp;VAR:QUERY=RkZfRUJJVERBX09QRVIoUVRSLDQvMS8yMDEwLDYvMzAvMjAxMCwsLFVTRCk=&amp;WINDOW=FIRST_POPUP&amp;HEIGH","T=450&amp;WIDTH=450&amp;START_MAXIMIZED=FALSE&amp;VAR:CALENDAR=US&amp;VAR:SYMBOL=PLD&amp;VAR:INDEX=0"}</definedName>
    <definedName name="_277__FDSAUDITLINK__" localSheetId="1" hidden="1">{"fdsup://directions/FAT Viewer?action=UPDATE&amp;creator=factset&amp;DYN_ARGS=TRUE&amp;DOC_NAME=FAT:FQL_AUDITING_CLIENT_TEMPLATE.FAT&amp;display_string=Audit&amp;VAR:KEY=XYZEJUBYNC&amp;VAR:QUERY=RkZfRUJJVERBX09QRVIoUVRSLDQvMS8yMDA5LDYvMzAvMjAwOSwsLFVTRCk=&amp;WINDOW=FIRST_POPUP&amp;HEIGH","T=450&amp;WIDTH=450&amp;START_MAXIMIZED=FALSE&amp;VAR:CALENDAR=US&amp;VAR:SYMBOL=PKI&amp;VAR:INDEX=0"}</definedName>
    <definedName name="_277__FDSAUDITLINK__" hidden="1">{"fdsup://directions/FAT Viewer?action=UPDATE&amp;creator=factset&amp;DYN_ARGS=TRUE&amp;DOC_NAME=FAT:FQL_AUDITING_CLIENT_TEMPLATE.FAT&amp;display_string=Audit&amp;VAR:KEY=XYZEJUBYNC&amp;VAR:QUERY=RkZfRUJJVERBX09QRVIoUVRSLDQvMS8yMDA5LDYvMzAvMjAwOSwsLFVTRCk=&amp;WINDOW=FIRST_POPUP&amp;HEIGH","T=450&amp;WIDTH=450&amp;START_MAXIMIZED=FALSE&amp;VAR:CALENDAR=US&amp;VAR:SYMBOL=PKI&amp;VAR:INDEX=0"}</definedName>
    <definedName name="_278__FDSAUDITLINK__" localSheetId="1" hidden="1">{"fdsup://directions/FAT Viewer?action=UPDATE&amp;creator=factset&amp;DYN_ARGS=TRUE&amp;DOC_NAME=FAT:FQL_AUDITING_CLIENT_TEMPLATE.FAT&amp;display_string=Audit&amp;VAR:KEY=LYLWXYVKDA&amp;VAR:QUERY=RkZfRUJJVERBX09QRVIoUVRSLDQvMS8yMDEwLDYvMzAvMjAxMCwsLFVTRCk=&amp;WINDOW=FIRST_POPUP&amp;HEIGH","T=450&amp;WIDTH=450&amp;START_MAXIMIZED=FALSE&amp;VAR:CALENDAR=US&amp;VAR:SYMBOL=PKI&amp;VAR:INDEX=0"}</definedName>
    <definedName name="_278__FDSAUDITLINK__" hidden="1">{"fdsup://directions/FAT Viewer?action=UPDATE&amp;creator=factset&amp;DYN_ARGS=TRUE&amp;DOC_NAME=FAT:FQL_AUDITING_CLIENT_TEMPLATE.FAT&amp;display_string=Audit&amp;VAR:KEY=LYLWXYVKDA&amp;VAR:QUERY=RkZfRUJJVERBX09QRVIoUVRSLDQvMS8yMDEwLDYvMzAvMjAxMCwsLFVTRCk=&amp;WINDOW=FIRST_POPUP&amp;HEIGH","T=450&amp;WIDTH=450&amp;START_MAXIMIZED=FALSE&amp;VAR:CALENDAR=US&amp;VAR:SYMBOL=PKI&amp;VAR:INDEX=0"}</definedName>
    <definedName name="_279__FDSAUDITLINK__" localSheetId="1" hidden="1">{"fdsup://directions/FAT Viewer?action=UPDATE&amp;creator=factset&amp;DYN_ARGS=TRUE&amp;DOC_NAME=FAT:FQL_AUDITING_CLIENT_TEMPLATE.FAT&amp;display_string=Audit&amp;VAR:KEY=XAHKDIVKTU&amp;VAR:QUERY=RkZfRUJJVERBX09QRVIoUVRSLDQvMS8yMDA5LDYvMzAvMjAwOSwsLFVTRCk=&amp;WINDOW=FIRST_POPUP&amp;HEIGH","T=450&amp;WIDTH=450&amp;START_MAXIMIZED=FALSE&amp;VAR:CALENDAR=US&amp;VAR:SYMBOL=PHM&amp;VAR:INDEX=0"}</definedName>
    <definedName name="_279__FDSAUDITLINK__" hidden="1">{"fdsup://directions/FAT Viewer?action=UPDATE&amp;creator=factset&amp;DYN_ARGS=TRUE&amp;DOC_NAME=FAT:FQL_AUDITING_CLIENT_TEMPLATE.FAT&amp;display_string=Audit&amp;VAR:KEY=XAHKDIVKTU&amp;VAR:QUERY=RkZfRUJJVERBX09QRVIoUVRSLDQvMS8yMDA5LDYvMzAvMjAwOSwsLFVTRCk=&amp;WINDOW=FIRST_POPUP&amp;HEIGH","T=450&amp;WIDTH=450&amp;START_MAXIMIZED=FALSE&amp;VAR:CALENDAR=US&amp;VAR:SYMBOL=PHM&amp;VAR:INDEX=0"}</definedName>
    <definedName name="_28__FDSAUDITLINK__" localSheetId="1" hidden="1">{"fdsup://directions/FAT Viewer?action=UPDATE&amp;creator=factset&amp;DYN_ARGS=TRUE&amp;DOC_NAME=FAT:FQL_AUDITING_CLIENT_TEMPLATE.FAT&amp;display_string=Audit&amp;VAR:KEY=BSRYVUFULE&amp;VAR:QUERY=RkZfRUJJVERBX09QRVIoUVRSLDQvMS8yMDEwLDYvMzAvMjAxMCwsLFVTRCk=&amp;WINDOW=FIRST_POPUP&amp;HEIGH","T=450&amp;WIDTH=450&amp;START_MAXIMIZED=FALSE&amp;VAR:CALENDAR=US&amp;VAR:SYMBOL=WY&amp;VAR:INDEX=0"}</definedName>
    <definedName name="_28__FDSAUDITLINK__" hidden="1">{"fdsup://directions/FAT Viewer?action=UPDATE&amp;creator=factset&amp;DYN_ARGS=TRUE&amp;DOC_NAME=FAT:FQL_AUDITING_CLIENT_TEMPLATE.FAT&amp;display_string=Audit&amp;VAR:KEY=BSRYVUFULE&amp;VAR:QUERY=RkZfRUJJVERBX09QRVIoUVRSLDQvMS8yMDEwLDYvMzAvMjAxMCwsLFVTRCk=&amp;WINDOW=FIRST_POPUP&amp;HEIGH","T=450&amp;WIDTH=450&amp;START_MAXIMIZED=FALSE&amp;VAR:CALENDAR=US&amp;VAR:SYMBOL=WY&amp;VAR:INDEX=0"}</definedName>
    <definedName name="_280__FDSAUDITLINK__" localSheetId="1" hidden="1">{"fdsup://directions/FAT Viewer?action=UPDATE&amp;creator=factset&amp;DYN_ARGS=TRUE&amp;DOC_NAME=FAT:FQL_AUDITING_CLIENT_TEMPLATE.FAT&amp;display_string=Audit&amp;VAR:KEY=FOJMDEZSJS&amp;VAR:QUERY=RkZfRUJJVERBX09QRVIoUVRSLDQvMS8yMDEwLDYvMzAvMjAxMCwsLFVTRCk=&amp;WINDOW=FIRST_POPUP&amp;HEIGH","T=450&amp;WIDTH=450&amp;START_MAXIMIZED=FALSE&amp;VAR:CALENDAR=US&amp;VAR:SYMBOL=PHM&amp;VAR:INDEX=0"}</definedName>
    <definedName name="_280__FDSAUDITLINK__" hidden="1">{"fdsup://directions/FAT Viewer?action=UPDATE&amp;creator=factset&amp;DYN_ARGS=TRUE&amp;DOC_NAME=FAT:FQL_AUDITING_CLIENT_TEMPLATE.FAT&amp;display_string=Audit&amp;VAR:KEY=FOJMDEZSJS&amp;VAR:QUERY=RkZfRUJJVERBX09QRVIoUVRSLDQvMS8yMDEwLDYvMzAvMjAxMCwsLFVTRCk=&amp;WINDOW=FIRST_POPUP&amp;HEIGH","T=450&amp;WIDTH=450&amp;START_MAXIMIZED=FALSE&amp;VAR:CALENDAR=US&amp;VAR:SYMBOL=PHM&amp;VAR:INDEX=0"}</definedName>
    <definedName name="_281__FDSAUDITLINK__" localSheetId="1" hidden="1">{"fdsup://directions/FAT Viewer?action=UPDATE&amp;creator=factset&amp;DYN_ARGS=TRUE&amp;DOC_NAME=FAT:FQL_AUDITING_CLIENT_TEMPLATE.FAT&amp;display_string=Audit&amp;VAR:KEY=TGFAZITENS&amp;VAR:QUERY=RkZfRUJJVERBX09QRVIoUVRSLDQvMS8yMDA5LDYvMzAvMjAwOSwsLFVTRCk=&amp;WINDOW=FIRST_POPUP&amp;HEIGH","T=450&amp;WIDTH=450&amp;START_MAXIMIZED=FALSE&amp;VAR:CALENDAR=US&amp;VAR:SYMBOL=PH&amp;VAR:INDEX=0"}</definedName>
    <definedName name="_281__FDSAUDITLINK__" hidden="1">{"fdsup://directions/FAT Viewer?action=UPDATE&amp;creator=factset&amp;DYN_ARGS=TRUE&amp;DOC_NAME=FAT:FQL_AUDITING_CLIENT_TEMPLATE.FAT&amp;display_string=Audit&amp;VAR:KEY=TGFAZITENS&amp;VAR:QUERY=RkZfRUJJVERBX09QRVIoUVRSLDQvMS8yMDA5LDYvMzAvMjAwOSwsLFVTRCk=&amp;WINDOW=FIRST_POPUP&amp;HEIGH","T=450&amp;WIDTH=450&amp;START_MAXIMIZED=FALSE&amp;VAR:CALENDAR=US&amp;VAR:SYMBOL=PH&amp;VAR:INDEX=0"}</definedName>
    <definedName name="_282__FDSAUDITLINK__" localSheetId="1" hidden="1">{"fdsup://directions/FAT Viewer?action=UPDATE&amp;creator=factset&amp;DYN_ARGS=TRUE&amp;DOC_NAME=FAT:FQL_AUDITING_CLIENT_TEMPLATE.FAT&amp;display_string=Audit&amp;VAR:KEY=DYTOPYTWPU&amp;VAR:QUERY=RkZfRUJJVERBX09QRVIoUVRSLDQvMS8yMDEwLDYvMzAvMjAxMCwsLFVTRCk=&amp;WINDOW=FIRST_POPUP&amp;HEIGH","T=450&amp;WIDTH=450&amp;START_MAXIMIZED=FALSE&amp;VAR:CALENDAR=US&amp;VAR:SYMBOL=PH&amp;VAR:INDEX=0"}</definedName>
    <definedName name="_282__FDSAUDITLINK__" hidden="1">{"fdsup://directions/FAT Viewer?action=UPDATE&amp;creator=factset&amp;DYN_ARGS=TRUE&amp;DOC_NAME=FAT:FQL_AUDITING_CLIENT_TEMPLATE.FAT&amp;display_string=Audit&amp;VAR:KEY=DYTOPYTWPU&amp;VAR:QUERY=RkZfRUJJVERBX09QRVIoUVRSLDQvMS8yMDEwLDYvMzAvMjAxMCwsLFVTRCk=&amp;WINDOW=FIRST_POPUP&amp;HEIGH","T=450&amp;WIDTH=450&amp;START_MAXIMIZED=FALSE&amp;VAR:CALENDAR=US&amp;VAR:SYMBOL=PH&amp;VAR:INDEX=0"}</definedName>
    <definedName name="_283__FDSAUDITLINK__" localSheetId="1" hidden="1">{"fdsup://directions/FAT Viewer?action=UPDATE&amp;creator=factset&amp;DYN_ARGS=TRUE&amp;DOC_NAME=FAT:FQL_AUDITING_CLIENT_TEMPLATE.FAT&amp;display_string=Audit&amp;VAR:KEY=HMBAZUPMDQ&amp;VAR:QUERY=RkZfRUJJVERBX09QRVIoUVRSLDQvMS8yMDA5LDYvMzAvMjAwOSwsLFVTRCk=&amp;WINDOW=FIRST_POPUP&amp;HEIGH","T=450&amp;WIDTH=450&amp;START_MAXIMIZED=FALSE&amp;VAR:CALENDAR=US&amp;VAR:SYMBOL=PGR&amp;VAR:INDEX=0"}</definedName>
    <definedName name="_283__FDSAUDITLINK__" hidden="1">{"fdsup://directions/FAT Viewer?action=UPDATE&amp;creator=factset&amp;DYN_ARGS=TRUE&amp;DOC_NAME=FAT:FQL_AUDITING_CLIENT_TEMPLATE.FAT&amp;display_string=Audit&amp;VAR:KEY=HMBAZUPMDQ&amp;VAR:QUERY=RkZfRUJJVERBX09QRVIoUVRSLDQvMS8yMDA5LDYvMzAvMjAwOSwsLFVTRCk=&amp;WINDOW=FIRST_POPUP&amp;HEIGH","T=450&amp;WIDTH=450&amp;START_MAXIMIZED=FALSE&amp;VAR:CALENDAR=US&amp;VAR:SYMBOL=PGR&amp;VAR:INDEX=0"}</definedName>
    <definedName name="_284__FDSAUDITLINK__" localSheetId="1" hidden="1">{"fdsup://directions/FAT Viewer?action=UPDATE&amp;creator=factset&amp;DYN_ARGS=TRUE&amp;DOC_NAME=FAT:FQL_AUDITING_CLIENT_TEMPLATE.FAT&amp;display_string=Audit&amp;VAR:KEY=PEFENQRQFS&amp;VAR:QUERY=RkZfRUJJVERBX09QRVIoUVRSLDQvMS8yMDEwLDYvMzAvMjAxMCwsLFVTRCk=&amp;WINDOW=FIRST_POPUP&amp;HEIGH","T=450&amp;WIDTH=450&amp;START_MAXIMIZED=FALSE&amp;VAR:CALENDAR=US&amp;VAR:SYMBOL=PGR&amp;VAR:INDEX=0"}</definedName>
    <definedName name="_284__FDSAUDITLINK__" hidden="1">{"fdsup://directions/FAT Viewer?action=UPDATE&amp;creator=factset&amp;DYN_ARGS=TRUE&amp;DOC_NAME=FAT:FQL_AUDITING_CLIENT_TEMPLATE.FAT&amp;display_string=Audit&amp;VAR:KEY=PEFENQRQFS&amp;VAR:QUERY=RkZfRUJJVERBX09QRVIoUVRSLDQvMS8yMDEwLDYvMzAvMjAxMCwsLFVTRCk=&amp;WINDOW=FIRST_POPUP&amp;HEIGH","T=450&amp;WIDTH=450&amp;START_MAXIMIZED=FALSE&amp;VAR:CALENDAR=US&amp;VAR:SYMBOL=PGR&amp;VAR:INDEX=0"}</definedName>
    <definedName name="_285__FDSAUDITLINK__" localSheetId="1" hidden="1">{"fdsup://directions/FAT Viewer?action=UPDATE&amp;creator=factset&amp;DYN_ARGS=TRUE&amp;DOC_NAME=FAT:FQL_AUDITING_CLIENT_TEMPLATE.FAT&amp;display_string=Audit&amp;VAR:KEY=XETQPWTUHY&amp;VAR:QUERY=RkZfRUJJVERBX09QRVIoUVRSLDQvMS8yMDA5LDYvMzAvMjAwOSwsLFVTRCk=&amp;WINDOW=FIRST_POPUP&amp;HEIGH","T=450&amp;WIDTH=450&amp;START_MAXIMIZED=FALSE&amp;VAR:CALENDAR=US&amp;VAR:SYMBOL=PGN&amp;VAR:INDEX=0"}</definedName>
    <definedName name="_285__FDSAUDITLINK__" hidden="1">{"fdsup://directions/FAT Viewer?action=UPDATE&amp;creator=factset&amp;DYN_ARGS=TRUE&amp;DOC_NAME=FAT:FQL_AUDITING_CLIENT_TEMPLATE.FAT&amp;display_string=Audit&amp;VAR:KEY=XETQPWTUHY&amp;VAR:QUERY=RkZfRUJJVERBX09QRVIoUVRSLDQvMS8yMDA5LDYvMzAvMjAwOSwsLFVTRCk=&amp;WINDOW=FIRST_POPUP&amp;HEIGH","T=450&amp;WIDTH=450&amp;START_MAXIMIZED=FALSE&amp;VAR:CALENDAR=US&amp;VAR:SYMBOL=PGN&amp;VAR:INDEX=0"}</definedName>
    <definedName name="_286__FDSAUDITLINK__" localSheetId="1" hidden="1">{"fdsup://directions/FAT Viewer?action=UPDATE&amp;creator=factset&amp;DYN_ARGS=TRUE&amp;DOC_NAME=FAT:FQL_AUDITING_CLIENT_TEMPLATE.FAT&amp;display_string=Audit&amp;VAR:KEY=PEVIZKFSNY&amp;VAR:QUERY=RkZfRUJJVERBX09QRVIoUVRSLDQvMS8yMDEwLDYvMzAvMjAxMCwsLFVTRCk=&amp;WINDOW=FIRST_POPUP&amp;HEIGH","T=450&amp;WIDTH=450&amp;START_MAXIMIZED=FALSE&amp;VAR:CALENDAR=US&amp;VAR:SYMBOL=PGN&amp;VAR:INDEX=0"}</definedName>
    <definedName name="_286__FDSAUDITLINK__" hidden="1">{"fdsup://directions/FAT Viewer?action=UPDATE&amp;creator=factset&amp;DYN_ARGS=TRUE&amp;DOC_NAME=FAT:FQL_AUDITING_CLIENT_TEMPLATE.FAT&amp;display_string=Audit&amp;VAR:KEY=PEVIZKFSNY&amp;VAR:QUERY=RkZfRUJJVERBX09QRVIoUVRSLDQvMS8yMDEwLDYvMzAvMjAxMCwsLFVTRCk=&amp;WINDOW=FIRST_POPUP&amp;HEIGH","T=450&amp;WIDTH=450&amp;START_MAXIMIZED=FALSE&amp;VAR:CALENDAR=US&amp;VAR:SYMBOL=PGN&amp;VAR:INDEX=0"}</definedName>
    <definedName name="_287__FDSAUDITLINK__" localSheetId="1" hidden="1">{"fdsup://directions/FAT Viewer?action=UPDATE&amp;creator=factset&amp;DYN_ARGS=TRUE&amp;DOC_NAME=FAT:FQL_AUDITING_CLIENT_TEMPLATE.FAT&amp;display_string=Audit&amp;VAR:KEY=DWRMHWXAHE&amp;VAR:QUERY=RkZfRUJJVERBX09QRVIoUVRSLDQvMS8yMDA5LDYvMzAvMjAwOSwsLFVTRCk=&amp;WINDOW=FIRST_POPUP&amp;HEIGH","T=450&amp;WIDTH=450&amp;START_MAXIMIZED=FALSE&amp;VAR:CALENDAR=US&amp;VAR:SYMBOL=PG&amp;VAR:INDEX=0"}</definedName>
    <definedName name="_287__FDSAUDITLINK__" hidden="1">{"fdsup://directions/FAT Viewer?action=UPDATE&amp;creator=factset&amp;DYN_ARGS=TRUE&amp;DOC_NAME=FAT:FQL_AUDITING_CLIENT_TEMPLATE.FAT&amp;display_string=Audit&amp;VAR:KEY=DWRMHWXAHE&amp;VAR:QUERY=RkZfRUJJVERBX09QRVIoUVRSLDQvMS8yMDA5LDYvMzAvMjAwOSwsLFVTRCk=&amp;WINDOW=FIRST_POPUP&amp;HEIGH","T=450&amp;WIDTH=450&amp;START_MAXIMIZED=FALSE&amp;VAR:CALENDAR=US&amp;VAR:SYMBOL=PG&amp;VAR:INDEX=0"}</definedName>
    <definedName name="_288__FDSAUDITLINK__" localSheetId="1" hidden="1">{"fdsup://directions/FAT Viewer?action=UPDATE&amp;creator=factset&amp;DYN_ARGS=TRUE&amp;DOC_NAME=FAT:FQL_AUDITING_CLIENT_TEMPLATE.FAT&amp;display_string=Audit&amp;VAR:KEY=JODGVIPKVO&amp;VAR:QUERY=RkZfRUJJVERBX09QRVIoUVRSLDQvMS8yMDEwLDYvMzAvMjAxMCwsLFVTRCk=&amp;WINDOW=FIRST_POPUP&amp;HEIGH","T=450&amp;WIDTH=450&amp;START_MAXIMIZED=FALSE&amp;VAR:CALENDAR=US&amp;VAR:SYMBOL=PG&amp;VAR:INDEX=0"}</definedName>
    <definedName name="_288__FDSAUDITLINK__" hidden="1">{"fdsup://directions/FAT Viewer?action=UPDATE&amp;creator=factset&amp;DYN_ARGS=TRUE&amp;DOC_NAME=FAT:FQL_AUDITING_CLIENT_TEMPLATE.FAT&amp;display_string=Audit&amp;VAR:KEY=JODGVIPKVO&amp;VAR:QUERY=RkZfRUJJVERBX09QRVIoUVRSLDQvMS8yMDEwLDYvMzAvMjAxMCwsLFVTRCk=&amp;WINDOW=FIRST_POPUP&amp;HEIGH","T=450&amp;WIDTH=450&amp;START_MAXIMIZED=FALSE&amp;VAR:CALENDAR=US&amp;VAR:SYMBOL=PG&amp;VAR:INDEX=0"}</definedName>
    <definedName name="_289__FDSAUDITLINK__" localSheetId="1" hidden="1">{"fdsup://directions/FAT Viewer?action=UPDATE&amp;creator=factset&amp;DYN_ARGS=TRUE&amp;DOC_NAME=FAT:FQL_AUDITING_CLIENT_TEMPLATE.FAT&amp;display_string=Audit&amp;VAR:KEY=NEBETGDIDU&amp;VAR:QUERY=RkZfRUJJVERBX09QRVIoUVRSLDQvMS8yMDA5LDYvMzAvMjAwOSwsLFVTRCk=&amp;WINDOW=FIRST_POPUP&amp;HEIGH","T=450&amp;WIDTH=450&amp;START_MAXIMIZED=FALSE&amp;VAR:CALENDAR=US&amp;VAR:SYMBOL=PFG&amp;VAR:INDEX=0"}</definedName>
    <definedName name="_289__FDSAUDITLINK__" hidden="1">{"fdsup://directions/FAT Viewer?action=UPDATE&amp;creator=factset&amp;DYN_ARGS=TRUE&amp;DOC_NAME=FAT:FQL_AUDITING_CLIENT_TEMPLATE.FAT&amp;display_string=Audit&amp;VAR:KEY=NEBETGDIDU&amp;VAR:QUERY=RkZfRUJJVERBX09QRVIoUVRSLDQvMS8yMDA5LDYvMzAvMjAwOSwsLFVTRCk=&amp;WINDOW=FIRST_POPUP&amp;HEIGH","T=450&amp;WIDTH=450&amp;START_MAXIMIZED=FALSE&amp;VAR:CALENDAR=US&amp;VAR:SYMBOL=PFG&amp;VAR:INDEX=0"}</definedName>
    <definedName name="_29__FDSAUDITLINK__" localSheetId="1" hidden="1">{"fdsup://directions/FAT Viewer?action=UPDATE&amp;creator=factset&amp;DYN_ARGS=TRUE&amp;DOC_NAME=FAT:FQL_AUDITING_CLIENT_TEMPLATE.FAT&amp;display_string=Audit&amp;VAR:KEY=DCNQRIBQVA&amp;VAR:QUERY=RkZfRUJJVERBX09QRVIoUVRSLDQvMS8yMDA5LDYvMzAvMjAwOSwsLFVTRCk=&amp;WINDOW=FIRST_POPUP&amp;HEIGH","T=450&amp;WIDTH=450&amp;START_MAXIMIZED=FALSE&amp;VAR:CALENDAR=US&amp;VAR:SYMBOL=WU&amp;VAR:INDEX=0"}</definedName>
    <definedName name="_29__FDSAUDITLINK__" hidden="1">{"fdsup://directions/FAT Viewer?action=UPDATE&amp;creator=factset&amp;DYN_ARGS=TRUE&amp;DOC_NAME=FAT:FQL_AUDITING_CLIENT_TEMPLATE.FAT&amp;display_string=Audit&amp;VAR:KEY=DCNQRIBQVA&amp;VAR:QUERY=RkZfRUJJVERBX09QRVIoUVRSLDQvMS8yMDA5LDYvMzAvMjAwOSwsLFVTRCk=&amp;WINDOW=FIRST_POPUP&amp;HEIGH","T=450&amp;WIDTH=450&amp;START_MAXIMIZED=FALSE&amp;VAR:CALENDAR=US&amp;VAR:SYMBOL=WU&amp;VAR:INDEX=0"}</definedName>
    <definedName name="_290__FDSAUDITLINK__" localSheetId="1" hidden="1">{"fdsup://directions/FAT Viewer?action=UPDATE&amp;creator=factset&amp;DYN_ARGS=TRUE&amp;DOC_NAME=FAT:FQL_AUDITING_CLIENT_TEMPLATE.FAT&amp;display_string=Audit&amp;VAR:KEY=NGRYPUTOBQ&amp;VAR:QUERY=RkZfRUJJVERBX09QRVIoUVRSLDQvMS8yMDEwLDYvMzAvMjAxMCwsLFVTRCk=&amp;WINDOW=FIRST_POPUP&amp;HEIGH","T=450&amp;WIDTH=450&amp;START_MAXIMIZED=FALSE&amp;VAR:CALENDAR=US&amp;VAR:SYMBOL=PFG&amp;VAR:INDEX=0"}</definedName>
    <definedName name="_290__FDSAUDITLINK__" hidden="1">{"fdsup://directions/FAT Viewer?action=UPDATE&amp;creator=factset&amp;DYN_ARGS=TRUE&amp;DOC_NAME=FAT:FQL_AUDITING_CLIENT_TEMPLATE.FAT&amp;display_string=Audit&amp;VAR:KEY=NGRYPUTOBQ&amp;VAR:QUERY=RkZfRUJJVERBX09QRVIoUVRSLDQvMS8yMDEwLDYvMzAvMjAxMCwsLFVTRCk=&amp;WINDOW=FIRST_POPUP&amp;HEIGH","T=450&amp;WIDTH=450&amp;START_MAXIMIZED=FALSE&amp;VAR:CALENDAR=US&amp;VAR:SYMBOL=PFG&amp;VAR:INDEX=0"}</definedName>
    <definedName name="_291__FDSAUDITLINK__" localSheetId="1" hidden="1">{"fdsup://directions/FAT Viewer?action=UPDATE&amp;creator=factset&amp;DYN_ARGS=TRUE&amp;DOC_NAME=FAT:FQL_AUDITING_CLIENT_TEMPLATE.FAT&amp;display_string=Audit&amp;VAR:KEY=BSFAHGFIRY&amp;VAR:QUERY=RkZfRUJJVERBX09QRVIoUVRSLDQvMS8yMDA5LDYvMzAvMjAwOSwsLFVTRCk=&amp;WINDOW=FIRST_POPUP&amp;HEIGH","T=450&amp;WIDTH=450&amp;START_MAXIMIZED=FALSE&amp;VAR:CALENDAR=US&amp;VAR:SYMBOL=PFE&amp;VAR:INDEX=0"}</definedName>
    <definedName name="_291__FDSAUDITLINK__" hidden="1">{"fdsup://directions/FAT Viewer?action=UPDATE&amp;creator=factset&amp;DYN_ARGS=TRUE&amp;DOC_NAME=FAT:FQL_AUDITING_CLIENT_TEMPLATE.FAT&amp;display_string=Audit&amp;VAR:KEY=BSFAHGFIRY&amp;VAR:QUERY=RkZfRUJJVERBX09QRVIoUVRSLDQvMS8yMDA5LDYvMzAvMjAwOSwsLFVTRCk=&amp;WINDOW=FIRST_POPUP&amp;HEIGH","T=450&amp;WIDTH=450&amp;START_MAXIMIZED=FALSE&amp;VAR:CALENDAR=US&amp;VAR:SYMBOL=PFE&amp;VAR:INDEX=0"}</definedName>
    <definedName name="_292__FDSAUDITLINK__" localSheetId="1" hidden="1">{"fdsup://directions/FAT Viewer?action=UPDATE&amp;creator=factset&amp;DYN_ARGS=TRUE&amp;DOC_NAME=FAT:FQL_AUDITING_CLIENT_TEMPLATE.FAT&amp;display_string=Audit&amp;VAR:KEY=POBCNQTWZY&amp;VAR:QUERY=RkZfRUJJVERBX09QRVIoUVRSLDQvMS8yMDEwLDYvMzAvMjAxMCwsLFVTRCk=&amp;WINDOW=FIRST_POPUP&amp;HEIGH","T=450&amp;WIDTH=450&amp;START_MAXIMIZED=FALSE&amp;VAR:CALENDAR=US&amp;VAR:SYMBOL=PFE&amp;VAR:INDEX=0"}</definedName>
    <definedName name="_292__FDSAUDITLINK__" hidden="1">{"fdsup://directions/FAT Viewer?action=UPDATE&amp;creator=factset&amp;DYN_ARGS=TRUE&amp;DOC_NAME=FAT:FQL_AUDITING_CLIENT_TEMPLATE.FAT&amp;display_string=Audit&amp;VAR:KEY=POBCNQTWZY&amp;VAR:QUERY=RkZfRUJJVERBX09QRVIoUVRSLDQvMS8yMDEwLDYvMzAvMjAxMCwsLFVTRCk=&amp;WINDOW=FIRST_POPUP&amp;HEIGH","T=450&amp;WIDTH=450&amp;START_MAXIMIZED=FALSE&amp;VAR:CALENDAR=US&amp;VAR:SYMBOL=PFE&amp;VAR:INDEX=0"}</definedName>
    <definedName name="_293__FDSAUDITLINK__" localSheetId="1" hidden="1">{"fdsup://directions/FAT Viewer?action=UPDATE&amp;creator=factset&amp;DYN_ARGS=TRUE&amp;DOC_NAME=FAT:FQL_AUDITING_CLIENT_TEMPLATE.FAT&amp;display_string=Audit&amp;VAR:KEY=NULCVCZARE&amp;VAR:QUERY=RkZfRUJJVERBX09QRVIoUVRSLDQvMS8yMDA5LDYvMzAvMjAwOSwsLFVTRCk=&amp;WINDOW=FIRST_POPUP&amp;HEIGH","T=450&amp;WIDTH=450&amp;START_MAXIMIZED=FALSE&amp;VAR:CALENDAR=US&amp;VAR:SYMBOL=PEP&amp;VAR:INDEX=0"}</definedName>
    <definedName name="_293__FDSAUDITLINK__" hidden="1">{"fdsup://directions/FAT Viewer?action=UPDATE&amp;creator=factset&amp;DYN_ARGS=TRUE&amp;DOC_NAME=FAT:FQL_AUDITING_CLIENT_TEMPLATE.FAT&amp;display_string=Audit&amp;VAR:KEY=NULCVCZARE&amp;VAR:QUERY=RkZfRUJJVERBX09QRVIoUVRSLDQvMS8yMDA5LDYvMzAvMjAwOSwsLFVTRCk=&amp;WINDOW=FIRST_POPUP&amp;HEIGH","T=450&amp;WIDTH=450&amp;START_MAXIMIZED=FALSE&amp;VAR:CALENDAR=US&amp;VAR:SYMBOL=PEP&amp;VAR:INDEX=0"}</definedName>
    <definedName name="_294__FDSAUDITLINK__" localSheetId="1" hidden="1">{"fdsup://directions/FAT Viewer?action=UPDATE&amp;creator=factset&amp;DYN_ARGS=TRUE&amp;DOC_NAME=FAT:FQL_AUDITING_CLIENT_TEMPLATE.FAT&amp;display_string=Audit&amp;VAR:KEY=TMFMTWTQVK&amp;VAR:QUERY=RkZfRUJJVERBX09QRVIoUVRSLDQvMS8yMDEwLDYvMzAvMjAxMCwsLFVTRCk=&amp;WINDOW=FIRST_POPUP&amp;HEIGH","T=450&amp;WIDTH=450&amp;START_MAXIMIZED=FALSE&amp;VAR:CALENDAR=US&amp;VAR:SYMBOL=PEP&amp;VAR:INDEX=0"}</definedName>
    <definedName name="_294__FDSAUDITLINK__" hidden="1">{"fdsup://directions/FAT Viewer?action=UPDATE&amp;creator=factset&amp;DYN_ARGS=TRUE&amp;DOC_NAME=FAT:FQL_AUDITING_CLIENT_TEMPLATE.FAT&amp;display_string=Audit&amp;VAR:KEY=TMFMTWTQVK&amp;VAR:QUERY=RkZfRUJJVERBX09QRVIoUVRSLDQvMS8yMDEwLDYvMzAvMjAxMCwsLFVTRCk=&amp;WINDOW=FIRST_POPUP&amp;HEIGH","T=450&amp;WIDTH=450&amp;START_MAXIMIZED=FALSE&amp;VAR:CALENDAR=US&amp;VAR:SYMBOL=PEP&amp;VAR:INDEX=0"}</definedName>
    <definedName name="_295__FDSAUDITLINK__" localSheetId="1" hidden="1">{"fdsup://directions/FAT Viewer?action=UPDATE&amp;creator=factset&amp;DYN_ARGS=TRUE&amp;DOC_NAME=FAT:FQL_AUDITING_CLIENT_TEMPLATE.FAT&amp;display_string=Audit&amp;VAR:KEY=XQRWLUDEXY&amp;VAR:QUERY=RkZfRUJJVERBX09QRVIoUVRSLDQvMS8yMDA5LDYvMzAvMjAwOSwsLFVTRCk=&amp;WINDOW=FIRST_POPUP&amp;HEIGH","T=450&amp;WIDTH=450&amp;START_MAXIMIZED=FALSE&amp;VAR:CALENDAR=US&amp;VAR:SYMBOL=PEG&amp;VAR:INDEX=0"}</definedName>
    <definedName name="_295__FDSAUDITLINK__" hidden="1">{"fdsup://directions/FAT Viewer?action=UPDATE&amp;creator=factset&amp;DYN_ARGS=TRUE&amp;DOC_NAME=FAT:FQL_AUDITING_CLIENT_TEMPLATE.FAT&amp;display_string=Audit&amp;VAR:KEY=XQRWLUDEXY&amp;VAR:QUERY=RkZfRUJJVERBX09QRVIoUVRSLDQvMS8yMDA5LDYvMzAvMjAwOSwsLFVTRCk=&amp;WINDOW=FIRST_POPUP&amp;HEIGH","T=450&amp;WIDTH=450&amp;START_MAXIMIZED=FALSE&amp;VAR:CALENDAR=US&amp;VAR:SYMBOL=PEG&amp;VAR:INDEX=0"}</definedName>
    <definedName name="_296__FDSAUDITLINK__" localSheetId="1" hidden="1">{"fdsup://directions/FAT Viewer?action=UPDATE&amp;creator=factset&amp;DYN_ARGS=TRUE&amp;DOC_NAME=FAT:FQL_AUDITING_CLIENT_TEMPLATE.FAT&amp;display_string=Audit&amp;VAR:KEY=PWTOVKNAJI&amp;VAR:QUERY=RkZfRUJJVERBX09QRVIoUVRSLDQvMS8yMDEwLDYvMzAvMjAxMCwsLFVTRCk=&amp;WINDOW=FIRST_POPUP&amp;HEIGH","T=450&amp;WIDTH=450&amp;START_MAXIMIZED=FALSE&amp;VAR:CALENDAR=US&amp;VAR:SYMBOL=PEG&amp;VAR:INDEX=0"}</definedName>
    <definedName name="_296__FDSAUDITLINK__" hidden="1">{"fdsup://directions/FAT Viewer?action=UPDATE&amp;creator=factset&amp;DYN_ARGS=TRUE&amp;DOC_NAME=FAT:FQL_AUDITING_CLIENT_TEMPLATE.FAT&amp;display_string=Audit&amp;VAR:KEY=PWTOVKNAJI&amp;VAR:QUERY=RkZfRUJJVERBX09QRVIoUVRSLDQvMS8yMDEwLDYvMzAvMjAxMCwsLFVTRCk=&amp;WINDOW=FIRST_POPUP&amp;HEIGH","T=450&amp;WIDTH=450&amp;START_MAXIMIZED=FALSE&amp;VAR:CALENDAR=US&amp;VAR:SYMBOL=PEG&amp;VAR:INDEX=0"}</definedName>
    <definedName name="_297__FDSAUDITLINK__" localSheetId="1" hidden="1">{"fdsup://directions/FAT Viewer?action=UPDATE&amp;creator=factset&amp;DYN_ARGS=TRUE&amp;DOC_NAME=FAT:FQL_AUDITING_CLIENT_TEMPLATE.FAT&amp;display_string=Audit&amp;VAR:KEY=ZEPINYDGHM&amp;VAR:QUERY=RkZfRUJJVERBX09QRVIoUVRSLDQvMS8yMDA5LDYvMzAvMjAwOSwsLFVTRCk=&amp;WINDOW=FIRST_POPUP&amp;HEIGH","T=450&amp;WIDTH=450&amp;START_MAXIMIZED=FALSE&amp;VAR:CALENDAR=US&amp;VAR:SYMBOL=PDCO&amp;VAR:INDEX=0"}</definedName>
    <definedName name="_297__FDSAUDITLINK__" hidden="1">{"fdsup://directions/FAT Viewer?action=UPDATE&amp;creator=factset&amp;DYN_ARGS=TRUE&amp;DOC_NAME=FAT:FQL_AUDITING_CLIENT_TEMPLATE.FAT&amp;display_string=Audit&amp;VAR:KEY=ZEPINYDGHM&amp;VAR:QUERY=RkZfRUJJVERBX09QRVIoUVRSLDQvMS8yMDA5LDYvMzAvMjAwOSwsLFVTRCk=&amp;WINDOW=FIRST_POPUP&amp;HEIGH","T=450&amp;WIDTH=450&amp;START_MAXIMIZED=FALSE&amp;VAR:CALENDAR=US&amp;VAR:SYMBOL=PDCO&amp;VAR:INDEX=0"}</definedName>
    <definedName name="_298__FDSAUDITLINK__" localSheetId="1" hidden="1">{"fdsup://directions/FAT Viewer?action=UPDATE&amp;creator=factset&amp;DYN_ARGS=TRUE&amp;DOC_NAME=FAT:FQL_AUDITING_CLIENT_TEMPLATE.FAT&amp;display_string=Audit&amp;VAR:KEY=XYREDWRILC&amp;VAR:QUERY=RkZfRUJJVERBX09QRVIoUVRSLDQvMS8yMDEwLDYvMzAvMjAxMCwsLFVTRCk=&amp;WINDOW=FIRST_POPUP&amp;HEIGH","T=450&amp;WIDTH=450&amp;START_MAXIMIZED=FALSE&amp;VAR:CALENDAR=US&amp;VAR:SYMBOL=PDCO&amp;VAR:INDEX=0"}</definedName>
    <definedName name="_298__FDSAUDITLINK__" hidden="1">{"fdsup://directions/FAT Viewer?action=UPDATE&amp;creator=factset&amp;DYN_ARGS=TRUE&amp;DOC_NAME=FAT:FQL_AUDITING_CLIENT_TEMPLATE.FAT&amp;display_string=Audit&amp;VAR:KEY=XYREDWRILC&amp;VAR:QUERY=RkZfRUJJVERBX09QRVIoUVRSLDQvMS8yMDEwLDYvMzAvMjAxMCwsLFVTRCk=&amp;WINDOW=FIRST_POPUP&amp;HEIGH","T=450&amp;WIDTH=450&amp;START_MAXIMIZED=FALSE&amp;VAR:CALENDAR=US&amp;VAR:SYMBOL=PDCO&amp;VAR:INDEX=0"}</definedName>
    <definedName name="_299__FDSAUDITLINK__" localSheetId="1" hidden="1">{"fdsup://directions/FAT Viewer?action=UPDATE&amp;creator=factset&amp;DYN_ARGS=TRUE&amp;DOC_NAME=FAT:FQL_AUDITING_CLIENT_TEMPLATE.FAT&amp;display_string=Audit&amp;VAR:KEY=LCHYZKHYFI&amp;VAR:QUERY=RkZfRUJJVERBX09QRVIoUVRSLDQvMS8yMDA5LDYvMzAvMjAwOSwsLFVTRCk=&amp;WINDOW=FIRST_POPUP&amp;HEIGH","T=450&amp;WIDTH=450&amp;START_MAXIMIZED=FALSE&amp;VAR:CALENDAR=US&amp;VAR:SYMBOL=PCS&amp;VAR:INDEX=0"}</definedName>
    <definedName name="_299__FDSAUDITLINK__" hidden="1">{"fdsup://directions/FAT Viewer?action=UPDATE&amp;creator=factset&amp;DYN_ARGS=TRUE&amp;DOC_NAME=FAT:FQL_AUDITING_CLIENT_TEMPLATE.FAT&amp;display_string=Audit&amp;VAR:KEY=LCHYZKHYFI&amp;VAR:QUERY=RkZfRUJJVERBX09QRVIoUVRSLDQvMS8yMDA5LDYvMzAvMjAwOSwsLFVTRCk=&amp;WINDOW=FIRST_POPUP&amp;HEIGH","T=450&amp;WIDTH=450&amp;START_MAXIMIZED=FALSE&amp;VAR:CALENDAR=US&amp;VAR:SYMBOL=PCS&amp;VAR:INDEX=0"}</definedName>
    <definedName name="_3__FDSAUDITLINK__" localSheetId="1" hidden="1">{"fdsup://directions/FAT Viewer?action=UPDATE&amp;creator=factset&amp;DYN_ARGS=TRUE&amp;DOC_NAME=FAT:FQL_AUDITING_CLIENT_TEMPLATE.FAT&amp;display_string=Audit&amp;VAR:KEY=BQPOXSNSBW&amp;VAR:QUERY=RkZfRUJJVERBX09QRVIoUVRSLDQvMS8yMDA5LDYvMzAvMjAwOSwsLFVTRCk=&amp;WINDOW=FIRST_POPUP&amp;HEIGH","T=450&amp;WIDTH=450&amp;START_MAXIMIZED=FALSE&amp;VAR:CALENDAR=US&amp;VAR:SYMBOL=ZION&amp;VAR:INDEX=0"}</definedName>
    <definedName name="_3__FDSAUDITLINK__" hidden="1">{"fdsup://directions/FAT Viewer?action=UPDATE&amp;creator=factset&amp;DYN_ARGS=TRUE&amp;DOC_NAME=FAT:FQL_AUDITING_CLIENT_TEMPLATE.FAT&amp;display_string=Audit&amp;VAR:KEY=DQPUXQXQFE&amp;VAR:QUERY=RkZfQVNTRVRTX09USCgnUVRSJywwKQ==&amp;WINDOW=FIRST_POPUP&amp;HEIGHT=450&amp;WIDTH=450&amp;START_MAXIMI","ZED=FALSE&amp;VAR:CALENDAR=FIVEDAY&amp;VAR:SYMBOL=AAPL&amp;VAR:INDEX=0"}</definedName>
    <definedName name="_30__FDSAUDITLINK__" localSheetId="1" hidden="1">{"fdsup://directions/FAT Viewer?action=UPDATE&amp;creator=factset&amp;DYN_ARGS=TRUE&amp;DOC_NAME=FAT:FQL_AUDITING_CLIENT_TEMPLATE.FAT&amp;display_string=Audit&amp;VAR:KEY=NGFSFWPSPE&amp;VAR:QUERY=RkZfRUJJVERBX09QRVIoUVRSLDQvMS8yMDEwLDYvMzAvMjAxMCwsLFVTRCk=&amp;WINDOW=FIRST_POPUP&amp;HEIGH","T=450&amp;WIDTH=450&amp;START_MAXIMIZED=FALSE&amp;VAR:CALENDAR=US&amp;VAR:SYMBOL=WU&amp;VAR:INDEX=0"}</definedName>
    <definedName name="_30__FDSAUDITLINK__" hidden="1">{"fdsup://directions/FAT Viewer?action=UPDATE&amp;creator=factset&amp;DYN_ARGS=TRUE&amp;DOC_NAME=FAT:FQL_AUDITING_CLIENT_TEMPLATE.FAT&amp;display_string=Audit&amp;VAR:KEY=NGFSFWPSPE&amp;VAR:QUERY=RkZfRUJJVERBX09QRVIoUVRSLDQvMS8yMDEwLDYvMzAvMjAxMCwsLFVTRCk=&amp;WINDOW=FIRST_POPUP&amp;HEIGH","T=450&amp;WIDTH=450&amp;START_MAXIMIZED=FALSE&amp;VAR:CALENDAR=US&amp;VAR:SYMBOL=WU&amp;VAR:INDEX=0"}</definedName>
    <definedName name="_300__FDSAUDITLINK__" localSheetId="1" hidden="1">{"fdsup://directions/FAT Viewer?action=UPDATE&amp;creator=factset&amp;DYN_ARGS=TRUE&amp;DOC_NAME=FAT:FQL_AUDITING_CLIENT_TEMPLATE.FAT&amp;display_string=Audit&amp;VAR:KEY=DCLKJWNGHS&amp;VAR:QUERY=RkZfRUJJVERBX09QRVIoUVRSLDQvMS8yMDEwLDYvMzAvMjAxMCwsLFVTRCk=&amp;WINDOW=FIRST_POPUP&amp;HEIGH","T=450&amp;WIDTH=450&amp;START_MAXIMIZED=FALSE&amp;VAR:CALENDAR=US&amp;VAR:SYMBOL=PCS&amp;VAR:INDEX=0"}</definedName>
    <definedName name="_300__FDSAUDITLINK__" hidden="1">{"fdsup://directions/FAT Viewer?action=UPDATE&amp;creator=factset&amp;DYN_ARGS=TRUE&amp;DOC_NAME=FAT:FQL_AUDITING_CLIENT_TEMPLATE.FAT&amp;display_string=Audit&amp;VAR:KEY=DCLKJWNGHS&amp;VAR:QUERY=RkZfRUJJVERBX09QRVIoUVRSLDQvMS8yMDEwLDYvMzAvMjAxMCwsLFVTRCk=&amp;WINDOW=FIRST_POPUP&amp;HEIGH","T=450&amp;WIDTH=450&amp;START_MAXIMIZED=FALSE&amp;VAR:CALENDAR=US&amp;VAR:SYMBOL=PCS&amp;VAR:INDEX=0"}</definedName>
    <definedName name="_301__FDSAUDITLINK__" localSheetId="1" hidden="1">{"fdsup://directions/FAT Viewer?action=UPDATE&amp;creator=factset&amp;DYN_ARGS=TRUE&amp;DOC_NAME=FAT:FQL_AUDITING_CLIENT_TEMPLATE.FAT&amp;display_string=Audit&amp;VAR:KEY=PMHMTSNQLA&amp;VAR:QUERY=RkZfRUJJVERBX09QRVIoUVRSLDQvMS8yMDA5LDYvMzAvMjAwOSwsLFVTRCk=&amp;WINDOW=FIRST_POPUP&amp;HEIGH","T=450&amp;WIDTH=450&amp;START_MAXIMIZED=FALSE&amp;VAR:CALENDAR=US&amp;VAR:SYMBOL=PCP&amp;VAR:INDEX=0"}</definedName>
    <definedName name="_301__FDSAUDITLINK__" hidden="1">{"fdsup://directions/FAT Viewer?action=UPDATE&amp;creator=factset&amp;DYN_ARGS=TRUE&amp;DOC_NAME=FAT:FQL_AUDITING_CLIENT_TEMPLATE.FAT&amp;display_string=Audit&amp;VAR:KEY=PMHMTSNQLA&amp;VAR:QUERY=RkZfRUJJVERBX09QRVIoUVRSLDQvMS8yMDA5LDYvMzAvMjAwOSwsLFVTRCk=&amp;WINDOW=FIRST_POPUP&amp;HEIGH","T=450&amp;WIDTH=450&amp;START_MAXIMIZED=FALSE&amp;VAR:CALENDAR=US&amp;VAR:SYMBOL=PCP&amp;VAR:INDEX=0"}</definedName>
    <definedName name="_302__FDSAUDITLINK__" localSheetId="1" hidden="1">{"fdsup://directions/FAT Viewer?action=UPDATE&amp;creator=factset&amp;DYN_ARGS=TRUE&amp;DOC_NAME=FAT:FQL_AUDITING_CLIENT_TEMPLATE.FAT&amp;display_string=Audit&amp;VAR:KEY=ZULCVUZIFI&amp;VAR:QUERY=RkZfRUJJVERBX09QRVIoUVRSLDQvMS8yMDEwLDYvMzAvMjAxMCwsLFVTRCk=&amp;WINDOW=FIRST_POPUP&amp;HEIGH","T=450&amp;WIDTH=450&amp;START_MAXIMIZED=FALSE&amp;VAR:CALENDAR=US&amp;VAR:SYMBOL=PCP&amp;VAR:INDEX=0"}</definedName>
    <definedName name="_302__FDSAUDITLINK__" hidden="1">{"fdsup://directions/FAT Viewer?action=UPDATE&amp;creator=factset&amp;DYN_ARGS=TRUE&amp;DOC_NAME=FAT:FQL_AUDITING_CLIENT_TEMPLATE.FAT&amp;display_string=Audit&amp;VAR:KEY=ZULCVUZIFI&amp;VAR:QUERY=RkZfRUJJVERBX09QRVIoUVRSLDQvMS8yMDEwLDYvMzAvMjAxMCwsLFVTRCk=&amp;WINDOW=FIRST_POPUP&amp;HEIGH","T=450&amp;WIDTH=450&amp;START_MAXIMIZED=FALSE&amp;VAR:CALENDAR=US&amp;VAR:SYMBOL=PCP&amp;VAR:INDEX=0"}</definedName>
    <definedName name="_303__FDSAUDITLINK__" localSheetId="1" hidden="1">{"fdsup://directions/FAT Viewer?action=UPDATE&amp;creator=factset&amp;DYN_ARGS=TRUE&amp;DOC_NAME=FAT:FQL_AUDITING_CLIENT_TEMPLATE.FAT&amp;display_string=Audit&amp;VAR:KEY=XWBYZKTETO&amp;VAR:QUERY=RkZfRUJJVERBX09QRVIoUVRSLDQvMS8yMDA5LDYvMzAvMjAwOSwsLFVTRCk=&amp;WINDOW=FIRST_POPUP&amp;HEIGH","T=450&amp;WIDTH=450&amp;START_MAXIMIZED=FALSE&amp;VAR:CALENDAR=US&amp;VAR:SYMBOL=PCLN&amp;VAR:INDEX=0"}</definedName>
    <definedName name="_303__FDSAUDITLINK__" hidden="1">{"fdsup://directions/FAT Viewer?action=UPDATE&amp;creator=factset&amp;DYN_ARGS=TRUE&amp;DOC_NAME=FAT:FQL_AUDITING_CLIENT_TEMPLATE.FAT&amp;display_string=Audit&amp;VAR:KEY=XWBYZKTETO&amp;VAR:QUERY=RkZfRUJJVERBX09QRVIoUVRSLDQvMS8yMDA5LDYvMzAvMjAwOSwsLFVTRCk=&amp;WINDOW=FIRST_POPUP&amp;HEIGH","T=450&amp;WIDTH=450&amp;START_MAXIMIZED=FALSE&amp;VAR:CALENDAR=US&amp;VAR:SYMBOL=PCLN&amp;VAR:INDEX=0"}</definedName>
    <definedName name="_304__FDSAUDITLINK__" localSheetId="1" hidden="1">{"fdsup://directions/FAT Viewer?action=UPDATE&amp;creator=factset&amp;DYN_ARGS=TRUE&amp;DOC_NAME=FAT:FQL_AUDITING_CLIENT_TEMPLATE.FAT&amp;display_string=Audit&amp;VAR:KEY=PIZIFYTWLW&amp;VAR:QUERY=RkZfRUJJVERBX09QRVIoUVRSLDQvMS8yMDEwLDYvMzAvMjAxMCwsLFVTRCk=&amp;WINDOW=FIRST_POPUP&amp;HEIGH","T=450&amp;WIDTH=450&amp;START_MAXIMIZED=FALSE&amp;VAR:CALENDAR=US&amp;VAR:SYMBOL=PCLN&amp;VAR:INDEX=0"}</definedName>
    <definedName name="_304__FDSAUDITLINK__" hidden="1">{"fdsup://directions/FAT Viewer?action=UPDATE&amp;creator=factset&amp;DYN_ARGS=TRUE&amp;DOC_NAME=FAT:FQL_AUDITING_CLIENT_TEMPLATE.FAT&amp;display_string=Audit&amp;VAR:KEY=PIZIFYTWLW&amp;VAR:QUERY=RkZfRUJJVERBX09QRVIoUVRSLDQvMS8yMDEwLDYvMzAvMjAxMCwsLFVTRCk=&amp;WINDOW=FIRST_POPUP&amp;HEIGH","T=450&amp;WIDTH=450&amp;START_MAXIMIZED=FALSE&amp;VAR:CALENDAR=US&amp;VAR:SYMBOL=PCLN&amp;VAR:INDEX=0"}</definedName>
    <definedName name="_305__FDSAUDITLINK__" localSheetId="1" hidden="1">{"fdsup://directions/FAT Viewer?action=UPDATE&amp;creator=factset&amp;DYN_ARGS=TRUE&amp;DOC_NAME=FAT:FQL_AUDITING_CLIENT_TEMPLATE.FAT&amp;display_string=Audit&amp;VAR:KEY=BEVKRWBYXU&amp;VAR:QUERY=RkZfRUJJVERBX09QRVIoUVRSLDQvMS8yMDA5LDYvMzAvMjAwOSwsLFVTRCk=&amp;WINDOW=FIRST_POPUP&amp;HEIGH","T=450&amp;WIDTH=450&amp;START_MAXIMIZED=FALSE&amp;VAR:CALENDAR=US&amp;VAR:SYMBOL=PCL&amp;VAR:INDEX=0"}</definedName>
    <definedName name="_305__FDSAUDITLINK__" hidden="1">{"fdsup://directions/FAT Viewer?action=UPDATE&amp;creator=factset&amp;DYN_ARGS=TRUE&amp;DOC_NAME=FAT:FQL_AUDITING_CLIENT_TEMPLATE.FAT&amp;display_string=Audit&amp;VAR:KEY=BEVKRWBYXU&amp;VAR:QUERY=RkZfRUJJVERBX09QRVIoUVRSLDQvMS8yMDA5LDYvMzAvMjAwOSwsLFVTRCk=&amp;WINDOW=FIRST_POPUP&amp;HEIGH","T=450&amp;WIDTH=450&amp;START_MAXIMIZED=FALSE&amp;VAR:CALENDAR=US&amp;VAR:SYMBOL=PCL&amp;VAR:INDEX=0"}</definedName>
    <definedName name="_306__FDSAUDITLINK__" localSheetId="1" hidden="1">{"fdsup://directions/FAT Viewer?action=UPDATE&amp;creator=factset&amp;DYN_ARGS=TRUE&amp;DOC_NAME=FAT:FQL_AUDITING_CLIENT_TEMPLATE.FAT&amp;display_string=Audit&amp;VAR:KEY=VGZIXMTWHG&amp;VAR:QUERY=RkZfRUJJVERBX09QRVIoUVRSLDQvMS8yMDEwLDYvMzAvMjAxMCwsLFVTRCk=&amp;WINDOW=FIRST_POPUP&amp;HEIGH","T=450&amp;WIDTH=450&amp;START_MAXIMIZED=FALSE&amp;VAR:CALENDAR=US&amp;VAR:SYMBOL=PCL&amp;VAR:INDEX=0"}</definedName>
    <definedName name="_306__FDSAUDITLINK__" hidden="1">{"fdsup://directions/FAT Viewer?action=UPDATE&amp;creator=factset&amp;DYN_ARGS=TRUE&amp;DOC_NAME=FAT:FQL_AUDITING_CLIENT_TEMPLATE.FAT&amp;display_string=Audit&amp;VAR:KEY=VGZIXMTWHG&amp;VAR:QUERY=RkZfRUJJVERBX09QRVIoUVRSLDQvMS8yMDEwLDYvMzAvMjAxMCwsLFVTRCk=&amp;WINDOW=FIRST_POPUP&amp;HEIGH","T=450&amp;WIDTH=450&amp;START_MAXIMIZED=FALSE&amp;VAR:CALENDAR=US&amp;VAR:SYMBOL=PCL&amp;VAR:INDEX=0"}</definedName>
    <definedName name="_307__FDSAUDITLINK__" localSheetId="1" hidden="1">{"fdsup://directions/FAT Viewer?action=UPDATE&amp;creator=factset&amp;DYN_ARGS=TRUE&amp;DOC_NAME=FAT:FQL_AUDITING_CLIENT_TEMPLATE.FAT&amp;display_string=Audit&amp;VAR:KEY=DCTGTCDCLS&amp;VAR:QUERY=RkZfRUJJVERBX09QRVIoUVRSLDQvMS8yMDA5LDYvMzAvMjAwOSwsLFVTRCk=&amp;WINDOW=FIRST_POPUP&amp;HEIGH","T=450&amp;WIDTH=450&amp;START_MAXIMIZED=FALSE&amp;VAR:CALENDAR=US&amp;VAR:SYMBOL=PCG&amp;VAR:INDEX=0"}</definedName>
    <definedName name="_307__FDSAUDITLINK__" hidden="1">{"fdsup://directions/FAT Viewer?action=UPDATE&amp;creator=factset&amp;DYN_ARGS=TRUE&amp;DOC_NAME=FAT:FQL_AUDITING_CLIENT_TEMPLATE.FAT&amp;display_string=Audit&amp;VAR:KEY=DCTGTCDCLS&amp;VAR:QUERY=RkZfRUJJVERBX09QRVIoUVRSLDQvMS8yMDA5LDYvMzAvMjAwOSwsLFVTRCk=&amp;WINDOW=FIRST_POPUP&amp;HEIGH","T=450&amp;WIDTH=450&amp;START_MAXIMIZED=FALSE&amp;VAR:CALENDAR=US&amp;VAR:SYMBOL=PCG&amp;VAR:INDEX=0"}</definedName>
    <definedName name="_308__FDSAUDITLINK__" localSheetId="1" hidden="1">{"fdsup://directions/FAT Viewer?action=UPDATE&amp;creator=factset&amp;DYN_ARGS=TRUE&amp;DOC_NAME=FAT:FQL_AUDITING_CLIENT_TEMPLATE.FAT&amp;display_string=Audit&amp;VAR:KEY=FUHQPGFSFE&amp;VAR:QUERY=RkZfRUJJVERBX09QRVIoUVRSLDQvMS8yMDEwLDYvMzAvMjAxMCwsLFVTRCk=&amp;WINDOW=FIRST_POPUP&amp;HEIGH","T=450&amp;WIDTH=450&amp;START_MAXIMIZED=FALSE&amp;VAR:CALENDAR=US&amp;VAR:SYMBOL=PCG&amp;VAR:INDEX=0"}</definedName>
    <definedName name="_308__FDSAUDITLINK__" hidden="1">{"fdsup://directions/FAT Viewer?action=UPDATE&amp;creator=factset&amp;DYN_ARGS=TRUE&amp;DOC_NAME=FAT:FQL_AUDITING_CLIENT_TEMPLATE.FAT&amp;display_string=Audit&amp;VAR:KEY=FUHQPGFSFE&amp;VAR:QUERY=RkZfRUJJVERBX09QRVIoUVRSLDQvMS8yMDEwLDYvMzAvMjAxMCwsLFVTRCk=&amp;WINDOW=FIRST_POPUP&amp;HEIGH","T=450&amp;WIDTH=450&amp;START_MAXIMIZED=FALSE&amp;VAR:CALENDAR=US&amp;VAR:SYMBOL=PCG&amp;VAR:INDEX=0"}</definedName>
    <definedName name="_309__FDSAUDITLINK__" localSheetId="1" hidden="1">{"fdsup://directions/FAT Viewer?action=UPDATE&amp;creator=factset&amp;DYN_ARGS=TRUE&amp;DOC_NAME=FAT:FQL_AUDITING_CLIENT_TEMPLATE.FAT&amp;display_string=Audit&amp;VAR:KEY=VGJMLUZCNS&amp;VAR:QUERY=RkZfRUJJVERBX09QRVIoUVRSLDQvMS8yMDA5LDYvMzAvMjAwOSwsLFVTRCk=&amp;WINDOW=FIRST_POPUP&amp;HEIGH","T=450&amp;WIDTH=450&amp;START_MAXIMIZED=FALSE&amp;VAR:CALENDAR=US&amp;VAR:SYMBOL=PCAR&amp;VAR:INDEX=0"}</definedName>
    <definedName name="_309__FDSAUDITLINK__" hidden="1">{"fdsup://directions/FAT Viewer?action=UPDATE&amp;creator=factset&amp;DYN_ARGS=TRUE&amp;DOC_NAME=FAT:FQL_AUDITING_CLIENT_TEMPLATE.FAT&amp;display_string=Audit&amp;VAR:KEY=VGJMLUZCNS&amp;VAR:QUERY=RkZfRUJJVERBX09QRVIoUVRSLDQvMS8yMDA5LDYvMzAvMjAwOSwsLFVTRCk=&amp;WINDOW=FIRST_POPUP&amp;HEIGH","T=450&amp;WIDTH=450&amp;START_MAXIMIZED=FALSE&amp;VAR:CALENDAR=US&amp;VAR:SYMBOL=PCAR&amp;VAR:INDEX=0"}</definedName>
    <definedName name="_31__FDSAUDITLINK__" localSheetId="1" hidden="1">{"fdsup://directions/FAT Viewer?action=UPDATE&amp;creator=factset&amp;DYN_ARGS=TRUE&amp;DOC_NAME=FAT:FQL_AUDITING_CLIENT_TEMPLATE.FAT&amp;display_string=Audit&amp;VAR:KEY=XKJKRQPWBI&amp;VAR:QUERY=RkZfRUJJVERBX09QRVIoUVRSLDQvMS8yMDA5LDYvMzAvMjAwOSwsLFVTRCk=&amp;WINDOW=FIRST_POPUP&amp;HEIGH","T=450&amp;WIDTH=450&amp;START_MAXIMIZED=FALSE&amp;VAR:CALENDAR=US&amp;VAR:SYMBOL=WPO&amp;VAR:INDEX=0"}</definedName>
    <definedName name="_31__FDSAUDITLINK__" hidden="1">{"fdsup://directions/FAT Viewer?action=UPDATE&amp;creator=factset&amp;DYN_ARGS=TRUE&amp;DOC_NAME=FAT:FQL_AUDITING_CLIENT_TEMPLATE.FAT&amp;display_string=Audit&amp;VAR:KEY=XKJKRQPWBI&amp;VAR:QUERY=RkZfRUJJVERBX09QRVIoUVRSLDQvMS8yMDA5LDYvMzAvMjAwOSwsLFVTRCk=&amp;WINDOW=FIRST_POPUP&amp;HEIGH","T=450&amp;WIDTH=450&amp;START_MAXIMIZED=FALSE&amp;VAR:CALENDAR=US&amp;VAR:SYMBOL=WPO&amp;VAR:INDEX=0"}</definedName>
    <definedName name="_310__FDSAUDITLINK__" localSheetId="1" hidden="1">{"fdsup://directions/FAT Viewer?action=UPDATE&amp;creator=factset&amp;DYN_ARGS=TRUE&amp;DOC_NAME=FAT:FQL_AUDITING_CLIENT_TEMPLATE.FAT&amp;display_string=Audit&amp;VAR:KEY=NWBEVKJSZQ&amp;VAR:QUERY=RkZfRUJJVERBX09QRVIoUVRSLDQvMS8yMDEwLDYvMzAvMjAxMCwsLFVTRCk=&amp;WINDOW=FIRST_POPUP&amp;HEIGH","T=450&amp;WIDTH=450&amp;START_MAXIMIZED=FALSE&amp;VAR:CALENDAR=US&amp;VAR:SYMBOL=PCAR&amp;VAR:INDEX=0"}</definedName>
    <definedName name="_310__FDSAUDITLINK__" hidden="1">{"fdsup://directions/FAT Viewer?action=UPDATE&amp;creator=factset&amp;DYN_ARGS=TRUE&amp;DOC_NAME=FAT:FQL_AUDITING_CLIENT_TEMPLATE.FAT&amp;display_string=Audit&amp;VAR:KEY=NWBEVKJSZQ&amp;VAR:QUERY=RkZfRUJJVERBX09QRVIoUVRSLDQvMS8yMDEwLDYvMzAvMjAxMCwsLFVTRCk=&amp;WINDOW=FIRST_POPUP&amp;HEIGH","T=450&amp;WIDTH=450&amp;START_MAXIMIZED=FALSE&amp;VAR:CALENDAR=US&amp;VAR:SYMBOL=PCAR&amp;VAR:INDEX=0"}</definedName>
    <definedName name="_311__FDSAUDITLINK__" localSheetId="1" hidden="1">{"fdsup://directions/FAT Viewer?action=UPDATE&amp;creator=factset&amp;DYN_ARGS=TRUE&amp;DOC_NAME=FAT:FQL_AUDITING_CLIENT_TEMPLATE.FAT&amp;display_string=Audit&amp;VAR:KEY=PCZERAHULW&amp;VAR:QUERY=RkZfRUJJVERBX09QRVIoUVRSLDQvMS8yMDA5LDYvMzAvMjAwOSwsLFVTRCk=&amp;WINDOW=FIRST_POPUP&amp;HEIGH","T=450&amp;WIDTH=450&amp;START_MAXIMIZED=FALSE&amp;VAR:CALENDAR=US&amp;VAR:SYMBOL=PBI&amp;VAR:INDEX=0"}</definedName>
    <definedName name="_311__FDSAUDITLINK__" hidden="1">{"fdsup://directions/FAT Viewer?action=UPDATE&amp;creator=factset&amp;DYN_ARGS=TRUE&amp;DOC_NAME=FAT:FQL_AUDITING_CLIENT_TEMPLATE.FAT&amp;display_string=Audit&amp;VAR:KEY=PCZERAHULW&amp;VAR:QUERY=RkZfRUJJVERBX09QRVIoUVRSLDQvMS8yMDA5LDYvMzAvMjAwOSwsLFVTRCk=&amp;WINDOW=FIRST_POPUP&amp;HEIGH","T=450&amp;WIDTH=450&amp;START_MAXIMIZED=FALSE&amp;VAR:CALENDAR=US&amp;VAR:SYMBOL=PBI&amp;VAR:INDEX=0"}</definedName>
    <definedName name="_312__FDSAUDITLINK__" localSheetId="1" hidden="1">{"fdsup://directions/FAT Viewer?action=UPDATE&amp;creator=factset&amp;DYN_ARGS=TRUE&amp;DOC_NAME=FAT:FQL_AUDITING_CLIENT_TEMPLATE.FAT&amp;display_string=Audit&amp;VAR:KEY=HCPQBUXOLU&amp;VAR:QUERY=RkZfRUJJVERBX09QRVIoUVRSLDQvMS8yMDEwLDYvMzAvMjAxMCwsLFVTRCk=&amp;WINDOW=FIRST_POPUP&amp;HEIGH","T=450&amp;WIDTH=450&amp;START_MAXIMIZED=FALSE&amp;VAR:CALENDAR=US&amp;VAR:SYMBOL=PBI&amp;VAR:INDEX=0"}</definedName>
    <definedName name="_312__FDSAUDITLINK__" hidden="1">{"fdsup://directions/FAT Viewer?action=UPDATE&amp;creator=factset&amp;DYN_ARGS=TRUE&amp;DOC_NAME=FAT:FQL_AUDITING_CLIENT_TEMPLATE.FAT&amp;display_string=Audit&amp;VAR:KEY=HCPQBUXOLU&amp;VAR:QUERY=RkZfRUJJVERBX09QRVIoUVRSLDQvMS8yMDEwLDYvMzAvMjAxMCwsLFVTRCk=&amp;WINDOW=FIRST_POPUP&amp;HEIGH","T=450&amp;WIDTH=450&amp;START_MAXIMIZED=FALSE&amp;VAR:CALENDAR=US&amp;VAR:SYMBOL=PBI&amp;VAR:INDEX=0"}</definedName>
    <definedName name="_313__FDSAUDITLINK__" localSheetId="1" hidden="1">{"fdsup://directions/FAT Viewer?action=UPDATE&amp;creator=factset&amp;DYN_ARGS=TRUE&amp;DOC_NAME=FAT:FQL_AUDITING_CLIENT_TEMPLATE.FAT&amp;display_string=Audit&amp;VAR:KEY=RWFCHCNGHO&amp;VAR:QUERY=RkZfRUJJVERBX09QRVIoUVRSLDQvMS8yMDA5LDYvMzAvMjAwOSwsLFVTRCk=&amp;WINDOW=FIRST_POPUP&amp;HEIGH","T=450&amp;WIDTH=450&amp;START_MAXIMIZED=FALSE&amp;VAR:CALENDAR=US&amp;VAR:SYMBOL=PBCT&amp;VAR:INDEX=0"}</definedName>
    <definedName name="_313__FDSAUDITLINK__" hidden="1">{"fdsup://directions/FAT Viewer?action=UPDATE&amp;creator=factset&amp;DYN_ARGS=TRUE&amp;DOC_NAME=FAT:FQL_AUDITING_CLIENT_TEMPLATE.FAT&amp;display_string=Audit&amp;VAR:KEY=RWFCHCNGHO&amp;VAR:QUERY=RkZfRUJJVERBX09QRVIoUVRSLDQvMS8yMDA5LDYvMzAvMjAwOSwsLFVTRCk=&amp;WINDOW=FIRST_POPUP&amp;HEIGH","T=450&amp;WIDTH=450&amp;START_MAXIMIZED=FALSE&amp;VAR:CALENDAR=US&amp;VAR:SYMBOL=PBCT&amp;VAR:INDEX=0"}</definedName>
    <definedName name="_314__FDSAUDITLINK__" localSheetId="1" hidden="1">{"fdsup://directions/FAT Viewer?action=UPDATE&amp;creator=factset&amp;DYN_ARGS=TRUE&amp;DOC_NAME=FAT:FQL_AUDITING_CLIENT_TEMPLATE.FAT&amp;display_string=Audit&amp;VAR:KEY=RCVQBOPCTE&amp;VAR:QUERY=RkZfRUJJVERBX09QRVIoUVRSLDQvMS8yMDEwLDYvMzAvMjAxMCwsLFVTRCk=&amp;WINDOW=FIRST_POPUP&amp;HEIGH","T=450&amp;WIDTH=450&amp;START_MAXIMIZED=FALSE&amp;VAR:CALENDAR=US&amp;VAR:SYMBOL=PBCT&amp;VAR:INDEX=0"}</definedName>
    <definedName name="_314__FDSAUDITLINK__" hidden="1">{"fdsup://directions/FAT Viewer?action=UPDATE&amp;creator=factset&amp;DYN_ARGS=TRUE&amp;DOC_NAME=FAT:FQL_AUDITING_CLIENT_TEMPLATE.FAT&amp;display_string=Audit&amp;VAR:KEY=RCVQBOPCTE&amp;VAR:QUERY=RkZfRUJJVERBX09QRVIoUVRSLDQvMS8yMDEwLDYvMzAvMjAxMCwsLFVTRCk=&amp;WINDOW=FIRST_POPUP&amp;HEIGH","T=450&amp;WIDTH=450&amp;START_MAXIMIZED=FALSE&amp;VAR:CALENDAR=US&amp;VAR:SYMBOL=PBCT&amp;VAR:INDEX=0"}</definedName>
    <definedName name="_315__FDSAUDITLINK__" localSheetId="1" hidden="1">{"fdsup://directions/FAT Viewer?action=UPDATE&amp;creator=factset&amp;DYN_ARGS=TRUE&amp;DOC_NAME=FAT:FQL_AUDITING_CLIENT_TEMPLATE.FAT&amp;display_string=Audit&amp;VAR:KEY=XAZGFSXQTS&amp;VAR:QUERY=RkZfRUJJVERBX09QRVIoUVRSLDQvMS8yMDA5LDYvMzAvMjAwOSwsLFVTRCk=&amp;WINDOW=FIRST_POPUP&amp;HEIGH","T=450&amp;WIDTH=450&amp;START_MAXIMIZED=FALSE&amp;VAR:CALENDAR=US&amp;VAR:SYMBOL=PAYX&amp;VAR:INDEX=0"}</definedName>
    <definedName name="_315__FDSAUDITLINK__" hidden="1">{"fdsup://directions/FAT Viewer?action=UPDATE&amp;creator=factset&amp;DYN_ARGS=TRUE&amp;DOC_NAME=FAT:FQL_AUDITING_CLIENT_TEMPLATE.FAT&amp;display_string=Audit&amp;VAR:KEY=XAZGFSXQTS&amp;VAR:QUERY=RkZfRUJJVERBX09QRVIoUVRSLDQvMS8yMDA5LDYvMzAvMjAwOSwsLFVTRCk=&amp;WINDOW=FIRST_POPUP&amp;HEIGH","T=450&amp;WIDTH=450&amp;START_MAXIMIZED=FALSE&amp;VAR:CALENDAR=US&amp;VAR:SYMBOL=PAYX&amp;VAR:INDEX=0"}</definedName>
    <definedName name="_316__FDSAUDITLINK__" localSheetId="1" hidden="1">{"fdsup://directions/FAT Viewer?action=UPDATE&amp;creator=factset&amp;DYN_ARGS=TRUE&amp;DOC_NAME=FAT:FQL_AUDITING_CLIENT_TEMPLATE.FAT&amp;display_string=Audit&amp;VAR:KEY=RULERYXSNO&amp;VAR:QUERY=RkZfRUJJVERBX09QRVIoUVRSLDQvMS8yMDEwLDYvMzAvMjAxMCwsLFVTRCk=&amp;WINDOW=FIRST_POPUP&amp;HEIGH","T=450&amp;WIDTH=450&amp;START_MAXIMIZED=FALSE&amp;VAR:CALENDAR=US&amp;VAR:SYMBOL=PAYX&amp;VAR:INDEX=0"}</definedName>
    <definedName name="_316__FDSAUDITLINK__" hidden="1">{"fdsup://directions/FAT Viewer?action=UPDATE&amp;creator=factset&amp;DYN_ARGS=TRUE&amp;DOC_NAME=FAT:FQL_AUDITING_CLIENT_TEMPLATE.FAT&amp;display_string=Audit&amp;VAR:KEY=RULERYXSNO&amp;VAR:QUERY=RkZfRUJJVERBX09QRVIoUVRSLDQvMS8yMDEwLDYvMzAvMjAxMCwsLFVTRCk=&amp;WINDOW=FIRST_POPUP&amp;HEIGH","T=450&amp;WIDTH=450&amp;START_MAXIMIZED=FALSE&amp;VAR:CALENDAR=US&amp;VAR:SYMBOL=PAYX&amp;VAR:INDEX=0"}</definedName>
    <definedName name="_317__FDSAUDITLINK__" localSheetId="1" hidden="1">{"fdsup://directions/FAT Viewer?action=UPDATE&amp;creator=factset&amp;DYN_ARGS=TRUE&amp;DOC_NAME=FAT:FQL_AUDITING_CLIENT_TEMPLATE.FAT&amp;display_string=Audit&amp;VAR:KEY=ZWBCHMVCZQ&amp;VAR:QUERY=RkZfRUJJVERBX09QRVIoUVRSLDQvMS8yMDA5LDYvMzAvMjAwOSwsLFVTRCk=&amp;WINDOW=FIRST_POPUP&amp;HEIGH","T=450&amp;WIDTH=450&amp;START_MAXIMIZED=FALSE&amp;VAR:CALENDAR=US&amp;VAR:SYMBOL=OXY&amp;VAR:INDEX=0"}</definedName>
    <definedName name="_317__FDSAUDITLINK__" hidden="1">{"fdsup://directions/FAT Viewer?action=UPDATE&amp;creator=factset&amp;DYN_ARGS=TRUE&amp;DOC_NAME=FAT:FQL_AUDITING_CLIENT_TEMPLATE.FAT&amp;display_string=Audit&amp;VAR:KEY=ZWBCHMVCZQ&amp;VAR:QUERY=RkZfRUJJVERBX09QRVIoUVRSLDQvMS8yMDA5LDYvMzAvMjAwOSwsLFVTRCk=&amp;WINDOW=FIRST_POPUP&amp;HEIGH","T=450&amp;WIDTH=450&amp;START_MAXIMIZED=FALSE&amp;VAR:CALENDAR=US&amp;VAR:SYMBOL=OXY&amp;VAR:INDEX=0"}</definedName>
    <definedName name="_318__FDSAUDITLINK__" localSheetId="1" hidden="1">{"fdsup://directions/FAT Viewer?action=UPDATE&amp;creator=factset&amp;DYN_ARGS=TRUE&amp;DOC_NAME=FAT:FQL_AUDITING_CLIENT_TEMPLATE.FAT&amp;display_string=Audit&amp;VAR:KEY=JGBWJIFINS&amp;VAR:QUERY=RkZfRUJJVERBX09QRVIoUVRSLDQvMS8yMDEwLDYvMzAvMjAxMCwsLFVTRCk=&amp;WINDOW=FIRST_POPUP&amp;HEIGH","T=450&amp;WIDTH=450&amp;START_MAXIMIZED=FALSE&amp;VAR:CALENDAR=US&amp;VAR:SYMBOL=OXY&amp;VAR:INDEX=0"}</definedName>
    <definedName name="_318__FDSAUDITLINK__" hidden="1">{"fdsup://directions/FAT Viewer?action=UPDATE&amp;creator=factset&amp;DYN_ARGS=TRUE&amp;DOC_NAME=FAT:FQL_AUDITING_CLIENT_TEMPLATE.FAT&amp;display_string=Audit&amp;VAR:KEY=JGBWJIFINS&amp;VAR:QUERY=RkZfRUJJVERBX09QRVIoUVRSLDQvMS8yMDEwLDYvMzAvMjAxMCwsLFVTRCk=&amp;WINDOW=FIRST_POPUP&amp;HEIGH","T=450&amp;WIDTH=450&amp;START_MAXIMIZED=FALSE&amp;VAR:CALENDAR=US&amp;VAR:SYMBOL=OXY&amp;VAR:INDEX=0"}</definedName>
    <definedName name="_319__FDSAUDITLINK__" localSheetId="1" hidden="1">{"fdsup://directions/FAT Viewer?action=UPDATE&amp;creator=factset&amp;DYN_ARGS=TRUE&amp;DOC_NAME=FAT:FQL_AUDITING_CLIENT_TEMPLATE.FAT&amp;display_string=Audit&amp;VAR:KEY=HYTQLUXIBI&amp;VAR:QUERY=RkZfRUJJVERBX09QRVIoUVRSLDQvMS8yMDA5LDYvMzAvMjAwOSwsLFVTRCk=&amp;WINDOW=FIRST_POPUP&amp;HEIGH","T=450&amp;WIDTH=450&amp;START_MAXIMIZED=FALSE&amp;VAR:CALENDAR=US&amp;VAR:SYMBOL=ORLY&amp;VAR:INDEX=0"}</definedName>
    <definedName name="_319__FDSAUDITLINK__" hidden="1">{"fdsup://directions/FAT Viewer?action=UPDATE&amp;creator=factset&amp;DYN_ARGS=TRUE&amp;DOC_NAME=FAT:FQL_AUDITING_CLIENT_TEMPLATE.FAT&amp;display_string=Audit&amp;VAR:KEY=HYTQLUXIBI&amp;VAR:QUERY=RkZfRUJJVERBX09QRVIoUVRSLDQvMS8yMDA5LDYvMzAvMjAwOSwsLFVTRCk=&amp;WINDOW=FIRST_POPUP&amp;HEIGH","T=450&amp;WIDTH=450&amp;START_MAXIMIZED=FALSE&amp;VAR:CALENDAR=US&amp;VAR:SYMBOL=ORLY&amp;VAR:INDEX=0"}</definedName>
    <definedName name="_32__FDSAUDITLINK__" localSheetId="1" hidden="1">{"fdsup://directions/FAT Viewer?action=UPDATE&amp;creator=factset&amp;DYN_ARGS=TRUE&amp;DOC_NAME=FAT:FQL_AUDITING_CLIENT_TEMPLATE.FAT&amp;display_string=Audit&amp;VAR:KEY=NGXYJENWJQ&amp;VAR:QUERY=RkZfRUJJVERBX09QRVIoUVRSLDQvMS8yMDEwLDYvMzAvMjAxMCwsLFVTRCk=&amp;WINDOW=FIRST_POPUP&amp;HEIGH","T=450&amp;WIDTH=450&amp;START_MAXIMIZED=FALSE&amp;VAR:CALENDAR=US&amp;VAR:SYMBOL=WPO&amp;VAR:INDEX=0"}</definedName>
    <definedName name="_32__FDSAUDITLINK__" hidden="1">{"fdsup://directions/FAT Viewer?action=UPDATE&amp;creator=factset&amp;DYN_ARGS=TRUE&amp;DOC_NAME=FAT:FQL_AUDITING_CLIENT_TEMPLATE.FAT&amp;display_string=Audit&amp;VAR:KEY=NGXYJENWJQ&amp;VAR:QUERY=RkZfRUJJVERBX09QRVIoUVRSLDQvMS8yMDEwLDYvMzAvMjAxMCwsLFVTRCk=&amp;WINDOW=FIRST_POPUP&amp;HEIGH","T=450&amp;WIDTH=450&amp;START_MAXIMIZED=FALSE&amp;VAR:CALENDAR=US&amp;VAR:SYMBOL=WPO&amp;VAR:INDEX=0"}</definedName>
    <definedName name="_320__FDSAUDITLINK__" localSheetId="1" hidden="1">{"fdsup://directions/FAT Viewer?action=UPDATE&amp;creator=factset&amp;DYN_ARGS=TRUE&amp;DOC_NAME=FAT:FQL_AUDITING_CLIENT_TEMPLATE.FAT&amp;display_string=Audit&amp;VAR:KEY=JGHWTANWLS&amp;VAR:QUERY=RkZfRUJJVERBX09QRVIoUVRSLDQvMS8yMDEwLDYvMzAvMjAxMCwsLFVTRCk=&amp;WINDOW=FIRST_POPUP&amp;HEIGH","T=450&amp;WIDTH=450&amp;START_MAXIMIZED=FALSE&amp;VAR:CALENDAR=US&amp;VAR:SYMBOL=ORLY&amp;VAR:INDEX=0"}</definedName>
    <definedName name="_320__FDSAUDITLINK__" hidden="1">{"fdsup://directions/FAT Viewer?action=UPDATE&amp;creator=factset&amp;DYN_ARGS=TRUE&amp;DOC_NAME=FAT:FQL_AUDITING_CLIENT_TEMPLATE.FAT&amp;display_string=Audit&amp;VAR:KEY=JGHWTANWLS&amp;VAR:QUERY=RkZfRUJJVERBX09QRVIoUVRSLDQvMS8yMDEwLDYvMzAvMjAxMCwsLFVTRCk=&amp;WINDOW=FIRST_POPUP&amp;HEIGH","T=450&amp;WIDTH=450&amp;START_MAXIMIZED=FALSE&amp;VAR:CALENDAR=US&amp;VAR:SYMBOL=ORLY&amp;VAR:INDEX=0"}</definedName>
    <definedName name="_321__FDSAUDITLINK__" localSheetId="1" hidden="1">{"fdsup://directions/FAT Viewer?action=UPDATE&amp;creator=factset&amp;DYN_ARGS=TRUE&amp;DOC_NAME=FAT:FQL_AUDITING_CLIENT_TEMPLATE.FAT&amp;display_string=Audit&amp;VAR:KEY=BAPMTETODM&amp;VAR:QUERY=RkZfRUJJVERBX09QRVIoUVRSLDQvMS8yMDA5LDYvMzAvMjAwOSwsLFVTRCk=&amp;WINDOW=FIRST_POPUP&amp;HEIGH","T=450&amp;WIDTH=450&amp;START_MAXIMIZED=FALSE&amp;VAR:CALENDAR=US&amp;VAR:SYMBOL=ORCL&amp;VAR:INDEX=0"}</definedName>
    <definedName name="_321__FDSAUDITLINK__" hidden="1">{"fdsup://directions/FAT Viewer?action=UPDATE&amp;creator=factset&amp;DYN_ARGS=TRUE&amp;DOC_NAME=FAT:FQL_AUDITING_CLIENT_TEMPLATE.FAT&amp;display_string=Audit&amp;VAR:KEY=BAPMTETODM&amp;VAR:QUERY=RkZfRUJJVERBX09QRVIoUVRSLDQvMS8yMDA5LDYvMzAvMjAwOSwsLFVTRCk=&amp;WINDOW=FIRST_POPUP&amp;HEIGH","T=450&amp;WIDTH=450&amp;START_MAXIMIZED=FALSE&amp;VAR:CALENDAR=US&amp;VAR:SYMBOL=ORCL&amp;VAR:INDEX=0"}</definedName>
    <definedName name="_322__FDSAUDITLINK__" localSheetId="1" hidden="1">{"fdsup://directions/FAT Viewer?action=UPDATE&amp;creator=factset&amp;DYN_ARGS=TRUE&amp;DOC_NAME=FAT:FQL_AUDITING_CLIENT_TEMPLATE.FAT&amp;display_string=Audit&amp;VAR:KEY=HAZMVMRWBE&amp;VAR:QUERY=RkZfRUJJVERBX09QRVIoUVRSLDQvMS8yMDEwLDYvMzAvMjAxMCwsLFVTRCk=&amp;WINDOW=FIRST_POPUP&amp;HEIGH","T=450&amp;WIDTH=450&amp;START_MAXIMIZED=FALSE&amp;VAR:CALENDAR=US&amp;VAR:SYMBOL=ORCL&amp;VAR:INDEX=0"}</definedName>
    <definedName name="_322__FDSAUDITLINK__" hidden="1">{"fdsup://directions/FAT Viewer?action=UPDATE&amp;creator=factset&amp;DYN_ARGS=TRUE&amp;DOC_NAME=FAT:FQL_AUDITING_CLIENT_TEMPLATE.FAT&amp;display_string=Audit&amp;VAR:KEY=HAZMVMRWBE&amp;VAR:QUERY=RkZfRUJJVERBX09QRVIoUVRSLDQvMS8yMDEwLDYvMzAvMjAxMCwsLFVTRCk=&amp;WINDOW=FIRST_POPUP&amp;HEIGH","T=450&amp;WIDTH=450&amp;START_MAXIMIZED=FALSE&amp;VAR:CALENDAR=US&amp;VAR:SYMBOL=ORCL&amp;VAR:INDEX=0"}</definedName>
    <definedName name="_323__FDSAUDITLINK__" localSheetId="1" hidden="1">{"fdsup://directions/FAT Viewer?action=UPDATE&amp;creator=factset&amp;DYN_ARGS=TRUE&amp;DOC_NAME=FAT:FQL_AUDITING_CLIENT_TEMPLATE.FAT&amp;display_string=Audit&amp;VAR:KEY=HGLYXYZEJY&amp;VAR:QUERY=RkZfRUJJVERBX09QRVIoUVRSLDQvMS8yMDA5LDYvMzAvMjAwOSwsLFVTRCk=&amp;WINDOW=FIRST_POPUP&amp;HEIGH","T=450&amp;WIDTH=450&amp;START_MAXIMIZED=FALSE&amp;VAR:CALENDAR=US&amp;VAR:SYMBOL=OMC&amp;VAR:INDEX=0"}</definedName>
    <definedName name="_323__FDSAUDITLINK__" hidden="1">{"fdsup://directions/FAT Viewer?action=UPDATE&amp;creator=factset&amp;DYN_ARGS=TRUE&amp;DOC_NAME=FAT:FQL_AUDITING_CLIENT_TEMPLATE.FAT&amp;display_string=Audit&amp;VAR:KEY=HGLYXYZEJY&amp;VAR:QUERY=RkZfRUJJVERBX09QRVIoUVRSLDQvMS8yMDA5LDYvMzAvMjAwOSwsLFVTRCk=&amp;WINDOW=FIRST_POPUP&amp;HEIGH","T=450&amp;WIDTH=450&amp;START_MAXIMIZED=FALSE&amp;VAR:CALENDAR=US&amp;VAR:SYMBOL=OMC&amp;VAR:INDEX=0"}</definedName>
    <definedName name="_324__FDSAUDITLINK__" localSheetId="1" hidden="1">{"fdsup://directions/FAT Viewer?action=UPDATE&amp;creator=factset&amp;DYN_ARGS=TRUE&amp;DOC_NAME=FAT:FQL_AUDITING_CLIENT_TEMPLATE.FAT&amp;display_string=Audit&amp;VAR:KEY=BCFETKRMBY&amp;VAR:QUERY=RkZfRUJJVERBX09QRVIoUVRSLDQvMS8yMDEwLDYvMzAvMjAxMCwsLFVTRCk=&amp;WINDOW=FIRST_POPUP&amp;HEIGH","T=450&amp;WIDTH=450&amp;START_MAXIMIZED=FALSE&amp;VAR:CALENDAR=US&amp;VAR:SYMBOL=OMC&amp;VAR:INDEX=0"}</definedName>
    <definedName name="_324__FDSAUDITLINK__" hidden="1">{"fdsup://directions/FAT Viewer?action=UPDATE&amp;creator=factset&amp;DYN_ARGS=TRUE&amp;DOC_NAME=FAT:FQL_AUDITING_CLIENT_TEMPLATE.FAT&amp;display_string=Audit&amp;VAR:KEY=BCFETKRMBY&amp;VAR:QUERY=RkZfRUJJVERBX09QRVIoUVRSLDQvMS8yMDEwLDYvMzAvMjAxMCwsLFVTRCk=&amp;WINDOW=FIRST_POPUP&amp;HEIGH","T=450&amp;WIDTH=450&amp;START_MAXIMIZED=FALSE&amp;VAR:CALENDAR=US&amp;VAR:SYMBOL=OMC&amp;VAR:INDEX=0"}</definedName>
    <definedName name="_325__FDSAUDITLINK__" localSheetId="1" hidden="1">{"fdsup://directions/FAT Viewer?action=UPDATE&amp;creator=factset&amp;DYN_ARGS=TRUE&amp;DOC_NAME=FAT:FQL_AUDITING_CLIENT_TEMPLATE.FAT&amp;display_string=Audit&amp;VAR:KEY=JCTYTSZKXM&amp;VAR:QUERY=RkZfRUJJVERBX09QRVIoUVRSLDQvMS8yMDA5LDYvMzAvMjAwOSwsLFVTRCk=&amp;WINDOW=FIRST_POPUP&amp;HEIGH","T=450&amp;WIDTH=450&amp;START_MAXIMIZED=FALSE&amp;VAR:CALENDAR=US&amp;VAR:SYMBOL=OKE&amp;VAR:INDEX=0"}</definedName>
    <definedName name="_325__FDSAUDITLINK__" hidden="1">{"fdsup://directions/FAT Viewer?action=UPDATE&amp;creator=factset&amp;DYN_ARGS=TRUE&amp;DOC_NAME=FAT:FQL_AUDITING_CLIENT_TEMPLATE.FAT&amp;display_string=Audit&amp;VAR:KEY=JCTYTSZKXM&amp;VAR:QUERY=RkZfRUJJVERBX09QRVIoUVRSLDQvMS8yMDA5LDYvMzAvMjAwOSwsLFVTRCk=&amp;WINDOW=FIRST_POPUP&amp;HEIGH","T=450&amp;WIDTH=450&amp;START_MAXIMIZED=FALSE&amp;VAR:CALENDAR=US&amp;VAR:SYMBOL=OKE&amp;VAR:INDEX=0"}</definedName>
    <definedName name="_326__FDSAUDITLINK__" localSheetId="1" hidden="1">{"fdsup://directions/FAT Viewer?action=UPDATE&amp;creator=factset&amp;DYN_ARGS=TRUE&amp;DOC_NAME=FAT:FQL_AUDITING_CLIENT_TEMPLATE.FAT&amp;display_string=Audit&amp;VAR:KEY=JEBMXMRGDO&amp;VAR:QUERY=RkZfRUJJVERBX09QRVIoUVRSLDQvMS8yMDEwLDYvMzAvMjAxMCwsLFVTRCk=&amp;WINDOW=FIRST_POPUP&amp;HEIGH","T=450&amp;WIDTH=450&amp;START_MAXIMIZED=FALSE&amp;VAR:CALENDAR=US&amp;VAR:SYMBOL=OKE&amp;VAR:INDEX=0"}</definedName>
    <definedName name="_326__FDSAUDITLINK__" hidden="1">{"fdsup://directions/FAT Viewer?action=UPDATE&amp;creator=factset&amp;DYN_ARGS=TRUE&amp;DOC_NAME=FAT:FQL_AUDITING_CLIENT_TEMPLATE.FAT&amp;display_string=Audit&amp;VAR:KEY=JEBMXMRGDO&amp;VAR:QUERY=RkZfRUJJVERBX09QRVIoUVRSLDQvMS8yMDEwLDYvMzAvMjAxMCwsLFVTRCk=&amp;WINDOW=FIRST_POPUP&amp;HEIGH","T=450&amp;WIDTH=450&amp;START_MAXIMIZED=FALSE&amp;VAR:CALENDAR=US&amp;VAR:SYMBOL=OKE&amp;VAR:INDEX=0"}</definedName>
    <definedName name="_327__FDSAUDITLINK__" localSheetId="1" hidden="1">{"fdsup://directions/FAT Viewer?action=UPDATE&amp;creator=factset&amp;DYN_ARGS=TRUE&amp;DOC_NAME=FAT:FQL_AUDITING_CLIENT_TEMPLATE.FAT&amp;display_string=Audit&amp;VAR:KEY=XOXCBONIXG&amp;VAR:QUERY=RkZfRUJJVERBX09QRVIoUVRSLDQvMS8yMDA5LDYvMzAvMjAwOSwsLFVTRCk=&amp;WINDOW=FIRST_POPUP&amp;HEIGH","T=450&amp;WIDTH=450&amp;START_MAXIMIZED=FALSE&amp;VAR:CALENDAR=US&amp;VAR:SYMBOL=OI&amp;VAR:INDEX=0"}</definedName>
    <definedName name="_327__FDSAUDITLINK__" hidden="1">{"fdsup://directions/FAT Viewer?action=UPDATE&amp;creator=factset&amp;DYN_ARGS=TRUE&amp;DOC_NAME=FAT:FQL_AUDITING_CLIENT_TEMPLATE.FAT&amp;display_string=Audit&amp;VAR:KEY=XOXCBONIXG&amp;VAR:QUERY=RkZfRUJJVERBX09QRVIoUVRSLDQvMS8yMDA5LDYvMzAvMjAwOSwsLFVTRCk=&amp;WINDOW=FIRST_POPUP&amp;HEIGH","T=450&amp;WIDTH=450&amp;START_MAXIMIZED=FALSE&amp;VAR:CALENDAR=US&amp;VAR:SYMBOL=OI&amp;VAR:INDEX=0"}</definedName>
    <definedName name="_328__FDSAUDITLINK__" localSheetId="1" hidden="1">{"fdsup://directions/FAT Viewer?action=UPDATE&amp;creator=factset&amp;DYN_ARGS=TRUE&amp;DOC_NAME=FAT:FQL_AUDITING_CLIENT_TEMPLATE.FAT&amp;display_string=Audit&amp;VAR:KEY=RSHKLQJMZC&amp;VAR:QUERY=RkZfRUJJVERBX09QRVIoUVRSLDQvMS8yMDEwLDYvMzAvMjAxMCwsLFVTRCk=&amp;WINDOW=FIRST_POPUP&amp;HEIGH","T=450&amp;WIDTH=450&amp;START_MAXIMIZED=FALSE&amp;VAR:CALENDAR=US&amp;VAR:SYMBOL=OI&amp;VAR:INDEX=0"}</definedName>
    <definedName name="_328__FDSAUDITLINK__" hidden="1">{"fdsup://directions/FAT Viewer?action=UPDATE&amp;creator=factset&amp;DYN_ARGS=TRUE&amp;DOC_NAME=FAT:FQL_AUDITING_CLIENT_TEMPLATE.FAT&amp;display_string=Audit&amp;VAR:KEY=RSHKLQJMZC&amp;VAR:QUERY=RkZfRUJJVERBX09QRVIoUVRSLDQvMS8yMDEwLDYvMzAvMjAxMCwsLFVTRCk=&amp;WINDOW=FIRST_POPUP&amp;HEIGH","T=450&amp;WIDTH=450&amp;START_MAXIMIZED=FALSE&amp;VAR:CALENDAR=US&amp;VAR:SYMBOL=OI&amp;VAR:INDEX=0"}</definedName>
    <definedName name="_329__FDSAUDITLINK__" localSheetId="1" hidden="1">{"fdsup://directions/FAT Viewer?action=UPDATE&amp;creator=factset&amp;DYN_ARGS=TRUE&amp;DOC_NAME=FAT:FQL_AUDITING_CLIENT_TEMPLATE.FAT&amp;display_string=Audit&amp;VAR:KEY=FYBAZOZEDY&amp;VAR:QUERY=RkZfRUJJVERBX09QRVIoUVRSLDQvMS8yMDA5LDYvMzAvMjAwOSwsLFVTRCk=&amp;WINDOW=FIRST_POPUP&amp;HEIGH","T=450&amp;WIDTH=450&amp;START_MAXIMIZED=FALSE&amp;VAR:CALENDAR=US&amp;VAR:SYMBOL=ODP&amp;VAR:INDEX=0"}</definedName>
    <definedName name="_329__FDSAUDITLINK__" hidden="1">{"fdsup://directions/FAT Viewer?action=UPDATE&amp;creator=factset&amp;DYN_ARGS=TRUE&amp;DOC_NAME=FAT:FQL_AUDITING_CLIENT_TEMPLATE.FAT&amp;display_string=Audit&amp;VAR:KEY=FYBAZOZEDY&amp;VAR:QUERY=RkZfRUJJVERBX09QRVIoUVRSLDQvMS8yMDA5LDYvMzAvMjAwOSwsLFVTRCk=&amp;WINDOW=FIRST_POPUP&amp;HEIGH","T=450&amp;WIDTH=450&amp;START_MAXIMIZED=FALSE&amp;VAR:CALENDAR=US&amp;VAR:SYMBOL=ODP&amp;VAR:INDEX=0"}</definedName>
    <definedName name="_33__FDSAUDITLINK__" localSheetId="1" hidden="1">{"fdsup://directions/FAT Viewer?action=UPDATE&amp;creator=factset&amp;DYN_ARGS=TRUE&amp;DOC_NAME=FAT:FQL_AUDITING_CLIENT_TEMPLATE.FAT&amp;display_string=Audit&amp;VAR:KEY=RQHWRKNARI&amp;VAR:QUERY=RkZfRUJJVERBX09QRVIoUVRSLDQvMS8yMDA5LDYvMzAvMjAwOSwsLFVTRCk=&amp;WINDOW=FIRST_POPUP&amp;HEIGH","T=450&amp;WIDTH=450&amp;START_MAXIMIZED=FALSE&amp;VAR:CALENDAR=US&amp;VAR:SYMBOL=WPI&amp;VAR:INDEX=0"}</definedName>
    <definedName name="_33__FDSAUDITLINK__" hidden="1">{"fdsup://directions/FAT Viewer?action=UPDATE&amp;creator=factset&amp;DYN_ARGS=TRUE&amp;DOC_NAME=FAT:FQL_AUDITING_CLIENT_TEMPLATE.FAT&amp;display_string=Audit&amp;VAR:KEY=RQHWRKNARI&amp;VAR:QUERY=RkZfRUJJVERBX09QRVIoUVRSLDQvMS8yMDA5LDYvMzAvMjAwOSwsLFVTRCk=&amp;WINDOW=FIRST_POPUP&amp;HEIGH","T=450&amp;WIDTH=450&amp;START_MAXIMIZED=FALSE&amp;VAR:CALENDAR=US&amp;VAR:SYMBOL=WPI&amp;VAR:INDEX=0"}</definedName>
    <definedName name="_330__FDSAUDITLINK__" localSheetId="1" hidden="1">{"fdsup://directions/FAT Viewer?action=UPDATE&amp;creator=factset&amp;DYN_ARGS=TRUE&amp;DOC_NAME=FAT:FQL_AUDITING_CLIENT_TEMPLATE.FAT&amp;display_string=Audit&amp;VAR:KEY=XIVENWLEVM&amp;VAR:QUERY=RkZfRUJJVERBX09QRVIoUVRSLDQvMS8yMDEwLDYvMzAvMjAxMCwsLFVTRCk=&amp;WINDOW=FIRST_POPUP&amp;HEIGH","T=450&amp;WIDTH=450&amp;START_MAXIMIZED=FALSE&amp;VAR:CALENDAR=US&amp;VAR:SYMBOL=ODP&amp;VAR:INDEX=0"}</definedName>
    <definedName name="_330__FDSAUDITLINK__" hidden="1">{"fdsup://directions/FAT Viewer?action=UPDATE&amp;creator=factset&amp;DYN_ARGS=TRUE&amp;DOC_NAME=FAT:FQL_AUDITING_CLIENT_TEMPLATE.FAT&amp;display_string=Audit&amp;VAR:KEY=XIVENWLEVM&amp;VAR:QUERY=RkZfRUJJVERBX09QRVIoUVRSLDQvMS8yMDEwLDYvMzAvMjAxMCwsLFVTRCk=&amp;WINDOW=FIRST_POPUP&amp;HEIGH","T=450&amp;WIDTH=450&amp;START_MAXIMIZED=FALSE&amp;VAR:CALENDAR=US&amp;VAR:SYMBOL=ODP&amp;VAR:INDEX=0"}</definedName>
    <definedName name="_331__FDSAUDITLINK__" localSheetId="1" hidden="1">{"fdsup://directions/FAT Viewer?action=UPDATE&amp;creator=factset&amp;DYN_ARGS=TRUE&amp;DOC_NAME=FAT:FQL_AUDITING_CLIENT_TEMPLATE.FAT&amp;display_string=Audit&amp;VAR:KEY=VUDQRWHGPQ&amp;VAR:QUERY=RkZfRUJJVERBX09QRVIoUVRSLDQvMS8yMDA5LDYvMzAvMjAwOSwsLFVTRCk=&amp;WINDOW=FIRST_POPUP&amp;HEIGH","T=450&amp;WIDTH=450&amp;START_MAXIMIZED=FALSE&amp;VAR:CALENDAR=US&amp;VAR:SYMBOL=NYX&amp;VAR:INDEX=0"}</definedName>
    <definedName name="_331__FDSAUDITLINK__" hidden="1">{"fdsup://directions/FAT Viewer?action=UPDATE&amp;creator=factset&amp;DYN_ARGS=TRUE&amp;DOC_NAME=FAT:FQL_AUDITING_CLIENT_TEMPLATE.FAT&amp;display_string=Audit&amp;VAR:KEY=VUDQRWHGPQ&amp;VAR:QUERY=RkZfRUJJVERBX09QRVIoUVRSLDQvMS8yMDA5LDYvMzAvMjAwOSwsLFVTRCk=&amp;WINDOW=FIRST_POPUP&amp;HEIGH","T=450&amp;WIDTH=450&amp;START_MAXIMIZED=FALSE&amp;VAR:CALENDAR=US&amp;VAR:SYMBOL=NYX&amp;VAR:INDEX=0"}</definedName>
    <definedName name="_332__FDSAUDITLINK__" localSheetId="1" hidden="1">{"fdsup://directions/FAT Viewer?action=UPDATE&amp;creator=factset&amp;DYN_ARGS=TRUE&amp;DOC_NAME=FAT:FQL_AUDITING_CLIENT_TEMPLATE.FAT&amp;display_string=Audit&amp;VAR:KEY=HOHWTYFKFC&amp;VAR:QUERY=RkZfRUJJVERBX09QRVIoUVRSLDQvMS8yMDEwLDYvMzAvMjAxMCwsLFVTRCk=&amp;WINDOW=FIRST_POPUP&amp;HEIGH","T=450&amp;WIDTH=450&amp;START_MAXIMIZED=FALSE&amp;VAR:CALENDAR=US&amp;VAR:SYMBOL=NYX&amp;VAR:INDEX=0"}</definedName>
    <definedName name="_332__FDSAUDITLINK__" hidden="1">{"fdsup://directions/FAT Viewer?action=UPDATE&amp;creator=factset&amp;DYN_ARGS=TRUE&amp;DOC_NAME=FAT:FQL_AUDITING_CLIENT_TEMPLATE.FAT&amp;display_string=Audit&amp;VAR:KEY=HOHWTYFKFC&amp;VAR:QUERY=RkZfRUJJVERBX09QRVIoUVRSLDQvMS8yMDEwLDYvMzAvMjAxMCwsLFVTRCk=&amp;WINDOW=FIRST_POPUP&amp;HEIGH","T=450&amp;WIDTH=450&amp;START_MAXIMIZED=FALSE&amp;VAR:CALENDAR=US&amp;VAR:SYMBOL=NYX&amp;VAR:INDEX=0"}</definedName>
    <definedName name="_333__FDSAUDITLINK__" localSheetId="1" hidden="1">{"fdsup://directions/FAT Viewer?action=UPDATE&amp;creator=factset&amp;DYN_ARGS=TRUE&amp;DOC_NAME=FAT:FQL_AUDITING_CLIENT_TEMPLATE.FAT&amp;display_string=Audit&amp;VAR:KEY=FKTSHCZSDA&amp;VAR:QUERY=RkZfRUJJVERBX09QRVIoUVRSLDQvMS8yMDA5LDYvMzAvMjAwOSwsLFVTRCk=&amp;WINDOW=FIRST_POPUP&amp;HEIGH","T=450&amp;WIDTH=450&amp;START_MAXIMIZED=FALSE&amp;VAR:CALENDAR=US&amp;VAR:SYMBOL=NYT&amp;VAR:INDEX=0"}</definedName>
    <definedName name="_333__FDSAUDITLINK__" hidden="1">{"fdsup://directions/FAT Viewer?action=UPDATE&amp;creator=factset&amp;DYN_ARGS=TRUE&amp;DOC_NAME=FAT:FQL_AUDITING_CLIENT_TEMPLATE.FAT&amp;display_string=Audit&amp;VAR:KEY=FKTSHCZSDA&amp;VAR:QUERY=RkZfRUJJVERBX09QRVIoUVRSLDQvMS8yMDA5LDYvMzAvMjAwOSwsLFVTRCk=&amp;WINDOW=FIRST_POPUP&amp;HEIGH","T=450&amp;WIDTH=450&amp;START_MAXIMIZED=FALSE&amp;VAR:CALENDAR=US&amp;VAR:SYMBOL=NYT&amp;VAR:INDEX=0"}</definedName>
    <definedName name="_334__FDSAUDITLINK__" localSheetId="1" hidden="1">{"fdsup://directions/FAT Viewer?action=UPDATE&amp;creator=factset&amp;DYN_ARGS=TRUE&amp;DOC_NAME=FAT:FQL_AUDITING_CLIENT_TEMPLATE.FAT&amp;display_string=Audit&amp;VAR:KEY=VENEREDAFU&amp;VAR:QUERY=RkZfRUJJVERBX09QRVIoUVRSLDQvMS8yMDEwLDYvMzAvMjAxMCwsLFVTRCk=&amp;WINDOW=FIRST_POPUP&amp;HEIGH","T=450&amp;WIDTH=450&amp;START_MAXIMIZED=FALSE&amp;VAR:CALENDAR=US&amp;VAR:SYMBOL=NYT&amp;VAR:INDEX=0"}</definedName>
    <definedName name="_334__FDSAUDITLINK__" hidden="1">{"fdsup://directions/FAT Viewer?action=UPDATE&amp;creator=factset&amp;DYN_ARGS=TRUE&amp;DOC_NAME=FAT:FQL_AUDITING_CLIENT_TEMPLATE.FAT&amp;display_string=Audit&amp;VAR:KEY=VENEREDAFU&amp;VAR:QUERY=RkZfRUJJVERBX09QRVIoUVRSLDQvMS8yMDEwLDYvMzAvMjAxMCwsLFVTRCk=&amp;WINDOW=FIRST_POPUP&amp;HEIGH","T=450&amp;WIDTH=450&amp;START_MAXIMIZED=FALSE&amp;VAR:CALENDAR=US&amp;VAR:SYMBOL=NYT&amp;VAR:INDEX=0"}</definedName>
    <definedName name="_335__FDSAUDITLINK__" localSheetId="1" hidden="1">{"fdsup://directions/FAT Viewer?action=UPDATE&amp;creator=factset&amp;DYN_ARGS=TRUE&amp;DOC_NAME=FAT:FQL_AUDITING_CLIENT_TEMPLATE.FAT&amp;display_string=Audit&amp;VAR:KEY=RCVSBCPSPO&amp;VAR:QUERY=RkZfRUJJVERBX09QRVIoUVRSLDQvMS8yMDA5LDYvMzAvMjAwOSwsLFVTRCk=&amp;WINDOW=FIRST_POPUP&amp;HEIGH","T=450&amp;WIDTH=450&amp;START_MAXIMIZED=FALSE&amp;VAR:CALENDAR=US&amp;VAR:SYMBOL=NWSA&amp;VAR:INDEX=0"}</definedName>
    <definedName name="_335__FDSAUDITLINK__" hidden="1">{"fdsup://directions/FAT Viewer?action=UPDATE&amp;creator=factset&amp;DYN_ARGS=TRUE&amp;DOC_NAME=FAT:FQL_AUDITING_CLIENT_TEMPLATE.FAT&amp;display_string=Audit&amp;VAR:KEY=RCVSBCPSPO&amp;VAR:QUERY=RkZfRUJJVERBX09QRVIoUVRSLDQvMS8yMDA5LDYvMzAvMjAwOSwsLFVTRCk=&amp;WINDOW=FIRST_POPUP&amp;HEIGH","T=450&amp;WIDTH=450&amp;START_MAXIMIZED=FALSE&amp;VAR:CALENDAR=US&amp;VAR:SYMBOL=NWSA&amp;VAR:INDEX=0"}</definedName>
    <definedName name="_336__FDSAUDITLINK__" localSheetId="1" hidden="1">{"fdsup://directions/FAT Viewer?action=UPDATE&amp;creator=factset&amp;DYN_ARGS=TRUE&amp;DOC_NAME=FAT:FQL_AUDITING_CLIENT_TEMPLATE.FAT&amp;display_string=Audit&amp;VAR:KEY=PGRIBWZYXA&amp;VAR:QUERY=RkZfRUJJVERBX09QRVIoUVRSLDQvMS8yMDEwLDYvMzAvMjAxMCwsLFVTRCk=&amp;WINDOW=FIRST_POPUP&amp;HEIGH","T=450&amp;WIDTH=450&amp;START_MAXIMIZED=FALSE&amp;VAR:CALENDAR=US&amp;VAR:SYMBOL=NWSA&amp;VAR:INDEX=0"}</definedName>
    <definedName name="_336__FDSAUDITLINK__" hidden="1">{"fdsup://directions/FAT Viewer?action=UPDATE&amp;creator=factset&amp;DYN_ARGS=TRUE&amp;DOC_NAME=FAT:FQL_AUDITING_CLIENT_TEMPLATE.FAT&amp;display_string=Audit&amp;VAR:KEY=PGRIBWZYXA&amp;VAR:QUERY=RkZfRUJJVERBX09QRVIoUVRSLDQvMS8yMDEwLDYvMzAvMjAxMCwsLFVTRCk=&amp;WINDOW=FIRST_POPUP&amp;HEIGH","T=450&amp;WIDTH=450&amp;START_MAXIMIZED=FALSE&amp;VAR:CALENDAR=US&amp;VAR:SYMBOL=NWSA&amp;VAR:INDEX=0"}</definedName>
    <definedName name="_337__FDSAUDITLINK__" localSheetId="1" hidden="1">{"fdsup://directions/FAT Viewer?action=UPDATE&amp;creator=factset&amp;DYN_ARGS=TRUE&amp;DOC_NAME=FAT:FQL_AUDITING_CLIENT_TEMPLATE.FAT&amp;display_string=Audit&amp;VAR:KEY=HAPIXEBEDA&amp;VAR:QUERY=RkZfRUJJVERBX09QRVIoUVRSLDQvMS8yMDA5LDYvMzAvMjAwOSwsLFVTRCk=&amp;WINDOW=FIRST_POPUP&amp;HEIGH","T=450&amp;WIDTH=450&amp;START_MAXIMIZED=FALSE&amp;VAR:CALENDAR=US&amp;VAR:SYMBOL=NWL&amp;VAR:INDEX=0"}</definedName>
    <definedName name="_337__FDSAUDITLINK__" hidden="1">{"fdsup://directions/FAT Viewer?action=UPDATE&amp;creator=factset&amp;DYN_ARGS=TRUE&amp;DOC_NAME=FAT:FQL_AUDITING_CLIENT_TEMPLATE.FAT&amp;display_string=Audit&amp;VAR:KEY=HAPIXEBEDA&amp;VAR:QUERY=RkZfRUJJVERBX09QRVIoUVRSLDQvMS8yMDA5LDYvMzAvMjAwOSwsLFVTRCk=&amp;WINDOW=FIRST_POPUP&amp;HEIGH","T=450&amp;WIDTH=450&amp;START_MAXIMIZED=FALSE&amp;VAR:CALENDAR=US&amp;VAR:SYMBOL=NWL&amp;VAR:INDEX=0"}</definedName>
    <definedName name="_338__FDSAUDITLINK__" localSheetId="1" hidden="1">{"fdsup://directions/FAT Viewer?action=UPDATE&amp;creator=factset&amp;DYN_ARGS=TRUE&amp;DOC_NAME=FAT:FQL_AUDITING_CLIENT_TEMPLATE.FAT&amp;display_string=Audit&amp;VAR:KEY=FQFCFMZSLK&amp;VAR:QUERY=RkZfRUJJVERBX09QRVIoUVRSLDQvMS8yMDEwLDYvMzAvMjAxMCwsLFVTRCk=&amp;WINDOW=FIRST_POPUP&amp;HEIGH","T=450&amp;WIDTH=450&amp;START_MAXIMIZED=FALSE&amp;VAR:CALENDAR=US&amp;VAR:SYMBOL=NWL&amp;VAR:INDEX=0"}</definedName>
    <definedName name="_338__FDSAUDITLINK__" hidden="1">{"fdsup://directions/FAT Viewer?action=UPDATE&amp;creator=factset&amp;DYN_ARGS=TRUE&amp;DOC_NAME=FAT:FQL_AUDITING_CLIENT_TEMPLATE.FAT&amp;display_string=Audit&amp;VAR:KEY=FQFCFMZSLK&amp;VAR:QUERY=RkZfRUJJVERBX09QRVIoUVRSLDQvMS8yMDEwLDYvMzAvMjAxMCwsLFVTRCk=&amp;WINDOW=FIRST_POPUP&amp;HEIGH","T=450&amp;WIDTH=450&amp;START_MAXIMIZED=FALSE&amp;VAR:CALENDAR=US&amp;VAR:SYMBOL=NWL&amp;VAR:INDEX=0"}</definedName>
    <definedName name="_339__FDSAUDITLINK__" localSheetId="1" hidden="1">{"fdsup://directions/FAT Viewer?action=UPDATE&amp;creator=factset&amp;DYN_ARGS=TRUE&amp;DOC_NAME=FAT:FQL_AUDITING_CLIENT_TEMPLATE.FAT&amp;display_string=Audit&amp;VAR:KEY=PKZGFIZYPQ&amp;VAR:QUERY=RkZfRUJJVERBX09QRVIoUVRSLDQvMS8yMDA5LDYvMzAvMjAwOSwsLFVTRCk=&amp;WINDOW=FIRST_POPUP&amp;HEIGH","T=450&amp;WIDTH=450&amp;START_MAXIMIZED=FALSE&amp;VAR:CALENDAR=US&amp;VAR:SYMBOL=NVLS&amp;VAR:INDEX=0"}</definedName>
    <definedName name="_339__FDSAUDITLINK__" hidden="1">{"fdsup://directions/FAT Viewer?action=UPDATE&amp;creator=factset&amp;DYN_ARGS=TRUE&amp;DOC_NAME=FAT:FQL_AUDITING_CLIENT_TEMPLATE.FAT&amp;display_string=Audit&amp;VAR:KEY=PKZGFIZYPQ&amp;VAR:QUERY=RkZfRUJJVERBX09QRVIoUVRSLDQvMS8yMDA5LDYvMzAvMjAwOSwsLFVTRCk=&amp;WINDOW=FIRST_POPUP&amp;HEIGH","T=450&amp;WIDTH=450&amp;START_MAXIMIZED=FALSE&amp;VAR:CALENDAR=US&amp;VAR:SYMBOL=NVLS&amp;VAR:INDEX=0"}</definedName>
    <definedName name="_34__FDSAUDITLINK__" localSheetId="1" hidden="1">{"fdsup://directions/FAT Viewer?action=UPDATE&amp;creator=factset&amp;DYN_ARGS=TRUE&amp;DOC_NAME=FAT:FQL_AUDITING_CLIENT_TEMPLATE.FAT&amp;display_string=Audit&amp;VAR:KEY=RCVOLMREZG&amp;VAR:QUERY=RkZfRUJJVERBX09QRVIoUVRSLDQvMS8yMDEwLDYvMzAvMjAxMCwsLFVTRCk=&amp;WINDOW=FIRST_POPUP&amp;HEIGH","T=450&amp;WIDTH=450&amp;START_MAXIMIZED=FALSE&amp;VAR:CALENDAR=US&amp;VAR:SYMBOL=WPI&amp;VAR:INDEX=0"}</definedName>
    <definedName name="_34__FDSAUDITLINK__" hidden="1">{"fdsup://directions/FAT Viewer?action=UPDATE&amp;creator=factset&amp;DYN_ARGS=TRUE&amp;DOC_NAME=FAT:FQL_AUDITING_CLIENT_TEMPLATE.FAT&amp;display_string=Audit&amp;VAR:KEY=RCVOLMREZG&amp;VAR:QUERY=RkZfRUJJVERBX09QRVIoUVRSLDQvMS8yMDEwLDYvMzAvMjAxMCwsLFVTRCk=&amp;WINDOW=FIRST_POPUP&amp;HEIGH","T=450&amp;WIDTH=450&amp;START_MAXIMIZED=FALSE&amp;VAR:CALENDAR=US&amp;VAR:SYMBOL=WPI&amp;VAR:INDEX=0"}</definedName>
    <definedName name="_340__FDSAUDITLINK__" localSheetId="1" hidden="1">{"fdsup://directions/FAT Viewer?action=UPDATE&amp;creator=factset&amp;DYN_ARGS=TRUE&amp;DOC_NAME=FAT:FQL_AUDITING_CLIENT_TEMPLATE.FAT&amp;display_string=Audit&amp;VAR:KEY=VQPCVUZOBK&amp;VAR:QUERY=RkZfRUJJVERBX09QRVIoUVRSLDQvMS8yMDEwLDYvMzAvMjAxMCwsLFVTRCk=&amp;WINDOW=FIRST_POPUP&amp;HEIGH","T=450&amp;WIDTH=450&amp;START_MAXIMIZED=FALSE&amp;VAR:CALENDAR=US&amp;VAR:SYMBOL=NVLS&amp;VAR:INDEX=0"}</definedName>
    <definedName name="_340__FDSAUDITLINK__" hidden="1">{"fdsup://directions/FAT Viewer?action=UPDATE&amp;creator=factset&amp;DYN_ARGS=TRUE&amp;DOC_NAME=FAT:FQL_AUDITING_CLIENT_TEMPLATE.FAT&amp;display_string=Audit&amp;VAR:KEY=VQPCVUZOBK&amp;VAR:QUERY=RkZfRUJJVERBX09QRVIoUVRSLDQvMS8yMDEwLDYvMzAvMjAxMCwsLFVTRCk=&amp;WINDOW=FIRST_POPUP&amp;HEIGH","T=450&amp;WIDTH=450&amp;START_MAXIMIZED=FALSE&amp;VAR:CALENDAR=US&amp;VAR:SYMBOL=NVLS&amp;VAR:INDEX=0"}</definedName>
    <definedName name="_341__FDSAUDITLINK__" localSheetId="1" hidden="1">{"fdsup://directions/FAT Viewer?action=UPDATE&amp;creator=factset&amp;DYN_ARGS=TRUE&amp;DOC_NAME=FAT:FQL_AUDITING_CLIENT_TEMPLATE.FAT&amp;display_string=Audit&amp;VAR:KEY=ZUVKFWNSBG&amp;VAR:QUERY=RkZfRUJJVERBX09QRVIoUVRSLDQvMS8yMDA5LDYvMzAvMjAwOSwsLFVTRCk=&amp;WINDOW=FIRST_POPUP&amp;HEIGH","T=450&amp;WIDTH=450&amp;START_MAXIMIZED=FALSE&amp;VAR:CALENDAR=US&amp;VAR:SYMBOL=NVDA&amp;VAR:INDEX=0"}</definedName>
    <definedName name="_341__FDSAUDITLINK__" hidden="1">{"fdsup://directions/FAT Viewer?action=UPDATE&amp;creator=factset&amp;DYN_ARGS=TRUE&amp;DOC_NAME=FAT:FQL_AUDITING_CLIENT_TEMPLATE.FAT&amp;display_string=Audit&amp;VAR:KEY=ZUVKFWNSBG&amp;VAR:QUERY=RkZfRUJJVERBX09QRVIoUVRSLDQvMS8yMDA5LDYvMzAvMjAwOSwsLFVTRCk=&amp;WINDOW=FIRST_POPUP&amp;HEIGH","T=450&amp;WIDTH=450&amp;START_MAXIMIZED=FALSE&amp;VAR:CALENDAR=US&amp;VAR:SYMBOL=NVDA&amp;VAR:INDEX=0"}</definedName>
    <definedName name="_342__FDSAUDITLINK__" localSheetId="1" hidden="1">{"fdsup://directions/FAT Viewer?action=UPDATE&amp;creator=factset&amp;DYN_ARGS=TRUE&amp;DOC_NAME=FAT:FQL_AUDITING_CLIENT_TEMPLATE.FAT&amp;display_string=Audit&amp;VAR:KEY=TMJWJSZIJG&amp;VAR:QUERY=RkZfRUJJVERBX09QRVIoUVRSLDQvMS8yMDEwLDYvMzAvMjAxMCwsLFVTRCk=&amp;WINDOW=FIRST_POPUP&amp;HEIGH","T=450&amp;WIDTH=450&amp;START_MAXIMIZED=FALSE&amp;VAR:CALENDAR=US&amp;VAR:SYMBOL=NVDA&amp;VAR:INDEX=0"}</definedName>
    <definedName name="_342__FDSAUDITLINK__" hidden="1">{"fdsup://directions/FAT Viewer?action=UPDATE&amp;creator=factset&amp;DYN_ARGS=TRUE&amp;DOC_NAME=FAT:FQL_AUDITING_CLIENT_TEMPLATE.FAT&amp;display_string=Audit&amp;VAR:KEY=TMJWJSZIJG&amp;VAR:QUERY=RkZfRUJJVERBX09QRVIoUVRSLDQvMS8yMDEwLDYvMzAvMjAxMCwsLFVTRCk=&amp;WINDOW=FIRST_POPUP&amp;HEIGH","T=450&amp;WIDTH=450&amp;START_MAXIMIZED=FALSE&amp;VAR:CALENDAR=US&amp;VAR:SYMBOL=NVDA&amp;VAR:INDEX=0"}</definedName>
    <definedName name="_343__FDSAUDITLINK__" localSheetId="1" hidden="1">{"fdsup://directions/FAT Viewer?action=UPDATE&amp;creator=factset&amp;DYN_ARGS=TRUE&amp;DOC_NAME=FAT:FQL_AUDITING_CLIENT_TEMPLATE.FAT&amp;display_string=Audit&amp;VAR:KEY=LYRAXODETO&amp;VAR:QUERY=RkZfRUJJVERBX09QRVIoUVRSLDQvMS8yMDA5LDYvMzAvMjAwOSwsLFVTRCk=&amp;WINDOW=FIRST_POPUP&amp;HEIGH","T=450&amp;WIDTH=450&amp;START_MAXIMIZED=FALSE&amp;VAR:CALENDAR=US&amp;VAR:SYMBOL=NUE&amp;VAR:INDEX=0"}</definedName>
    <definedName name="_343__FDSAUDITLINK__" hidden="1">{"fdsup://directions/FAT Viewer?action=UPDATE&amp;creator=factset&amp;DYN_ARGS=TRUE&amp;DOC_NAME=FAT:FQL_AUDITING_CLIENT_TEMPLATE.FAT&amp;display_string=Audit&amp;VAR:KEY=LYRAXODETO&amp;VAR:QUERY=RkZfRUJJVERBX09QRVIoUVRSLDQvMS8yMDA5LDYvMzAvMjAwOSwsLFVTRCk=&amp;WINDOW=FIRST_POPUP&amp;HEIGH","T=450&amp;WIDTH=450&amp;START_MAXIMIZED=FALSE&amp;VAR:CALENDAR=US&amp;VAR:SYMBOL=NUE&amp;VAR:INDEX=0"}</definedName>
    <definedName name="_344__FDSAUDITLINK__" localSheetId="1" hidden="1">{"fdsup://directions/FAT Viewer?action=UPDATE&amp;creator=factset&amp;DYN_ARGS=TRUE&amp;DOC_NAME=FAT:FQL_AUDITING_CLIENT_TEMPLATE.FAT&amp;display_string=Audit&amp;VAR:KEY=DANWNMZSRG&amp;VAR:QUERY=RkZfRUJJVERBX09QRVIoUVRSLDQvMS8yMDEwLDYvMzAvMjAxMCwsLFVTRCk=&amp;WINDOW=FIRST_POPUP&amp;HEIGH","T=450&amp;WIDTH=450&amp;START_MAXIMIZED=FALSE&amp;VAR:CALENDAR=US&amp;VAR:SYMBOL=NUE&amp;VAR:INDEX=0"}</definedName>
    <definedName name="_344__FDSAUDITLINK__" hidden="1">{"fdsup://directions/FAT Viewer?action=UPDATE&amp;creator=factset&amp;DYN_ARGS=TRUE&amp;DOC_NAME=FAT:FQL_AUDITING_CLIENT_TEMPLATE.FAT&amp;display_string=Audit&amp;VAR:KEY=DANWNMZSRG&amp;VAR:QUERY=RkZfRUJJVERBX09QRVIoUVRSLDQvMS8yMDEwLDYvMzAvMjAxMCwsLFVTRCk=&amp;WINDOW=FIRST_POPUP&amp;HEIGH","T=450&amp;WIDTH=450&amp;START_MAXIMIZED=FALSE&amp;VAR:CALENDAR=US&amp;VAR:SYMBOL=NUE&amp;VAR:INDEX=0"}</definedName>
    <definedName name="_345__FDSAUDITLINK__" localSheetId="1" hidden="1">{"fdsup://directions/FAT Viewer?action=UPDATE&amp;creator=factset&amp;DYN_ARGS=TRUE&amp;DOC_NAME=FAT:FQL_AUDITING_CLIENT_TEMPLATE.FAT&amp;display_string=Audit&amp;VAR:KEY=PQFANUJORE&amp;VAR:QUERY=RkZfRUJJVERBX09QRVIoUVRSLDQvMS8yMDA5LDYvMzAvMjAwOSwsLFVTRCk=&amp;WINDOW=FIRST_POPUP&amp;HEIGH","T=450&amp;WIDTH=450&amp;START_MAXIMIZED=FALSE&amp;VAR:CALENDAR=US&amp;VAR:SYMBOL=NU&amp;VAR:INDEX=0"}</definedName>
    <definedName name="_345__FDSAUDITLINK__" hidden="1">{"fdsup://directions/FAT Viewer?action=UPDATE&amp;creator=factset&amp;DYN_ARGS=TRUE&amp;DOC_NAME=FAT:FQL_AUDITING_CLIENT_TEMPLATE.FAT&amp;display_string=Audit&amp;VAR:KEY=PQFANUJORE&amp;VAR:QUERY=RkZfRUJJVERBX09QRVIoUVRSLDQvMS8yMDA5LDYvMzAvMjAwOSwsLFVTRCk=&amp;WINDOW=FIRST_POPUP&amp;HEIGH","T=450&amp;WIDTH=450&amp;START_MAXIMIZED=FALSE&amp;VAR:CALENDAR=US&amp;VAR:SYMBOL=NU&amp;VAR:INDEX=0"}</definedName>
    <definedName name="_346__FDSAUDITLINK__" localSheetId="1" hidden="1">{"fdsup://directions/FAT Viewer?action=UPDATE&amp;creator=factset&amp;DYN_ARGS=TRUE&amp;DOC_NAME=FAT:FQL_AUDITING_CLIENT_TEMPLATE.FAT&amp;display_string=Audit&amp;VAR:KEY=BUDYBEDCHS&amp;VAR:QUERY=RkZfRUJJVERBX09QRVIoUVRSLDQvMS8yMDEwLDYvMzAvMjAxMCwsLFVTRCk=&amp;WINDOW=FIRST_POPUP&amp;HEIGH","T=450&amp;WIDTH=450&amp;START_MAXIMIZED=FALSE&amp;VAR:CALENDAR=US&amp;VAR:SYMBOL=NU&amp;VAR:INDEX=0"}</definedName>
    <definedName name="_346__FDSAUDITLINK__" hidden="1">{"fdsup://directions/FAT Viewer?action=UPDATE&amp;creator=factset&amp;DYN_ARGS=TRUE&amp;DOC_NAME=FAT:FQL_AUDITING_CLIENT_TEMPLATE.FAT&amp;display_string=Audit&amp;VAR:KEY=BUDYBEDCHS&amp;VAR:QUERY=RkZfRUJJVERBX09QRVIoUVRSLDQvMS8yMDEwLDYvMzAvMjAxMCwsLFVTRCk=&amp;WINDOW=FIRST_POPUP&amp;HEIGH","T=450&amp;WIDTH=450&amp;START_MAXIMIZED=FALSE&amp;VAR:CALENDAR=US&amp;VAR:SYMBOL=NU&amp;VAR:INDEX=0"}</definedName>
    <definedName name="_347__FDSAUDITLINK__" localSheetId="1" hidden="1">{"fdsup://directions/FAT Viewer?action=UPDATE&amp;creator=factset&amp;DYN_ARGS=TRUE&amp;DOC_NAME=FAT:FQL_AUDITING_CLIENT_TEMPLATE.FAT&amp;display_string=Audit&amp;VAR:KEY=JCHCLIJWFA&amp;VAR:QUERY=RkZfRUJJVERBX09QRVIoUVRSLDQvMS8yMDA5LDYvMzAvMjAwOSwsLFVTRCk=&amp;WINDOW=FIRST_POPUP&amp;HEIGH","T=450&amp;WIDTH=450&amp;START_MAXIMIZED=FALSE&amp;VAR:CALENDAR=US&amp;VAR:SYMBOL=NTRS&amp;VAR:INDEX=0"}</definedName>
    <definedName name="_347__FDSAUDITLINK__" hidden="1">{"fdsup://directions/FAT Viewer?action=UPDATE&amp;creator=factset&amp;DYN_ARGS=TRUE&amp;DOC_NAME=FAT:FQL_AUDITING_CLIENT_TEMPLATE.FAT&amp;display_string=Audit&amp;VAR:KEY=JCHCLIJWFA&amp;VAR:QUERY=RkZfRUJJVERBX09QRVIoUVRSLDQvMS8yMDA5LDYvMzAvMjAwOSwsLFVTRCk=&amp;WINDOW=FIRST_POPUP&amp;HEIGH","T=450&amp;WIDTH=450&amp;START_MAXIMIZED=FALSE&amp;VAR:CALENDAR=US&amp;VAR:SYMBOL=NTRS&amp;VAR:INDEX=0"}</definedName>
    <definedName name="_348__FDSAUDITLINK__" localSheetId="1" hidden="1">{"fdsup://directions/FAT Viewer?action=UPDATE&amp;creator=factset&amp;DYN_ARGS=TRUE&amp;DOC_NAME=FAT:FQL_AUDITING_CLIENT_TEMPLATE.FAT&amp;display_string=Audit&amp;VAR:KEY=JKJUXARUDQ&amp;VAR:QUERY=RkZfRUJJVERBX09QRVIoUVRSLDQvMS8yMDEwLDYvMzAvMjAxMCwsLFVTRCk=&amp;WINDOW=FIRST_POPUP&amp;HEIGH","T=450&amp;WIDTH=450&amp;START_MAXIMIZED=FALSE&amp;VAR:CALENDAR=US&amp;VAR:SYMBOL=NTRS&amp;VAR:INDEX=0"}</definedName>
    <definedName name="_348__FDSAUDITLINK__" hidden="1">{"fdsup://directions/FAT Viewer?action=UPDATE&amp;creator=factset&amp;DYN_ARGS=TRUE&amp;DOC_NAME=FAT:FQL_AUDITING_CLIENT_TEMPLATE.FAT&amp;display_string=Audit&amp;VAR:KEY=JKJUXARUDQ&amp;VAR:QUERY=RkZfRUJJVERBX09QRVIoUVRSLDQvMS8yMDEwLDYvMzAvMjAxMCwsLFVTRCk=&amp;WINDOW=FIRST_POPUP&amp;HEIGH","T=450&amp;WIDTH=450&amp;START_MAXIMIZED=FALSE&amp;VAR:CALENDAR=US&amp;VAR:SYMBOL=NTRS&amp;VAR:INDEX=0"}</definedName>
    <definedName name="_349__FDSAUDITLINK__" localSheetId="1" hidden="1">{"fdsup://directions/FAT Viewer?action=UPDATE&amp;creator=factset&amp;DYN_ARGS=TRUE&amp;DOC_NAME=FAT:FQL_AUDITING_CLIENT_TEMPLATE.FAT&amp;display_string=Audit&amp;VAR:KEY=VUXYNORSBW&amp;VAR:QUERY=RkZfRUJJVERBX09QRVIoUVRSLDQvMS8yMDA5LDYvMzAvMjAwOSwsLFVTRCk=&amp;WINDOW=FIRST_POPUP&amp;HEIGH","T=450&amp;WIDTH=450&amp;START_MAXIMIZED=FALSE&amp;VAR:CALENDAR=US&amp;VAR:SYMBOL=NTAP&amp;VAR:INDEX=0"}</definedName>
    <definedName name="_349__FDSAUDITLINK__" hidden="1">{"fdsup://directions/FAT Viewer?action=UPDATE&amp;creator=factset&amp;DYN_ARGS=TRUE&amp;DOC_NAME=FAT:FQL_AUDITING_CLIENT_TEMPLATE.FAT&amp;display_string=Audit&amp;VAR:KEY=VUXYNORSBW&amp;VAR:QUERY=RkZfRUJJVERBX09QRVIoUVRSLDQvMS8yMDA5LDYvMzAvMjAwOSwsLFVTRCk=&amp;WINDOW=FIRST_POPUP&amp;HEIGH","T=450&amp;WIDTH=450&amp;START_MAXIMIZED=FALSE&amp;VAR:CALENDAR=US&amp;VAR:SYMBOL=NTAP&amp;VAR:INDEX=0"}</definedName>
    <definedName name="_35__FDSAUDITLINK__" localSheetId="1" hidden="1">{"fdsup://directions/FAT Viewer?action=UPDATE&amp;creator=factset&amp;DYN_ARGS=TRUE&amp;DOC_NAME=FAT:FQL_AUDITING_CLIENT_TEMPLATE.FAT&amp;display_string=Audit&amp;VAR:KEY=FCPQJYFCLY&amp;VAR:QUERY=RkZfRUJJVERBX09QRVIoUVRSLDQvMS8yMDA5LDYvMzAvMjAwOSwsLFVTRCk=&amp;WINDOW=FIRST_POPUP&amp;HEIGH","T=450&amp;WIDTH=450&amp;START_MAXIMIZED=FALSE&amp;VAR:CALENDAR=US&amp;VAR:SYMBOL=WMT&amp;VAR:INDEX=0"}</definedName>
    <definedName name="_35__FDSAUDITLINK__" hidden="1">{"fdsup://directions/FAT Viewer?action=UPDATE&amp;creator=factset&amp;DYN_ARGS=TRUE&amp;DOC_NAME=FAT:FQL_AUDITING_CLIENT_TEMPLATE.FAT&amp;display_string=Audit&amp;VAR:KEY=FCPQJYFCLY&amp;VAR:QUERY=RkZfRUJJVERBX09QRVIoUVRSLDQvMS8yMDA5LDYvMzAvMjAwOSwsLFVTRCk=&amp;WINDOW=FIRST_POPUP&amp;HEIGH","T=450&amp;WIDTH=450&amp;START_MAXIMIZED=FALSE&amp;VAR:CALENDAR=US&amp;VAR:SYMBOL=WMT&amp;VAR:INDEX=0"}</definedName>
    <definedName name="_350__FDSAUDITLINK__" localSheetId="1" hidden="1">{"fdsup://directions/FAT Viewer?action=UPDATE&amp;creator=factset&amp;DYN_ARGS=TRUE&amp;DOC_NAME=FAT:FQL_AUDITING_CLIENT_TEMPLATE.FAT&amp;display_string=Audit&amp;VAR:KEY=LIFKJKHCFW&amp;VAR:QUERY=RkZfRUJJVERBX09QRVIoUVRSLDQvMS8yMDEwLDYvMzAvMjAxMCwsLFVTRCk=&amp;WINDOW=FIRST_POPUP&amp;HEIGH","T=450&amp;WIDTH=450&amp;START_MAXIMIZED=FALSE&amp;VAR:CALENDAR=US&amp;VAR:SYMBOL=NTAP&amp;VAR:INDEX=0"}</definedName>
    <definedName name="_350__FDSAUDITLINK__" hidden="1">{"fdsup://directions/FAT Viewer?action=UPDATE&amp;creator=factset&amp;DYN_ARGS=TRUE&amp;DOC_NAME=FAT:FQL_AUDITING_CLIENT_TEMPLATE.FAT&amp;display_string=Audit&amp;VAR:KEY=LIFKJKHCFW&amp;VAR:QUERY=RkZfRUJJVERBX09QRVIoUVRSLDQvMS8yMDEwLDYvMzAvMjAxMCwsLFVTRCk=&amp;WINDOW=FIRST_POPUP&amp;HEIGH","T=450&amp;WIDTH=450&amp;START_MAXIMIZED=FALSE&amp;VAR:CALENDAR=US&amp;VAR:SYMBOL=NTAP&amp;VAR:INDEX=0"}</definedName>
    <definedName name="_351__FDSAUDITLINK__" localSheetId="1" hidden="1">{"fdsup://directions/FAT Viewer?action=UPDATE&amp;creator=factset&amp;DYN_ARGS=TRUE&amp;DOC_NAME=FAT:FQL_AUDITING_CLIENT_TEMPLATE.FAT&amp;display_string=Audit&amp;VAR:KEY=DITWNIFUXE&amp;VAR:QUERY=RkZfRUJJVERBX09QRVIoUVRSLDQvMS8yMDA5LDYvMzAvMjAwOSwsLFVTRCk=&amp;WINDOW=FIRST_POPUP&amp;HEIGH","T=450&amp;WIDTH=450&amp;START_MAXIMIZED=FALSE&amp;VAR:CALENDAR=US&amp;VAR:SYMBOL=NSM&amp;VAR:INDEX=0"}</definedName>
    <definedName name="_351__FDSAUDITLINK__" hidden="1">{"fdsup://directions/FAT Viewer?action=UPDATE&amp;creator=factset&amp;DYN_ARGS=TRUE&amp;DOC_NAME=FAT:FQL_AUDITING_CLIENT_TEMPLATE.FAT&amp;display_string=Audit&amp;VAR:KEY=DITWNIFUXE&amp;VAR:QUERY=RkZfRUJJVERBX09QRVIoUVRSLDQvMS8yMDA5LDYvMzAvMjAwOSwsLFVTRCk=&amp;WINDOW=FIRST_POPUP&amp;HEIGH","T=450&amp;WIDTH=450&amp;START_MAXIMIZED=FALSE&amp;VAR:CALENDAR=US&amp;VAR:SYMBOL=NSM&amp;VAR:INDEX=0"}</definedName>
    <definedName name="_352__FDSAUDITLINK__" localSheetId="1" hidden="1">{"fdsup://directions/FAT Viewer?action=UPDATE&amp;creator=factset&amp;DYN_ARGS=TRUE&amp;DOC_NAME=FAT:FQL_AUDITING_CLIENT_TEMPLATE.FAT&amp;display_string=Audit&amp;VAR:KEY=VUVOXGFSNQ&amp;VAR:QUERY=RkZfRUJJVERBX09QRVIoUVRSLDQvMS8yMDEwLDYvMzAvMjAxMCwsLFVTRCk=&amp;WINDOW=FIRST_POPUP&amp;HEIGH","T=450&amp;WIDTH=450&amp;START_MAXIMIZED=FALSE&amp;VAR:CALENDAR=US&amp;VAR:SYMBOL=NSM&amp;VAR:INDEX=0"}</definedName>
    <definedName name="_352__FDSAUDITLINK__" hidden="1">{"fdsup://directions/FAT Viewer?action=UPDATE&amp;creator=factset&amp;DYN_ARGS=TRUE&amp;DOC_NAME=FAT:FQL_AUDITING_CLIENT_TEMPLATE.FAT&amp;display_string=Audit&amp;VAR:KEY=VUVOXGFSNQ&amp;VAR:QUERY=RkZfRUJJVERBX09QRVIoUVRSLDQvMS8yMDEwLDYvMzAvMjAxMCwsLFVTRCk=&amp;WINDOW=FIRST_POPUP&amp;HEIGH","T=450&amp;WIDTH=450&amp;START_MAXIMIZED=FALSE&amp;VAR:CALENDAR=US&amp;VAR:SYMBOL=NSM&amp;VAR:INDEX=0"}</definedName>
    <definedName name="_353__FDSAUDITLINK__" localSheetId="1" hidden="1">{"fdsup://directions/FAT Viewer?action=UPDATE&amp;creator=factset&amp;DYN_ARGS=TRUE&amp;DOC_NAME=FAT:FQL_AUDITING_CLIENT_TEMPLATE.FAT&amp;display_string=Audit&amp;VAR:KEY=RCTUTARCLE&amp;VAR:QUERY=RkZfRUJJVERBX09QRVIoUVRSLDQvMS8yMDA5LDYvMzAvMjAwOSwsLFVTRCk=&amp;WINDOW=FIRST_POPUP&amp;HEIGH","T=450&amp;WIDTH=450&amp;START_MAXIMIZED=FALSE&amp;VAR:CALENDAR=US&amp;VAR:SYMBOL=NSC&amp;VAR:INDEX=0"}</definedName>
    <definedName name="_353__FDSAUDITLINK__" hidden="1">{"fdsup://directions/FAT Viewer?action=UPDATE&amp;creator=factset&amp;DYN_ARGS=TRUE&amp;DOC_NAME=FAT:FQL_AUDITING_CLIENT_TEMPLATE.FAT&amp;display_string=Audit&amp;VAR:KEY=RCTUTARCLE&amp;VAR:QUERY=RkZfRUJJVERBX09QRVIoUVRSLDQvMS8yMDA5LDYvMzAvMjAwOSwsLFVTRCk=&amp;WINDOW=FIRST_POPUP&amp;HEIGH","T=450&amp;WIDTH=450&amp;START_MAXIMIZED=FALSE&amp;VAR:CALENDAR=US&amp;VAR:SYMBOL=NSC&amp;VAR:INDEX=0"}</definedName>
    <definedName name="_354__FDSAUDITLINK__" localSheetId="1" hidden="1">{"fdsup://directions/FAT Viewer?action=UPDATE&amp;creator=factset&amp;DYN_ARGS=TRUE&amp;DOC_NAME=FAT:FQL_AUDITING_CLIENT_TEMPLATE.FAT&amp;display_string=Audit&amp;VAR:KEY=FEXOPSHGLG&amp;VAR:QUERY=RkZfRUJJVERBX09QRVIoUVRSLDQvMS8yMDEwLDYvMzAvMjAxMCwsLFVTRCk=&amp;WINDOW=FIRST_POPUP&amp;HEIGH","T=450&amp;WIDTH=450&amp;START_MAXIMIZED=FALSE&amp;VAR:CALENDAR=US&amp;VAR:SYMBOL=NSC&amp;VAR:INDEX=0"}</definedName>
    <definedName name="_354__FDSAUDITLINK__" hidden="1">{"fdsup://directions/FAT Viewer?action=UPDATE&amp;creator=factset&amp;DYN_ARGS=TRUE&amp;DOC_NAME=FAT:FQL_AUDITING_CLIENT_TEMPLATE.FAT&amp;display_string=Audit&amp;VAR:KEY=FEXOPSHGLG&amp;VAR:QUERY=RkZfRUJJVERBX09QRVIoUVRSLDQvMS8yMDEwLDYvMzAvMjAxMCwsLFVTRCk=&amp;WINDOW=FIRST_POPUP&amp;HEIGH","T=450&amp;WIDTH=450&amp;START_MAXIMIZED=FALSE&amp;VAR:CALENDAR=US&amp;VAR:SYMBOL=NSC&amp;VAR:INDEX=0"}</definedName>
    <definedName name="_355__FDSAUDITLINK__" localSheetId="1" hidden="1">{"fdsup://directions/FAT Viewer?action=UPDATE&amp;creator=factset&amp;DYN_ARGS=TRUE&amp;DOC_NAME=FAT:FQL_AUDITING_CLIENT_TEMPLATE.FAT&amp;display_string=Audit&amp;VAR:KEY=DQVMRUPYBM&amp;VAR:QUERY=RkZfRUJJVERBX09QRVIoUVRSLDQvMS8yMDA5LDYvMzAvMjAwOSwsLFVTRCk=&amp;WINDOW=FIRST_POPUP&amp;HEIGH","T=450&amp;WIDTH=450&amp;START_MAXIMIZED=FALSE&amp;VAR:CALENDAR=US&amp;VAR:SYMBOL=NRG&amp;VAR:INDEX=0"}</definedName>
    <definedName name="_355__FDSAUDITLINK__" hidden="1">{"fdsup://directions/FAT Viewer?action=UPDATE&amp;creator=factset&amp;DYN_ARGS=TRUE&amp;DOC_NAME=FAT:FQL_AUDITING_CLIENT_TEMPLATE.FAT&amp;display_string=Audit&amp;VAR:KEY=DQVMRUPYBM&amp;VAR:QUERY=RkZfRUJJVERBX09QRVIoUVRSLDQvMS8yMDA5LDYvMzAvMjAwOSwsLFVTRCk=&amp;WINDOW=FIRST_POPUP&amp;HEIGH","T=450&amp;WIDTH=450&amp;START_MAXIMIZED=FALSE&amp;VAR:CALENDAR=US&amp;VAR:SYMBOL=NRG&amp;VAR:INDEX=0"}</definedName>
    <definedName name="_356__FDSAUDITLINK__" localSheetId="1" hidden="1">{"fdsup://directions/FAT Viewer?action=UPDATE&amp;creator=factset&amp;DYN_ARGS=TRUE&amp;DOC_NAME=FAT:FQL_AUDITING_CLIENT_TEMPLATE.FAT&amp;display_string=Audit&amp;VAR:KEY=TGPETIRKLE&amp;VAR:QUERY=RkZfRUJJVERBX09QRVIoUVRSLDQvMS8yMDEwLDYvMzAvMjAxMCwsLFVTRCk=&amp;WINDOW=FIRST_POPUP&amp;HEIGH","T=450&amp;WIDTH=450&amp;START_MAXIMIZED=FALSE&amp;VAR:CALENDAR=US&amp;VAR:SYMBOL=NRG&amp;VAR:INDEX=0"}</definedName>
    <definedName name="_356__FDSAUDITLINK__" hidden="1">{"fdsup://directions/FAT Viewer?action=UPDATE&amp;creator=factset&amp;DYN_ARGS=TRUE&amp;DOC_NAME=FAT:FQL_AUDITING_CLIENT_TEMPLATE.FAT&amp;display_string=Audit&amp;VAR:KEY=TGPETIRKLE&amp;VAR:QUERY=RkZfRUJJVERBX09QRVIoUVRSLDQvMS8yMDEwLDYvMzAvMjAxMCwsLFVTRCk=&amp;WINDOW=FIRST_POPUP&amp;HEIGH","T=450&amp;WIDTH=450&amp;START_MAXIMIZED=FALSE&amp;VAR:CALENDAR=US&amp;VAR:SYMBOL=NRG&amp;VAR:INDEX=0"}</definedName>
    <definedName name="_357__FDSAUDITLINK__" localSheetId="1" hidden="1">{"fdsup://directions/FAT Viewer?action=UPDATE&amp;creator=factset&amp;DYN_ARGS=TRUE&amp;DOC_NAME=FAT:FQL_AUDITING_CLIENT_TEMPLATE.FAT&amp;display_string=Audit&amp;VAR:KEY=XEZCZGPQPO&amp;VAR:QUERY=RkZfRUJJVERBX09QRVIoUVRSLDQvMS8yMDA5LDYvMzAvMjAwOSwsLFVTRCk=&amp;WINDOW=FIRST_POPUP&amp;HEIGH","T=450&amp;WIDTH=450&amp;START_MAXIMIZED=FALSE&amp;VAR:CALENDAR=US&amp;VAR:SYMBOL=NOVL&amp;VAR:INDEX=0"}</definedName>
    <definedName name="_357__FDSAUDITLINK__" hidden="1">{"fdsup://directions/FAT Viewer?action=UPDATE&amp;creator=factset&amp;DYN_ARGS=TRUE&amp;DOC_NAME=FAT:FQL_AUDITING_CLIENT_TEMPLATE.FAT&amp;display_string=Audit&amp;VAR:KEY=XEZCZGPQPO&amp;VAR:QUERY=RkZfRUJJVERBX09QRVIoUVRSLDQvMS8yMDA5LDYvMzAvMjAwOSwsLFVTRCk=&amp;WINDOW=FIRST_POPUP&amp;HEIGH","T=450&amp;WIDTH=450&amp;START_MAXIMIZED=FALSE&amp;VAR:CALENDAR=US&amp;VAR:SYMBOL=NOVL&amp;VAR:INDEX=0"}</definedName>
    <definedName name="_358__FDSAUDITLINK__" localSheetId="1" hidden="1">{"fdsup://directions/FAT Viewer?action=UPDATE&amp;creator=factset&amp;DYN_ARGS=TRUE&amp;DOC_NAME=FAT:FQL_AUDITING_CLIENT_TEMPLATE.FAT&amp;display_string=Audit&amp;VAR:KEY=LGXYFMXINW&amp;VAR:QUERY=RkZfRUJJVERBX09QRVIoUVRSLDQvMS8yMDEwLDYvMzAvMjAxMCwsLFVTRCk=&amp;WINDOW=FIRST_POPUP&amp;HEIGH","T=450&amp;WIDTH=450&amp;START_MAXIMIZED=FALSE&amp;VAR:CALENDAR=US&amp;VAR:SYMBOL=NOVL&amp;VAR:INDEX=0"}</definedName>
    <definedName name="_358__FDSAUDITLINK__" hidden="1">{"fdsup://directions/FAT Viewer?action=UPDATE&amp;creator=factset&amp;DYN_ARGS=TRUE&amp;DOC_NAME=FAT:FQL_AUDITING_CLIENT_TEMPLATE.FAT&amp;display_string=Audit&amp;VAR:KEY=LGXYFMXINW&amp;VAR:QUERY=RkZfRUJJVERBX09QRVIoUVRSLDQvMS8yMDEwLDYvMzAvMjAxMCwsLFVTRCk=&amp;WINDOW=FIRST_POPUP&amp;HEIGH","T=450&amp;WIDTH=450&amp;START_MAXIMIZED=FALSE&amp;VAR:CALENDAR=US&amp;VAR:SYMBOL=NOVL&amp;VAR:INDEX=0"}</definedName>
    <definedName name="_359__FDSAUDITLINK__" localSheetId="1" hidden="1">{"fdsup://directions/FAT Viewer?action=UPDATE&amp;creator=factset&amp;DYN_ARGS=TRUE&amp;DOC_NAME=FAT:FQL_AUDITING_CLIENT_TEMPLATE.FAT&amp;display_string=Audit&amp;VAR:KEY=ZIHEFKJWHI&amp;VAR:QUERY=RkZfRUJJVERBX09QRVIoUVRSLDQvMS8yMDA5LDYvMzAvMjAwOSwsLFVTRCk=&amp;WINDOW=FIRST_POPUP&amp;HEIGH","T=450&amp;WIDTH=450&amp;START_MAXIMIZED=FALSE&amp;VAR:CALENDAR=US&amp;VAR:SYMBOL=NOV&amp;VAR:INDEX=0"}</definedName>
    <definedName name="_359__FDSAUDITLINK__" hidden="1">{"fdsup://directions/FAT Viewer?action=UPDATE&amp;creator=factset&amp;DYN_ARGS=TRUE&amp;DOC_NAME=FAT:FQL_AUDITING_CLIENT_TEMPLATE.FAT&amp;display_string=Audit&amp;VAR:KEY=ZIHEFKJWHI&amp;VAR:QUERY=RkZfRUJJVERBX09QRVIoUVRSLDQvMS8yMDA5LDYvMzAvMjAwOSwsLFVTRCk=&amp;WINDOW=FIRST_POPUP&amp;HEIGH","T=450&amp;WIDTH=450&amp;START_MAXIMIZED=FALSE&amp;VAR:CALENDAR=US&amp;VAR:SYMBOL=NOV&amp;VAR:INDEX=0"}</definedName>
    <definedName name="_36__FDSAUDITLINK__" localSheetId="1" hidden="1">{"fdsup://directions/FAT Viewer?action=UPDATE&amp;creator=factset&amp;DYN_ARGS=TRUE&amp;DOC_NAME=FAT:FQL_AUDITING_CLIENT_TEMPLATE.FAT&amp;display_string=Audit&amp;VAR:KEY=BOJCNYTAVG&amp;VAR:QUERY=RkZfRUJJVERBX09QRVIoUVRSLDQvMS8yMDEwLDYvMzAvMjAxMCwsLFVTRCk=&amp;WINDOW=FIRST_POPUP&amp;HEIGH","T=450&amp;WIDTH=450&amp;START_MAXIMIZED=FALSE&amp;VAR:CALENDAR=US&amp;VAR:SYMBOL=WMT&amp;VAR:INDEX=0"}</definedName>
    <definedName name="_36__FDSAUDITLINK__" hidden="1">{"fdsup://directions/FAT Viewer?action=UPDATE&amp;creator=factset&amp;DYN_ARGS=TRUE&amp;DOC_NAME=FAT:FQL_AUDITING_CLIENT_TEMPLATE.FAT&amp;display_string=Audit&amp;VAR:KEY=BOJCNYTAVG&amp;VAR:QUERY=RkZfRUJJVERBX09QRVIoUVRSLDQvMS8yMDEwLDYvMzAvMjAxMCwsLFVTRCk=&amp;WINDOW=FIRST_POPUP&amp;HEIGH","T=450&amp;WIDTH=450&amp;START_MAXIMIZED=FALSE&amp;VAR:CALENDAR=US&amp;VAR:SYMBOL=WMT&amp;VAR:INDEX=0"}</definedName>
    <definedName name="_360__FDSAUDITLINK__" localSheetId="1" hidden="1">{"fdsup://directions/FAT Viewer?action=UPDATE&amp;creator=factset&amp;DYN_ARGS=TRUE&amp;DOC_NAME=FAT:FQL_AUDITING_CLIENT_TEMPLATE.FAT&amp;display_string=Audit&amp;VAR:KEY=LUFQDERKZU&amp;VAR:QUERY=RkZfRUJJVERBX09QRVIoUVRSLDQvMS8yMDEwLDYvMzAvMjAxMCwsLFVTRCk=&amp;WINDOW=FIRST_POPUP&amp;HEIGH","T=450&amp;WIDTH=450&amp;START_MAXIMIZED=FALSE&amp;VAR:CALENDAR=US&amp;VAR:SYMBOL=NOV&amp;VAR:INDEX=0"}</definedName>
    <definedName name="_360__FDSAUDITLINK__" hidden="1">{"fdsup://directions/FAT Viewer?action=UPDATE&amp;creator=factset&amp;DYN_ARGS=TRUE&amp;DOC_NAME=FAT:FQL_AUDITING_CLIENT_TEMPLATE.FAT&amp;display_string=Audit&amp;VAR:KEY=LUFQDERKZU&amp;VAR:QUERY=RkZfRUJJVERBX09QRVIoUVRSLDQvMS8yMDEwLDYvMzAvMjAxMCwsLFVTRCk=&amp;WINDOW=FIRST_POPUP&amp;HEIGH","T=450&amp;WIDTH=450&amp;START_MAXIMIZED=FALSE&amp;VAR:CALENDAR=US&amp;VAR:SYMBOL=NOV&amp;VAR:INDEX=0"}</definedName>
    <definedName name="_361__FDSAUDITLINK__" localSheetId="1" hidden="1">{"fdsup://directions/FAT Viewer?action=UPDATE&amp;creator=factset&amp;DYN_ARGS=TRUE&amp;DOC_NAME=FAT:FQL_AUDITING_CLIENT_TEMPLATE.FAT&amp;display_string=Audit&amp;VAR:KEY=XMVCLKBYHE&amp;VAR:QUERY=RkZfRUJJVERBX09QRVIoUVRSLDQvMS8yMDA5LDYvMzAvMjAwOSwsLFVTRCk=&amp;WINDOW=FIRST_POPUP&amp;HEIGH","T=450&amp;WIDTH=450&amp;START_MAXIMIZED=FALSE&amp;VAR:CALENDAR=US&amp;VAR:SYMBOL=NOC&amp;VAR:INDEX=0"}</definedName>
    <definedName name="_361__FDSAUDITLINK__" hidden="1">{"fdsup://directions/FAT Viewer?action=UPDATE&amp;creator=factset&amp;DYN_ARGS=TRUE&amp;DOC_NAME=FAT:FQL_AUDITING_CLIENT_TEMPLATE.FAT&amp;display_string=Audit&amp;VAR:KEY=XMVCLKBYHE&amp;VAR:QUERY=RkZfRUJJVERBX09QRVIoUVRSLDQvMS8yMDA5LDYvMzAvMjAwOSwsLFVTRCk=&amp;WINDOW=FIRST_POPUP&amp;HEIGH","T=450&amp;WIDTH=450&amp;START_MAXIMIZED=FALSE&amp;VAR:CALENDAR=US&amp;VAR:SYMBOL=NOC&amp;VAR:INDEX=0"}</definedName>
    <definedName name="_362__FDSAUDITLINK__" localSheetId="1" hidden="1">{"fdsup://directions/FAT Viewer?action=UPDATE&amp;creator=factset&amp;DYN_ARGS=TRUE&amp;DOC_NAME=FAT:FQL_AUDITING_CLIENT_TEMPLATE.FAT&amp;display_string=Audit&amp;VAR:KEY=RWZYBQDWTW&amp;VAR:QUERY=RkZfRUJJVERBX09QRVIoUVRSLDQvMS8yMDEwLDYvMzAvMjAxMCwsLFVTRCk=&amp;WINDOW=FIRST_POPUP&amp;HEIGH","T=450&amp;WIDTH=450&amp;START_MAXIMIZED=FALSE&amp;VAR:CALENDAR=US&amp;VAR:SYMBOL=NOC&amp;VAR:INDEX=0"}</definedName>
    <definedName name="_362__FDSAUDITLINK__" hidden="1">{"fdsup://directions/FAT Viewer?action=UPDATE&amp;creator=factset&amp;DYN_ARGS=TRUE&amp;DOC_NAME=FAT:FQL_AUDITING_CLIENT_TEMPLATE.FAT&amp;display_string=Audit&amp;VAR:KEY=RWZYBQDWTW&amp;VAR:QUERY=RkZfRUJJVERBX09QRVIoUVRSLDQvMS8yMDEwLDYvMzAvMjAxMCwsLFVTRCk=&amp;WINDOW=FIRST_POPUP&amp;HEIGH","T=450&amp;WIDTH=450&amp;START_MAXIMIZED=FALSE&amp;VAR:CALENDAR=US&amp;VAR:SYMBOL=NOC&amp;VAR:INDEX=0"}</definedName>
    <definedName name="_363__FDSAUDITLINK__" localSheetId="1" hidden="1">{"fdsup://directions/FAT Viewer?action=UPDATE&amp;creator=factset&amp;DYN_ARGS=TRUE&amp;DOC_NAME=FAT:FQL_AUDITING_CLIENT_TEMPLATE.FAT&amp;display_string=Audit&amp;VAR:KEY=JQPUFGBOBS&amp;VAR:QUERY=RkZfRUJJVERBX09QRVIoUVRSLDQvMS8yMDA5LDYvMzAvMjAwOSwsLFVTRCk=&amp;WINDOW=FIRST_POPUP&amp;HEIGH","T=450&amp;WIDTH=450&amp;START_MAXIMIZED=FALSE&amp;VAR:CALENDAR=US&amp;VAR:SYMBOL=NKE&amp;VAR:INDEX=0"}</definedName>
    <definedName name="_363__FDSAUDITLINK__" hidden="1">{"fdsup://directions/FAT Viewer?action=UPDATE&amp;creator=factset&amp;DYN_ARGS=TRUE&amp;DOC_NAME=FAT:FQL_AUDITING_CLIENT_TEMPLATE.FAT&amp;display_string=Audit&amp;VAR:KEY=JQPUFGBOBS&amp;VAR:QUERY=RkZfRUJJVERBX09QRVIoUVRSLDQvMS8yMDA5LDYvMzAvMjAwOSwsLFVTRCk=&amp;WINDOW=FIRST_POPUP&amp;HEIGH","T=450&amp;WIDTH=450&amp;START_MAXIMIZED=FALSE&amp;VAR:CALENDAR=US&amp;VAR:SYMBOL=NKE&amp;VAR:INDEX=0"}</definedName>
    <definedName name="_364__FDSAUDITLINK__" localSheetId="1" hidden="1">{"fdsup://directions/FAT Viewer?action=UPDATE&amp;creator=factset&amp;DYN_ARGS=TRUE&amp;DOC_NAME=FAT:FQL_AUDITING_CLIENT_TEMPLATE.FAT&amp;display_string=Audit&amp;VAR:KEY=XAJGNUHGXK&amp;VAR:QUERY=RkZfRUJJVERBX09QRVIoUVRSLDQvMS8yMDEwLDYvMzAvMjAxMCwsLFVTRCk=&amp;WINDOW=FIRST_POPUP&amp;HEIGH","T=450&amp;WIDTH=450&amp;START_MAXIMIZED=FALSE&amp;VAR:CALENDAR=US&amp;VAR:SYMBOL=NKE&amp;VAR:INDEX=0"}</definedName>
    <definedName name="_364__FDSAUDITLINK__" hidden="1">{"fdsup://directions/FAT Viewer?action=UPDATE&amp;creator=factset&amp;DYN_ARGS=TRUE&amp;DOC_NAME=FAT:FQL_AUDITING_CLIENT_TEMPLATE.FAT&amp;display_string=Audit&amp;VAR:KEY=XAJGNUHGXK&amp;VAR:QUERY=RkZfRUJJVERBX09QRVIoUVRSLDQvMS8yMDEwLDYvMzAvMjAxMCwsLFVTRCk=&amp;WINDOW=FIRST_POPUP&amp;HEIGH","T=450&amp;WIDTH=450&amp;START_MAXIMIZED=FALSE&amp;VAR:CALENDAR=US&amp;VAR:SYMBOL=NKE&amp;VAR:INDEX=0"}</definedName>
    <definedName name="_365__FDSAUDITLINK__" localSheetId="1" hidden="1">{"fdsup://directions/FAT Viewer?action=UPDATE&amp;creator=factset&amp;DYN_ARGS=TRUE&amp;DOC_NAME=FAT:FQL_AUDITING_CLIENT_TEMPLATE.FAT&amp;display_string=Audit&amp;VAR:KEY=TANMTWJYPM&amp;VAR:QUERY=RkZfRUJJVERBX09QRVIoUVRSLDQvMS8yMDA5LDYvMzAvMjAwOSwsLFVTRCk=&amp;WINDOW=FIRST_POPUP&amp;HEIGH","T=450&amp;WIDTH=450&amp;START_MAXIMIZED=FALSE&amp;VAR:CALENDAR=US&amp;VAR:SYMBOL=NI&amp;VAR:INDEX=0"}</definedName>
    <definedName name="_365__FDSAUDITLINK__" hidden="1">{"fdsup://directions/FAT Viewer?action=UPDATE&amp;creator=factset&amp;DYN_ARGS=TRUE&amp;DOC_NAME=FAT:FQL_AUDITING_CLIENT_TEMPLATE.FAT&amp;display_string=Audit&amp;VAR:KEY=TANMTWJYPM&amp;VAR:QUERY=RkZfRUJJVERBX09QRVIoUVRSLDQvMS8yMDA5LDYvMzAvMjAwOSwsLFVTRCk=&amp;WINDOW=FIRST_POPUP&amp;HEIGH","T=450&amp;WIDTH=450&amp;START_MAXIMIZED=FALSE&amp;VAR:CALENDAR=US&amp;VAR:SYMBOL=NI&amp;VAR:INDEX=0"}</definedName>
    <definedName name="_366__FDSAUDITLINK__" localSheetId="1" hidden="1">{"fdsup://directions/FAT Viewer?action=UPDATE&amp;creator=factset&amp;DYN_ARGS=TRUE&amp;DOC_NAME=FAT:FQL_AUDITING_CLIENT_TEMPLATE.FAT&amp;display_string=Audit&amp;VAR:KEY=LSPEVULWPE&amp;VAR:QUERY=RkZfRUJJVERBX09QRVIoUVRSLDQvMS8yMDEwLDYvMzAvMjAxMCwsLFVTRCk=&amp;WINDOW=FIRST_POPUP&amp;HEIGH","T=450&amp;WIDTH=450&amp;START_MAXIMIZED=FALSE&amp;VAR:CALENDAR=US&amp;VAR:SYMBOL=NI&amp;VAR:INDEX=0"}</definedName>
    <definedName name="_366__FDSAUDITLINK__" hidden="1">{"fdsup://directions/FAT Viewer?action=UPDATE&amp;creator=factset&amp;DYN_ARGS=TRUE&amp;DOC_NAME=FAT:FQL_AUDITING_CLIENT_TEMPLATE.FAT&amp;display_string=Audit&amp;VAR:KEY=LSPEVULWPE&amp;VAR:QUERY=RkZfRUJJVERBX09QRVIoUVRSLDQvMS8yMDEwLDYvMzAvMjAxMCwsLFVTRCk=&amp;WINDOW=FIRST_POPUP&amp;HEIGH","T=450&amp;WIDTH=450&amp;START_MAXIMIZED=FALSE&amp;VAR:CALENDAR=US&amp;VAR:SYMBOL=NI&amp;VAR:INDEX=0"}</definedName>
    <definedName name="_367__FDSAUDITLINK__" localSheetId="1" hidden="1">{"fdsup://directions/FAT Viewer?action=UPDATE&amp;creator=factset&amp;DYN_ARGS=TRUE&amp;DOC_NAME=FAT:FQL_AUDITING_CLIENT_TEMPLATE.FAT&amp;display_string=Audit&amp;VAR:KEY=VSTSVQBABE&amp;VAR:QUERY=RkZfRUJJVERBX09QRVIoUVRSLDQvMS8yMDA5LDYvMzAvMjAwOSwsLFVTRCk=&amp;WINDOW=FIRST_POPUP&amp;HEIGH","T=450&amp;WIDTH=450&amp;START_MAXIMIZED=FALSE&amp;VAR:CALENDAR=US&amp;VAR:SYMBOL=NEM&amp;VAR:INDEX=0"}</definedName>
    <definedName name="_367__FDSAUDITLINK__" hidden="1">{"fdsup://directions/FAT Viewer?action=UPDATE&amp;creator=factset&amp;DYN_ARGS=TRUE&amp;DOC_NAME=FAT:FQL_AUDITING_CLIENT_TEMPLATE.FAT&amp;display_string=Audit&amp;VAR:KEY=VSTSVQBABE&amp;VAR:QUERY=RkZfRUJJVERBX09QRVIoUVRSLDQvMS8yMDA5LDYvMzAvMjAwOSwsLFVTRCk=&amp;WINDOW=FIRST_POPUP&amp;HEIGH","T=450&amp;WIDTH=450&amp;START_MAXIMIZED=FALSE&amp;VAR:CALENDAR=US&amp;VAR:SYMBOL=NEM&amp;VAR:INDEX=0"}</definedName>
    <definedName name="_368__FDSAUDITLINK__" localSheetId="1" hidden="1">{"fdsup://directions/FAT Viewer?action=UPDATE&amp;creator=factset&amp;DYN_ARGS=TRUE&amp;DOC_NAME=FAT:FQL_AUDITING_CLIENT_TEMPLATE.FAT&amp;display_string=Audit&amp;VAR:KEY=BGZSBAFQLA&amp;VAR:QUERY=RkZfRUJJVERBX09QRVIoUVRSLDQvMS8yMDEwLDYvMzAvMjAxMCwsLFVTRCk=&amp;WINDOW=FIRST_POPUP&amp;HEIGH","T=450&amp;WIDTH=450&amp;START_MAXIMIZED=FALSE&amp;VAR:CALENDAR=US&amp;VAR:SYMBOL=NEM&amp;VAR:INDEX=0"}</definedName>
    <definedName name="_368__FDSAUDITLINK__" hidden="1">{"fdsup://directions/FAT Viewer?action=UPDATE&amp;creator=factset&amp;DYN_ARGS=TRUE&amp;DOC_NAME=FAT:FQL_AUDITING_CLIENT_TEMPLATE.FAT&amp;display_string=Audit&amp;VAR:KEY=BGZSBAFQLA&amp;VAR:QUERY=RkZfRUJJVERBX09QRVIoUVRSLDQvMS8yMDEwLDYvMzAvMjAxMCwsLFVTRCk=&amp;WINDOW=FIRST_POPUP&amp;HEIGH","T=450&amp;WIDTH=450&amp;START_MAXIMIZED=FALSE&amp;VAR:CALENDAR=US&amp;VAR:SYMBOL=NEM&amp;VAR:INDEX=0"}</definedName>
    <definedName name="_369__FDSAUDITLINK__" localSheetId="1" hidden="1">{"fdsup://directions/FAT Viewer?action=UPDATE&amp;creator=factset&amp;DYN_ARGS=TRUE&amp;DOC_NAME=FAT:FQL_AUDITING_CLIENT_TEMPLATE.FAT&amp;display_string=Audit&amp;VAR:KEY=NMLCXUPSBE&amp;VAR:QUERY=RkZfRUJJVERBX09QRVIoUVRSLDQvMS8yMDA5LDYvMzAvMjAwOSwsLFVTRCk=&amp;WINDOW=FIRST_POPUP&amp;HEIGH","T=450&amp;WIDTH=450&amp;START_MAXIMIZED=FALSE&amp;VAR:CALENDAR=US&amp;VAR:SYMBOL=NEE&amp;VAR:INDEX=0"}</definedName>
    <definedName name="_369__FDSAUDITLINK__" hidden="1">{"fdsup://directions/FAT Viewer?action=UPDATE&amp;creator=factset&amp;DYN_ARGS=TRUE&amp;DOC_NAME=FAT:FQL_AUDITING_CLIENT_TEMPLATE.FAT&amp;display_string=Audit&amp;VAR:KEY=NMLCXUPSBE&amp;VAR:QUERY=RkZfRUJJVERBX09QRVIoUVRSLDQvMS8yMDA5LDYvMzAvMjAwOSwsLFVTRCk=&amp;WINDOW=FIRST_POPUP&amp;HEIGH","T=450&amp;WIDTH=450&amp;START_MAXIMIZED=FALSE&amp;VAR:CALENDAR=US&amp;VAR:SYMBOL=NEE&amp;VAR:INDEX=0"}</definedName>
    <definedName name="_37__FDSAUDITLINK__" localSheetId="1" hidden="1">{"fdsup://directions/FAT Viewer?action=UPDATE&amp;creator=factset&amp;DYN_ARGS=TRUE&amp;DOC_NAME=FAT:FQL_AUDITING_CLIENT_TEMPLATE.FAT&amp;display_string=Audit&amp;VAR:KEY=PYXAPUPIBA&amp;VAR:QUERY=RkZfRUJJVERBX09QRVIoUVRSLDQvMS8yMDA5LDYvMzAvMjAwOSwsLFVTRCk=&amp;WINDOW=FIRST_POPUP&amp;HEIGH","T=450&amp;WIDTH=450&amp;START_MAXIMIZED=FALSE&amp;VAR:CALENDAR=US&amp;VAR:SYMBOL=WMB&amp;VAR:INDEX=0"}</definedName>
    <definedName name="_37__FDSAUDITLINK__" hidden="1">{"fdsup://directions/FAT Viewer?action=UPDATE&amp;creator=factset&amp;DYN_ARGS=TRUE&amp;DOC_NAME=FAT:FQL_AUDITING_CLIENT_TEMPLATE.FAT&amp;display_string=Audit&amp;VAR:KEY=PYXAPUPIBA&amp;VAR:QUERY=RkZfRUJJVERBX09QRVIoUVRSLDQvMS8yMDA5LDYvMzAvMjAwOSwsLFVTRCk=&amp;WINDOW=FIRST_POPUP&amp;HEIGH","T=450&amp;WIDTH=450&amp;START_MAXIMIZED=FALSE&amp;VAR:CALENDAR=US&amp;VAR:SYMBOL=WMB&amp;VAR:INDEX=0"}</definedName>
    <definedName name="_370__FDSAUDITLINK__" localSheetId="1" hidden="1">{"fdsup://directions/FAT Viewer?action=UPDATE&amp;creator=factset&amp;DYN_ARGS=TRUE&amp;DOC_NAME=FAT:FQL_AUDITING_CLIENT_TEMPLATE.FAT&amp;display_string=Audit&amp;VAR:KEY=ZELQXERSHG&amp;VAR:QUERY=RkZfRUJJVERBX09QRVIoUVRSLDQvMS8yMDEwLDYvMzAvMjAxMCwsLFVTRCk=&amp;WINDOW=FIRST_POPUP&amp;HEIGH","T=450&amp;WIDTH=450&amp;START_MAXIMIZED=FALSE&amp;VAR:CALENDAR=US&amp;VAR:SYMBOL=NEE&amp;VAR:INDEX=0"}</definedName>
    <definedName name="_370__FDSAUDITLINK__" hidden="1">{"fdsup://directions/FAT Viewer?action=UPDATE&amp;creator=factset&amp;DYN_ARGS=TRUE&amp;DOC_NAME=FAT:FQL_AUDITING_CLIENT_TEMPLATE.FAT&amp;display_string=Audit&amp;VAR:KEY=ZELQXERSHG&amp;VAR:QUERY=RkZfRUJJVERBX09QRVIoUVRSLDQvMS8yMDEwLDYvMzAvMjAxMCwsLFVTRCk=&amp;WINDOW=FIRST_POPUP&amp;HEIGH","T=450&amp;WIDTH=450&amp;START_MAXIMIZED=FALSE&amp;VAR:CALENDAR=US&amp;VAR:SYMBOL=NEE&amp;VAR:INDEX=0"}</definedName>
    <definedName name="_371__FDSAUDITLINK__" localSheetId="1" hidden="1">{"fdsup://directions/FAT Viewer?action=UPDATE&amp;creator=factset&amp;DYN_ARGS=TRUE&amp;DOC_NAME=FAT:FQL_AUDITING_CLIENT_TEMPLATE.FAT&amp;display_string=Audit&amp;VAR:KEY=RCXINUNAPO&amp;VAR:QUERY=RkZfRUJJVERBX09QRVIoUVRSLDQvMS8yMDA5LDYvMzAvMjAwOSwsLFVTRCk=&amp;WINDOW=FIRST_POPUP&amp;HEIGH","T=450&amp;WIDTH=450&amp;START_MAXIMIZED=FALSE&amp;VAR:CALENDAR=US&amp;VAR:SYMBOL=NDAQ&amp;VAR:INDEX=0"}</definedName>
    <definedName name="_371__FDSAUDITLINK__" hidden="1">{"fdsup://directions/FAT Viewer?action=UPDATE&amp;creator=factset&amp;DYN_ARGS=TRUE&amp;DOC_NAME=FAT:FQL_AUDITING_CLIENT_TEMPLATE.FAT&amp;display_string=Audit&amp;VAR:KEY=RCXINUNAPO&amp;VAR:QUERY=RkZfRUJJVERBX09QRVIoUVRSLDQvMS8yMDA5LDYvMzAvMjAwOSwsLFVTRCk=&amp;WINDOW=FIRST_POPUP&amp;HEIGH","T=450&amp;WIDTH=450&amp;START_MAXIMIZED=FALSE&amp;VAR:CALENDAR=US&amp;VAR:SYMBOL=NDAQ&amp;VAR:INDEX=0"}</definedName>
    <definedName name="_372__FDSAUDITLINK__" localSheetId="1" hidden="1">{"fdsup://directions/FAT Viewer?action=UPDATE&amp;creator=factset&amp;DYN_ARGS=TRUE&amp;DOC_NAME=FAT:FQL_AUDITING_CLIENT_TEMPLATE.FAT&amp;display_string=Audit&amp;VAR:KEY=RQLUJCFIVY&amp;VAR:QUERY=RkZfRUJJVERBX09QRVIoUVRSLDQvMS8yMDEwLDYvMzAvMjAxMCwsLFVTRCk=&amp;WINDOW=FIRST_POPUP&amp;HEIGH","T=450&amp;WIDTH=450&amp;START_MAXIMIZED=FALSE&amp;VAR:CALENDAR=US&amp;VAR:SYMBOL=NDAQ&amp;VAR:INDEX=0"}</definedName>
    <definedName name="_372__FDSAUDITLINK__" hidden="1">{"fdsup://directions/FAT Viewer?action=UPDATE&amp;creator=factset&amp;DYN_ARGS=TRUE&amp;DOC_NAME=FAT:FQL_AUDITING_CLIENT_TEMPLATE.FAT&amp;display_string=Audit&amp;VAR:KEY=RQLUJCFIVY&amp;VAR:QUERY=RkZfRUJJVERBX09QRVIoUVRSLDQvMS8yMDEwLDYvMzAvMjAxMCwsLFVTRCk=&amp;WINDOW=FIRST_POPUP&amp;HEIGH","T=450&amp;WIDTH=450&amp;START_MAXIMIZED=FALSE&amp;VAR:CALENDAR=US&amp;VAR:SYMBOL=NDAQ&amp;VAR:INDEX=0"}</definedName>
    <definedName name="_373__FDSAUDITLINK__" localSheetId="1" hidden="1">{"fdsup://directions/FAT Viewer?action=UPDATE&amp;creator=factset&amp;DYN_ARGS=TRUE&amp;DOC_NAME=FAT:FQL_AUDITING_CLIENT_TEMPLATE.FAT&amp;display_string=Audit&amp;VAR:KEY=RMJKJSVMHI&amp;VAR:QUERY=RkZfRUJJVERBX09QRVIoUVRSLDQvMS8yMDA5LDYvMzAvMjAwOSwsLFVTRCk=&amp;WINDOW=FIRST_POPUP&amp;HEIGH","T=450&amp;WIDTH=450&amp;START_MAXIMIZED=FALSE&amp;VAR:CALENDAR=US&amp;VAR:SYMBOL=NBR&amp;VAR:INDEX=0"}</definedName>
    <definedName name="_373__FDSAUDITLINK__" hidden="1">{"fdsup://directions/FAT Viewer?action=UPDATE&amp;creator=factset&amp;DYN_ARGS=TRUE&amp;DOC_NAME=FAT:FQL_AUDITING_CLIENT_TEMPLATE.FAT&amp;display_string=Audit&amp;VAR:KEY=RMJKJSVMHI&amp;VAR:QUERY=RkZfRUJJVERBX09QRVIoUVRSLDQvMS8yMDA5LDYvMzAvMjAwOSwsLFVTRCk=&amp;WINDOW=FIRST_POPUP&amp;HEIGH","T=450&amp;WIDTH=450&amp;START_MAXIMIZED=FALSE&amp;VAR:CALENDAR=US&amp;VAR:SYMBOL=NBR&amp;VAR:INDEX=0"}</definedName>
    <definedName name="_374__FDSAUDITLINK__" localSheetId="1" hidden="1">{"fdsup://directions/FAT Viewer?action=UPDATE&amp;creator=factset&amp;DYN_ARGS=TRUE&amp;DOC_NAME=FAT:FQL_AUDITING_CLIENT_TEMPLATE.FAT&amp;display_string=Audit&amp;VAR:KEY=FCLABWPITW&amp;VAR:QUERY=RkZfRUJJVERBX09QRVIoUVRSLDQvMS8yMDEwLDYvMzAvMjAxMCwsLFVTRCk=&amp;WINDOW=FIRST_POPUP&amp;HEIGH","T=450&amp;WIDTH=450&amp;START_MAXIMIZED=FALSE&amp;VAR:CALENDAR=US&amp;VAR:SYMBOL=NBR&amp;VAR:INDEX=0"}</definedName>
    <definedName name="_374__FDSAUDITLINK__" hidden="1">{"fdsup://directions/FAT Viewer?action=UPDATE&amp;creator=factset&amp;DYN_ARGS=TRUE&amp;DOC_NAME=FAT:FQL_AUDITING_CLIENT_TEMPLATE.FAT&amp;display_string=Audit&amp;VAR:KEY=FCLABWPITW&amp;VAR:QUERY=RkZfRUJJVERBX09QRVIoUVRSLDQvMS8yMDEwLDYvMzAvMjAxMCwsLFVTRCk=&amp;WINDOW=FIRST_POPUP&amp;HEIGH","T=450&amp;WIDTH=450&amp;START_MAXIMIZED=FALSE&amp;VAR:CALENDAR=US&amp;VAR:SYMBOL=NBR&amp;VAR:INDEX=0"}</definedName>
    <definedName name="_375__FDSAUDITLINK__" localSheetId="1" hidden="1">{"fdsup://directions/FAT Viewer?action=UPDATE&amp;creator=factset&amp;DYN_ARGS=TRUE&amp;DOC_NAME=FAT:FQL_AUDITING_CLIENT_TEMPLATE.FAT&amp;display_string=Audit&amp;VAR:KEY=VSFIFCVARY&amp;VAR:QUERY=RkZfRUJJVERBX09QRVIoUVRSLDQvMS8yMDA5LDYvMzAvMjAwOSwsLFVTRCk=&amp;WINDOW=FIRST_POPUP&amp;HEIGH","T=450&amp;WIDTH=450&amp;START_MAXIMIZED=FALSE&amp;VAR:CALENDAR=US&amp;VAR:SYMBOL=NBL&amp;VAR:INDEX=0"}</definedName>
    <definedName name="_375__FDSAUDITLINK__" hidden="1">{"fdsup://directions/FAT Viewer?action=UPDATE&amp;creator=factset&amp;DYN_ARGS=TRUE&amp;DOC_NAME=FAT:FQL_AUDITING_CLIENT_TEMPLATE.FAT&amp;display_string=Audit&amp;VAR:KEY=VSFIFCVARY&amp;VAR:QUERY=RkZfRUJJVERBX09QRVIoUVRSLDQvMS8yMDA5LDYvMzAvMjAwOSwsLFVTRCk=&amp;WINDOW=FIRST_POPUP&amp;HEIGH","T=450&amp;WIDTH=450&amp;START_MAXIMIZED=FALSE&amp;VAR:CALENDAR=US&amp;VAR:SYMBOL=NBL&amp;VAR:INDEX=0"}</definedName>
    <definedName name="_376__FDSAUDITLINK__" localSheetId="1" hidden="1">{"fdsup://directions/FAT Viewer?action=UPDATE&amp;creator=factset&amp;DYN_ARGS=TRUE&amp;DOC_NAME=FAT:FQL_AUDITING_CLIENT_TEMPLATE.FAT&amp;display_string=Audit&amp;VAR:KEY=XUVSDSJKBA&amp;VAR:QUERY=RkZfRUJJVERBX09QRVIoUVRSLDQvMS8yMDEwLDYvMzAvMjAxMCwsLFVTRCk=&amp;WINDOW=FIRST_POPUP&amp;HEIGH","T=450&amp;WIDTH=450&amp;START_MAXIMIZED=FALSE&amp;VAR:CALENDAR=US&amp;VAR:SYMBOL=NBL&amp;VAR:INDEX=0"}</definedName>
    <definedName name="_376__FDSAUDITLINK__" hidden="1">{"fdsup://directions/FAT Viewer?action=UPDATE&amp;creator=factset&amp;DYN_ARGS=TRUE&amp;DOC_NAME=FAT:FQL_AUDITING_CLIENT_TEMPLATE.FAT&amp;display_string=Audit&amp;VAR:KEY=XUVSDSJKBA&amp;VAR:QUERY=RkZfRUJJVERBX09QRVIoUVRSLDQvMS8yMDEwLDYvMzAvMjAxMCwsLFVTRCk=&amp;WINDOW=FIRST_POPUP&amp;HEIGH","T=450&amp;WIDTH=450&amp;START_MAXIMIZED=FALSE&amp;VAR:CALENDAR=US&amp;VAR:SYMBOL=NBL&amp;VAR:INDEX=0"}</definedName>
    <definedName name="_377__FDSAUDITLINK__" localSheetId="1" hidden="1">{"fdsup://directions/FAT Viewer?action=UPDATE&amp;creator=factset&amp;DYN_ARGS=TRUE&amp;DOC_NAME=FAT:FQL_AUDITING_CLIENT_TEMPLATE.FAT&amp;display_string=Audit&amp;VAR:KEY=PMFOHWVINI&amp;VAR:QUERY=RkZfRUJJVERBX09QRVIoUVRSLDQvMS8yMDA5LDYvMzAvMjAwOSwsLFVTRCk=&amp;WINDOW=FIRST_POPUP&amp;HEIGH","T=450&amp;WIDTH=450&amp;START_MAXIMIZED=FALSE&amp;VAR:CALENDAR=US&amp;VAR:SYMBOL=MYL&amp;VAR:INDEX=0"}</definedName>
    <definedName name="_377__FDSAUDITLINK__" hidden="1">{"fdsup://directions/FAT Viewer?action=UPDATE&amp;creator=factset&amp;DYN_ARGS=TRUE&amp;DOC_NAME=FAT:FQL_AUDITING_CLIENT_TEMPLATE.FAT&amp;display_string=Audit&amp;VAR:KEY=PMFOHWVINI&amp;VAR:QUERY=RkZfRUJJVERBX09QRVIoUVRSLDQvMS8yMDA5LDYvMzAvMjAwOSwsLFVTRCk=&amp;WINDOW=FIRST_POPUP&amp;HEIGH","T=450&amp;WIDTH=450&amp;START_MAXIMIZED=FALSE&amp;VAR:CALENDAR=US&amp;VAR:SYMBOL=MYL&amp;VAR:INDEX=0"}</definedName>
    <definedName name="_378__FDSAUDITLINK__" localSheetId="1" hidden="1">{"fdsup://directions/FAT Viewer?action=UPDATE&amp;creator=factset&amp;DYN_ARGS=TRUE&amp;DOC_NAME=FAT:FQL_AUDITING_CLIENT_TEMPLATE.FAT&amp;display_string=Audit&amp;VAR:KEY=NCLGHEFYVY&amp;VAR:QUERY=RkZfRUJJVERBX09QRVIoUVRSLDQvMS8yMDEwLDYvMzAvMjAxMCwsLFVTRCk=&amp;WINDOW=FIRST_POPUP&amp;HEIGH","T=450&amp;WIDTH=450&amp;START_MAXIMIZED=FALSE&amp;VAR:CALENDAR=US&amp;VAR:SYMBOL=MYL&amp;VAR:INDEX=0"}</definedName>
    <definedName name="_378__FDSAUDITLINK__" hidden="1">{"fdsup://directions/FAT Viewer?action=UPDATE&amp;creator=factset&amp;DYN_ARGS=TRUE&amp;DOC_NAME=FAT:FQL_AUDITING_CLIENT_TEMPLATE.FAT&amp;display_string=Audit&amp;VAR:KEY=NCLGHEFYVY&amp;VAR:QUERY=RkZfRUJJVERBX09QRVIoUVRSLDQvMS8yMDEwLDYvMzAvMjAxMCwsLFVTRCk=&amp;WINDOW=FIRST_POPUP&amp;HEIGH","T=450&amp;WIDTH=450&amp;START_MAXIMIZED=FALSE&amp;VAR:CALENDAR=US&amp;VAR:SYMBOL=MYL&amp;VAR:INDEX=0"}</definedName>
    <definedName name="_379__FDSAUDITLINK__" localSheetId="1" hidden="1">{"fdsup://directions/FAT Viewer?action=UPDATE&amp;creator=factset&amp;DYN_ARGS=TRUE&amp;DOC_NAME=FAT:FQL_AUDITING_CLIENT_TEMPLATE.FAT&amp;display_string=Audit&amp;VAR:KEY=RWXGVAPUHO&amp;VAR:QUERY=RkZfRUJJVERBX09QRVIoUVRSLDQvMS8yMDA5LDYvMzAvMjAwOSwsLFVTRCk=&amp;WINDOW=FIRST_POPUP&amp;HEIGH","T=450&amp;WIDTH=450&amp;START_MAXIMIZED=FALSE&amp;VAR:CALENDAR=US&amp;VAR:SYMBOL=MWW&amp;VAR:INDEX=0"}</definedName>
    <definedName name="_379__FDSAUDITLINK__" hidden="1">{"fdsup://directions/FAT Viewer?action=UPDATE&amp;creator=factset&amp;DYN_ARGS=TRUE&amp;DOC_NAME=FAT:FQL_AUDITING_CLIENT_TEMPLATE.FAT&amp;display_string=Audit&amp;VAR:KEY=RWXGVAPUHO&amp;VAR:QUERY=RkZfRUJJVERBX09QRVIoUVRSLDQvMS8yMDA5LDYvMzAvMjAwOSwsLFVTRCk=&amp;WINDOW=FIRST_POPUP&amp;HEIGH","T=450&amp;WIDTH=450&amp;START_MAXIMIZED=FALSE&amp;VAR:CALENDAR=US&amp;VAR:SYMBOL=MWW&amp;VAR:INDEX=0"}</definedName>
    <definedName name="_38__FDSAUDITLINK__" localSheetId="1" hidden="1">{"fdsup://directions/FAT Viewer?action=UPDATE&amp;creator=factset&amp;DYN_ARGS=TRUE&amp;DOC_NAME=FAT:FQL_AUDITING_CLIENT_TEMPLATE.FAT&amp;display_string=Audit&amp;VAR:KEY=NMPQLSBSZE&amp;VAR:QUERY=RkZfRUJJVERBX09QRVIoUVRSLDQvMS8yMDEwLDYvMzAvMjAxMCwsLFVTRCk=&amp;WINDOW=FIRST_POPUP&amp;HEIGH","T=450&amp;WIDTH=450&amp;START_MAXIMIZED=FALSE&amp;VAR:CALENDAR=US&amp;VAR:SYMBOL=WMB&amp;VAR:INDEX=0"}</definedName>
    <definedName name="_38__FDSAUDITLINK__" hidden="1">{"fdsup://directions/FAT Viewer?action=UPDATE&amp;creator=factset&amp;DYN_ARGS=TRUE&amp;DOC_NAME=FAT:FQL_AUDITING_CLIENT_TEMPLATE.FAT&amp;display_string=Audit&amp;VAR:KEY=NMPQLSBSZE&amp;VAR:QUERY=RkZfRUJJVERBX09QRVIoUVRSLDQvMS8yMDEwLDYvMzAvMjAxMCwsLFVTRCk=&amp;WINDOW=FIRST_POPUP&amp;HEIGH","T=450&amp;WIDTH=450&amp;START_MAXIMIZED=FALSE&amp;VAR:CALENDAR=US&amp;VAR:SYMBOL=WMB&amp;VAR:INDEX=0"}</definedName>
    <definedName name="_380__FDSAUDITLINK__" localSheetId="1" hidden="1">{"fdsup://directions/FAT Viewer?action=UPDATE&amp;creator=factset&amp;DYN_ARGS=TRUE&amp;DOC_NAME=FAT:FQL_AUDITING_CLIENT_TEMPLATE.FAT&amp;display_string=Audit&amp;VAR:KEY=TAJOFYXCLG&amp;VAR:QUERY=RkZfRUJJVERBX09QRVIoUVRSLDQvMS8yMDEwLDYvMzAvMjAxMCwsLFVTRCk=&amp;WINDOW=FIRST_POPUP&amp;HEIGH","T=450&amp;WIDTH=450&amp;START_MAXIMIZED=FALSE&amp;VAR:CALENDAR=US&amp;VAR:SYMBOL=MWW&amp;VAR:INDEX=0"}</definedName>
    <definedName name="_380__FDSAUDITLINK__" hidden="1">{"fdsup://directions/FAT Viewer?action=UPDATE&amp;creator=factset&amp;DYN_ARGS=TRUE&amp;DOC_NAME=FAT:FQL_AUDITING_CLIENT_TEMPLATE.FAT&amp;display_string=Audit&amp;VAR:KEY=TAJOFYXCLG&amp;VAR:QUERY=RkZfRUJJVERBX09QRVIoUVRSLDQvMS8yMDEwLDYvMzAvMjAxMCwsLFVTRCk=&amp;WINDOW=FIRST_POPUP&amp;HEIGH","T=450&amp;WIDTH=450&amp;START_MAXIMIZED=FALSE&amp;VAR:CALENDAR=US&amp;VAR:SYMBOL=MWW&amp;VAR:INDEX=0"}</definedName>
    <definedName name="_381__FDSAUDITLINK__" localSheetId="1" hidden="1">{"fdsup://directions/FAT Viewer?action=UPDATE&amp;creator=factset&amp;DYN_ARGS=TRUE&amp;DOC_NAME=FAT:FQL_AUDITING_CLIENT_TEMPLATE.FAT&amp;display_string=Audit&amp;VAR:KEY=DSNKNUXEVK&amp;VAR:QUERY=RkZfRUJJVERBX09QRVIoUVRSLDQvMS8yMDA5LDYvMzAvMjAwOSwsLFVTRCk=&amp;WINDOW=FIRST_POPUP&amp;HEIGH","T=450&amp;WIDTH=450&amp;START_MAXIMIZED=FALSE&amp;VAR:CALENDAR=US&amp;VAR:SYMBOL=MWV&amp;VAR:INDEX=0"}</definedName>
    <definedName name="_381__FDSAUDITLINK__" hidden="1">{"fdsup://directions/FAT Viewer?action=UPDATE&amp;creator=factset&amp;DYN_ARGS=TRUE&amp;DOC_NAME=FAT:FQL_AUDITING_CLIENT_TEMPLATE.FAT&amp;display_string=Audit&amp;VAR:KEY=DSNKNUXEVK&amp;VAR:QUERY=RkZfRUJJVERBX09QRVIoUVRSLDQvMS8yMDA5LDYvMzAvMjAwOSwsLFVTRCk=&amp;WINDOW=FIRST_POPUP&amp;HEIGH","T=450&amp;WIDTH=450&amp;START_MAXIMIZED=FALSE&amp;VAR:CALENDAR=US&amp;VAR:SYMBOL=MWV&amp;VAR:INDEX=0"}</definedName>
    <definedName name="_382__FDSAUDITLINK__" localSheetId="1" hidden="1">{"fdsup://directions/FAT Viewer?action=UPDATE&amp;creator=factset&amp;DYN_ARGS=TRUE&amp;DOC_NAME=FAT:FQL_AUDITING_CLIENT_TEMPLATE.FAT&amp;display_string=Audit&amp;VAR:KEY=FQVSVSVALK&amp;VAR:QUERY=RkZfRUJJVERBX09QRVIoUVRSLDQvMS8yMDEwLDYvMzAvMjAxMCwsLFVTRCk=&amp;WINDOW=FIRST_POPUP&amp;HEIGH","T=450&amp;WIDTH=450&amp;START_MAXIMIZED=FALSE&amp;VAR:CALENDAR=US&amp;VAR:SYMBOL=MWV&amp;VAR:INDEX=0"}</definedName>
    <definedName name="_382__FDSAUDITLINK__" hidden="1">{"fdsup://directions/FAT Viewer?action=UPDATE&amp;creator=factset&amp;DYN_ARGS=TRUE&amp;DOC_NAME=FAT:FQL_AUDITING_CLIENT_TEMPLATE.FAT&amp;display_string=Audit&amp;VAR:KEY=FQVSVSVALK&amp;VAR:QUERY=RkZfRUJJVERBX09QRVIoUVRSLDQvMS8yMDEwLDYvMzAvMjAxMCwsLFVTRCk=&amp;WINDOW=FIRST_POPUP&amp;HEIGH","T=450&amp;WIDTH=450&amp;START_MAXIMIZED=FALSE&amp;VAR:CALENDAR=US&amp;VAR:SYMBOL=MWV&amp;VAR:INDEX=0"}</definedName>
    <definedName name="_383__FDSAUDITLINK__" localSheetId="1" hidden="1">{"fdsup://directions/FAT Viewer?action=UPDATE&amp;creator=factset&amp;DYN_ARGS=TRUE&amp;DOC_NAME=FAT:FQL_AUDITING_CLIENT_TEMPLATE.FAT&amp;display_string=Audit&amp;VAR:KEY=NCPMJUTIFO&amp;VAR:QUERY=RkZfRUJJVERBX09QRVIoUVRSLDQvMS8yMDA5LDYvMzAvMjAwOSwsLFVTRCk=&amp;WINDOW=FIRST_POPUP&amp;HEIGH","T=450&amp;WIDTH=450&amp;START_MAXIMIZED=FALSE&amp;VAR:CALENDAR=US&amp;VAR:SYMBOL=MUR&amp;VAR:INDEX=0"}</definedName>
    <definedName name="_383__FDSAUDITLINK__" hidden="1">{"fdsup://directions/FAT Viewer?action=UPDATE&amp;creator=factset&amp;DYN_ARGS=TRUE&amp;DOC_NAME=FAT:FQL_AUDITING_CLIENT_TEMPLATE.FAT&amp;display_string=Audit&amp;VAR:KEY=NCPMJUTIFO&amp;VAR:QUERY=RkZfRUJJVERBX09QRVIoUVRSLDQvMS8yMDA5LDYvMzAvMjAwOSwsLFVTRCk=&amp;WINDOW=FIRST_POPUP&amp;HEIGH","T=450&amp;WIDTH=450&amp;START_MAXIMIZED=FALSE&amp;VAR:CALENDAR=US&amp;VAR:SYMBOL=MUR&amp;VAR:INDEX=0"}</definedName>
    <definedName name="_384__FDSAUDITLINK__" localSheetId="1" hidden="1">{"fdsup://directions/FAT Viewer?action=UPDATE&amp;creator=factset&amp;DYN_ARGS=TRUE&amp;DOC_NAME=FAT:FQL_AUDITING_CLIENT_TEMPLATE.FAT&amp;display_string=Audit&amp;VAR:KEY=ZQRQNKPCNI&amp;VAR:QUERY=RkZfRUJJVERBX09QRVIoUVRSLDQvMS8yMDEwLDYvMzAvMjAxMCwsLFVTRCk=&amp;WINDOW=FIRST_POPUP&amp;HEIGH","T=450&amp;WIDTH=450&amp;START_MAXIMIZED=FALSE&amp;VAR:CALENDAR=US&amp;VAR:SYMBOL=MUR&amp;VAR:INDEX=0"}</definedName>
    <definedName name="_384__FDSAUDITLINK__" hidden="1">{"fdsup://directions/FAT Viewer?action=UPDATE&amp;creator=factset&amp;DYN_ARGS=TRUE&amp;DOC_NAME=FAT:FQL_AUDITING_CLIENT_TEMPLATE.FAT&amp;display_string=Audit&amp;VAR:KEY=ZQRQNKPCNI&amp;VAR:QUERY=RkZfRUJJVERBX09QRVIoUVRSLDQvMS8yMDEwLDYvMzAvMjAxMCwsLFVTRCk=&amp;WINDOW=FIRST_POPUP&amp;HEIGH","T=450&amp;WIDTH=450&amp;START_MAXIMIZED=FALSE&amp;VAR:CALENDAR=US&amp;VAR:SYMBOL=MUR&amp;VAR:INDEX=0"}</definedName>
    <definedName name="_385__FDSAUDITLINK__" localSheetId="1" hidden="1">{"fdsup://directions/FAT Viewer?action=UPDATE&amp;creator=factset&amp;DYN_ARGS=TRUE&amp;DOC_NAME=FAT:FQL_AUDITING_CLIENT_TEMPLATE.FAT&amp;display_string=Audit&amp;VAR:KEY=PCVSTKRYDO&amp;VAR:QUERY=RkZfRUJJVERBX09QRVIoUVRSLDQvMS8yMDA5LDYvMzAvMjAwOSwsLFVTRCk=&amp;WINDOW=FIRST_POPUP&amp;HEIGH","T=450&amp;WIDTH=450&amp;START_MAXIMIZED=FALSE&amp;VAR:CALENDAR=US&amp;VAR:SYMBOL=MU&amp;VAR:INDEX=0"}</definedName>
    <definedName name="_385__FDSAUDITLINK__" hidden="1">{"fdsup://directions/FAT Viewer?action=UPDATE&amp;creator=factset&amp;DYN_ARGS=TRUE&amp;DOC_NAME=FAT:FQL_AUDITING_CLIENT_TEMPLATE.FAT&amp;display_string=Audit&amp;VAR:KEY=PCVSTKRYDO&amp;VAR:QUERY=RkZfRUJJVERBX09QRVIoUVRSLDQvMS8yMDA5LDYvMzAvMjAwOSwsLFVTRCk=&amp;WINDOW=FIRST_POPUP&amp;HEIGH","T=450&amp;WIDTH=450&amp;START_MAXIMIZED=FALSE&amp;VAR:CALENDAR=US&amp;VAR:SYMBOL=MU&amp;VAR:INDEX=0"}</definedName>
    <definedName name="_386__FDSAUDITLINK__" localSheetId="1" hidden="1">{"fdsup://directions/FAT Viewer?action=UPDATE&amp;creator=factset&amp;DYN_ARGS=TRUE&amp;DOC_NAME=FAT:FQL_AUDITING_CLIENT_TEMPLATE.FAT&amp;display_string=Audit&amp;VAR:KEY=DKRWZSTSDC&amp;VAR:QUERY=RkZfRUJJVERBX09QRVIoUVRSLDQvMS8yMDEwLDYvMzAvMjAxMCwsLFVTRCk=&amp;WINDOW=FIRST_POPUP&amp;HEIGH","T=450&amp;WIDTH=450&amp;START_MAXIMIZED=FALSE&amp;VAR:CALENDAR=US&amp;VAR:SYMBOL=MU&amp;VAR:INDEX=0"}</definedName>
    <definedName name="_386__FDSAUDITLINK__" hidden="1">{"fdsup://directions/FAT Viewer?action=UPDATE&amp;creator=factset&amp;DYN_ARGS=TRUE&amp;DOC_NAME=FAT:FQL_AUDITING_CLIENT_TEMPLATE.FAT&amp;display_string=Audit&amp;VAR:KEY=DKRWZSTSDC&amp;VAR:QUERY=RkZfRUJJVERBX09QRVIoUVRSLDQvMS8yMDEwLDYvMzAvMjAxMCwsLFVTRCk=&amp;WINDOW=FIRST_POPUP&amp;HEIGH","T=450&amp;WIDTH=450&amp;START_MAXIMIZED=FALSE&amp;VAR:CALENDAR=US&amp;VAR:SYMBOL=MU&amp;VAR:INDEX=0"}</definedName>
    <definedName name="_387__FDSAUDITLINK__" localSheetId="1" hidden="1">{"fdsup://directions/FAT Viewer?action=UPDATE&amp;creator=factset&amp;DYN_ARGS=TRUE&amp;DOC_NAME=FAT:FQL_AUDITING_CLIENT_TEMPLATE.FAT&amp;display_string=Audit&amp;VAR:KEY=XUTIHYFEVM&amp;VAR:QUERY=RkZfRUJJVERBX09QRVIoUVRSLDQvMS8yMDA5LDYvMzAvMjAwOSwsLFVTRCk=&amp;WINDOW=FIRST_POPUP&amp;HEIGH","T=450&amp;WIDTH=450&amp;START_MAXIMIZED=FALSE&amp;VAR:CALENDAR=US&amp;VAR:SYMBOL=MTB&amp;VAR:INDEX=0"}</definedName>
    <definedName name="_387__FDSAUDITLINK__" hidden="1">{"fdsup://directions/FAT Viewer?action=UPDATE&amp;creator=factset&amp;DYN_ARGS=TRUE&amp;DOC_NAME=FAT:FQL_AUDITING_CLIENT_TEMPLATE.FAT&amp;display_string=Audit&amp;VAR:KEY=XUTIHYFEVM&amp;VAR:QUERY=RkZfRUJJVERBX09QRVIoUVRSLDQvMS8yMDA5LDYvMzAvMjAwOSwsLFVTRCk=&amp;WINDOW=FIRST_POPUP&amp;HEIGH","T=450&amp;WIDTH=450&amp;START_MAXIMIZED=FALSE&amp;VAR:CALENDAR=US&amp;VAR:SYMBOL=MTB&amp;VAR:INDEX=0"}</definedName>
    <definedName name="_388__FDSAUDITLINK__" localSheetId="1" hidden="1">{"fdsup://directions/FAT Viewer?action=UPDATE&amp;creator=factset&amp;DYN_ARGS=TRUE&amp;DOC_NAME=FAT:FQL_AUDITING_CLIENT_TEMPLATE.FAT&amp;display_string=Audit&amp;VAR:KEY=DAZQTIZSTW&amp;VAR:QUERY=RkZfRUJJVERBX09QRVIoUVRSLDQvMS8yMDEwLDYvMzAvMjAxMCwsLFVTRCk=&amp;WINDOW=FIRST_POPUP&amp;HEIGH","T=450&amp;WIDTH=450&amp;START_MAXIMIZED=FALSE&amp;VAR:CALENDAR=US&amp;VAR:SYMBOL=MTB&amp;VAR:INDEX=0"}</definedName>
    <definedName name="_388__FDSAUDITLINK__" hidden="1">{"fdsup://directions/FAT Viewer?action=UPDATE&amp;creator=factset&amp;DYN_ARGS=TRUE&amp;DOC_NAME=FAT:FQL_AUDITING_CLIENT_TEMPLATE.FAT&amp;display_string=Audit&amp;VAR:KEY=DAZQTIZSTW&amp;VAR:QUERY=RkZfRUJJVERBX09QRVIoUVRSLDQvMS8yMDEwLDYvMzAvMjAxMCwsLFVTRCk=&amp;WINDOW=FIRST_POPUP&amp;HEIGH","T=450&amp;WIDTH=450&amp;START_MAXIMIZED=FALSE&amp;VAR:CALENDAR=US&amp;VAR:SYMBOL=MTB&amp;VAR:INDEX=0"}</definedName>
    <definedName name="_389__FDSAUDITLINK__" localSheetId="1" hidden="1">{"fdsup://directions/FAT Viewer?action=UPDATE&amp;creator=factset&amp;DYN_ARGS=TRUE&amp;DOC_NAME=FAT:FQL_AUDITING_CLIENT_TEMPLATE.FAT&amp;display_string=Audit&amp;VAR:KEY=DQRUFCPGJA&amp;VAR:QUERY=RkZfRUJJVERBX09QRVIoUVRSLDQvMS8yMDA5LDYvMzAvMjAwOSwsLFVTRCk=&amp;WINDOW=FIRST_POPUP&amp;HEIGH","T=450&amp;WIDTH=450&amp;START_MAXIMIZED=FALSE&amp;VAR:CALENDAR=US&amp;VAR:SYMBOL=MSFT&amp;VAR:INDEX=0"}</definedName>
    <definedName name="_389__FDSAUDITLINK__" hidden="1">{"fdsup://directions/FAT Viewer?action=UPDATE&amp;creator=factset&amp;DYN_ARGS=TRUE&amp;DOC_NAME=FAT:FQL_AUDITING_CLIENT_TEMPLATE.FAT&amp;display_string=Audit&amp;VAR:KEY=DQRUFCPGJA&amp;VAR:QUERY=RkZfRUJJVERBX09QRVIoUVRSLDQvMS8yMDA5LDYvMzAvMjAwOSwsLFVTRCk=&amp;WINDOW=FIRST_POPUP&amp;HEIGH","T=450&amp;WIDTH=450&amp;START_MAXIMIZED=FALSE&amp;VAR:CALENDAR=US&amp;VAR:SYMBOL=MSFT&amp;VAR:INDEX=0"}</definedName>
    <definedName name="_39__FDSAUDITLINK__" localSheetId="1" hidden="1">{"fdsup://directions/FAT Viewer?action=UPDATE&amp;creator=factset&amp;DYN_ARGS=TRUE&amp;DOC_NAME=FAT:FQL_AUDITING_CLIENT_TEMPLATE.FAT&amp;display_string=Audit&amp;VAR:KEY=JQBIXELEBI&amp;VAR:QUERY=RkZfRUJJVERBX09QRVIoUVRSLDQvMS8yMDA5LDYvMzAvMjAwOSwsLFVTRCk=&amp;WINDOW=FIRST_POPUP&amp;HEIGH","T=450&amp;WIDTH=450&amp;START_MAXIMIZED=FALSE&amp;VAR:CALENDAR=US&amp;VAR:SYMBOL=WM&amp;VAR:INDEX=0"}</definedName>
    <definedName name="_39__FDSAUDITLINK__" hidden="1">{"fdsup://directions/FAT Viewer?action=UPDATE&amp;creator=factset&amp;DYN_ARGS=TRUE&amp;DOC_NAME=FAT:FQL_AUDITING_CLIENT_TEMPLATE.FAT&amp;display_string=Audit&amp;VAR:KEY=JQBIXELEBI&amp;VAR:QUERY=RkZfRUJJVERBX09QRVIoUVRSLDQvMS8yMDA5LDYvMzAvMjAwOSwsLFVTRCk=&amp;WINDOW=FIRST_POPUP&amp;HEIGH","T=450&amp;WIDTH=450&amp;START_MAXIMIZED=FALSE&amp;VAR:CALENDAR=US&amp;VAR:SYMBOL=WM&amp;VAR:INDEX=0"}</definedName>
    <definedName name="_390__FDSAUDITLINK__" localSheetId="1" hidden="1">{"fdsup://directions/FAT Viewer?action=UPDATE&amp;creator=factset&amp;DYN_ARGS=TRUE&amp;DOC_NAME=FAT:FQL_AUDITING_CLIENT_TEMPLATE.FAT&amp;display_string=Audit&amp;VAR:KEY=XAPOZSLSBY&amp;VAR:QUERY=RkZfRUJJVERBX09QRVIoUVRSLDQvMS8yMDEwLDYvMzAvMjAxMCwsLFVTRCk=&amp;WINDOW=FIRST_POPUP&amp;HEIGH","T=450&amp;WIDTH=450&amp;START_MAXIMIZED=FALSE&amp;VAR:CALENDAR=US&amp;VAR:SYMBOL=MSFT&amp;VAR:INDEX=0"}</definedName>
    <definedName name="_390__FDSAUDITLINK__" hidden="1">{"fdsup://directions/FAT Viewer?action=UPDATE&amp;creator=factset&amp;DYN_ARGS=TRUE&amp;DOC_NAME=FAT:FQL_AUDITING_CLIENT_TEMPLATE.FAT&amp;display_string=Audit&amp;VAR:KEY=XAPOZSLSBY&amp;VAR:QUERY=RkZfRUJJVERBX09QRVIoUVRSLDQvMS8yMDEwLDYvMzAvMjAxMCwsLFVTRCk=&amp;WINDOW=FIRST_POPUP&amp;HEIGH","T=450&amp;WIDTH=450&amp;START_MAXIMIZED=FALSE&amp;VAR:CALENDAR=US&amp;VAR:SYMBOL=MSFT&amp;VAR:INDEX=0"}</definedName>
    <definedName name="_391__FDSAUDITLINK__" localSheetId="1" hidden="1">{"fdsup://directions/FAT Viewer?action=UPDATE&amp;creator=factset&amp;DYN_ARGS=TRUE&amp;DOC_NAME=FAT:FQL_AUDITING_CLIENT_TEMPLATE.FAT&amp;display_string=Audit&amp;VAR:KEY=HYLEHGZQXW&amp;VAR:QUERY=RkZfRUJJVERBX09QRVIoUVRSLDQvMS8yMDA5LDYvMzAvMjAwOSwsLFVTRCk=&amp;WINDOW=FIRST_POPUP&amp;HEIGH","T=450&amp;WIDTH=450&amp;START_MAXIMIZED=FALSE&amp;VAR:CALENDAR=US&amp;VAR:SYMBOL=MS&amp;VAR:INDEX=0"}</definedName>
    <definedName name="_391__FDSAUDITLINK__" hidden="1">{"fdsup://directions/FAT Viewer?action=UPDATE&amp;creator=factset&amp;DYN_ARGS=TRUE&amp;DOC_NAME=FAT:FQL_AUDITING_CLIENT_TEMPLATE.FAT&amp;display_string=Audit&amp;VAR:KEY=HYLEHGZQXW&amp;VAR:QUERY=RkZfRUJJVERBX09QRVIoUVRSLDQvMS8yMDA5LDYvMzAvMjAwOSwsLFVTRCk=&amp;WINDOW=FIRST_POPUP&amp;HEIGH","T=450&amp;WIDTH=450&amp;START_MAXIMIZED=FALSE&amp;VAR:CALENDAR=US&amp;VAR:SYMBOL=MS&amp;VAR:INDEX=0"}</definedName>
    <definedName name="_392__FDSAUDITLINK__" localSheetId="1" hidden="1">{"fdsup://directions/FAT Viewer?action=UPDATE&amp;creator=factset&amp;DYN_ARGS=TRUE&amp;DOC_NAME=FAT:FQL_AUDITING_CLIENT_TEMPLATE.FAT&amp;display_string=Audit&amp;VAR:KEY=NGXONKPWLC&amp;VAR:QUERY=RkZfRUJJVERBX09QRVIoUVRSLDQvMS8yMDEwLDYvMzAvMjAxMCwsLFVTRCk=&amp;WINDOW=FIRST_POPUP&amp;HEIGH","T=450&amp;WIDTH=450&amp;START_MAXIMIZED=FALSE&amp;VAR:CALENDAR=US&amp;VAR:SYMBOL=MS&amp;VAR:INDEX=0"}</definedName>
    <definedName name="_392__FDSAUDITLINK__" hidden="1">{"fdsup://directions/FAT Viewer?action=UPDATE&amp;creator=factset&amp;DYN_ARGS=TRUE&amp;DOC_NAME=FAT:FQL_AUDITING_CLIENT_TEMPLATE.FAT&amp;display_string=Audit&amp;VAR:KEY=NGXONKPWLC&amp;VAR:QUERY=RkZfRUJJVERBX09QRVIoUVRSLDQvMS8yMDEwLDYvMzAvMjAxMCwsLFVTRCk=&amp;WINDOW=FIRST_POPUP&amp;HEIGH","T=450&amp;WIDTH=450&amp;START_MAXIMIZED=FALSE&amp;VAR:CALENDAR=US&amp;VAR:SYMBOL=MS&amp;VAR:INDEX=0"}</definedName>
    <definedName name="_393__FDSAUDITLINK__" localSheetId="1" hidden="1">{"fdsup://directions/FAT Viewer?action=UPDATE&amp;creator=factset&amp;DYN_ARGS=TRUE&amp;DOC_NAME=FAT:FQL_AUDITING_CLIENT_TEMPLATE.FAT&amp;display_string=Audit&amp;VAR:KEY=PGRYHQHQFO&amp;VAR:QUERY=RkZfRUJJVERBX09QRVIoUVRSLDQvMS8yMDA5LDYvMzAvMjAwOSwsLFVTRCk=&amp;WINDOW=FIRST_POPUP&amp;HEIGH","T=450&amp;WIDTH=450&amp;START_MAXIMIZED=FALSE&amp;VAR:CALENDAR=US&amp;VAR:SYMBOL=MRO&amp;VAR:INDEX=0"}</definedName>
    <definedName name="_393__FDSAUDITLINK__" hidden="1">{"fdsup://directions/FAT Viewer?action=UPDATE&amp;creator=factset&amp;DYN_ARGS=TRUE&amp;DOC_NAME=FAT:FQL_AUDITING_CLIENT_TEMPLATE.FAT&amp;display_string=Audit&amp;VAR:KEY=PGRYHQHQFO&amp;VAR:QUERY=RkZfRUJJVERBX09QRVIoUVRSLDQvMS8yMDA5LDYvMzAvMjAwOSwsLFVTRCk=&amp;WINDOW=FIRST_POPUP&amp;HEIGH","T=450&amp;WIDTH=450&amp;START_MAXIMIZED=FALSE&amp;VAR:CALENDAR=US&amp;VAR:SYMBOL=MRO&amp;VAR:INDEX=0"}</definedName>
    <definedName name="_394__FDSAUDITLINK__" localSheetId="1" hidden="1">{"fdsup://directions/FAT Viewer?action=UPDATE&amp;creator=factset&amp;DYN_ARGS=TRUE&amp;DOC_NAME=FAT:FQL_AUDITING_CLIENT_TEMPLATE.FAT&amp;display_string=Audit&amp;VAR:KEY=HINYFKLGJK&amp;VAR:QUERY=RkZfRUJJVERBX09QRVIoUVRSLDQvMS8yMDEwLDYvMzAvMjAxMCwsLFVTRCk=&amp;WINDOW=FIRST_POPUP&amp;HEIGH","T=450&amp;WIDTH=450&amp;START_MAXIMIZED=FALSE&amp;VAR:CALENDAR=US&amp;VAR:SYMBOL=MRO&amp;VAR:INDEX=0"}</definedName>
    <definedName name="_394__FDSAUDITLINK__" hidden="1">{"fdsup://directions/FAT Viewer?action=UPDATE&amp;creator=factset&amp;DYN_ARGS=TRUE&amp;DOC_NAME=FAT:FQL_AUDITING_CLIENT_TEMPLATE.FAT&amp;display_string=Audit&amp;VAR:KEY=HINYFKLGJK&amp;VAR:QUERY=RkZfRUJJVERBX09QRVIoUVRSLDQvMS8yMDEwLDYvMzAvMjAxMCwsLFVTRCk=&amp;WINDOW=FIRST_POPUP&amp;HEIGH","T=450&amp;WIDTH=450&amp;START_MAXIMIZED=FALSE&amp;VAR:CALENDAR=US&amp;VAR:SYMBOL=MRO&amp;VAR:INDEX=0"}</definedName>
    <definedName name="_395__FDSAUDITLINK__" localSheetId="1" hidden="1">{"fdsup://directions/FAT Viewer?action=UPDATE&amp;creator=factset&amp;DYN_ARGS=TRUE&amp;DOC_NAME=FAT:FQL_AUDITING_CLIENT_TEMPLATE.FAT&amp;display_string=Audit&amp;VAR:KEY=XKLWNQBGBI&amp;VAR:QUERY=RkZfRUJJVERBX09QRVIoUVRSLDQvMS8yMDA5LDYvMzAvMjAwOSwsLFVTRCk=&amp;WINDOW=FIRST_POPUP&amp;HEIGH","T=450&amp;WIDTH=450&amp;START_MAXIMIZED=FALSE&amp;VAR:CALENDAR=US&amp;VAR:SYMBOL=MRK&amp;VAR:INDEX=0"}</definedName>
    <definedName name="_395__FDSAUDITLINK__" hidden="1">{"fdsup://directions/FAT Viewer?action=UPDATE&amp;creator=factset&amp;DYN_ARGS=TRUE&amp;DOC_NAME=FAT:FQL_AUDITING_CLIENT_TEMPLATE.FAT&amp;display_string=Audit&amp;VAR:KEY=XKLWNQBGBI&amp;VAR:QUERY=RkZfRUJJVERBX09QRVIoUVRSLDQvMS8yMDA5LDYvMzAvMjAwOSwsLFVTRCk=&amp;WINDOW=FIRST_POPUP&amp;HEIGH","T=450&amp;WIDTH=450&amp;START_MAXIMIZED=FALSE&amp;VAR:CALENDAR=US&amp;VAR:SYMBOL=MRK&amp;VAR:INDEX=0"}</definedName>
    <definedName name="_396__FDSAUDITLINK__" localSheetId="1" hidden="1">{"fdsup://directions/FAT Viewer?action=UPDATE&amp;creator=factset&amp;DYN_ARGS=TRUE&amp;DOC_NAME=FAT:FQL_AUDITING_CLIENT_TEMPLATE.FAT&amp;display_string=Audit&amp;VAR:KEY=XKTUNGJSLU&amp;VAR:QUERY=RkZfRUJJVERBX09QRVIoUVRSLDQvMS8yMDEwLDYvMzAvMjAxMCwsLFVTRCk=&amp;WINDOW=FIRST_POPUP&amp;HEIGH","T=450&amp;WIDTH=450&amp;START_MAXIMIZED=FALSE&amp;VAR:CALENDAR=US&amp;VAR:SYMBOL=MRK&amp;VAR:INDEX=0"}</definedName>
    <definedName name="_396__FDSAUDITLINK__" hidden="1">{"fdsup://directions/FAT Viewer?action=UPDATE&amp;creator=factset&amp;DYN_ARGS=TRUE&amp;DOC_NAME=FAT:FQL_AUDITING_CLIENT_TEMPLATE.FAT&amp;display_string=Audit&amp;VAR:KEY=XKTUNGJSLU&amp;VAR:QUERY=RkZfRUJJVERBX09QRVIoUVRSLDQvMS8yMDEwLDYvMzAvMjAxMCwsLFVTRCk=&amp;WINDOW=FIRST_POPUP&amp;HEIGH","T=450&amp;WIDTH=450&amp;START_MAXIMIZED=FALSE&amp;VAR:CALENDAR=US&amp;VAR:SYMBOL=MRK&amp;VAR:INDEX=0"}</definedName>
    <definedName name="_397__FDSAUDITLINK__" localSheetId="1" hidden="1">{"fdsup://directions/FAT Viewer?action=UPDATE&amp;creator=factset&amp;DYN_ARGS=TRUE&amp;DOC_NAME=FAT:FQL_AUDITING_CLIENT_TEMPLATE.FAT&amp;display_string=Audit&amp;VAR:KEY=NYTUDGXUBU&amp;VAR:QUERY=RkZfRUJJVERBX09QRVIoUVRSLDQvMS8yMDA5LDYvMzAvMjAwOSwsLFVTRCk=&amp;WINDOW=FIRST_POPUP&amp;HEIGH","T=450&amp;WIDTH=450&amp;START_MAXIMIZED=FALSE&amp;VAR:CALENDAR=US&amp;VAR:SYMBOL=MOT&amp;VAR:INDEX=0"}</definedName>
    <definedName name="_397__FDSAUDITLINK__" hidden="1">{"fdsup://directions/FAT Viewer?action=UPDATE&amp;creator=factset&amp;DYN_ARGS=TRUE&amp;DOC_NAME=FAT:FQL_AUDITING_CLIENT_TEMPLATE.FAT&amp;display_string=Audit&amp;VAR:KEY=NYTUDGXUBU&amp;VAR:QUERY=RkZfRUJJVERBX09QRVIoUVRSLDQvMS8yMDA5LDYvMzAvMjAwOSwsLFVTRCk=&amp;WINDOW=FIRST_POPUP&amp;HEIGH","T=450&amp;WIDTH=450&amp;START_MAXIMIZED=FALSE&amp;VAR:CALENDAR=US&amp;VAR:SYMBOL=MOT&amp;VAR:INDEX=0"}</definedName>
    <definedName name="_398__FDSAUDITLINK__" localSheetId="1" hidden="1">{"fdsup://directions/FAT Viewer?action=UPDATE&amp;creator=factset&amp;DYN_ARGS=TRUE&amp;DOC_NAME=FAT:FQL_AUDITING_CLIENT_TEMPLATE.FAT&amp;display_string=Audit&amp;VAR:KEY=DQXOXKBSXE&amp;VAR:QUERY=RkZfRUJJVERBX09QRVIoUVRSLDQvMS8yMDEwLDYvMzAvMjAxMCwsLFVTRCk=&amp;WINDOW=FIRST_POPUP&amp;HEIGH","T=450&amp;WIDTH=450&amp;START_MAXIMIZED=FALSE&amp;VAR:CALENDAR=US&amp;VAR:SYMBOL=MOT&amp;VAR:INDEX=0"}</definedName>
    <definedName name="_398__FDSAUDITLINK__" hidden="1">{"fdsup://directions/FAT Viewer?action=UPDATE&amp;creator=factset&amp;DYN_ARGS=TRUE&amp;DOC_NAME=FAT:FQL_AUDITING_CLIENT_TEMPLATE.FAT&amp;display_string=Audit&amp;VAR:KEY=DQXOXKBSXE&amp;VAR:QUERY=RkZfRUJJVERBX09QRVIoUVRSLDQvMS8yMDEwLDYvMzAvMjAxMCwsLFVTRCk=&amp;WINDOW=FIRST_POPUP&amp;HEIGH","T=450&amp;WIDTH=450&amp;START_MAXIMIZED=FALSE&amp;VAR:CALENDAR=US&amp;VAR:SYMBOL=MOT&amp;VAR:INDEX=0"}</definedName>
    <definedName name="_399__FDSAUDITLINK__" localSheetId="1" hidden="1">{"fdsup://directions/FAT Viewer?action=UPDATE&amp;creator=factset&amp;DYN_ARGS=TRUE&amp;DOC_NAME=FAT:FQL_AUDITING_CLIENT_TEMPLATE.FAT&amp;display_string=Audit&amp;VAR:KEY=XMRAVYVWFE&amp;VAR:QUERY=RkZfRUJJVERBX09QRVIoUVRSLDQvMS8yMDA5LDYvMzAvMjAwOSwsLFVTRCk=&amp;WINDOW=FIRST_POPUP&amp;HEIGH","T=450&amp;WIDTH=450&amp;START_MAXIMIZED=FALSE&amp;VAR:CALENDAR=US&amp;VAR:SYMBOL=MON&amp;VAR:INDEX=0"}</definedName>
    <definedName name="_399__FDSAUDITLINK__" hidden="1">{"fdsup://directions/FAT Viewer?action=UPDATE&amp;creator=factset&amp;DYN_ARGS=TRUE&amp;DOC_NAME=FAT:FQL_AUDITING_CLIENT_TEMPLATE.FAT&amp;display_string=Audit&amp;VAR:KEY=XMRAVYVWFE&amp;VAR:QUERY=RkZfRUJJVERBX09QRVIoUVRSLDQvMS8yMDA5LDYvMzAvMjAwOSwsLFVTRCk=&amp;WINDOW=FIRST_POPUP&amp;HEIGH","T=450&amp;WIDTH=450&amp;START_MAXIMIZED=FALSE&amp;VAR:CALENDAR=US&amp;VAR:SYMBOL=MON&amp;VAR:INDEX=0"}</definedName>
    <definedName name="_4__FDSAUDITLINK__" localSheetId="1" hidden="1">{"fdsup://directions/FAT Viewer?action=UPDATE&amp;creator=factset&amp;DYN_ARGS=TRUE&amp;DOC_NAME=FAT:FQL_AUDITING_CLIENT_TEMPLATE.FAT&amp;display_string=Audit&amp;VAR:KEY=PYFIPCNANQ&amp;VAR:QUERY=RkZfRUJJVERBX09QRVIoUVRSLDQvMS8yMDEwLDYvMzAvMjAxMCwsLFVTRCk=&amp;WINDOW=FIRST_POPUP&amp;HEIGH","T=450&amp;WIDTH=450&amp;START_MAXIMIZED=FALSE&amp;VAR:CALENDAR=US&amp;VAR:SYMBOL=ZION&amp;VAR:INDEX=0"}</definedName>
    <definedName name="_4__FDSAUDITLINK__" hidden="1">{"fdsup://directions/FAT Viewer?action=UPDATE&amp;creator=factset&amp;DYN_ARGS=TRUE&amp;DOC_NAME=FAT:FQL_AUDITING_CLIENT_TEMPLATE.FAT&amp;display_string=Audit&amp;VAR:KEY=PYFIPCNANQ&amp;VAR:QUERY=RkZfRUJJVERBX09QRVIoUVRSLDQvMS8yMDEwLDYvMzAvMjAxMCwsLFVTRCk=&amp;WINDOW=FIRST_POPUP&amp;HEIGH","T=450&amp;WIDTH=450&amp;START_MAXIMIZED=FALSE&amp;VAR:CALENDAR=US&amp;VAR:SYMBOL=ZION&amp;VAR:INDEX=0"}</definedName>
    <definedName name="_40__FDSAUDITLINK__" localSheetId="1" hidden="1">{"fdsup://directions/FAT Viewer?action=UPDATE&amp;creator=factset&amp;DYN_ARGS=TRUE&amp;DOC_NAME=FAT:FQL_AUDITING_CLIENT_TEMPLATE.FAT&amp;display_string=Audit&amp;VAR:KEY=XOBOXIJSPS&amp;VAR:QUERY=RkZfRUJJVERBX09QRVIoUVRSLDQvMS8yMDEwLDYvMzAvMjAxMCwsLFVTRCk=&amp;WINDOW=FIRST_POPUP&amp;HEIGH","T=450&amp;WIDTH=450&amp;START_MAXIMIZED=FALSE&amp;VAR:CALENDAR=US&amp;VAR:SYMBOL=WM&amp;VAR:INDEX=0"}</definedName>
    <definedName name="_40__FDSAUDITLINK__" hidden="1">{"fdsup://directions/FAT Viewer?action=UPDATE&amp;creator=factset&amp;DYN_ARGS=TRUE&amp;DOC_NAME=FAT:FQL_AUDITING_CLIENT_TEMPLATE.FAT&amp;display_string=Audit&amp;VAR:KEY=XOBOXIJSPS&amp;VAR:QUERY=RkZfRUJJVERBX09QRVIoUVRSLDQvMS8yMDEwLDYvMzAvMjAxMCwsLFVTRCk=&amp;WINDOW=FIRST_POPUP&amp;HEIGH","T=450&amp;WIDTH=450&amp;START_MAXIMIZED=FALSE&amp;VAR:CALENDAR=US&amp;VAR:SYMBOL=WM&amp;VAR:INDEX=0"}</definedName>
    <definedName name="_400__FDSAUDITLINK__" localSheetId="1" hidden="1">{"fdsup://directions/FAT Viewer?action=UPDATE&amp;creator=factset&amp;DYN_ARGS=TRUE&amp;DOC_NAME=FAT:FQL_AUDITING_CLIENT_TEMPLATE.FAT&amp;display_string=Audit&amp;VAR:KEY=ZQTOFSXSHK&amp;VAR:QUERY=RkZfRUJJVERBX09QRVIoUVRSLDQvMS8yMDEwLDYvMzAvMjAxMCwsLFVTRCk=&amp;WINDOW=FIRST_POPUP&amp;HEIGH","T=450&amp;WIDTH=450&amp;START_MAXIMIZED=FALSE&amp;VAR:CALENDAR=US&amp;VAR:SYMBOL=MON&amp;VAR:INDEX=0"}</definedName>
    <definedName name="_400__FDSAUDITLINK__" hidden="1">{"fdsup://directions/FAT Viewer?action=UPDATE&amp;creator=factset&amp;DYN_ARGS=TRUE&amp;DOC_NAME=FAT:FQL_AUDITING_CLIENT_TEMPLATE.FAT&amp;display_string=Audit&amp;VAR:KEY=ZQTOFSXSHK&amp;VAR:QUERY=RkZfRUJJVERBX09QRVIoUVRSLDQvMS8yMDEwLDYvMzAvMjAxMCwsLFVTRCk=&amp;WINDOW=FIRST_POPUP&amp;HEIGH","T=450&amp;WIDTH=450&amp;START_MAXIMIZED=FALSE&amp;VAR:CALENDAR=US&amp;VAR:SYMBOL=MON&amp;VAR:INDEX=0"}</definedName>
    <definedName name="_401__FDSAUDITLINK__" localSheetId="1" hidden="1">{"fdsup://directions/FAT Viewer?action=UPDATE&amp;creator=factset&amp;DYN_ARGS=TRUE&amp;DOC_NAME=FAT:FQL_AUDITING_CLIENT_TEMPLATE.FAT&amp;display_string=Audit&amp;VAR:KEY=VCNENWFMJO&amp;VAR:QUERY=RkZfRUJJVERBX09QRVIoUVRSLDQvMS8yMDA5LDYvMzAvMjAwOSwsLFVTRCk=&amp;WINDOW=FIRST_POPUP&amp;HEIGH","T=450&amp;WIDTH=450&amp;START_MAXIMIZED=FALSE&amp;VAR:CALENDAR=US&amp;VAR:SYMBOL=MOLX&amp;VAR:INDEX=0"}</definedName>
    <definedName name="_401__FDSAUDITLINK__" hidden="1">{"fdsup://directions/FAT Viewer?action=UPDATE&amp;creator=factset&amp;DYN_ARGS=TRUE&amp;DOC_NAME=FAT:FQL_AUDITING_CLIENT_TEMPLATE.FAT&amp;display_string=Audit&amp;VAR:KEY=VCNENWFMJO&amp;VAR:QUERY=RkZfRUJJVERBX09QRVIoUVRSLDQvMS8yMDA5LDYvMzAvMjAwOSwsLFVTRCk=&amp;WINDOW=FIRST_POPUP&amp;HEIGH","T=450&amp;WIDTH=450&amp;START_MAXIMIZED=FALSE&amp;VAR:CALENDAR=US&amp;VAR:SYMBOL=MOLX&amp;VAR:INDEX=0"}</definedName>
    <definedName name="_402__FDSAUDITLINK__" localSheetId="1" hidden="1">{"fdsup://directions/FAT Viewer?action=UPDATE&amp;creator=factset&amp;DYN_ARGS=TRUE&amp;DOC_NAME=FAT:FQL_AUDITING_CLIENT_TEMPLATE.FAT&amp;display_string=Audit&amp;VAR:KEY=NQPQVUBMJU&amp;VAR:QUERY=RkZfRUJJVERBX09QRVIoUVRSLDQvMS8yMDEwLDYvMzAvMjAxMCwsLFVTRCk=&amp;WINDOW=FIRST_POPUP&amp;HEIGH","T=450&amp;WIDTH=450&amp;START_MAXIMIZED=FALSE&amp;VAR:CALENDAR=US&amp;VAR:SYMBOL=MOLX&amp;VAR:INDEX=0"}</definedName>
    <definedName name="_402__FDSAUDITLINK__" hidden="1">{"fdsup://directions/FAT Viewer?action=UPDATE&amp;creator=factset&amp;DYN_ARGS=TRUE&amp;DOC_NAME=FAT:FQL_AUDITING_CLIENT_TEMPLATE.FAT&amp;display_string=Audit&amp;VAR:KEY=NQPQVUBMJU&amp;VAR:QUERY=RkZfRUJJVERBX09QRVIoUVRSLDQvMS8yMDEwLDYvMzAvMjAxMCwsLFVTRCk=&amp;WINDOW=FIRST_POPUP&amp;HEIGH","T=450&amp;WIDTH=450&amp;START_MAXIMIZED=FALSE&amp;VAR:CALENDAR=US&amp;VAR:SYMBOL=MOLX&amp;VAR:INDEX=0"}</definedName>
    <definedName name="_403__FDSAUDITLINK__" localSheetId="1" hidden="1">{"fdsup://directions/FAT Viewer?action=UPDATE&amp;creator=factset&amp;DYN_ARGS=TRUE&amp;DOC_NAME=FAT:FQL_AUDITING_CLIENT_TEMPLATE.FAT&amp;display_string=Audit&amp;VAR:KEY=LUNSXMPQHC&amp;VAR:QUERY=RkZfRUJJVERBX09QRVIoUVRSLDQvMS8yMDA5LDYvMzAvMjAwOSwsLFVTRCk=&amp;WINDOW=FIRST_POPUP&amp;HEIGH","T=450&amp;WIDTH=450&amp;START_MAXIMIZED=FALSE&amp;VAR:CALENDAR=US&amp;VAR:SYMBOL=MO&amp;VAR:INDEX=0"}</definedName>
    <definedName name="_403__FDSAUDITLINK__" hidden="1">{"fdsup://directions/FAT Viewer?action=UPDATE&amp;creator=factset&amp;DYN_ARGS=TRUE&amp;DOC_NAME=FAT:FQL_AUDITING_CLIENT_TEMPLATE.FAT&amp;display_string=Audit&amp;VAR:KEY=LUNSXMPQHC&amp;VAR:QUERY=RkZfRUJJVERBX09QRVIoUVRSLDQvMS8yMDA5LDYvMzAvMjAwOSwsLFVTRCk=&amp;WINDOW=FIRST_POPUP&amp;HEIGH","T=450&amp;WIDTH=450&amp;START_MAXIMIZED=FALSE&amp;VAR:CALENDAR=US&amp;VAR:SYMBOL=MO&amp;VAR:INDEX=0"}</definedName>
    <definedName name="_404__FDSAUDITLINK__" localSheetId="1" hidden="1">{"fdsup://directions/FAT Viewer?action=UPDATE&amp;creator=factset&amp;DYN_ARGS=TRUE&amp;DOC_NAME=FAT:FQL_AUDITING_CLIENT_TEMPLATE.FAT&amp;display_string=Audit&amp;VAR:KEY=DKFYDOBWZW&amp;VAR:QUERY=RkZfRUJJVERBX09QRVIoUVRSLDQvMS8yMDEwLDYvMzAvMjAxMCwsLFVTRCk=&amp;WINDOW=FIRST_POPUP&amp;HEIGH","T=450&amp;WIDTH=450&amp;START_MAXIMIZED=FALSE&amp;VAR:CALENDAR=US&amp;VAR:SYMBOL=MO&amp;VAR:INDEX=0"}</definedName>
    <definedName name="_404__FDSAUDITLINK__" hidden="1">{"fdsup://directions/FAT Viewer?action=UPDATE&amp;creator=factset&amp;DYN_ARGS=TRUE&amp;DOC_NAME=FAT:FQL_AUDITING_CLIENT_TEMPLATE.FAT&amp;display_string=Audit&amp;VAR:KEY=DKFYDOBWZW&amp;VAR:QUERY=RkZfRUJJVERBX09QRVIoUVRSLDQvMS8yMDEwLDYvMzAvMjAxMCwsLFVTRCk=&amp;WINDOW=FIRST_POPUP&amp;HEIGH","T=450&amp;WIDTH=450&amp;START_MAXIMIZED=FALSE&amp;VAR:CALENDAR=US&amp;VAR:SYMBOL=MO&amp;VAR:INDEX=0"}</definedName>
    <definedName name="_405__FDSAUDITLINK__" localSheetId="1" hidden="1">{"fdsup://directions/FAT Viewer?action=UPDATE&amp;creator=factset&amp;DYN_ARGS=TRUE&amp;DOC_NAME=FAT:FQL_AUDITING_CLIENT_TEMPLATE.FAT&amp;display_string=Audit&amp;VAR:KEY=NUHCHITSNK&amp;VAR:QUERY=RkZfRUJJVERBX09QRVIoUVRSLDQvMS8yMDA5LDYvMzAvMjAwOSwsLFVTRCk=&amp;WINDOW=FIRST_POPUP&amp;HEIGH","T=450&amp;WIDTH=450&amp;START_MAXIMIZED=FALSE&amp;VAR:CALENDAR=US&amp;VAR:SYMBOL=MMM&amp;VAR:INDEX=0"}</definedName>
    <definedName name="_405__FDSAUDITLINK__" hidden="1">{"fdsup://directions/FAT Viewer?action=UPDATE&amp;creator=factset&amp;DYN_ARGS=TRUE&amp;DOC_NAME=FAT:FQL_AUDITING_CLIENT_TEMPLATE.FAT&amp;display_string=Audit&amp;VAR:KEY=NUHCHITSNK&amp;VAR:QUERY=RkZfRUJJVERBX09QRVIoUVRSLDQvMS8yMDA5LDYvMzAvMjAwOSwsLFVTRCk=&amp;WINDOW=FIRST_POPUP&amp;HEIGH","T=450&amp;WIDTH=450&amp;START_MAXIMIZED=FALSE&amp;VAR:CALENDAR=US&amp;VAR:SYMBOL=MMM&amp;VAR:INDEX=0"}</definedName>
    <definedName name="_406__FDSAUDITLINK__" localSheetId="1" hidden="1">{"fdsup://directions/FAT Viewer?action=UPDATE&amp;creator=factset&amp;DYN_ARGS=TRUE&amp;DOC_NAME=FAT:FQL_AUDITING_CLIENT_TEMPLATE.FAT&amp;display_string=Audit&amp;VAR:KEY=NAXWTMDKTA&amp;VAR:QUERY=RkZfRUJJVERBX09QRVIoUVRSLDQvMS8yMDEwLDYvMzAvMjAxMCwsLFVTRCk=&amp;WINDOW=FIRST_POPUP&amp;HEIGH","T=450&amp;WIDTH=450&amp;START_MAXIMIZED=FALSE&amp;VAR:CALENDAR=US&amp;VAR:SYMBOL=MMM&amp;VAR:INDEX=0"}</definedName>
    <definedName name="_406__FDSAUDITLINK__" hidden="1">{"fdsup://directions/FAT Viewer?action=UPDATE&amp;creator=factset&amp;DYN_ARGS=TRUE&amp;DOC_NAME=FAT:FQL_AUDITING_CLIENT_TEMPLATE.FAT&amp;display_string=Audit&amp;VAR:KEY=NAXWTMDKTA&amp;VAR:QUERY=RkZfRUJJVERBX09QRVIoUVRSLDQvMS8yMDEwLDYvMzAvMjAxMCwsLFVTRCk=&amp;WINDOW=FIRST_POPUP&amp;HEIGH","T=450&amp;WIDTH=450&amp;START_MAXIMIZED=FALSE&amp;VAR:CALENDAR=US&amp;VAR:SYMBOL=MMM&amp;VAR:INDEX=0"}</definedName>
    <definedName name="_407__FDSAUDITLINK__" localSheetId="1" hidden="1">{"fdsup://directions/FAT Viewer?action=UPDATE&amp;creator=factset&amp;DYN_ARGS=TRUE&amp;DOC_NAME=FAT:FQL_AUDITING_CLIENT_TEMPLATE.FAT&amp;display_string=Audit&amp;VAR:KEY=NYRWLQLWTM&amp;VAR:QUERY=RkZfRUJJVERBX09QRVIoUVRSLDQvMS8yMDA5LDYvMzAvMjAwOSwsLFVTRCk=&amp;WINDOW=FIRST_POPUP&amp;HEIGH","T=450&amp;WIDTH=450&amp;START_MAXIMIZED=FALSE&amp;VAR:CALENDAR=US&amp;VAR:SYMBOL=MMC&amp;VAR:INDEX=0"}</definedName>
    <definedName name="_407__FDSAUDITLINK__" hidden="1">{"fdsup://directions/FAT Viewer?action=UPDATE&amp;creator=factset&amp;DYN_ARGS=TRUE&amp;DOC_NAME=FAT:FQL_AUDITING_CLIENT_TEMPLATE.FAT&amp;display_string=Audit&amp;VAR:KEY=NYRWLQLWTM&amp;VAR:QUERY=RkZfRUJJVERBX09QRVIoUVRSLDQvMS8yMDA5LDYvMzAvMjAwOSwsLFVTRCk=&amp;WINDOW=FIRST_POPUP&amp;HEIGH","T=450&amp;WIDTH=450&amp;START_MAXIMIZED=FALSE&amp;VAR:CALENDAR=US&amp;VAR:SYMBOL=MMC&amp;VAR:INDEX=0"}</definedName>
    <definedName name="_408__FDSAUDITLINK__" localSheetId="1" hidden="1">{"fdsup://directions/FAT Viewer?action=UPDATE&amp;creator=factset&amp;DYN_ARGS=TRUE&amp;DOC_NAME=FAT:FQL_AUDITING_CLIENT_TEMPLATE.FAT&amp;display_string=Audit&amp;VAR:KEY=VKPGJOXOHS&amp;VAR:QUERY=RkZfRUJJVERBX09QRVIoUVRSLDQvMS8yMDEwLDYvMzAvMjAxMCwsLFVTRCk=&amp;WINDOW=FIRST_POPUP&amp;HEIGH","T=450&amp;WIDTH=450&amp;START_MAXIMIZED=FALSE&amp;VAR:CALENDAR=US&amp;VAR:SYMBOL=MMC&amp;VAR:INDEX=0"}</definedName>
    <definedName name="_408__FDSAUDITLINK__" hidden="1">{"fdsup://directions/FAT Viewer?action=UPDATE&amp;creator=factset&amp;DYN_ARGS=TRUE&amp;DOC_NAME=FAT:FQL_AUDITING_CLIENT_TEMPLATE.FAT&amp;display_string=Audit&amp;VAR:KEY=VKPGJOXOHS&amp;VAR:QUERY=RkZfRUJJVERBX09QRVIoUVRSLDQvMS8yMDEwLDYvMzAvMjAxMCwsLFVTRCk=&amp;WINDOW=FIRST_POPUP&amp;HEIGH","T=450&amp;WIDTH=450&amp;START_MAXIMIZED=FALSE&amp;VAR:CALENDAR=US&amp;VAR:SYMBOL=MMC&amp;VAR:INDEX=0"}</definedName>
    <definedName name="_409__FDSAUDITLINK__" localSheetId="1" hidden="1">{"fdsup://directions/FAT Viewer?action=UPDATE&amp;creator=factset&amp;DYN_ARGS=TRUE&amp;DOC_NAME=FAT:FQL_AUDITING_CLIENT_TEMPLATE.FAT&amp;display_string=Audit&amp;VAR:KEY=BSRAPIRITG&amp;VAR:QUERY=RkZfRUJJVERBX09QRVIoUVRSLDQvMS8yMDA5LDYvMzAvMjAwOSwsLFVTRCk=&amp;WINDOW=FIRST_POPUP&amp;HEIGH","T=450&amp;WIDTH=450&amp;START_MAXIMIZED=FALSE&amp;VAR:CALENDAR=US&amp;VAR:SYMBOL=MKC&amp;VAR:INDEX=0"}</definedName>
    <definedName name="_409__FDSAUDITLINK__" hidden="1">{"fdsup://directions/FAT Viewer?action=UPDATE&amp;creator=factset&amp;DYN_ARGS=TRUE&amp;DOC_NAME=FAT:FQL_AUDITING_CLIENT_TEMPLATE.FAT&amp;display_string=Audit&amp;VAR:KEY=BSRAPIRITG&amp;VAR:QUERY=RkZfRUJJVERBX09QRVIoUVRSLDQvMS8yMDA5LDYvMzAvMjAwOSwsLFVTRCk=&amp;WINDOW=FIRST_POPUP&amp;HEIGH","T=450&amp;WIDTH=450&amp;START_MAXIMIZED=FALSE&amp;VAR:CALENDAR=US&amp;VAR:SYMBOL=MKC&amp;VAR:INDEX=0"}</definedName>
    <definedName name="_41__FDSAUDITLINK__" localSheetId="1" hidden="1">{"fdsup://directions/FAT Viewer?action=UPDATE&amp;creator=factset&amp;DYN_ARGS=TRUE&amp;DOC_NAME=FAT:FQL_AUDITING_CLIENT_TEMPLATE.FAT&amp;display_string=Audit&amp;VAR:KEY=JWLGFODIDK&amp;VAR:QUERY=RkZfRUJJVERBX09QRVIoUVRSLDQvMS8yMDA5LDYvMzAvMjAwOSwsLFVTRCk=&amp;WINDOW=FIRST_POPUP&amp;HEIGH","T=450&amp;WIDTH=450&amp;START_MAXIMIZED=FALSE&amp;VAR:CALENDAR=US&amp;VAR:SYMBOL=WLP&amp;VAR:INDEX=0"}</definedName>
    <definedName name="_41__FDSAUDITLINK__" hidden="1">{"fdsup://directions/FAT Viewer?action=UPDATE&amp;creator=factset&amp;DYN_ARGS=TRUE&amp;DOC_NAME=FAT:FQL_AUDITING_CLIENT_TEMPLATE.FAT&amp;display_string=Audit&amp;VAR:KEY=JWLGFODIDK&amp;VAR:QUERY=RkZfRUJJVERBX09QRVIoUVRSLDQvMS8yMDA5LDYvMzAvMjAwOSwsLFVTRCk=&amp;WINDOW=FIRST_POPUP&amp;HEIGH","T=450&amp;WIDTH=450&amp;START_MAXIMIZED=FALSE&amp;VAR:CALENDAR=US&amp;VAR:SYMBOL=WLP&amp;VAR:INDEX=0"}</definedName>
    <definedName name="_410__FDSAUDITLINK__" localSheetId="1" hidden="1">{"fdsup://directions/FAT Viewer?action=UPDATE&amp;creator=factset&amp;DYN_ARGS=TRUE&amp;DOC_NAME=FAT:FQL_AUDITING_CLIENT_TEMPLATE.FAT&amp;display_string=Audit&amp;VAR:KEY=XMBAVQFEFS&amp;VAR:QUERY=RkZfRUJJVERBX09QRVIoUVRSLDQvMS8yMDEwLDYvMzAvMjAxMCwsLFVTRCk=&amp;WINDOW=FIRST_POPUP&amp;HEIGH","T=450&amp;WIDTH=450&amp;START_MAXIMIZED=FALSE&amp;VAR:CALENDAR=US&amp;VAR:SYMBOL=MKC&amp;VAR:INDEX=0"}</definedName>
    <definedName name="_410__FDSAUDITLINK__" hidden="1">{"fdsup://directions/FAT Viewer?action=UPDATE&amp;creator=factset&amp;DYN_ARGS=TRUE&amp;DOC_NAME=FAT:FQL_AUDITING_CLIENT_TEMPLATE.FAT&amp;display_string=Audit&amp;VAR:KEY=XMBAVQFEFS&amp;VAR:QUERY=RkZfRUJJVERBX09QRVIoUVRSLDQvMS8yMDEwLDYvMzAvMjAxMCwsLFVTRCk=&amp;WINDOW=FIRST_POPUP&amp;HEIGH","T=450&amp;WIDTH=450&amp;START_MAXIMIZED=FALSE&amp;VAR:CALENDAR=US&amp;VAR:SYMBOL=MKC&amp;VAR:INDEX=0"}</definedName>
    <definedName name="_411__FDSAUDITLINK__" localSheetId="1" hidden="1">{"fdsup://directions/FAT Viewer?action=UPDATE&amp;creator=factset&amp;DYN_ARGS=TRUE&amp;DOC_NAME=FAT:FQL_AUDITING_CLIENT_TEMPLATE.FAT&amp;display_string=Audit&amp;VAR:KEY=LSDWZOVSDU&amp;VAR:QUERY=RkZfRUJJVERBX09QRVIoUVRSLDQvMS8yMDA5LDYvMzAvMjAwOSwsLFVTRCk=&amp;WINDOW=FIRST_POPUP&amp;HEIGH","T=450&amp;WIDTH=450&amp;START_MAXIMIZED=FALSE&amp;VAR:CALENDAR=US&amp;VAR:SYMBOL=MJN&amp;VAR:INDEX=0"}</definedName>
    <definedName name="_411__FDSAUDITLINK__" hidden="1">{"fdsup://directions/FAT Viewer?action=UPDATE&amp;creator=factset&amp;DYN_ARGS=TRUE&amp;DOC_NAME=FAT:FQL_AUDITING_CLIENT_TEMPLATE.FAT&amp;display_string=Audit&amp;VAR:KEY=LSDWZOVSDU&amp;VAR:QUERY=RkZfRUJJVERBX09QRVIoUVRSLDQvMS8yMDA5LDYvMzAvMjAwOSwsLFVTRCk=&amp;WINDOW=FIRST_POPUP&amp;HEIGH","T=450&amp;WIDTH=450&amp;START_MAXIMIZED=FALSE&amp;VAR:CALENDAR=US&amp;VAR:SYMBOL=MJN&amp;VAR:INDEX=0"}</definedName>
    <definedName name="_412__FDSAUDITLINK__" localSheetId="1" hidden="1">{"fdsup://directions/FAT Viewer?action=UPDATE&amp;creator=factset&amp;DYN_ARGS=TRUE&amp;DOC_NAME=FAT:FQL_AUDITING_CLIENT_TEMPLATE.FAT&amp;display_string=Audit&amp;VAR:KEY=LCHKBYDIDI&amp;VAR:QUERY=RkZfRUJJVERBX09QRVIoUVRSLDQvMS8yMDEwLDYvMzAvMjAxMCwsLFVTRCk=&amp;WINDOW=FIRST_POPUP&amp;HEIGH","T=450&amp;WIDTH=450&amp;START_MAXIMIZED=FALSE&amp;VAR:CALENDAR=US&amp;VAR:SYMBOL=MJN&amp;VAR:INDEX=0"}</definedName>
    <definedName name="_412__FDSAUDITLINK__" hidden="1">{"fdsup://directions/FAT Viewer?action=UPDATE&amp;creator=factset&amp;DYN_ARGS=TRUE&amp;DOC_NAME=FAT:FQL_AUDITING_CLIENT_TEMPLATE.FAT&amp;display_string=Audit&amp;VAR:KEY=LCHKBYDIDI&amp;VAR:QUERY=RkZfRUJJVERBX09QRVIoUVRSLDQvMS8yMDEwLDYvMzAvMjAxMCwsLFVTRCk=&amp;WINDOW=FIRST_POPUP&amp;HEIGH","T=450&amp;WIDTH=450&amp;START_MAXIMIZED=FALSE&amp;VAR:CALENDAR=US&amp;VAR:SYMBOL=MJN&amp;VAR:INDEX=0"}</definedName>
    <definedName name="_413__FDSAUDITLINK__" localSheetId="1" hidden="1">{"fdsup://directions/FAT Viewer?action=UPDATE&amp;creator=factset&amp;DYN_ARGS=TRUE&amp;DOC_NAME=FAT:FQL_AUDITING_CLIENT_TEMPLATE.FAT&amp;display_string=Audit&amp;VAR:KEY=XANEZANUBI&amp;VAR:QUERY=RkZfRUJJVERBX09QRVIoUVRSLDQvMS8yMDA5LDYvMzAvMjAwOSwsLFVTRCk=&amp;WINDOW=FIRST_POPUP&amp;HEIGH","T=450&amp;WIDTH=450&amp;START_MAXIMIZED=FALSE&amp;VAR:CALENDAR=US&amp;VAR:SYMBOL=MI&amp;VAR:INDEX=0"}</definedName>
    <definedName name="_413__FDSAUDITLINK__" hidden="1">{"fdsup://directions/FAT Viewer?action=UPDATE&amp;creator=factset&amp;DYN_ARGS=TRUE&amp;DOC_NAME=FAT:FQL_AUDITING_CLIENT_TEMPLATE.FAT&amp;display_string=Audit&amp;VAR:KEY=XANEZANUBI&amp;VAR:QUERY=RkZfRUJJVERBX09QRVIoUVRSLDQvMS8yMDA5LDYvMzAvMjAwOSwsLFVTRCk=&amp;WINDOW=FIRST_POPUP&amp;HEIGH","T=450&amp;WIDTH=450&amp;START_MAXIMIZED=FALSE&amp;VAR:CALENDAR=US&amp;VAR:SYMBOL=MI&amp;VAR:INDEX=0"}</definedName>
    <definedName name="_414__FDSAUDITLINK__" localSheetId="1" hidden="1">{"fdsup://directions/FAT Viewer?action=UPDATE&amp;creator=factset&amp;DYN_ARGS=TRUE&amp;DOC_NAME=FAT:FQL_AUDITING_CLIENT_TEMPLATE.FAT&amp;display_string=Audit&amp;VAR:KEY=TGTADQBMHO&amp;VAR:QUERY=RkZfRUJJVERBX09QRVIoUVRSLDQvMS8yMDEwLDYvMzAvMjAxMCwsLFVTRCk=&amp;WINDOW=FIRST_POPUP&amp;HEIGH","T=450&amp;WIDTH=450&amp;START_MAXIMIZED=FALSE&amp;VAR:CALENDAR=US&amp;VAR:SYMBOL=MI&amp;VAR:INDEX=0"}</definedName>
    <definedName name="_414__FDSAUDITLINK__" hidden="1">{"fdsup://directions/FAT Viewer?action=UPDATE&amp;creator=factset&amp;DYN_ARGS=TRUE&amp;DOC_NAME=FAT:FQL_AUDITING_CLIENT_TEMPLATE.FAT&amp;display_string=Audit&amp;VAR:KEY=TGTADQBMHO&amp;VAR:QUERY=RkZfRUJJVERBX09QRVIoUVRSLDQvMS8yMDEwLDYvMzAvMjAxMCwsLFVTRCk=&amp;WINDOW=FIRST_POPUP&amp;HEIGH","T=450&amp;WIDTH=450&amp;START_MAXIMIZED=FALSE&amp;VAR:CALENDAR=US&amp;VAR:SYMBOL=MI&amp;VAR:INDEX=0"}</definedName>
    <definedName name="_415__FDSAUDITLINK__" localSheetId="1" hidden="1">{"fdsup://directions/FAT Viewer?action=UPDATE&amp;creator=factset&amp;DYN_ARGS=TRUE&amp;DOC_NAME=FAT:FQL_AUDITING_CLIENT_TEMPLATE.FAT&amp;display_string=Audit&amp;VAR:KEY=NSZAHSBUXY&amp;VAR:QUERY=RkZfRUJJVERBX09QRVIoUVRSLDQvMS8yMDA5LDYvMzAvMjAwOSwsLFVTRCk=&amp;WINDOW=FIRST_POPUP&amp;HEIGH","T=450&amp;WIDTH=450&amp;START_MAXIMIZED=FALSE&amp;VAR:CALENDAR=US&amp;VAR:SYMBOL=MHS&amp;VAR:INDEX=0"}</definedName>
    <definedName name="_415__FDSAUDITLINK__" hidden="1">{"fdsup://directions/FAT Viewer?action=UPDATE&amp;creator=factset&amp;DYN_ARGS=TRUE&amp;DOC_NAME=FAT:FQL_AUDITING_CLIENT_TEMPLATE.FAT&amp;display_string=Audit&amp;VAR:KEY=NSZAHSBUXY&amp;VAR:QUERY=RkZfRUJJVERBX09QRVIoUVRSLDQvMS8yMDA5LDYvMzAvMjAwOSwsLFVTRCk=&amp;WINDOW=FIRST_POPUP&amp;HEIGH","T=450&amp;WIDTH=450&amp;START_MAXIMIZED=FALSE&amp;VAR:CALENDAR=US&amp;VAR:SYMBOL=MHS&amp;VAR:INDEX=0"}</definedName>
    <definedName name="_416__FDSAUDITLINK__" localSheetId="1" hidden="1">{"fdsup://directions/FAT Viewer?action=UPDATE&amp;creator=factset&amp;DYN_ARGS=TRUE&amp;DOC_NAME=FAT:FQL_AUDITING_CLIENT_TEMPLATE.FAT&amp;display_string=Audit&amp;VAR:KEY=VSLEFMPUPY&amp;VAR:QUERY=RkZfRUJJVERBX09QRVIoUVRSLDQvMS8yMDEwLDYvMzAvMjAxMCwsLFVTRCk=&amp;WINDOW=FIRST_POPUP&amp;HEIGH","T=450&amp;WIDTH=450&amp;START_MAXIMIZED=FALSE&amp;VAR:CALENDAR=US&amp;VAR:SYMBOL=MHS&amp;VAR:INDEX=0"}</definedName>
    <definedName name="_416__FDSAUDITLINK__" hidden="1">{"fdsup://directions/FAT Viewer?action=UPDATE&amp;creator=factset&amp;DYN_ARGS=TRUE&amp;DOC_NAME=FAT:FQL_AUDITING_CLIENT_TEMPLATE.FAT&amp;display_string=Audit&amp;VAR:KEY=VSLEFMPUPY&amp;VAR:QUERY=RkZfRUJJVERBX09QRVIoUVRSLDQvMS8yMDEwLDYvMzAvMjAxMCwsLFVTRCk=&amp;WINDOW=FIRST_POPUP&amp;HEIGH","T=450&amp;WIDTH=450&amp;START_MAXIMIZED=FALSE&amp;VAR:CALENDAR=US&amp;VAR:SYMBOL=MHS&amp;VAR:INDEX=0"}</definedName>
    <definedName name="_417__FDSAUDITLINK__" localSheetId="1" hidden="1">{"fdsup://directions/FAT Viewer?action=UPDATE&amp;creator=factset&amp;DYN_ARGS=TRUE&amp;DOC_NAME=FAT:FQL_AUDITING_CLIENT_TEMPLATE.FAT&amp;display_string=Audit&amp;VAR:KEY=RGXIFCBSRQ&amp;VAR:QUERY=RkZfRUJJVERBX09QRVIoUVRSLDQvMS8yMDA5LDYvMzAvMjAwOSwsLFVTRCk=&amp;WINDOW=FIRST_POPUP&amp;HEIGH","T=450&amp;WIDTH=450&amp;START_MAXIMIZED=FALSE&amp;VAR:CALENDAR=US&amp;VAR:SYMBOL=MHP&amp;VAR:INDEX=0"}</definedName>
    <definedName name="_417__FDSAUDITLINK__" hidden="1">{"fdsup://directions/FAT Viewer?action=UPDATE&amp;creator=factset&amp;DYN_ARGS=TRUE&amp;DOC_NAME=FAT:FQL_AUDITING_CLIENT_TEMPLATE.FAT&amp;display_string=Audit&amp;VAR:KEY=RGXIFCBSRQ&amp;VAR:QUERY=RkZfRUJJVERBX09QRVIoUVRSLDQvMS8yMDA5LDYvMzAvMjAwOSwsLFVTRCk=&amp;WINDOW=FIRST_POPUP&amp;HEIGH","T=450&amp;WIDTH=450&amp;START_MAXIMIZED=FALSE&amp;VAR:CALENDAR=US&amp;VAR:SYMBOL=MHP&amp;VAR:INDEX=0"}</definedName>
    <definedName name="_418__FDSAUDITLINK__" localSheetId="1" hidden="1">{"fdsup://directions/FAT Viewer?action=UPDATE&amp;creator=factset&amp;DYN_ARGS=TRUE&amp;DOC_NAME=FAT:FQL_AUDITING_CLIENT_TEMPLATE.FAT&amp;display_string=Audit&amp;VAR:KEY=DCXMLMVOLO&amp;VAR:QUERY=RkZfRUJJVERBX09QRVIoUVRSLDQvMS8yMDEwLDYvMzAvMjAxMCwsLFVTRCk=&amp;WINDOW=FIRST_POPUP&amp;HEIGH","T=450&amp;WIDTH=450&amp;START_MAXIMIZED=FALSE&amp;VAR:CALENDAR=US&amp;VAR:SYMBOL=MHP&amp;VAR:INDEX=0"}</definedName>
    <definedName name="_418__FDSAUDITLINK__" hidden="1">{"fdsup://directions/FAT Viewer?action=UPDATE&amp;creator=factset&amp;DYN_ARGS=TRUE&amp;DOC_NAME=FAT:FQL_AUDITING_CLIENT_TEMPLATE.FAT&amp;display_string=Audit&amp;VAR:KEY=DCXMLMVOLO&amp;VAR:QUERY=RkZfRUJJVERBX09QRVIoUVRSLDQvMS8yMDEwLDYvMzAvMjAxMCwsLFVTRCk=&amp;WINDOW=FIRST_POPUP&amp;HEIGH","T=450&amp;WIDTH=450&amp;START_MAXIMIZED=FALSE&amp;VAR:CALENDAR=US&amp;VAR:SYMBOL=MHP&amp;VAR:INDEX=0"}</definedName>
    <definedName name="_419__FDSAUDITLINK__" localSheetId="1" hidden="1">{"fdsup://directions/FAT Viewer?action=UPDATE&amp;creator=factset&amp;DYN_ARGS=TRUE&amp;DOC_NAME=FAT:FQL_AUDITING_CLIENT_TEMPLATE.FAT&amp;display_string=Audit&amp;VAR:KEY=REXMRALYJE&amp;VAR:QUERY=RkZfRUJJVERBX09QRVIoUVRSLDQvMS8yMDA5LDYvMzAvMjAwOSwsLFVTRCk=&amp;WINDOW=FIRST_POPUP&amp;HEIGH","T=450&amp;WIDTH=450&amp;START_MAXIMIZED=FALSE&amp;VAR:CALENDAR=US&amp;VAR:SYMBOL=MFE&amp;VAR:INDEX=0"}</definedName>
    <definedName name="_419__FDSAUDITLINK__" hidden="1">{"fdsup://directions/FAT Viewer?action=UPDATE&amp;creator=factset&amp;DYN_ARGS=TRUE&amp;DOC_NAME=FAT:FQL_AUDITING_CLIENT_TEMPLATE.FAT&amp;display_string=Audit&amp;VAR:KEY=REXMRALYJE&amp;VAR:QUERY=RkZfRUJJVERBX09QRVIoUVRSLDQvMS8yMDA5LDYvMzAvMjAwOSwsLFVTRCk=&amp;WINDOW=FIRST_POPUP&amp;HEIGH","T=450&amp;WIDTH=450&amp;START_MAXIMIZED=FALSE&amp;VAR:CALENDAR=US&amp;VAR:SYMBOL=MFE&amp;VAR:INDEX=0"}</definedName>
    <definedName name="_42__FDSAUDITLINK__" localSheetId="1" hidden="1">{"fdsup://directions/FAT Viewer?action=UPDATE&amp;creator=factset&amp;DYN_ARGS=TRUE&amp;DOC_NAME=FAT:FQL_AUDITING_CLIENT_TEMPLATE.FAT&amp;display_string=Audit&amp;VAR:KEY=ZMPSVGPOTE&amp;VAR:QUERY=RkZfRUJJVERBX09QRVIoUVRSLDQvMS8yMDEwLDYvMzAvMjAxMCwsLFVTRCk=&amp;WINDOW=FIRST_POPUP&amp;HEIGH","T=450&amp;WIDTH=450&amp;START_MAXIMIZED=FALSE&amp;VAR:CALENDAR=US&amp;VAR:SYMBOL=WLP&amp;VAR:INDEX=0"}</definedName>
    <definedName name="_42__FDSAUDITLINK__" hidden="1">{"fdsup://directions/FAT Viewer?action=UPDATE&amp;creator=factset&amp;DYN_ARGS=TRUE&amp;DOC_NAME=FAT:FQL_AUDITING_CLIENT_TEMPLATE.FAT&amp;display_string=Audit&amp;VAR:KEY=ZMPSVGPOTE&amp;VAR:QUERY=RkZfRUJJVERBX09QRVIoUVRSLDQvMS8yMDEwLDYvMzAvMjAxMCwsLFVTRCk=&amp;WINDOW=FIRST_POPUP&amp;HEIGH","T=450&amp;WIDTH=450&amp;START_MAXIMIZED=FALSE&amp;VAR:CALENDAR=US&amp;VAR:SYMBOL=WLP&amp;VAR:INDEX=0"}</definedName>
    <definedName name="_420__FDSAUDITLINK__" localSheetId="1" hidden="1">{"fdsup://directions/FAT Viewer?action=UPDATE&amp;creator=factset&amp;DYN_ARGS=TRUE&amp;DOC_NAME=FAT:FQL_AUDITING_CLIENT_TEMPLATE.FAT&amp;display_string=Audit&amp;VAR:KEY=JQPKTOLCFS&amp;VAR:QUERY=RkZfRUJJVERBX09QRVIoUVRSLDQvMS8yMDEwLDYvMzAvMjAxMCwsLFVTRCk=&amp;WINDOW=FIRST_POPUP&amp;HEIGH","T=450&amp;WIDTH=450&amp;START_MAXIMIZED=FALSE&amp;VAR:CALENDAR=US&amp;VAR:SYMBOL=MFE&amp;VAR:INDEX=0"}</definedName>
    <definedName name="_420__FDSAUDITLINK__" hidden="1">{"fdsup://directions/FAT Viewer?action=UPDATE&amp;creator=factset&amp;DYN_ARGS=TRUE&amp;DOC_NAME=FAT:FQL_AUDITING_CLIENT_TEMPLATE.FAT&amp;display_string=Audit&amp;VAR:KEY=JQPKTOLCFS&amp;VAR:QUERY=RkZfRUJJVERBX09QRVIoUVRSLDQvMS8yMDEwLDYvMzAvMjAxMCwsLFVTRCk=&amp;WINDOW=FIRST_POPUP&amp;HEIGH","T=450&amp;WIDTH=450&amp;START_MAXIMIZED=FALSE&amp;VAR:CALENDAR=US&amp;VAR:SYMBOL=MFE&amp;VAR:INDEX=0"}</definedName>
    <definedName name="_421__FDSAUDITLINK__" localSheetId="1" hidden="1">{"fdsup://directions/FAT Viewer?action=UPDATE&amp;creator=factset&amp;DYN_ARGS=TRUE&amp;DOC_NAME=FAT:FQL_AUDITING_CLIENT_TEMPLATE.FAT&amp;display_string=Audit&amp;VAR:KEY=LSZKJERINY&amp;VAR:QUERY=RkZfRUJJVERBX09QRVIoUVRSLDQvMS8yMDA5LDYvMzAvMjAwOSwsLFVTRCk=&amp;WINDOW=FIRST_POPUP&amp;HEIGH","T=450&amp;WIDTH=450&amp;START_MAXIMIZED=FALSE&amp;VAR:CALENDAR=US&amp;VAR:SYMBOL=MET&amp;VAR:INDEX=0"}</definedName>
    <definedName name="_421__FDSAUDITLINK__" hidden="1">{"fdsup://directions/FAT Viewer?action=UPDATE&amp;creator=factset&amp;DYN_ARGS=TRUE&amp;DOC_NAME=FAT:FQL_AUDITING_CLIENT_TEMPLATE.FAT&amp;display_string=Audit&amp;VAR:KEY=LSZKJERINY&amp;VAR:QUERY=RkZfRUJJVERBX09QRVIoUVRSLDQvMS8yMDA5LDYvMzAvMjAwOSwsLFVTRCk=&amp;WINDOW=FIRST_POPUP&amp;HEIGH","T=450&amp;WIDTH=450&amp;START_MAXIMIZED=FALSE&amp;VAR:CALENDAR=US&amp;VAR:SYMBOL=MET&amp;VAR:INDEX=0"}</definedName>
    <definedName name="_422__FDSAUDITLINK__" localSheetId="1" hidden="1">{"fdsup://directions/FAT Viewer?action=UPDATE&amp;creator=factset&amp;DYN_ARGS=TRUE&amp;DOC_NAME=FAT:FQL_AUDITING_CLIENT_TEMPLATE.FAT&amp;display_string=Audit&amp;VAR:KEY=DKPIVKTSFC&amp;VAR:QUERY=RkZfRUJJVERBX09QRVIoUVRSLDQvMS8yMDEwLDYvMzAvMjAxMCwsLFVTRCk=&amp;WINDOW=FIRST_POPUP&amp;HEIGH","T=450&amp;WIDTH=450&amp;START_MAXIMIZED=FALSE&amp;VAR:CALENDAR=US&amp;VAR:SYMBOL=MET&amp;VAR:INDEX=0"}</definedName>
    <definedName name="_422__FDSAUDITLINK__" hidden="1">{"fdsup://directions/FAT Viewer?action=UPDATE&amp;creator=factset&amp;DYN_ARGS=TRUE&amp;DOC_NAME=FAT:FQL_AUDITING_CLIENT_TEMPLATE.FAT&amp;display_string=Audit&amp;VAR:KEY=DKPIVKTSFC&amp;VAR:QUERY=RkZfRUJJVERBX09QRVIoUVRSLDQvMS8yMDEwLDYvMzAvMjAxMCwsLFVTRCk=&amp;WINDOW=FIRST_POPUP&amp;HEIGH","T=450&amp;WIDTH=450&amp;START_MAXIMIZED=FALSE&amp;VAR:CALENDAR=US&amp;VAR:SYMBOL=MET&amp;VAR:INDEX=0"}</definedName>
    <definedName name="_423__FDSAUDITLINK__" localSheetId="1" hidden="1">{"fdsup://directions/FAT Viewer?action=UPDATE&amp;creator=factset&amp;DYN_ARGS=TRUE&amp;DOC_NAME=FAT:FQL_AUDITING_CLIENT_TEMPLATE.FAT&amp;display_string=Audit&amp;VAR:KEY=LQFOXUBEZE&amp;VAR:QUERY=RkZfRUJJVERBX09QRVIoUVRSLDQvMS8yMDA5LDYvMzAvMjAwOSwsLFVTRCk=&amp;WINDOW=FIRST_POPUP&amp;HEIGH","T=450&amp;WIDTH=450&amp;START_MAXIMIZED=FALSE&amp;VAR:CALENDAR=US&amp;VAR:SYMBOL=MEE&amp;VAR:INDEX=0"}</definedName>
    <definedName name="_423__FDSAUDITLINK__" hidden="1">{"fdsup://directions/FAT Viewer?action=UPDATE&amp;creator=factset&amp;DYN_ARGS=TRUE&amp;DOC_NAME=FAT:FQL_AUDITING_CLIENT_TEMPLATE.FAT&amp;display_string=Audit&amp;VAR:KEY=LQFOXUBEZE&amp;VAR:QUERY=RkZfRUJJVERBX09QRVIoUVRSLDQvMS8yMDA5LDYvMzAvMjAwOSwsLFVTRCk=&amp;WINDOW=FIRST_POPUP&amp;HEIGH","T=450&amp;WIDTH=450&amp;START_MAXIMIZED=FALSE&amp;VAR:CALENDAR=US&amp;VAR:SYMBOL=MEE&amp;VAR:INDEX=0"}</definedName>
    <definedName name="_424__FDSAUDITLINK__" localSheetId="1" hidden="1">{"fdsup://directions/FAT Viewer?action=UPDATE&amp;creator=factset&amp;DYN_ARGS=TRUE&amp;DOC_NAME=FAT:FQL_AUDITING_CLIENT_TEMPLATE.FAT&amp;display_string=Audit&amp;VAR:KEY=DAHCTYRKNI&amp;VAR:QUERY=RkZfRUJJVERBX09QRVIoUVRSLDQvMS8yMDEwLDYvMzAvMjAxMCwsLFVTRCk=&amp;WINDOW=FIRST_POPUP&amp;HEIGH","T=450&amp;WIDTH=450&amp;START_MAXIMIZED=FALSE&amp;VAR:CALENDAR=US&amp;VAR:SYMBOL=MEE&amp;VAR:INDEX=0"}</definedName>
    <definedName name="_424__FDSAUDITLINK__" hidden="1">{"fdsup://directions/FAT Viewer?action=UPDATE&amp;creator=factset&amp;DYN_ARGS=TRUE&amp;DOC_NAME=FAT:FQL_AUDITING_CLIENT_TEMPLATE.FAT&amp;display_string=Audit&amp;VAR:KEY=DAHCTYRKNI&amp;VAR:QUERY=RkZfRUJJVERBX09QRVIoUVRSLDQvMS8yMDEwLDYvMzAvMjAxMCwsLFVTRCk=&amp;WINDOW=FIRST_POPUP&amp;HEIGH","T=450&amp;WIDTH=450&amp;START_MAXIMIZED=FALSE&amp;VAR:CALENDAR=US&amp;VAR:SYMBOL=MEE&amp;VAR:INDEX=0"}</definedName>
    <definedName name="_425__FDSAUDITLINK__" localSheetId="1" hidden="1">{"fdsup://directions/FAT Viewer?action=UPDATE&amp;creator=factset&amp;DYN_ARGS=TRUE&amp;DOC_NAME=FAT:FQL_AUDITING_CLIENT_TEMPLATE.FAT&amp;display_string=Audit&amp;VAR:KEY=NKVQFENSTE&amp;VAR:QUERY=RkZfRUJJVERBX09QRVIoUVRSLDQvMS8yMDA5LDYvMzAvMjAwOSwsLFVTRCk=&amp;WINDOW=FIRST_POPUP&amp;HEIGH","T=450&amp;WIDTH=450&amp;START_MAXIMIZED=FALSE&amp;VAR:CALENDAR=US&amp;VAR:SYMBOL=MDT&amp;VAR:INDEX=0"}</definedName>
    <definedName name="_425__FDSAUDITLINK__" hidden="1">{"fdsup://directions/FAT Viewer?action=UPDATE&amp;creator=factset&amp;DYN_ARGS=TRUE&amp;DOC_NAME=FAT:FQL_AUDITING_CLIENT_TEMPLATE.FAT&amp;display_string=Audit&amp;VAR:KEY=NKVQFENSTE&amp;VAR:QUERY=RkZfRUJJVERBX09QRVIoUVRSLDQvMS8yMDA5LDYvMzAvMjAwOSwsLFVTRCk=&amp;WINDOW=FIRST_POPUP&amp;HEIGH","T=450&amp;WIDTH=450&amp;START_MAXIMIZED=FALSE&amp;VAR:CALENDAR=US&amp;VAR:SYMBOL=MDT&amp;VAR:INDEX=0"}</definedName>
    <definedName name="_426__FDSAUDITLINK__" localSheetId="1" hidden="1">{"fdsup://directions/FAT Viewer?action=UPDATE&amp;creator=factset&amp;DYN_ARGS=TRUE&amp;DOC_NAME=FAT:FQL_AUDITING_CLIENT_TEMPLATE.FAT&amp;display_string=Audit&amp;VAR:KEY=FWPIVWJOLU&amp;VAR:QUERY=RkZfRUJJVERBX09QRVIoUVRSLDQvMS8yMDEwLDYvMzAvMjAxMCwsLFVTRCk=&amp;WINDOW=FIRST_POPUP&amp;HEIGH","T=450&amp;WIDTH=450&amp;START_MAXIMIZED=FALSE&amp;VAR:CALENDAR=US&amp;VAR:SYMBOL=MDT&amp;VAR:INDEX=0"}</definedName>
    <definedName name="_426__FDSAUDITLINK__" hidden="1">{"fdsup://directions/FAT Viewer?action=UPDATE&amp;creator=factset&amp;DYN_ARGS=TRUE&amp;DOC_NAME=FAT:FQL_AUDITING_CLIENT_TEMPLATE.FAT&amp;display_string=Audit&amp;VAR:KEY=FWPIVWJOLU&amp;VAR:QUERY=RkZfRUJJVERBX09QRVIoUVRSLDQvMS8yMDEwLDYvMzAvMjAxMCwsLFVTRCk=&amp;WINDOW=FIRST_POPUP&amp;HEIGH","T=450&amp;WIDTH=450&amp;START_MAXIMIZED=FALSE&amp;VAR:CALENDAR=US&amp;VAR:SYMBOL=MDT&amp;VAR:INDEX=0"}</definedName>
    <definedName name="_427__FDSAUDITLINK__" localSheetId="1" hidden="1">{"fdsup://directions/FAT Viewer?action=UPDATE&amp;creator=factset&amp;DYN_ARGS=TRUE&amp;DOC_NAME=FAT:FQL_AUDITING_CLIENT_TEMPLATE.FAT&amp;display_string=Audit&amp;VAR:KEY=PKPYZOHGLS&amp;VAR:QUERY=RkZfRUJJVERBX09QRVIoUVRSLDQvMS8yMDA5LDYvMzAvMjAwOSwsLFVTRCk=&amp;WINDOW=FIRST_POPUP&amp;HEIGH","T=450&amp;WIDTH=450&amp;START_MAXIMIZED=FALSE&amp;VAR:CALENDAR=US&amp;VAR:SYMBOL=MDP&amp;VAR:INDEX=0"}</definedName>
    <definedName name="_427__FDSAUDITLINK__" hidden="1">{"fdsup://directions/FAT Viewer?action=UPDATE&amp;creator=factset&amp;DYN_ARGS=TRUE&amp;DOC_NAME=FAT:FQL_AUDITING_CLIENT_TEMPLATE.FAT&amp;display_string=Audit&amp;VAR:KEY=PKPYZOHGLS&amp;VAR:QUERY=RkZfRUJJVERBX09QRVIoUVRSLDQvMS8yMDA5LDYvMzAvMjAwOSwsLFVTRCk=&amp;WINDOW=FIRST_POPUP&amp;HEIGH","T=450&amp;WIDTH=450&amp;START_MAXIMIZED=FALSE&amp;VAR:CALENDAR=US&amp;VAR:SYMBOL=MDP&amp;VAR:INDEX=0"}</definedName>
    <definedName name="_428__FDSAUDITLINK__" localSheetId="1" hidden="1">{"fdsup://directions/FAT Viewer?action=UPDATE&amp;creator=factset&amp;DYN_ARGS=TRUE&amp;DOC_NAME=FAT:FQL_AUDITING_CLIENT_TEMPLATE.FAT&amp;display_string=Audit&amp;VAR:KEY=RSBGVIRGLW&amp;VAR:QUERY=RkZfRUJJVERBX09QRVIoUVRSLDQvMS8yMDEwLDYvMzAvMjAxMCwsLFVTRCk=&amp;WINDOW=FIRST_POPUP&amp;HEIGH","T=450&amp;WIDTH=450&amp;START_MAXIMIZED=FALSE&amp;VAR:CALENDAR=US&amp;VAR:SYMBOL=MDP&amp;VAR:INDEX=0"}</definedName>
    <definedName name="_428__FDSAUDITLINK__" hidden="1">{"fdsup://directions/FAT Viewer?action=UPDATE&amp;creator=factset&amp;DYN_ARGS=TRUE&amp;DOC_NAME=FAT:FQL_AUDITING_CLIENT_TEMPLATE.FAT&amp;display_string=Audit&amp;VAR:KEY=RSBGVIRGLW&amp;VAR:QUERY=RkZfRUJJVERBX09QRVIoUVRSLDQvMS8yMDEwLDYvMzAvMjAxMCwsLFVTRCk=&amp;WINDOW=FIRST_POPUP&amp;HEIGH","T=450&amp;WIDTH=450&amp;START_MAXIMIZED=FALSE&amp;VAR:CALENDAR=US&amp;VAR:SYMBOL=MDP&amp;VAR:INDEX=0"}</definedName>
    <definedName name="_429__FDSAUDITLINK__" localSheetId="1" hidden="1">{"fdsup://directions/FAT Viewer?action=UPDATE&amp;creator=factset&amp;DYN_ARGS=TRUE&amp;DOC_NAME=FAT:FQL_AUDITING_CLIENT_TEMPLATE.FAT&amp;display_string=Audit&amp;VAR:KEY=LCXAZWNAZC&amp;VAR:QUERY=RkZfRUJJVERBX09QRVIoUVRSLDQvMS8yMDA5LDYvMzAvMjAwOSwsLFVTRCk=&amp;WINDOW=FIRST_POPUP&amp;HEIGH","T=450&amp;WIDTH=450&amp;START_MAXIMIZED=FALSE&amp;VAR:CALENDAR=US&amp;VAR:SYMBOL=MCO&amp;VAR:INDEX=0"}</definedName>
    <definedName name="_429__FDSAUDITLINK__" hidden="1">{"fdsup://directions/FAT Viewer?action=UPDATE&amp;creator=factset&amp;DYN_ARGS=TRUE&amp;DOC_NAME=FAT:FQL_AUDITING_CLIENT_TEMPLATE.FAT&amp;display_string=Audit&amp;VAR:KEY=LCXAZWNAZC&amp;VAR:QUERY=RkZfRUJJVERBX09QRVIoUVRSLDQvMS8yMDA5LDYvMzAvMjAwOSwsLFVTRCk=&amp;WINDOW=FIRST_POPUP&amp;HEIGH","T=450&amp;WIDTH=450&amp;START_MAXIMIZED=FALSE&amp;VAR:CALENDAR=US&amp;VAR:SYMBOL=MCO&amp;VAR:INDEX=0"}</definedName>
    <definedName name="_43__FDSAUDITLINK__" localSheetId="1" hidden="1">{"fdsup://directions/FAT Viewer?action=UPDATE&amp;creator=factset&amp;DYN_ARGS=TRUE&amp;DOC_NAME=FAT:FQL_AUDITING_CLIENT_TEMPLATE.FAT&amp;display_string=Audit&amp;VAR:KEY=VCXYZANGDM&amp;VAR:QUERY=RkZfRUJJVERBX09QRVIoUVRSLDQvMS8yMDA5LDYvMzAvMjAwOSwsLFVTRCk=&amp;WINDOW=FIRST_POPUP&amp;HEIGH","T=450&amp;WIDTH=450&amp;START_MAXIMIZED=FALSE&amp;VAR:CALENDAR=US&amp;VAR:SYMBOL=WIN&amp;VAR:INDEX=0"}</definedName>
    <definedName name="_43__FDSAUDITLINK__" hidden="1">{"fdsup://directions/FAT Viewer?action=UPDATE&amp;creator=factset&amp;DYN_ARGS=TRUE&amp;DOC_NAME=FAT:FQL_AUDITING_CLIENT_TEMPLATE.FAT&amp;display_string=Audit&amp;VAR:KEY=VCXYZANGDM&amp;VAR:QUERY=RkZfRUJJVERBX09QRVIoUVRSLDQvMS8yMDA5LDYvMzAvMjAwOSwsLFVTRCk=&amp;WINDOW=FIRST_POPUP&amp;HEIGH","T=450&amp;WIDTH=450&amp;START_MAXIMIZED=FALSE&amp;VAR:CALENDAR=US&amp;VAR:SYMBOL=WIN&amp;VAR:INDEX=0"}</definedName>
    <definedName name="_430__FDSAUDITLINK__" localSheetId="1" hidden="1">{"fdsup://directions/FAT Viewer?action=UPDATE&amp;creator=factset&amp;DYN_ARGS=TRUE&amp;DOC_NAME=FAT:FQL_AUDITING_CLIENT_TEMPLATE.FAT&amp;display_string=Audit&amp;VAR:KEY=RODMBCZOXU&amp;VAR:QUERY=RkZfRUJJVERBX09QRVIoUVRSLDQvMS8yMDEwLDYvMzAvMjAxMCwsLFVTRCk=&amp;WINDOW=FIRST_POPUP&amp;HEIGH","T=450&amp;WIDTH=450&amp;START_MAXIMIZED=FALSE&amp;VAR:CALENDAR=US&amp;VAR:SYMBOL=MCO&amp;VAR:INDEX=0"}</definedName>
    <definedName name="_430__FDSAUDITLINK__" hidden="1">{"fdsup://directions/FAT Viewer?action=UPDATE&amp;creator=factset&amp;DYN_ARGS=TRUE&amp;DOC_NAME=FAT:FQL_AUDITING_CLIENT_TEMPLATE.FAT&amp;display_string=Audit&amp;VAR:KEY=RODMBCZOXU&amp;VAR:QUERY=RkZfRUJJVERBX09QRVIoUVRSLDQvMS8yMDEwLDYvMzAvMjAxMCwsLFVTRCk=&amp;WINDOW=FIRST_POPUP&amp;HEIGH","T=450&amp;WIDTH=450&amp;START_MAXIMIZED=FALSE&amp;VAR:CALENDAR=US&amp;VAR:SYMBOL=MCO&amp;VAR:INDEX=0"}</definedName>
    <definedName name="_431__FDSAUDITLINK__" localSheetId="1" hidden="1">{"fdsup://directions/FAT Viewer?action=UPDATE&amp;creator=factset&amp;DYN_ARGS=TRUE&amp;DOC_NAME=FAT:FQL_AUDITING_CLIENT_TEMPLATE.FAT&amp;display_string=Audit&amp;VAR:KEY=TQZWDKBQXS&amp;VAR:QUERY=RkZfRUJJVERBX09QRVIoUVRSLDQvMS8yMDA5LDYvMzAvMjAwOSwsLFVTRCk=&amp;WINDOW=FIRST_POPUP&amp;HEIGH","T=450&amp;WIDTH=450&amp;START_MAXIMIZED=FALSE&amp;VAR:CALENDAR=US&amp;VAR:SYMBOL=MCK&amp;VAR:INDEX=0"}</definedName>
    <definedName name="_431__FDSAUDITLINK__" hidden="1">{"fdsup://directions/FAT Viewer?action=UPDATE&amp;creator=factset&amp;DYN_ARGS=TRUE&amp;DOC_NAME=FAT:FQL_AUDITING_CLIENT_TEMPLATE.FAT&amp;display_string=Audit&amp;VAR:KEY=TQZWDKBQXS&amp;VAR:QUERY=RkZfRUJJVERBX09QRVIoUVRSLDQvMS8yMDA5LDYvMzAvMjAwOSwsLFVTRCk=&amp;WINDOW=FIRST_POPUP&amp;HEIGH","T=450&amp;WIDTH=450&amp;START_MAXIMIZED=FALSE&amp;VAR:CALENDAR=US&amp;VAR:SYMBOL=MCK&amp;VAR:INDEX=0"}</definedName>
    <definedName name="_432__FDSAUDITLINK__" localSheetId="1" hidden="1">{"fdsup://directions/FAT Viewer?action=UPDATE&amp;creator=factset&amp;DYN_ARGS=TRUE&amp;DOC_NAME=FAT:FQL_AUDITING_CLIENT_TEMPLATE.FAT&amp;display_string=Audit&amp;VAR:KEY=ZAJOVMZSDG&amp;VAR:QUERY=RkZfRUJJVERBX09QRVIoUVRSLDQvMS8yMDEwLDYvMzAvMjAxMCwsLFVTRCk=&amp;WINDOW=FIRST_POPUP&amp;HEIGH","T=450&amp;WIDTH=450&amp;START_MAXIMIZED=FALSE&amp;VAR:CALENDAR=US&amp;VAR:SYMBOL=MCK&amp;VAR:INDEX=0"}</definedName>
    <definedName name="_432__FDSAUDITLINK__" hidden="1">{"fdsup://directions/FAT Viewer?action=UPDATE&amp;creator=factset&amp;DYN_ARGS=TRUE&amp;DOC_NAME=FAT:FQL_AUDITING_CLIENT_TEMPLATE.FAT&amp;display_string=Audit&amp;VAR:KEY=ZAJOVMZSDG&amp;VAR:QUERY=RkZfRUJJVERBX09QRVIoUVRSLDQvMS8yMDEwLDYvMzAvMjAxMCwsLFVTRCk=&amp;WINDOW=FIRST_POPUP&amp;HEIGH","T=450&amp;WIDTH=450&amp;START_MAXIMIZED=FALSE&amp;VAR:CALENDAR=US&amp;VAR:SYMBOL=MCK&amp;VAR:INDEX=0"}</definedName>
    <definedName name="_433__FDSAUDITLINK__" localSheetId="1" hidden="1">{"fdsup://directions/FAT Viewer?action=UPDATE&amp;creator=factset&amp;DYN_ARGS=TRUE&amp;DOC_NAME=FAT:FQL_AUDITING_CLIENT_TEMPLATE.FAT&amp;display_string=Audit&amp;VAR:KEY=VSPITCVUJA&amp;VAR:QUERY=RkZfRUJJVERBX09QRVIoUVRSLDQvMS8yMDA5LDYvMzAvMjAwOSwsLFVTRCk=&amp;WINDOW=FIRST_POPUP&amp;HEIGH","T=450&amp;WIDTH=450&amp;START_MAXIMIZED=FALSE&amp;VAR:CALENDAR=US&amp;VAR:SYMBOL=MCHP&amp;VAR:INDEX=0"}</definedName>
    <definedName name="_433__FDSAUDITLINK__" hidden="1">{"fdsup://directions/FAT Viewer?action=UPDATE&amp;creator=factset&amp;DYN_ARGS=TRUE&amp;DOC_NAME=FAT:FQL_AUDITING_CLIENT_TEMPLATE.FAT&amp;display_string=Audit&amp;VAR:KEY=VSPITCVUJA&amp;VAR:QUERY=RkZfRUJJVERBX09QRVIoUVRSLDQvMS8yMDA5LDYvMzAvMjAwOSwsLFVTRCk=&amp;WINDOW=FIRST_POPUP&amp;HEIGH","T=450&amp;WIDTH=450&amp;START_MAXIMIZED=FALSE&amp;VAR:CALENDAR=US&amp;VAR:SYMBOL=MCHP&amp;VAR:INDEX=0"}</definedName>
    <definedName name="_434__FDSAUDITLINK__" localSheetId="1" hidden="1">{"fdsup://directions/FAT Viewer?action=UPDATE&amp;creator=factset&amp;DYN_ARGS=TRUE&amp;DOC_NAME=FAT:FQL_AUDITING_CLIENT_TEMPLATE.FAT&amp;display_string=Audit&amp;VAR:KEY=VCDUFULCVS&amp;VAR:QUERY=RkZfRUJJVERBX09QRVIoUVRSLDQvMS8yMDEwLDYvMzAvMjAxMCwsLFVTRCk=&amp;WINDOW=FIRST_POPUP&amp;HEIGH","T=450&amp;WIDTH=450&amp;START_MAXIMIZED=FALSE&amp;VAR:CALENDAR=US&amp;VAR:SYMBOL=MCHP&amp;VAR:INDEX=0"}</definedName>
    <definedName name="_434__FDSAUDITLINK__" hidden="1">{"fdsup://directions/FAT Viewer?action=UPDATE&amp;creator=factset&amp;DYN_ARGS=TRUE&amp;DOC_NAME=FAT:FQL_AUDITING_CLIENT_TEMPLATE.FAT&amp;display_string=Audit&amp;VAR:KEY=VCDUFULCVS&amp;VAR:QUERY=RkZfRUJJVERBX09QRVIoUVRSLDQvMS8yMDEwLDYvMzAvMjAxMCwsLFVTRCk=&amp;WINDOW=FIRST_POPUP&amp;HEIGH","T=450&amp;WIDTH=450&amp;START_MAXIMIZED=FALSE&amp;VAR:CALENDAR=US&amp;VAR:SYMBOL=MCHP&amp;VAR:INDEX=0"}</definedName>
    <definedName name="_435__FDSAUDITLINK__" localSheetId="1" hidden="1">{"fdsup://directions/FAT Viewer?action=UPDATE&amp;creator=factset&amp;DYN_ARGS=TRUE&amp;DOC_NAME=FAT:FQL_AUDITING_CLIENT_TEMPLATE.FAT&amp;display_string=Audit&amp;VAR:KEY=RWJIDSRQDK&amp;VAR:QUERY=RkZfRUJJVERBX09QRVIoUVRSLDQvMS8yMDA5LDYvMzAvMjAwOSwsLFVTRCk=&amp;WINDOW=FIRST_POPUP&amp;HEIGH","T=450&amp;WIDTH=450&amp;START_MAXIMIZED=FALSE&amp;VAR:CALENDAR=US&amp;VAR:SYMBOL=MCD&amp;VAR:INDEX=0"}</definedName>
    <definedName name="_435__FDSAUDITLINK__" hidden="1">{"fdsup://directions/FAT Viewer?action=UPDATE&amp;creator=factset&amp;DYN_ARGS=TRUE&amp;DOC_NAME=FAT:FQL_AUDITING_CLIENT_TEMPLATE.FAT&amp;display_string=Audit&amp;VAR:KEY=RWJIDSRQDK&amp;VAR:QUERY=RkZfRUJJVERBX09QRVIoUVRSLDQvMS8yMDA5LDYvMzAvMjAwOSwsLFVTRCk=&amp;WINDOW=FIRST_POPUP&amp;HEIGH","T=450&amp;WIDTH=450&amp;START_MAXIMIZED=FALSE&amp;VAR:CALENDAR=US&amp;VAR:SYMBOL=MCD&amp;VAR:INDEX=0"}</definedName>
    <definedName name="_436__FDSAUDITLINK__" localSheetId="1" hidden="1">{"fdsup://directions/FAT Viewer?action=UPDATE&amp;creator=factset&amp;DYN_ARGS=TRUE&amp;DOC_NAME=FAT:FQL_AUDITING_CLIENT_TEMPLATE.FAT&amp;display_string=Audit&amp;VAR:KEY=ZCZEVIZQLU&amp;VAR:QUERY=RkZfRUJJVERBX09QRVIoUVRSLDQvMS8yMDEwLDYvMzAvMjAxMCwsLFVTRCk=&amp;WINDOW=FIRST_POPUP&amp;HEIGH","T=450&amp;WIDTH=450&amp;START_MAXIMIZED=FALSE&amp;VAR:CALENDAR=US&amp;VAR:SYMBOL=MCD&amp;VAR:INDEX=0"}</definedName>
    <definedName name="_436__FDSAUDITLINK__" hidden="1">{"fdsup://directions/FAT Viewer?action=UPDATE&amp;creator=factset&amp;DYN_ARGS=TRUE&amp;DOC_NAME=FAT:FQL_AUDITING_CLIENT_TEMPLATE.FAT&amp;display_string=Audit&amp;VAR:KEY=ZCZEVIZQLU&amp;VAR:QUERY=RkZfRUJJVERBX09QRVIoUVRSLDQvMS8yMDEwLDYvMzAvMjAxMCwsLFVTRCk=&amp;WINDOW=FIRST_POPUP&amp;HEIGH","T=450&amp;WIDTH=450&amp;START_MAXIMIZED=FALSE&amp;VAR:CALENDAR=US&amp;VAR:SYMBOL=MCD&amp;VAR:INDEX=0"}</definedName>
    <definedName name="_437__FDSAUDITLINK__" localSheetId="1" hidden="1">{"fdsup://directions/FAT Viewer?action=UPDATE&amp;creator=factset&amp;DYN_ARGS=TRUE&amp;DOC_NAME=FAT:FQL_AUDITING_CLIENT_TEMPLATE.FAT&amp;display_string=Audit&amp;VAR:KEY=VONYXKJERI&amp;VAR:QUERY=RkZfRUJJVERBX09QRVIoUVRSLDQvMS8yMDA5LDYvMzAvMjAwOSwsLFVTRCk=&amp;WINDOW=FIRST_POPUP&amp;HEIGH","T=450&amp;WIDTH=450&amp;START_MAXIMIZED=FALSE&amp;VAR:CALENDAR=US&amp;VAR:SYMBOL=MAT&amp;VAR:INDEX=0"}</definedName>
    <definedName name="_437__FDSAUDITLINK__" hidden="1">{"fdsup://directions/FAT Viewer?action=UPDATE&amp;creator=factset&amp;DYN_ARGS=TRUE&amp;DOC_NAME=FAT:FQL_AUDITING_CLIENT_TEMPLATE.FAT&amp;display_string=Audit&amp;VAR:KEY=VONYXKJERI&amp;VAR:QUERY=RkZfRUJJVERBX09QRVIoUVRSLDQvMS8yMDA5LDYvMzAvMjAwOSwsLFVTRCk=&amp;WINDOW=FIRST_POPUP&amp;HEIGH","T=450&amp;WIDTH=450&amp;START_MAXIMIZED=FALSE&amp;VAR:CALENDAR=US&amp;VAR:SYMBOL=MAT&amp;VAR:INDEX=0"}</definedName>
    <definedName name="_438__FDSAUDITLINK__" localSheetId="1" hidden="1">{"fdsup://directions/FAT Viewer?action=UPDATE&amp;creator=factset&amp;DYN_ARGS=TRUE&amp;DOC_NAME=FAT:FQL_AUDITING_CLIENT_TEMPLATE.FAT&amp;display_string=Audit&amp;VAR:KEY=VSXIZMROVQ&amp;VAR:QUERY=RkZfRUJJVERBX09QRVIoUVRSLDQvMS8yMDEwLDYvMzAvMjAxMCwsLFVTRCk=&amp;WINDOW=FIRST_POPUP&amp;HEIGH","T=450&amp;WIDTH=450&amp;START_MAXIMIZED=FALSE&amp;VAR:CALENDAR=US&amp;VAR:SYMBOL=MAT&amp;VAR:INDEX=0"}</definedName>
    <definedName name="_438__FDSAUDITLINK__" hidden="1">{"fdsup://directions/FAT Viewer?action=UPDATE&amp;creator=factset&amp;DYN_ARGS=TRUE&amp;DOC_NAME=FAT:FQL_AUDITING_CLIENT_TEMPLATE.FAT&amp;display_string=Audit&amp;VAR:KEY=VSXIZMROVQ&amp;VAR:QUERY=RkZfRUJJVERBX09QRVIoUVRSLDQvMS8yMDEwLDYvMzAvMjAxMCwsLFVTRCk=&amp;WINDOW=FIRST_POPUP&amp;HEIGH","T=450&amp;WIDTH=450&amp;START_MAXIMIZED=FALSE&amp;VAR:CALENDAR=US&amp;VAR:SYMBOL=MAT&amp;VAR:INDEX=0"}</definedName>
    <definedName name="_439__FDSAUDITLINK__" localSheetId="1" hidden="1">{"fdsup://directions/FAT Viewer?action=UPDATE&amp;creator=factset&amp;DYN_ARGS=TRUE&amp;DOC_NAME=FAT:FQL_AUDITING_CLIENT_TEMPLATE.FAT&amp;display_string=Audit&amp;VAR:KEY=XWXYFKPCBG&amp;VAR:QUERY=RkZfRUJJVERBX09QRVIoUVRSLDQvMS8yMDA5LDYvMzAvMjAwOSwsLFVTRCk=&amp;WINDOW=FIRST_POPUP&amp;HEIGH","T=450&amp;WIDTH=450&amp;START_MAXIMIZED=FALSE&amp;VAR:CALENDAR=US&amp;VAR:SYMBOL=MAS&amp;VAR:INDEX=0"}</definedName>
    <definedName name="_439__FDSAUDITLINK__" hidden="1">{"fdsup://directions/FAT Viewer?action=UPDATE&amp;creator=factset&amp;DYN_ARGS=TRUE&amp;DOC_NAME=FAT:FQL_AUDITING_CLIENT_TEMPLATE.FAT&amp;display_string=Audit&amp;VAR:KEY=XWXYFKPCBG&amp;VAR:QUERY=RkZfRUJJVERBX09QRVIoUVRSLDQvMS8yMDA5LDYvMzAvMjAwOSwsLFVTRCk=&amp;WINDOW=FIRST_POPUP&amp;HEIGH","T=450&amp;WIDTH=450&amp;START_MAXIMIZED=FALSE&amp;VAR:CALENDAR=US&amp;VAR:SYMBOL=MAS&amp;VAR:INDEX=0"}</definedName>
    <definedName name="_44__FDSAUDITLINK__" localSheetId="1" hidden="1">{"fdsup://directions/FAT Viewer?action=UPDATE&amp;creator=factset&amp;DYN_ARGS=TRUE&amp;DOC_NAME=FAT:FQL_AUDITING_CLIENT_TEMPLATE.FAT&amp;display_string=Audit&amp;VAR:KEY=NIVAPCZMDU&amp;VAR:QUERY=RkZfRUJJVERBX09QRVIoUVRSLDQvMS8yMDEwLDYvMzAvMjAxMCwsLFVTRCk=&amp;WINDOW=FIRST_POPUP&amp;HEIGH","T=450&amp;WIDTH=450&amp;START_MAXIMIZED=FALSE&amp;VAR:CALENDAR=US&amp;VAR:SYMBOL=WIN&amp;VAR:INDEX=0"}</definedName>
    <definedName name="_44__FDSAUDITLINK__" hidden="1">{"fdsup://directions/FAT Viewer?action=UPDATE&amp;creator=factset&amp;DYN_ARGS=TRUE&amp;DOC_NAME=FAT:FQL_AUDITING_CLIENT_TEMPLATE.FAT&amp;display_string=Audit&amp;VAR:KEY=NIVAPCZMDU&amp;VAR:QUERY=RkZfRUJJVERBX09QRVIoUVRSLDQvMS8yMDEwLDYvMzAvMjAxMCwsLFVTRCk=&amp;WINDOW=FIRST_POPUP&amp;HEIGH","T=450&amp;WIDTH=450&amp;START_MAXIMIZED=FALSE&amp;VAR:CALENDAR=US&amp;VAR:SYMBOL=WIN&amp;VAR:INDEX=0"}</definedName>
    <definedName name="_440__FDSAUDITLINK__" localSheetId="1" hidden="1">{"fdsup://directions/FAT Viewer?action=UPDATE&amp;creator=factset&amp;DYN_ARGS=TRUE&amp;DOC_NAME=FAT:FQL_AUDITING_CLIENT_TEMPLATE.FAT&amp;display_string=Audit&amp;VAR:KEY=BORCXKZINE&amp;VAR:QUERY=RkZfRUJJVERBX09QRVIoUVRSLDQvMS8yMDEwLDYvMzAvMjAxMCwsLFVTRCk=&amp;WINDOW=FIRST_POPUP&amp;HEIGH","T=450&amp;WIDTH=450&amp;START_MAXIMIZED=FALSE&amp;VAR:CALENDAR=US&amp;VAR:SYMBOL=MAS&amp;VAR:INDEX=0"}</definedName>
    <definedName name="_440__FDSAUDITLINK__" hidden="1">{"fdsup://directions/FAT Viewer?action=UPDATE&amp;creator=factset&amp;DYN_ARGS=TRUE&amp;DOC_NAME=FAT:FQL_AUDITING_CLIENT_TEMPLATE.FAT&amp;display_string=Audit&amp;VAR:KEY=BORCXKZINE&amp;VAR:QUERY=RkZfRUJJVERBX09QRVIoUVRSLDQvMS8yMDEwLDYvMzAvMjAxMCwsLFVTRCk=&amp;WINDOW=FIRST_POPUP&amp;HEIGH","T=450&amp;WIDTH=450&amp;START_MAXIMIZED=FALSE&amp;VAR:CALENDAR=US&amp;VAR:SYMBOL=MAS&amp;VAR:INDEX=0"}</definedName>
    <definedName name="_441__FDSAUDITLINK__" localSheetId="1" hidden="1">{"fdsup://directions/FAT Viewer?action=UPDATE&amp;creator=factset&amp;DYN_ARGS=TRUE&amp;DOC_NAME=FAT:FQL_AUDITING_CLIENT_TEMPLATE.FAT&amp;display_string=Audit&amp;VAR:KEY=XETCZUHSDQ&amp;VAR:QUERY=RkZfRUJJVERBX09QRVIoUVRSLDQvMS8yMDA5LDYvMzAvMjAwOSwsLFVTRCk=&amp;WINDOW=FIRST_POPUP&amp;HEIGH","T=450&amp;WIDTH=450&amp;START_MAXIMIZED=FALSE&amp;VAR:CALENDAR=US&amp;VAR:SYMBOL=MAR&amp;VAR:INDEX=0"}</definedName>
    <definedName name="_441__FDSAUDITLINK__" hidden="1">{"fdsup://directions/FAT Viewer?action=UPDATE&amp;creator=factset&amp;DYN_ARGS=TRUE&amp;DOC_NAME=FAT:FQL_AUDITING_CLIENT_TEMPLATE.FAT&amp;display_string=Audit&amp;VAR:KEY=XETCZUHSDQ&amp;VAR:QUERY=RkZfRUJJVERBX09QRVIoUVRSLDQvMS8yMDA5LDYvMzAvMjAwOSwsLFVTRCk=&amp;WINDOW=FIRST_POPUP&amp;HEIGH","T=450&amp;WIDTH=450&amp;START_MAXIMIZED=FALSE&amp;VAR:CALENDAR=US&amp;VAR:SYMBOL=MAR&amp;VAR:INDEX=0"}</definedName>
    <definedName name="_442__FDSAUDITLINK__" localSheetId="1" hidden="1">{"fdsup://directions/FAT Viewer?action=UPDATE&amp;creator=factset&amp;DYN_ARGS=TRUE&amp;DOC_NAME=FAT:FQL_AUDITING_CLIENT_TEMPLATE.FAT&amp;display_string=Audit&amp;VAR:KEY=LYRWJWZSZO&amp;VAR:QUERY=RkZfRUJJVERBX09QRVIoUVRSLDQvMS8yMDEwLDYvMzAvMjAxMCwsLFVTRCk=&amp;WINDOW=FIRST_POPUP&amp;HEIGH","T=450&amp;WIDTH=450&amp;START_MAXIMIZED=FALSE&amp;VAR:CALENDAR=US&amp;VAR:SYMBOL=MAR&amp;VAR:INDEX=0"}</definedName>
    <definedName name="_442__FDSAUDITLINK__" hidden="1">{"fdsup://directions/FAT Viewer?action=UPDATE&amp;creator=factset&amp;DYN_ARGS=TRUE&amp;DOC_NAME=FAT:FQL_AUDITING_CLIENT_TEMPLATE.FAT&amp;display_string=Audit&amp;VAR:KEY=LYRWJWZSZO&amp;VAR:QUERY=RkZfRUJJVERBX09QRVIoUVRSLDQvMS8yMDEwLDYvMzAvMjAxMCwsLFVTRCk=&amp;WINDOW=FIRST_POPUP&amp;HEIGH","T=450&amp;WIDTH=450&amp;START_MAXIMIZED=FALSE&amp;VAR:CALENDAR=US&amp;VAR:SYMBOL=MAR&amp;VAR:INDEX=0"}</definedName>
    <definedName name="_443__FDSAUDITLINK__" localSheetId="1" hidden="1">{"fdsup://directions/FAT Viewer?action=UPDATE&amp;creator=factset&amp;DYN_ARGS=TRUE&amp;DOC_NAME=FAT:FQL_AUDITING_CLIENT_TEMPLATE.FAT&amp;display_string=Audit&amp;VAR:KEY=PWZQZCXENU&amp;VAR:QUERY=RkZfRUJJVERBX09QRVIoUVRSLDQvMS8yMDA5LDYvMzAvMjAwOSwsLFVTRCk=&amp;WINDOW=FIRST_POPUP&amp;HEIGH","T=450&amp;WIDTH=450&amp;START_MAXIMIZED=FALSE&amp;VAR:CALENDAR=US&amp;VAR:SYMBOL=MA&amp;VAR:INDEX=0"}</definedName>
    <definedName name="_443__FDSAUDITLINK__" hidden="1">{"fdsup://directions/FAT Viewer?action=UPDATE&amp;creator=factset&amp;DYN_ARGS=TRUE&amp;DOC_NAME=FAT:FQL_AUDITING_CLIENT_TEMPLATE.FAT&amp;display_string=Audit&amp;VAR:KEY=PWZQZCXENU&amp;VAR:QUERY=RkZfRUJJVERBX09QRVIoUVRSLDQvMS8yMDA5LDYvMzAvMjAwOSwsLFVTRCk=&amp;WINDOW=FIRST_POPUP&amp;HEIGH","T=450&amp;WIDTH=450&amp;START_MAXIMIZED=FALSE&amp;VAR:CALENDAR=US&amp;VAR:SYMBOL=MA&amp;VAR:INDEX=0"}</definedName>
    <definedName name="_444__FDSAUDITLINK__" localSheetId="1" hidden="1">{"fdsup://directions/FAT Viewer?action=UPDATE&amp;creator=factset&amp;DYN_ARGS=TRUE&amp;DOC_NAME=FAT:FQL_AUDITING_CLIENT_TEMPLATE.FAT&amp;display_string=Audit&amp;VAR:KEY=RQPWNAHSRG&amp;VAR:QUERY=RkZfRUJJVERBX09QRVIoUVRSLDQvMS8yMDEwLDYvMzAvMjAxMCwsLFVTRCk=&amp;WINDOW=FIRST_POPUP&amp;HEIGH","T=450&amp;WIDTH=450&amp;START_MAXIMIZED=FALSE&amp;VAR:CALENDAR=US&amp;VAR:SYMBOL=MA&amp;VAR:INDEX=0"}</definedName>
    <definedName name="_444__FDSAUDITLINK__" hidden="1">{"fdsup://directions/FAT Viewer?action=UPDATE&amp;creator=factset&amp;DYN_ARGS=TRUE&amp;DOC_NAME=FAT:FQL_AUDITING_CLIENT_TEMPLATE.FAT&amp;display_string=Audit&amp;VAR:KEY=RQPWNAHSRG&amp;VAR:QUERY=RkZfRUJJVERBX09QRVIoUVRSLDQvMS8yMDEwLDYvMzAvMjAxMCwsLFVTRCk=&amp;WINDOW=FIRST_POPUP&amp;HEIGH","T=450&amp;WIDTH=450&amp;START_MAXIMIZED=FALSE&amp;VAR:CALENDAR=US&amp;VAR:SYMBOL=MA&amp;VAR:INDEX=0"}</definedName>
    <definedName name="_445__FDSAUDITLINK__" localSheetId="1" hidden="1">{"fdsup://directions/FAT Viewer?action=UPDATE&amp;creator=factset&amp;DYN_ARGS=TRUE&amp;DOC_NAME=FAT:FQL_AUDITING_CLIENT_TEMPLATE.FAT&amp;display_string=Audit&amp;VAR:KEY=VKHIDSFCDM&amp;VAR:QUERY=RkZfRUJJVERBX09QRVIoUVRSLDQvMS8yMDA5LDYvMzAvMjAwOSwsLFVTRCk=&amp;WINDOW=FIRST_POPUP&amp;HEIGH","T=450&amp;WIDTH=450&amp;START_MAXIMIZED=FALSE&amp;VAR:CALENDAR=US&amp;VAR:SYMBOL=M&amp;VAR:INDEX=0"}</definedName>
    <definedName name="_445__FDSAUDITLINK__" hidden="1">{"fdsup://directions/FAT Viewer?action=UPDATE&amp;creator=factset&amp;DYN_ARGS=TRUE&amp;DOC_NAME=FAT:FQL_AUDITING_CLIENT_TEMPLATE.FAT&amp;display_string=Audit&amp;VAR:KEY=VKHIDSFCDM&amp;VAR:QUERY=RkZfRUJJVERBX09QRVIoUVRSLDQvMS8yMDA5LDYvMzAvMjAwOSwsLFVTRCk=&amp;WINDOW=FIRST_POPUP&amp;HEIGH","T=450&amp;WIDTH=450&amp;START_MAXIMIZED=FALSE&amp;VAR:CALENDAR=US&amp;VAR:SYMBOL=M&amp;VAR:INDEX=0"}</definedName>
    <definedName name="_446__FDSAUDITLINK__" localSheetId="1" hidden="1">{"fdsup://directions/FAT Viewer?action=UPDATE&amp;creator=factset&amp;DYN_ARGS=TRUE&amp;DOC_NAME=FAT:FQL_AUDITING_CLIENT_TEMPLATE.FAT&amp;display_string=Audit&amp;VAR:KEY=NOPCZALOJI&amp;VAR:QUERY=RkZfRUJJVERBX09QRVIoUVRSLDQvMS8yMDEwLDYvMzAvMjAxMCwsLFVTRCk=&amp;WINDOW=FIRST_POPUP&amp;HEIGH","T=450&amp;WIDTH=450&amp;START_MAXIMIZED=FALSE&amp;VAR:CALENDAR=US&amp;VAR:SYMBOL=M&amp;VAR:INDEX=0"}</definedName>
    <definedName name="_446__FDSAUDITLINK__" hidden="1">{"fdsup://directions/FAT Viewer?action=UPDATE&amp;creator=factset&amp;DYN_ARGS=TRUE&amp;DOC_NAME=FAT:FQL_AUDITING_CLIENT_TEMPLATE.FAT&amp;display_string=Audit&amp;VAR:KEY=NOPCZALOJI&amp;VAR:QUERY=RkZfRUJJVERBX09QRVIoUVRSLDQvMS8yMDEwLDYvMzAvMjAxMCwsLFVTRCk=&amp;WINDOW=FIRST_POPUP&amp;HEIGH","T=450&amp;WIDTH=450&amp;START_MAXIMIZED=FALSE&amp;VAR:CALENDAR=US&amp;VAR:SYMBOL=M&amp;VAR:INDEX=0"}</definedName>
    <definedName name="_447__FDSAUDITLINK__" localSheetId="1" hidden="1">{"fdsup://directions/FAT Viewer?action=UPDATE&amp;creator=factset&amp;DYN_ARGS=TRUE&amp;DOC_NAME=FAT:FQL_AUDITING_CLIENT_TEMPLATE.FAT&amp;display_string=Audit&amp;VAR:KEY=XAZQDMXENG&amp;VAR:QUERY=RkZfRUJJVERBX09QRVIoUVRSLDQvMS8yMDA5LDYvMzAvMjAwOSwsLFVTRCk=&amp;WINDOW=FIRST_POPUP&amp;HEIGH","T=450&amp;WIDTH=450&amp;START_MAXIMIZED=FALSE&amp;VAR:CALENDAR=US&amp;VAR:SYMBOL=LXK&amp;VAR:INDEX=0"}</definedName>
    <definedName name="_447__FDSAUDITLINK__" hidden="1">{"fdsup://directions/FAT Viewer?action=UPDATE&amp;creator=factset&amp;DYN_ARGS=TRUE&amp;DOC_NAME=FAT:FQL_AUDITING_CLIENT_TEMPLATE.FAT&amp;display_string=Audit&amp;VAR:KEY=XAZQDMXENG&amp;VAR:QUERY=RkZfRUJJVERBX09QRVIoUVRSLDQvMS8yMDA5LDYvMzAvMjAwOSwsLFVTRCk=&amp;WINDOW=FIRST_POPUP&amp;HEIGH","T=450&amp;WIDTH=450&amp;START_MAXIMIZED=FALSE&amp;VAR:CALENDAR=US&amp;VAR:SYMBOL=LXK&amp;VAR:INDEX=0"}</definedName>
    <definedName name="_448__FDSAUDITLINK__" localSheetId="1" hidden="1">{"fdsup://directions/FAT Viewer?action=UPDATE&amp;creator=factset&amp;DYN_ARGS=TRUE&amp;DOC_NAME=FAT:FQL_AUDITING_CLIENT_TEMPLATE.FAT&amp;display_string=Audit&amp;VAR:KEY=PKHMFUBWDK&amp;VAR:QUERY=RkZfRUJJVERBX09QRVIoUVRSLDQvMS8yMDEwLDYvMzAvMjAxMCwsLFVTRCk=&amp;WINDOW=FIRST_POPUP&amp;HEIGH","T=450&amp;WIDTH=450&amp;START_MAXIMIZED=FALSE&amp;VAR:CALENDAR=US&amp;VAR:SYMBOL=LXK&amp;VAR:INDEX=0"}</definedName>
    <definedName name="_448__FDSAUDITLINK__" hidden="1">{"fdsup://directions/FAT Viewer?action=UPDATE&amp;creator=factset&amp;DYN_ARGS=TRUE&amp;DOC_NAME=FAT:FQL_AUDITING_CLIENT_TEMPLATE.FAT&amp;display_string=Audit&amp;VAR:KEY=PKHMFUBWDK&amp;VAR:QUERY=RkZfRUJJVERBX09QRVIoUVRSLDQvMS8yMDEwLDYvMzAvMjAxMCwsLFVTRCk=&amp;WINDOW=FIRST_POPUP&amp;HEIGH","T=450&amp;WIDTH=450&amp;START_MAXIMIZED=FALSE&amp;VAR:CALENDAR=US&amp;VAR:SYMBOL=LXK&amp;VAR:INDEX=0"}</definedName>
    <definedName name="_449__FDSAUDITLINK__" localSheetId="1" hidden="1">{"fdsup://directions/FAT Viewer?action=UPDATE&amp;creator=factset&amp;DYN_ARGS=TRUE&amp;DOC_NAME=FAT:FQL_AUDITING_CLIENT_TEMPLATE.FAT&amp;display_string=Audit&amp;VAR:KEY=JEFIZQPMDE&amp;VAR:QUERY=RkZfRUJJVERBX09QRVIoUVRSLDQvMS8yMDA5LDYvMzAvMjAwOSwsLFVTRCk=&amp;WINDOW=FIRST_POPUP&amp;HEIGH","T=450&amp;WIDTH=450&amp;START_MAXIMIZED=FALSE&amp;VAR:CALENDAR=US&amp;VAR:SYMBOL=LUV&amp;VAR:INDEX=0"}</definedName>
    <definedName name="_449__FDSAUDITLINK__" hidden="1">{"fdsup://directions/FAT Viewer?action=UPDATE&amp;creator=factset&amp;DYN_ARGS=TRUE&amp;DOC_NAME=FAT:FQL_AUDITING_CLIENT_TEMPLATE.FAT&amp;display_string=Audit&amp;VAR:KEY=JEFIZQPMDE&amp;VAR:QUERY=RkZfRUJJVERBX09QRVIoUVRSLDQvMS8yMDA5LDYvMzAvMjAwOSwsLFVTRCk=&amp;WINDOW=FIRST_POPUP&amp;HEIGH","T=450&amp;WIDTH=450&amp;START_MAXIMIZED=FALSE&amp;VAR:CALENDAR=US&amp;VAR:SYMBOL=LUV&amp;VAR:INDEX=0"}</definedName>
    <definedName name="_45__FDSAUDITLINK__" localSheetId="1" hidden="1">{"fdsup://directions/FAT Viewer?action=UPDATE&amp;creator=factset&amp;DYN_ARGS=TRUE&amp;DOC_NAME=FAT:FQL_AUDITING_CLIENT_TEMPLATE.FAT&amp;display_string=Audit&amp;VAR:KEY=FGFWLOHGZQ&amp;VAR:QUERY=RkZfRUJJVERBX09QRVIoUVRSLDQvMS8yMDA5LDYvMzAvMjAwOSwsLFVTRCk=&amp;WINDOW=FIRST_POPUP&amp;HEIGH","T=450&amp;WIDTH=450&amp;START_MAXIMIZED=FALSE&amp;VAR:CALENDAR=US&amp;VAR:SYMBOL=WHR&amp;VAR:INDEX=0"}</definedName>
    <definedName name="_45__FDSAUDITLINK__" hidden="1">{"fdsup://directions/FAT Viewer?action=UPDATE&amp;creator=factset&amp;DYN_ARGS=TRUE&amp;DOC_NAME=FAT:FQL_AUDITING_CLIENT_TEMPLATE.FAT&amp;display_string=Audit&amp;VAR:KEY=FGFWLOHGZQ&amp;VAR:QUERY=RkZfRUJJVERBX09QRVIoUVRSLDQvMS8yMDA5LDYvMzAvMjAwOSwsLFVTRCk=&amp;WINDOW=FIRST_POPUP&amp;HEIGH","T=450&amp;WIDTH=450&amp;START_MAXIMIZED=FALSE&amp;VAR:CALENDAR=US&amp;VAR:SYMBOL=WHR&amp;VAR:INDEX=0"}</definedName>
    <definedName name="_450__FDSAUDITLINK__" localSheetId="1" hidden="1">{"fdsup://directions/FAT Viewer?action=UPDATE&amp;creator=factset&amp;DYN_ARGS=TRUE&amp;DOC_NAME=FAT:FQL_AUDITING_CLIENT_TEMPLATE.FAT&amp;display_string=Audit&amp;VAR:KEY=VGTCDGTSFY&amp;VAR:QUERY=RkZfRUJJVERBX09QRVIoUVRSLDQvMS8yMDEwLDYvMzAvMjAxMCwsLFVTRCk=&amp;WINDOW=FIRST_POPUP&amp;HEIGH","T=450&amp;WIDTH=450&amp;START_MAXIMIZED=FALSE&amp;VAR:CALENDAR=US&amp;VAR:SYMBOL=LUV&amp;VAR:INDEX=0"}</definedName>
    <definedName name="_450__FDSAUDITLINK__" hidden="1">{"fdsup://directions/FAT Viewer?action=UPDATE&amp;creator=factset&amp;DYN_ARGS=TRUE&amp;DOC_NAME=FAT:FQL_AUDITING_CLIENT_TEMPLATE.FAT&amp;display_string=Audit&amp;VAR:KEY=VGTCDGTSFY&amp;VAR:QUERY=RkZfRUJJVERBX09QRVIoUVRSLDQvMS8yMDEwLDYvMzAvMjAxMCwsLFVTRCk=&amp;WINDOW=FIRST_POPUP&amp;HEIGH","T=450&amp;WIDTH=450&amp;START_MAXIMIZED=FALSE&amp;VAR:CALENDAR=US&amp;VAR:SYMBOL=LUV&amp;VAR:INDEX=0"}</definedName>
    <definedName name="_451__FDSAUDITLINK__" localSheetId="1" hidden="1">{"fdsup://directions/FAT Viewer?action=UPDATE&amp;creator=factset&amp;DYN_ARGS=TRUE&amp;DOC_NAME=FAT:FQL_AUDITING_CLIENT_TEMPLATE.FAT&amp;display_string=Audit&amp;VAR:KEY=RSPQHCJURO&amp;VAR:QUERY=RkZfRUJJVERBX09QRVIoUVRSLDQvMS8yMDA5LDYvMzAvMjAwOSwsLFVTRCk=&amp;WINDOW=FIRST_POPUP&amp;HEIGH","T=450&amp;WIDTH=450&amp;START_MAXIMIZED=FALSE&amp;VAR:CALENDAR=US&amp;VAR:SYMBOL=LUK&amp;VAR:INDEX=0"}</definedName>
    <definedName name="_451__FDSAUDITLINK__" hidden="1">{"fdsup://directions/FAT Viewer?action=UPDATE&amp;creator=factset&amp;DYN_ARGS=TRUE&amp;DOC_NAME=FAT:FQL_AUDITING_CLIENT_TEMPLATE.FAT&amp;display_string=Audit&amp;VAR:KEY=RSPQHCJURO&amp;VAR:QUERY=RkZfRUJJVERBX09QRVIoUVRSLDQvMS8yMDA5LDYvMzAvMjAwOSwsLFVTRCk=&amp;WINDOW=FIRST_POPUP&amp;HEIGH","T=450&amp;WIDTH=450&amp;START_MAXIMIZED=FALSE&amp;VAR:CALENDAR=US&amp;VAR:SYMBOL=LUK&amp;VAR:INDEX=0"}</definedName>
    <definedName name="_452__FDSAUDITLINK__" localSheetId="1" hidden="1">{"fdsup://directions/FAT Viewer?action=UPDATE&amp;creator=factset&amp;DYN_ARGS=TRUE&amp;DOC_NAME=FAT:FQL_AUDITING_CLIENT_TEMPLATE.FAT&amp;display_string=Audit&amp;VAR:KEY=VAJWZALQNC&amp;VAR:QUERY=RkZfRUJJVERBX09QRVIoUVRSLDQvMS8yMDEwLDYvMzAvMjAxMCwsLFVTRCk=&amp;WINDOW=FIRST_POPUP&amp;HEIGH","T=450&amp;WIDTH=450&amp;START_MAXIMIZED=FALSE&amp;VAR:CALENDAR=US&amp;VAR:SYMBOL=LUK&amp;VAR:INDEX=0"}</definedName>
    <definedName name="_452__FDSAUDITLINK__" hidden="1">{"fdsup://directions/FAT Viewer?action=UPDATE&amp;creator=factset&amp;DYN_ARGS=TRUE&amp;DOC_NAME=FAT:FQL_AUDITING_CLIENT_TEMPLATE.FAT&amp;display_string=Audit&amp;VAR:KEY=VAJWZALQNC&amp;VAR:QUERY=RkZfRUJJVERBX09QRVIoUVRSLDQvMS8yMDEwLDYvMzAvMjAxMCwsLFVTRCk=&amp;WINDOW=FIRST_POPUP&amp;HEIGH","T=450&amp;WIDTH=450&amp;START_MAXIMIZED=FALSE&amp;VAR:CALENDAR=US&amp;VAR:SYMBOL=LUK&amp;VAR:INDEX=0"}</definedName>
    <definedName name="_453__FDSAUDITLINK__" localSheetId="1" hidden="1">{"fdsup://directions/FAT Viewer?action=UPDATE&amp;creator=factset&amp;DYN_ARGS=TRUE&amp;DOC_NAME=FAT:FQL_AUDITING_CLIENT_TEMPLATE.FAT&amp;display_string=Audit&amp;VAR:KEY=ZYPCFUNIRW&amp;VAR:QUERY=RkZfRUJJVERBX09QRVIoUVRSLDQvMS8yMDA5LDYvMzAvMjAwOSwsLFVTRCk=&amp;WINDOW=FIRST_POPUP&amp;HEIGH","T=450&amp;WIDTH=450&amp;START_MAXIMIZED=FALSE&amp;VAR:CALENDAR=US&amp;VAR:SYMBOL=LTD&amp;VAR:INDEX=0"}</definedName>
    <definedName name="_453__FDSAUDITLINK__" hidden="1">{"fdsup://directions/FAT Viewer?action=UPDATE&amp;creator=factset&amp;DYN_ARGS=TRUE&amp;DOC_NAME=FAT:FQL_AUDITING_CLIENT_TEMPLATE.FAT&amp;display_string=Audit&amp;VAR:KEY=ZYPCFUNIRW&amp;VAR:QUERY=RkZfRUJJVERBX09QRVIoUVRSLDQvMS8yMDA5LDYvMzAvMjAwOSwsLFVTRCk=&amp;WINDOW=FIRST_POPUP&amp;HEIGH","T=450&amp;WIDTH=450&amp;START_MAXIMIZED=FALSE&amp;VAR:CALENDAR=US&amp;VAR:SYMBOL=LTD&amp;VAR:INDEX=0"}</definedName>
    <definedName name="_454__FDSAUDITLINK__" localSheetId="1" hidden="1">{"fdsup://directions/FAT Viewer?action=UPDATE&amp;creator=factset&amp;DYN_ARGS=TRUE&amp;DOC_NAME=FAT:FQL_AUDITING_CLIENT_TEMPLATE.FAT&amp;display_string=Audit&amp;VAR:KEY=XQTAZKREBE&amp;VAR:QUERY=RkZfRUJJVERBX09QRVIoUVRSLDQvMS8yMDEwLDYvMzAvMjAxMCwsLFVTRCk=&amp;WINDOW=FIRST_POPUP&amp;HEIGH","T=450&amp;WIDTH=450&amp;START_MAXIMIZED=FALSE&amp;VAR:CALENDAR=US&amp;VAR:SYMBOL=LTD&amp;VAR:INDEX=0"}</definedName>
    <definedName name="_454__FDSAUDITLINK__" hidden="1">{"fdsup://directions/FAT Viewer?action=UPDATE&amp;creator=factset&amp;DYN_ARGS=TRUE&amp;DOC_NAME=FAT:FQL_AUDITING_CLIENT_TEMPLATE.FAT&amp;display_string=Audit&amp;VAR:KEY=XQTAZKREBE&amp;VAR:QUERY=RkZfRUJJVERBX09QRVIoUVRSLDQvMS8yMDEwLDYvMzAvMjAxMCwsLFVTRCk=&amp;WINDOW=FIRST_POPUP&amp;HEIGH","T=450&amp;WIDTH=450&amp;START_MAXIMIZED=FALSE&amp;VAR:CALENDAR=US&amp;VAR:SYMBOL=LTD&amp;VAR:INDEX=0"}</definedName>
    <definedName name="_455__FDSAUDITLINK__" localSheetId="1" hidden="1">{"fdsup://directions/FAT Viewer?action=UPDATE&amp;creator=factset&amp;DYN_ARGS=TRUE&amp;DOC_NAME=FAT:FQL_AUDITING_CLIENT_TEMPLATE.FAT&amp;display_string=Audit&amp;VAR:KEY=PIDKFABMJA&amp;VAR:QUERY=RkZfRUJJVERBX09QRVIoUVRSLDQvMS8yMDA5LDYvMzAvMjAwOSwsLFVTRCk=&amp;WINDOW=FIRST_POPUP&amp;HEIGH","T=450&amp;WIDTH=450&amp;START_MAXIMIZED=FALSE&amp;VAR:CALENDAR=US&amp;VAR:SYMBOL=LSI&amp;VAR:INDEX=0"}</definedName>
    <definedName name="_455__FDSAUDITLINK__" hidden="1">{"fdsup://directions/FAT Viewer?action=UPDATE&amp;creator=factset&amp;DYN_ARGS=TRUE&amp;DOC_NAME=FAT:FQL_AUDITING_CLIENT_TEMPLATE.FAT&amp;display_string=Audit&amp;VAR:KEY=PIDKFABMJA&amp;VAR:QUERY=RkZfRUJJVERBX09QRVIoUVRSLDQvMS8yMDA5LDYvMzAvMjAwOSwsLFVTRCk=&amp;WINDOW=FIRST_POPUP&amp;HEIGH","T=450&amp;WIDTH=450&amp;START_MAXIMIZED=FALSE&amp;VAR:CALENDAR=US&amp;VAR:SYMBOL=LSI&amp;VAR:INDEX=0"}</definedName>
    <definedName name="_456__FDSAUDITLINK__" localSheetId="1" hidden="1">{"fdsup://directions/FAT Viewer?action=UPDATE&amp;creator=factset&amp;DYN_ARGS=TRUE&amp;DOC_NAME=FAT:FQL_AUDITING_CLIENT_TEMPLATE.FAT&amp;display_string=Audit&amp;VAR:KEY=ZGVOFCVCHE&amp;VAR:QUERY=RkZfRUJJVERBX09QRVIoUVRSLDQvMS8yMDEwLDYvMzAvMjAxMCwsLFVTRCk=&amp;WINDOW=FIRST_POPUP&amp;HEIGH","T=450&amp;WIDTH=450&amp;START_MAXIMIZED=FALSE&amp;VAR:CALENDAR=US&amp;VAR:SYMBOL=LSI&amp;VAR:INDEX=0"}</definedName>
    <definedName name="_456__FDSAUDITLINK__" hidden="1">{"fdsup://directions/FAT Viewer?action=UPDATE&amp;creator=factset&amp;DYN_ARGS=TRUE&amp;DOC_NAME=FAT:FQL_AUDITING_CLIENT_TEMPLATE.FAT&amp;display_string=Audit&amp;VAR:KEY=ZGVOFCVCHE&amp;VAR:QUERY=RkZfRUJJVERBX09QRVIoUVRSLDQvMS8yMDEwLDYvMzAvMjAxMCwsLFVTRCk=&amp;WINDOW=FIRST_POPUP&amp;HEIGH","T=450&amp;WIDTH=450&amp;START_MAXIMIZED=FALSE&amp;VAR:CALENDAR=US&amp;VAR:SYMBOL=LSI&amp;VAR:INDEX=0"}</definedName>
    <definedName name="_457__FDSAUDITLINK__" localSheetId="1" hidden="1">{"fdsup://directions/FAT Viewer?action=UPDATE&amp;creator=factset&amp;DYN_ARGS=TRUE&amp;DOC_NAME=FAT:FQL_AUDITING_CLIENT_TEMPLATE.FAT&amp;display_string=Audit&amp;VAR:KEY=JMXILAFAVQ&amp;VAR:QUERY=RkZfRUJJVERBX09QRVIoUVRSLDQvMS8yMDA5LDYvMzAvMjAwOSwsLFVTRCk=&amp;WINDOW=FIRST_POPUP&amp;HEIGH","T=450&amp;WIDTH=450&amp;START_MAXIMIZED=FALSE&amp;VAR:CALENDAR=US&amp;VAR:SYMBOL=LO&amp;VAR:INDEX=0"}</definedName>
    <definedName name="_457__FDSAUDITLINK__" hidden="1">{"fdsup://directions/FAT Viewer?action=UPDATE&amp;creator=factset&amp;DYN_ARGS=TRUE&amp;DOC_NAME=FAT:FQL_AUDITING_CLIENT_TEMPLATE.FAT&amp;display_string=Audit&amp;VAR:KEY=JMXILAFAVQ&amp;VAR:QUERY=RkZfRUJJVERBX09QRVIoUVRSLDQvMS8yMDA5LDYvMzAvMjAwOSwsLFVTRCk=&amp;WINDOW=FIRST_POPUP&amp;HEIGH","T=450&amp;WIDTH=450&amp;START_MAXIMIZED=FALSE&amp;VAR:CALENDAR=US&amp;VAR:SYMBOL=LO&amp;VAR:INDEX=0"}</definedName>
    <definedName name="_458__FDSAUDITLINK__" localSheetId="1" hidden="1">{"fdsup://directions/FAT Viewer?action=UPDATE&amp;creator=factset&amp;DYN_ARGS=TRUE&amp;DOC_NAME=FAT:FQL_AUDITING_CLIENT_TEMPLATE.FAT&amp;display_string=Audit&amp;VAR:KEY=BUNAFWZWXW&amp;VAR:QUERY=RkZfRUJJVERBX09QRVIoUVRSLDQvMS8yMDEwLDYvMzAvMjAxMCwsLFVTRCk=&amp;WINDOW=FIRST_POPUP&amp;HEIGH","T=450&amp;WIDTH=450&amp;START_MAXIMIZED=FALSE&amp;VAR:CALENDAR=US&amp;VAR:SYMBOL=LO&amp;VAR:INDEX=0"}</definedName>
    <definedName name="_458__FDSAUDITLINK__" hidden="1">{"fdsup://directions/FAT Viewer?action=UPDATE&amp;creator=factset&amp;DYN_ARGS=TRUE&amp;DOC_NAME=FAT:FQL_AUDITING_CLIENT_TEMPLATE.FAT&amp;display_string=Audit&amp;VAR:KEY=BUNAFWZWXW&amp;VAR:QUERY=RkZfRUJJVERBX09QRVIoUVRSLDQvMS8yMDEwLDYvMzAvMjAxMCwsLFVTRCk=&amp;WINDOW=FIRST_POPUP&amp;HEIGH","T=450&amp;WIDTH=450&amp;START_MAXIMIZED=FALSE&amp;VAR:CALENDAR=US&amp;VAR:SYMBOL=LO&amp;VAR:INDEX=0"}</definedName>
    <definedName name="_459__FDSAUDITLINK__" localSheetId="1" hidden="1">{"fdsup://directions/FAT Viewer?action=UPDATE&amp;creator=factset&amp;DYN_ARGS=TRUE&amp;DOC_NAME=FAT:FQL_AUDITING_CLIENT_TEMPLATE.FAT&amp;display_string=Audit&amp;VAR:KEY=XAZEFENELQ&amp;VAR:QUERY=RkZfRUJJVERBX09QRVIoUVRSLDQvMS8yMDA5LDYvMzAvMjAwOSwsLFVTRCk=&amp;WINDOW=FIRST_POPUP&amp;HEIGH","T=450&amp;WIDTH=450&amp;START_MAXIMIZED=FALSE&amp;VAR:CALENDAR=US&amp;VAR:SYMBOL=LNC&amp;VAR:INDEX=0"}</definedName>
    <definedName name="_459__FDSAUDITLINK__" hidden="1">{"fdsup://directions/FAT Viewer?action=UPDATE&amp;creator=factset&amp;DYN_ARGS=TRUE&amp;DOC_NAME=FAT:FQL_AUDITING_CLIENT_TEMPLATE.FAT&amp;display_string=Audit&amp;VAR:KEY=XAZEFENELQ&amp;VAR:QUERY=RkZfRUJJVERBX09QRVIoUVRSLDQvMS8yMDA5LDYvMzAvMjAwOSwsLFVTRCk=&amp;WINDOW=FIRST_POPUP&amp;HEIGH","T=450&amp;WIDTH=450&amp;START_MAXIMIZED=FALSE&amp;VAR:CALENDAR=US&amp;VAR:SYMBOL=LNC&amp;VAR:INDEX=0"}</definedName>
    <definedName name="_46__FDSAUDITLINK__" localSheetId="1" hidden="1">{"fdsup://directions/FAT Viewer?action=UPDATE&amp;creator=factset&amp;DYN_ARGS=TRUE&amp;DOC_NAME=FAT:FQL_AUDITING_CLIENT_TEMPLATE.FAT&amp;display_string=Audit&amp;VAR:KEY=TCNUZWVGNW&amp;VAR:QUERY=RkZfRUJJVERBX09QRVIoUVRSLDQvMS8yMDEwLDYvMzAvMjAxMCwsLFVTRCk=&amp;WINDOW=FIRST_POPUP&amp;HEIGH","T=450&amp;WIDTH=450&amp;START_MAXIMIZED=FALSE&amp;VAR:CALENDAR=US&amp;VAR:SYMBOL=WHR&amp;VAR:INDEX=0"}</definedName>
    <definedName name="_46__FDSAUDITLINK__" hidden="1">{"fdsup://directions/FAT Viewer?action=UPDATE&amp;creator=factset&amp;DYN_ARGS=TRUE&amp;DOC_NAME=FAT:FQL_AUDITING_CLIENT_TEMPLATE.FAT&amp;display_string=Audit&amp;VAR:KEY=TCNUZWVGNW&amp;VAR:QUERY=RkZfRUJJVERBX09QRVIoUVRSLDQvMS8yMDEwLDYvMzAvMjAxMCwsLFVTRCk=&amp;WINDOW=FIRST_POPUP&amp;HEIGH","T=450&amp;WIDTH=450&amp;START_MAXIMIZED=FALSE&amp;VAR:CALENDAR=US&amp;VAR:SYMBOL=WHR&amp;VAR:INDEX=0"}</definedName>
    <definedName name="_460__FDSAUDITLINK__" localSheetId="1" hidden="1">{"fdsup://directions/FAT Viewer?action=UPDATE&amp;creator=factset&amp;DYN_ARGS=TRUE&amp;DOC_NAME=FAT:FQL_AUDITING_CLIENT_TEMPLATE.FAT&amp;display_string=Audit&amp;VAR:KEY=FSPEVMJIFU&amp;VAR:QUERY=RkZfRUJJVERBX09QRVIoUVRSLDQvMS8yMDEwLDYvMzAvMjAxMCwsLFVTRCk=&amp;WINDOW=FIRST_POPUP&amp;HEIGH","T=450&amp;WIDTH=450&amp;START_MAXIMIZED=FALSE&amp;VAR:CALENDAR=US&amp;VAR:SYMBOL=LNC&amp;VAR:INDEX=0"}</definedName>
    <definedName name="_460__FDSAUDITLINK__" hidden="1">{"fdsup://directions/FAT Viewer?action=UPDATE&amp;creator=factset&amp;DYN_ARGS=TRUE&amp;DOC_NAME=FAT:FQL_AUDITING_CLIENT_TEMPLATE.FAT&amp;display_string=Audit&amp;VAR:KEY=FSPEVMJIFU&amp;VAR:QUERY=RkZfRUJJVERBX09QRVIoUVRSLDQvMS8yMDEwLDYvMzAvMjAxMCwsLFVTRCk=&amp;WINDOW=FIRST_POPUP&amp;HEIGH","T=450&amp;WIDTH=450&amp;START_MAXIMIZED=FALSE&amp;VAR:CALENDAR=US&amp;VAR:SYMBOL=LNC&amp;VAR:INDEX=0"}</definedName>
    <definedName name="_461__FDSAUDITLINK__" localSheetId="1" hidden="1">{"fdsup://directions/FAT Viewer?action=UPDATE&amp;creator=factset&amp;DYN_ARGS=TRUE&amp;DOC_NAME=FAT:FQL_AUDITING_CLIENT_TEMPLATE.FAT&amp;display_string=Audit&amp;VAR:KEY=ZWNEJALIDK&amp;VAR:QUERY=RkZfRUJJVERBX09QRVIoUVRSLDQvMS8yMDA5LDYvMzAvMjAwOSwsLFVTRCk=&amp;WINDOW=FIRST_POPUP&amp;HEIGH","T=450&amp;WIDTH=450&amp;START_MAXIMIZED=FALSE&amp;VAR:CALENDAR=US&amp;VAR:SYMBOL=LMT&amp;VAR:INDEX=0"}</definedName>
    <definedName name="_461__FDSAUDITLINK__" hidden="1">{"fdsup://directions/FAT Viewer?action=UPDATE&amp;creator=factset&amp;DYN_ARGS=TRUE&amp;DOC_NAME=FAT:FQL_AUDITING_CLIENT_TEMPLATE.FAT&amp;display_string=Audit&amp;VAR:KEY=ZWNEJALIDK&amp;VAR:QUERY=RkZfRUJJVERBX09QRVIoUVRSLDQvMS8yMDA5LDYvMzAvMjAwOSwsLFVTRCk=&amp;WINDOW=FIRST_POPUP&amp;HEIGH","T=450&amp;WIDTH=450&amp;START_MAXIMIZED=FALSE&amp;VAR:CALENDAR=US&amp;VAR:SYMBOL=LMT&amp;VAR:INDEX=0"}</definedName>
    <definedName name="_462__FDSAUDITLINK__" localSheetId="1" hidden="1">{"fdsup://directions/FAT Viewer?action=UPDATE&amp;creator=factset&amp;DYN_ARGS=TRUE&amp;DOC_NAME=FAT:FQL_AUDITING_CLIENT_TEMPLATE.FAT&amp;display_string=Audit&amp;VAR:KEY=FMNAXOTOJG&amp;VAR:QUERY=RkZfRUJJVERBX09QRVIoUVRSLDQvMS8yMDEwLDYvMzAvMjAxMCwsLFVTRCk=&amp;WINDOW=FIRST_POPUP&amp;HEIGH","T=450&amp;WIDTH=450&amp;START_MAXIMIZED=FALSE&amp;VAR:CALENDAR=US&amp;VAR:SYMBOL=LMT&amp;VAR:INDEX=0"}</definedName>
    <definedName name="_462__FDSAUDITLINK__" hidden="1">{"fdsup://directions/FAT Viewer?action=UPDATE&amp;creator=factset&amp;DYN_ARGS=TRUE&amp;DOC_NAME=FAT:FQL_AUDITING_CLIENT_TEMPLATE.FAT&amp;display_string=Audit&amp;VAR:KEY=FMNAXOTOJG&amp;VAR:QUERY=RkZfRUJJVERBX09QRVIoUVRSLDQvMS8yMDEwLDYvMzAvMjAxMCwsLFVTRCk=&amp;WINDOW=FIRST_POPUP&amp;HEIGH","T=450&amp;WIDTH=450&amp;START_MAXIMIZED=FALSE&amp;VAR:CALENDAR=US&amp;VAR:SYMBOL=LMT&amp;VAR:INDEX=0"}</definedName>
    <definedName name="_463__FDSAUDITLINK__" localSheetId="1" hidden="1">{"fdsup://directions/FAT Viewer?action=UPDATE&amp;creator=factset&amp;DYN_ARGS=TRUE&amp;DOC_NAME=FAT:FQL_AUDITING_CLIENT_TEMPLATE.FAT&amp;display_string=Audit&amp;VAR:KEY=PUTYJODKVC&amp;VAR:QUERY=RkZfRUJJVERBX09QRVIoUVRSLDQvMS8yMDA5LDYvMzAvMjAwOSwsLFVTRCk=&amp;WINDOW=FIRST_POPUP&amp;HEIGH","T=450&amp;WIDTH=450&amp;START_MAXIMIZED=FALSE&amp;VAR:CALENDAR=US&amp;VAR:SYMBOL=LM&amp;VAR:INDEX=0"}</definedName>
    <definedName name="_463__FDSAUDITLINK__" hidden="1">{"fdsup://directions/FAT Viewer?action=UPDATE&amp;creator=factset&amp;DYN_ARGS=TRUE&amp;DOC_NAME=FAT:FQL_AUDITING_CLIENT_TEMPLATE.FAT&amp;display_string=Audit&amp;VAR:KEY=PUTYJODKVC&amp;VAR:QUERY=RkZfRUJJVERBX09QRVIoUVRSLDQvMS8yMDA5LDYvMzAvMjAwOSwsLFVTRCk=&amp;WINDOW=FIRST_POPUP&amp;HEIGH","T=450&amp;WIDTH=450&amp;START_MAXIMIZED=FALSE&amp;VAR:CALENDAR=US&amp;VAR:SYMBOL=LM&amp;VAR:INDEX=0"}</definedName>
    <definedName name="_464__FDSAUDITLINK__" localSheetId="1" hidden="1">{"fdsup://directions/FAT Viewer?action=UPDATE&amp;creator=factset&amp;DYN_ARGS=TRUE&amp;DOC_NAME=FAT:FQL_AUDITING_CLIENT_TEMPLATE.FAT&amp;display_string=Audit&amp;VAR:KEY=JGZQVGXIHA&amp;VAR:QUERY=RkZfRUJJVERBX09QRVIoUVRSLDQvMS8yMDEwLDYvMzAvMjAxMCwsLFVTRCk=&amp;WINDOW=FIRST_POPUP&amp;HEIGH","T=450&amp;WIDTH=450&amp;START_MAXIMIZED=FALSE&amp;VAR:CALENDAR=US&amp;VAR:SYMBOL=LM&amp;VAR:INDEX=0"}</definedName>
    <definedName name="_464__FDSAUDITLINK__" hidden="1">{"fdsup://directions/FAT Viewer?action=UPDATE&amp;creator=factset&amp;DYN_ARGS=TRUE&amp;DOC_NAME=FAT:FQL_AUDITING_CLIENT_TEMPLATE.FAT&amp;display_string=Audit&amp;VAR:KEY=JGZQVGXIHA&amp;VAR:QUERY=RkZfRUJJVERBX09QRVIoUVRSLDQvMS8yMDEwLDYvMzAvMjAxMCwsLFVTRCk=&amp;WINDOW=FIRST_POPUP&amp;HEIGH","T=450&amp;WIDTH=450&amp;START_MAXIMIZED=FALSE&amp;VAR:CALENDAR=US&amp;VAR:SYMBOL=LM&amp;VAR:INDEX=0"}</definedName>
    <definedName name="_465__FDSAUDITLINK__" localSheetId="1" hidden="1">{"fdsup://directions/FAT Viewer?action=UPDATE&amp;creator=factset&amp;DYN_ARGS=TRUE&amp;DOC_NAME=FAT:FQL_AUDITING_CLIENT_TEMPLATE.FAT&amp;display_string=Audit&amp;VAR:KEY=NUJMLIPIXC&amp;VAR:QUERY=RkZfRUJJVERBX09QRVIoUVRSLDQvMS8yMDA5LDYvMzAvMjAwOSwsLFVTRCk=&amp;WINDOW=FIRST_POPUP&amp;HEIGH","T=450&amp;WIDTH=450&amp;START_MAXIMIZED=FALSE&amp;VAR:CALENDAR=US&amp;VAR:SYMBOL=LLY&amp;VAR:INDEX=0"}</definedName>
    <definedName name="_465__FDSAUDITLINK__" hidden="1">{"fdsup://directions/FAT Viewer?action=UPDATE&amp;creator=factset&amp;DYN_ARGS=TRUE&amp;DOC_NAME=FAT:FQL_AUDITING_CLIENT_TEMPLATE.FAT&amp;display_string=Audit&amp;VAR:KEY=NUJMLIPIXC&amp;VAR:QUERY=RkZfRUJJVERBX09QRVIoUVRSLDQvMS8yMDA5LDYvMzAvMjAwOSwsLFVTRCk=&amp;WINDOW=FIRST_POPUP&amp;HEIGH","T=450&amp;WIDTH=450&amp;START_MAXIMIZED=FALSE&amp;VAR:CALENDAR=US&amp;VAR:SYMBOL=LLY&amp;VAR:INDEX=0"}</definedName>
    <definedName name="_466__FDSAUDITLINK__" localSheetId="1" hidden="1">{"fdsup://directions/FAT Viewer?action=UPDATE&amp;creator=factset&amp;DYN_ARGS=TRUE&amp;DOC_NAME=FAT:FQL_AUDITING_CLIENT_TEMPLATE.FAT&amp;display_string=Audit&amp;VAR:KEY=JEFOPAHIRO&amp;VAR:QUERY=RkZfRUJJVERBX09QRVIoUVRSLDQvMS8yMDEwLDYvMzAvMjAxMCwsLFVTRCk=&amp;WINDOW=FIRST_POPUP&amp;HEIGH","T=450&amp;WIDTH=450&amp;START_MAXIMIZED=FALSE&amp;VAR:CALENDAR=US&amp;VAR:SYMBOL=LLY&amp;VAR:INDEX=0"}</definedName>
    <definedName name="_466__FDSAUDITLINK__" hidden="1">{"fdsup://directions/FAT Viewer?action=UPDATE&amp;creator=factset&amp;DYN_ARGS=TRUE&amp;DOC_NAME=FAT:FQL_AUDITING_CLIENT_TEMPLATE.FAT&amp;display_string=Audit&amp;VAR:KEY=JEFOPAHIRO&amp;VAR:QUERY=RkZfRUJJVERBX09QRVIoUVRSLDQvMS8yMDEwLDYvMzAvMjAxMCwsLFVTRCk=&amp;WINDOW=FIRST_POPUP&amp;HEIGH","T=450&amp;WIDTH=450&amp;START_MAXIMIZED=FALSE&amp;VAR:CALENDAR=US&amp;VAR:SYMBOL=LLY&amp;VAR:INDEX=0"}</definedName>
    <definedName name="_467__FDSAUDITLINK__" localSheetId="1" hidden="1">{"fdsup://directions/FAT Viewer?action=UPDATE&amp;creator=factset&amp;DYN_ARGS=TRUE&amp;DOC_NAME=FAT:FQL_AUDITING_CLIENT_TEMPLATE.FAT&amp;display_string=Audit&amp;VAR:KEY=LCHQNALEHI&amp;VAR:QUERY=RkZfRUJJVERBX09QRVIoUVRSLDQvMS8yMDA5LDYvMzAvMjAwOSwsLFVTRCk=&amp;WINDOW=FIRST_POPUP&amp;HEIGH","T=450&amp;WIDTH=450&amp;START_MAXIMIZED=FALSE&amp;VAR:CALENDAR=US&amp;VAR:SYMBOL=LLTC&amp;VAR:INDEX=0"}</definedName>
    <definedName name="_467__FDSAUDITLINK__" hidden="1">{"fdsup://directions/FAT Viewer?action=UPDATE&amp;creator=factset&amp;DYN_ARGS=TRUE&amp;DOC_NAME=FAT:FQL_AUDITING_CLIENT_TEMPLATE.FAT&amp;display_string=Audit&amp;VAR:KEY=LCHQNALEHI&amp;VAR:QUERY=RkZfRUJJVERBX09QRVIoUVRSLDQvMS8yMDA5LDYvMzAvMjAwOSwsLFVTRCk=&amp;WINDOW=FIRST_POPUP&amp;HEIGH","T=450&amp;WIDTH=450&amp;START_MAXIMIZED=FALSE&amp;VAR:CALENDAR=US&amp;VAR:SYMBOL=LLTC&amp;VAR:INDEX=0"}</definedName>
    <definedName name="_468__FDSAUDITLINK__" localSheetId="1" hidden="1">{"fdsup://directions/FAT Viewer?action=UPDATE&amp;creator=factset&amp;DYN_ARGS=TRUE&amp;DOC_NAME=FAT:FQL_AUDITING_CLIENT_TEMPLATE.FAT&amp;display_string=Audit&amp;VAR:KEY=REXQTMXIPI&amp;VAR:QUERY=RkZfRUJJVERBX09QRVIoUVRSLDQvMS8yMDEwLDYvMzAvMjAxMCwsLFVTRCk=&amp;WINDOW=FIRST_POPUP&amp;HEIGH","T=450&amp;WIDTH=450&amp;START_MAXIMIZED=FALSE&amp;VAR:CALENDAR=US&amp;VAR:SYMBOL=LLTC&amp;VAR:INDEX=0"}</definedName>
    <definedName name="_468__FDSAUDITLINK__" hidden="1">{"fdsup://directions/FAT Viewer?action=UPDATE&amp;creator=factset&amp;DYN_ARGS=TRUE&amp;DOC_NAME=FAT:FQL_AUDITING_CLIENT_TEMPLATE.FAT&amp;display_string=Audit&amp;VAR:KEY=REXQTMXIPI&amp;VAR:QUERY=RkZfRUJJVERBX09QRVIoUVRSLDQvMS8yMDEwLDYvMzAvMjAxMCwsLFVTRCk=&amp;WINDOW=FIRST_POPUP&amp;HEIGH","T=450&amp;WIDTH=450&amp;START_MAXIMIZED=FALSE&amp;VAR:CALENDAR=US&amp;VAR:SYMBOL=LLTC&amp;VAR:INDEX=0"}</definedName>
    <definedName name="_469__FDSAUDITLINK__" localSheetId="1" hidden="1">{"fdsup://directions/FAT Viewer?action=UPDATE&amp;creator=factset&amp;DYN_ARGS=TRUE&amp;DOC_NAME=FAT:FQL_AUDITING_CLIENT_TEMPLATE.FAT&amp;display_string=Audit&amp;VAR:KEY=XWZGHGHKBU&amp;VAR:QUERY=RkZfRUJJVERBX09QRVIoUVRSLDQvMS8yMDA5LDYvMzAvMjAwOSwsLFVTRCk=&amp;WINDOW=FIRST_POPUP&amp;HEIGH","T=450&amp;WIDTH=450&amp;START_MAXIMIZED=FALSE&amp;VAR:CALENDAR=US&amp;VAR:SYMBOL=LLL&amp;VAR:INDEX=0"}</definedName>
    <definedName name="_469__FDSAUDITLINK__" hidden="1">{"fdsup://directions/FAT Viewer?action=UPDATE&amp;creator=factset&amp;DYN_ARGS=TRUE&amp;DOC_NAME=FAT:FQL_AUDITING_CLIENT_TEMPLATE.FAT&amp;display_string=Audit&amp;VAR:KEY=XWZGHGHKBU&amp;VAR:QUERY=RkZfRUJJVERBX09QRVIoUVRSLDQvMS8yMDA5LDYvMzAvMjAwOSwsLFVTRCk=&amp;WINDOW=FIRST_POPUP&amp;HEIGH","T=450&amp;WIDTH=450&amp;START_MAXIMIZED=FALSE&amp;VAR:CALENDAR=US&amp;VAR:SYMBOL=LLL&amp;VAR:INDEX=0"}</definedName>
    <definedName name="_47__FDSAUDITLINK__" localSheetId="1" hidden="1">{"fdsup://directions/FAT Viewer?action=UPDATE&amp;creator=factset&amp;DYN_ARGS=TRUE&amp;DOC_NAME=FAT:FQL_AUDITING_CLIENT_TEMPLATE.FAT&amp;display_string=Audit&amp;VAR:KEY=ZCNQNYFONA&amp;VAR:QUERY=RkZfRUJJVERBX09QRVIoUVRSLDQvMS8yMDA5LDYvMzAvMjAwOSwsLFVTRCk=&amp;WINDOW=FIRST_POPUP&amp;HEIGH","T=450&amp;WIDTH=450&amp;START_MAXIMIZED=FALSE&amp;VAR:CALENDAR=US&amp;VAR:SYMBOL=WFR&amp;VAR:INDEX=0"}</definedName>
    <definedName name="_47__FDSAUDITLINK__" hidden="1">{"fdsup://directions/FAT Viewer?action=UPDATE&amp;creator=factset&amp;DYN_ARGS=TRUE&amp;DOC_NAME=FAT:FQL_AUDITING_CLIENT_TEMPLATE.FAT&amp;display_string=Audit&amp;VAR:KEY=ZCNQNYFONA&amp;VAR:QUERY=RkZfRUJJVERBX09QRVIoUVRSLDQvMS8yMDA5LDYvMzAvMjAwOSwsLFVTRCk=&amp;WINDOW=FIRST_POPUP&amp;HEIGH","T=450&amp;WIDTH=450&amp;START_MAXIMIZED=FALSE&amp;VAR:CALENDAR=US&amp;VAR:SYMBOL=WFR&amp;VAR:INDEX=0"}</definedName>
    <definedName name="_470__FDSAUDITLINK__" localSheetId="1" hidden="1">{"fdsup://directions/FAT Viewer?action=UPDATE&amp;creator=factset&amp;DYN_ARGS=TRUE&amp;DOC_NAME=FAT:FQL_AUDITING_CLIENT_TEMPLATE.FAT&amp;display_string=Audit&amp;VAR:KEY=XCDIDGFOJY&amp;VAR:QUERY=RkZfRUJJVERBX09QRVIoUVRSLDQvMS8yMDEwLDYvMzAvMjAxMCwsLFVTRCk=&amp;WINDOW=FIRST_POPUP&amp;HEIGH","T=450&amp;WIDTH=450&amp;START_MAXIMIZED=FALSE&amp;VAR:CALENDAR=US&amp;VAR:SYMBOL=LLL&amp;VAR:INDEX=0"}</definedName>
    <definedName name="_470__FDSAUDITLINK__" hidden="1">{"fdsup://directions/FAT Viewer?action=UPDATE&amp;creator=factset&amp;DYN_ARGS=TRUE&amp;DOC_NAME=FAT:FQL_AUDITING_CLIENT_TEMPLATE.FAT&amp;display_string=Audit&amp;VAR:KEY=XCDIDGFOJY&amp;VAR:QUERY=RkZfRUJJVERBX09QRVIoUVRSLDQvMS8yMDEwLDYvMzAvMjAxMCwsLFVTRCk=&amp;WINDOW=FIRST_POPUP&amp;HEIGH","T=450&amp;WIDTH=450&amp;START_MAXIMIZED=FALSE&amp;VAR:CALENDAR=US&amp;VAR:SYMBOL=LLL&amp;VAR:INDEX=0"}</definedName>
    <definedName name="_471__FDSAUDITLINK__" localSheetId="1" hidden="1">{"fdsup://directions/FAT Viewer?action=UPDATE&amp;creator=factset&amp;DYN_ARGS=TRUE&amp;DOC_NAME=FAT:FQL_AUDITING_CLIENT_TEMPLATE.FAT&amp;display_string=Audit&amp;VAR:KEY=PCZALGPETY&amp;VAR:QUERY=RkZfRUJJVERBX09QRVIoUVRSLDQvMS8yMDA5LDYvMzAvMjAwOSwsLFVTRCk=&amp;WINDOW=FIRST_POPUP&amp;HEIGH","T=450&amp;WIDTH=450&amp;START_MAXIMIZED=FALSE&amp;VAR:CALENDAR=US&amp;VAR:SYMBOL=LIFE&amp;VAR:INDEX=0"}</definedName>
    <definedName name="_471__FDSAUDITLINK__" hidden="1">{"fdsup://directions/FAT Viewer?action=UPDATE&amp;creator=factset&amp;DYN_ARGS=TRUE&amp;DOC_NAME=FAT:FQL_AUDITING_CLIENT_TEMPLATE.FAT&amp;display_string=Audit&amp;VAR:KEY=PCZALGPETY&amp;VAR:QUERY=RkZfRUJJVERBX09QRVIoUVRSLDQvMS8yMDA5LDYvMzAvMjAwOSwsLFVTRCk=&amp;WINDOW=FIRST_POPUP&amp;HEIGH","T=450&amp;WIDTH=450&amp;START_MAXIMIZED=FALSE&amp;VAR:CALENDAR=US&amp;VAR:SYMBOL=LIFE&amp;VAR:INDEX=0"}</definedName>
    <definedName name="_472__FDSAUDITLINK__" localSheetId="1" hidden="1">{"fdsup://directions/FAT Viewer?action=UPDATE&amp;creator=factset&amp;DYN_ARGS=TRUE&amp;DOC_NAME=FAT:FQL_AUDITING_CLIENT_TEMPLATE.FAT&amp;display_string=Audit&amp;VAR:KEY=BAREDAZEFI&amp;VAR:QUERY=RkZfRUJJVERBX09QRVIoUVRSLDQvMS8yMDEwLDYvMzAvMjAxMCwsLFVTRCk=&amp;WINDOW=FIRST_POPUP&amp;HEIGH","T=450&amp;WIDTH=450&amp;START_MAXIMIZED=FALSE&amp;VAR:CALENDAR=US&amp;VAR:SYMBOL=LIFE&amp;VAR:INDEX=0"}</definedName>
    <definedName name="_472__FDSAUDITLINK__" hidden="1">{"fdsup://directions/FAT Viewer?action=UPDATE&amp;creator=factset&amp;DYN_ARGS=TRUE&amp;DOC_NAME=FAT:FQL_AUDITING_CLIENT_TEMPLATE.FAT&amp;display_string=Audit&amp;VAR:KEY=BAREDAZEFI&amp;VAR:QUERY=RkZfRUJJVERBX09QRVIoUVRSLDQvMS8yMDEwLDYvMzAvMjAxMCwsLFVTRCk=&amp;WINDOW=FIRST_POPUP&amp;HEIGH","T=450&amp;WIDTH=450&amp;START_MAXIMIZED=FALSE&amp;VAR:CALENDAR=US&amp;VAR:SYMBOL=LIFE&amp;VAR:INDEX=0"}</definedName>
    <definedName name="_473__FDSAUDITLINK__" localSheetId="1" hidden="1">{"fdsup://directions/FAT Viewer?action=UPDATE&amp;creator=factset&amp;DYN_ARGS=TRUE&amp;DOC_NAME=FAT:FQL_AUDITING_CLIENT_TEMPLATE.FAT&amp;display_string=Audit&amp;VAR:KEY=TSTYLOZORY&amp;VAR:QUERY=RkZfRUJJVERBX09QRVIoUVRSLDQvMS8yMDA5LDYvMzAvMjAwOSwsLFVTRCk=&amp;WINDOW=FIRST_POPUP&amp;HEIGH","T=450&amp;WIDTH=450&amp;START_MAXIMIZED=FALSE&amp;VAR:CALENDAR=US&amp;VAR:SYMBOL=LH&amp;VAR:INDEX=0"}</definedName>
    <definedName name="_473__FDSAUDITLINK__" hidden="1">{"fdsup://directions/FAT Viewer?action=UPDATE&amp;creator=factset&amp;DYN_ARGS=TRUE&amp;DOC_NAME=FAT:FQL_AUDITING_CLIENT_TEMPLATE.FAT&amp;display_string=Audit&amp;VAR:KEY=TSTYLOZORY&amp;VAR:QUERY=RkZfRUJJVERBX09QRVIoUVRSLDQvMS8yMDA5LDYvMzAvMjAwOSwsLFVTRCk=&amp;WINDOW=FIRST_POPUP&amp;HEIGH","T=450&amp;WIDTH=450&amp;START_MAXIMIZED=FALSE&amp;VAR:CALENDAR=US&amp;VAR:SYMBOL=LH&amp;VAR:INDEX=0"}</definedName>
    <definedName name="_474__FDSAUDITLINK__" localSheetId="1" hidden="1">{"fdsup://directions/FAT Viewer?action=UPDATE&amp;creator=factset&amp;DYN_ARGS=TRUE&amp;DOC_NAME=FAT:FQL_AUDITING_CLIENT_TEMPLATE.FAT&amp;display_string=Audit&amp;VAR:KEY=BABABSVAVY&amp;VAR:QUERY=RkZfRUJJVERBX09QRVIoUVRSLDQvMS8yMDEwLDYvMzAvMjAxMCwsLFVTRCk=&amp;WINDOW=FIRST_POPUP&amp;HEIGH","T=450&amp;WIDTH=450&amp;START_MAXIMIZED=FALSE&amp;VAR:CALENDAR=US&amp;VAR:SYMBOL=LH&amp;VAR:INDEX=0"}</definedName>
    <definedName name="_474__FDSAUDITLINK__" hidden="1">{"fdsup://directions/FAT Viewer?action=UPDATE&amp;creator=factset&amp;DYN_ARGS=TRUE&amp;DOC_NAME=FAT:FQL_AUDITING_CLIENT_TEMPLATE.FAT&amp;display_string=Audit&amp;VAR:KEY=BABABSVAVY&amp;VAR:QUERY=RkZfRUJJVERBX09QRVIoUVRSLDQvMS8yMDEwLDYvMzAvMjAxMCwsLFVTRCk=&amp;WINDOW=FIRST_POPUP&amp;HEIGH","T=450&amp;WIDTH=450&amp;START_MAXIMIZED=FALSE&amp;VAR:CALENDAR=US&amp;VAR:SYMBOL=LH&amp;VAR:INDEX=0"}</definedName>
    <definedName name="_475__FDSAUDITLINK__" localSheetId="1" hidden="1">{"fdsup://directions/FAT Viewer?action=UPDATE&amp;creator=factset&amp;DYN_ARGS=TRUE&amp;DOC_NAME=FAT:FQL_AUDITING_CLIENT_TEMPLATE.FAT&amp;display_string=Audit&amp;VAR:KEY=BELSVYZIXA&amp;VAR:QUERY=RkZfRUJJVERBX09QRVIoUVRSLDQvMS8yMDA5LDYvMzAvMjAwOSwsLFVTRCk=&amp;WINDOW=FIRST_POPUP&amp;HEIGH","T=450&amp;WIDTH=450&amp;START_MAXIMIZED=FALSE&amp;VAR:CALENDAR=US&amp;VAR:SYMBOL=LEN&amp;VAR:INDEX=0"}</definedName>
    <definedName name="_475__FDSAUDITLINK__" hidden="1">{"fdsup://directions/FAT Viewer?action=UPDATE&amp;creator=factset&amp;DYN_ARGS=TRUE&amp;DOC_NAME=FAT:FQL_AUDITING_CLIENT_TEMPLATE.FAT&amp;display_string=Audit&amp;VAR:KEY=BELSVYZIXA&amp;VAR:QUERY=RkZfRUJJVERBX09QRVIoUVRSLDQvMS8yMDA5LDYvMzAvMjAwOSwsLFVTRCk=&amp;WINDOW=FIRST_POPUP&amp;HEIGH","T=450&amp;WIDTH=450&amp;START_MAXIMIZED=FALSE&amp;VAR:CALENDAR=US&amp;VAR:SYMBOL=LEN&amp;VAR:INDEX=0"}</definedName>
    <definedName name="_476__FDSAUDITLINK__" localSheetId="1" hidden="1">{"fdsup://directions/FAT Viewer?action=UPDATE&amp;creator=factset&amp;DYN_ARGS=TRUE&amp;DOC_NAME=FAT:FQL_AUDITING_CLIENT_TEMPLATE.FAT&amp;display_string=Audit&amp;VAR:KEY=NOHAVGBMZA&amp;VAR:QUERY=RkZfRUJJVERBX09QRVIoUVRSLDQvMS8yMDEwLDYvMzAvMjAxMCwsLFVTRCk=&amp;WINDOW=FIRST_POPUP&amp;HEIGH","T=450&amp;WIDTH=450&amp;START_MAXIMIZED=FALSE&amp;VAR:CALENDAR=US&amp;VAR:SYMBOL=LEN&amp;VAR:INDEX=0"}</definedName>
    <definedName name="_476__FDSAUDITLINK__" hidden="1">{"fdsup://directions/FAT Viewer?action=UPDATE&amp;creator=factset&amp;DYN_ARGS=TRUE&amp;DOC_NAME=FAT:FQL_AUDITING_CLIENT_TEMPLATE.FAT&amp;display_string=Audit&amp;VAR:KEY=NOHAVGBMZA&amp;VAR:QUERY=RkZfRUJJVERBX09QRVIoUVRSLDQvMS8yMDEwLDYvMzAvMjAxMCwsLFVTRCk=&amp;WINDOW=FIRST_POPUP&amp;HEIGH","T=450&amp;WIDTH=450&amp;START_MAXIMIZED=FALSE&amp;VAR:CALENDAR=US&amp;VAR:SYMBOL=LEN&amp;VAR:INDEX=0"}</definedName>
    <definedName name="_477__FDSAUDITLINK__" localSheetId="1" hidden="1">{"fdsup://directions/FAT Viewer?action=UPDATE&amp;creator=factset&amp;DYN_ARGS=TRUE&amp;DOC_NAME=FAT:FQL_AUDITING_CLIENT_TEMPLATE.FAT&amp;display_string=Audit&amp;VAR:KEY=XSDAFQVEVW&amp;VAR:QUERY=RkZfRUJJVERBX09QRVIoUVRSLDQvMS8yMDA5LDYvMzAvMjAwOSwsLFVTRCk=&amp;WINDOW=FIRST_POPUP&amp;HEIGH","T=450&amp;WIDTH=450&amp;START_MAXIMIZED=FALSE&amp;VAR:CALENDAR=US&amp;VAR:SYMBOL=LEG&amp;VAR:INDEX=0"}</definedName>
    <definedName name="_477__FDSAUDITLINK__" hidden="1">{"fdsup://directions/FAT Viewer?action=UPDATE&amp;creator=factset&amp;DYN_ARGS=TRUE&amp;DOC_NAME=FAT:FQL_AUDITING_CLIENT_TEMPLATE.FAT&amp;display_string=Audit&amp;VAR:KEY=XSDAFQVEVW&amp;VAR:QUERY=RkZfRUJJVERBX09QRVIoUVRSLDQvMS8yMDA5LDYvMzAvMjAwOSwsLFVTRCk=&amp;WINDOW=FIRST_POPUP&amp;HEIGH","T=450&amp;WIDTH=450&amp;START_MAXIMIZED=FALSE&amp;VAR:CALENDAR=US&amp;VAR:SYMBOL=LEG&amp;VAR:INDEX=0"}</definedName>
    <definedName name="_478__FDSAUDITLINK__" localSheetId="1" hidden="1">{"fdsup://directions/FAT Viewer?action=UPDATE&amp;creator=factset&amp;DYN_ARGS=TRUE&amp;DOC_NAME=FAT:FQL_AUDITING_CLIENT_TEMPLATE.FAT&amp;display_string=Audit&amp;VAR:KEY=DOTQFEZAFC&amp;VAR:QUERY=RkZfRUJJVERBX09QRVIoUVRSLDQvMS8yMDEwLDYvMzAvMjAxMCwsLFVTRCk=&amp;WINDOW=FIRST_POPUP&amp;HEIGH","T=450&amp;WIDTH=450&amp;START_MAXIMIZED=FALSE&amp;VAR:CALENDAR=US&amp;VAR:SYMBOL=LEG&amp;VAR:INDEX=0"}</definedName>
    <definedName name="_478__FDSAUDITLINK__" hidden="1">{"fdsup://directions/FAT Viewer?action=UPDATE&amp;creator=factset&amp;DYN_ARGS=TRUE&amp;DOC_NAME=FAT:FQL_AUDITING_CLIENT_TEMPLATE.FAT&amp;display_string=Audit&amp;VAR:KEY=DOTQFEZAFC&amp;VAR:QUERY=RkZfRUJJVERBX09QRVIoUVRSLDQvMS8yMDEwLDYvMzAvMjAxMCwsLFVTRCk=&amp;WINDOW=FIRST_POPUP&amp;HEIGH","T=450&amp;WIDTH=450&amp;START_MAXIMIZED=FALSE&amp;VAR:CALENDAR=US&amp;VAR:SYMBOL=LEG&amp;VAR:INDEX=0"}</definedName>
    <definedName name="_479__FDSAUDITLINK__" localSheetId="1" hidden="1">{"fdsup://directions/FAT Viewer?action=UPDATE&amp;creator=factset&amp;DYN_ARGS=TRUE&amp;DOC_NAME=FAT:FQL_AUDITING_CLIENT_TEMPLATE.FAT&amp;display_string=Audit&amp;VAR:KEY=HEXULUPUXG&amp;VAR:QUERY=RkZfRUJJVERBX09QRVIoUVRSLDQvMS8yMDA5LDYvMzAvMjAwOSwsLFVTRCk=&amp;WINDOW=FIRST_POPUP&amp;HEIGH","T=450&amp;WIDTH=450&amp;START_MAXIMIZED=FALSE&amp;VAR:CALENDAR=US&amp;VAR:SYMBOL=L&amp;VAR:INDEX=0"}</definedName>
    <definedName name="_479__FDSAUDITLINK__" hidden="1">{"fdsup://directions/FAT Viewer?action=UPDATE&amp;creator=factset&amp;DYN_ARGS=TRUE&amp;DOC_NAME=FAT:FQL_AUDITING_CLIENT_TEMPLATE.FAT&amp;display_string=Audit&amp;VAR:KEY=HEXULUPUXG&amp;VAR:QUERY=RkZfRUJJVERBX09QRVIoUVRSLDQvMS8yMDA5LDYvMzAvMjAwOSwsLFVTRCk=&amp;WINDOW=FIRST_POPUP&amp;HEIGH","T=450&amp;WIDTH=450&amp;START_MAXIMIZED=FALSE&amp;VAR:CALENDAR=US&amp;VAR:SYMBOL=L&amp;VAR:INDEX=0"}</definedName>
    <definedName name="_48__FDSAUDITLINK__" localSheetId="1" hidden="1">{"fdsup://directions/FAT Viewer?action=UPDATE&amp;creator=factset&amp;DYN_ARGS=TRUE&amp;DOC_NAME=FAT:FQL_AUDITING_CLIENT_TEMPLATE.FAT&amp;display_string=Audit&amp;VAR:KEY=TOHCPYDMNG&amp;VAR:QUERY=RkZfRUJJVERBX09QRVIoUVRSLDQvMS8yMDEwLDYvMzAvMjAxMCwsLFVTRCk=&amp;WINDOW=FIRST_POPUP&amp;HEIGH","T=450&amp;WIDTH=450&amp;START_MAXIMIZED=FALSE&amp;VAR:CALENDAR=US&amp;VAR:SYMBOL=WFR&amp;VAR:INDEX=0"}</definedName>
    <definedName name="_48__FDSAUDITLINK__" hidden="1">{"fdsup://directions/FAT Viewer?action=UPDATE&amp;creator=factset&amp;DYN_ARGS=TRUE&amp;DOC_NAME=FAT:FQL_AUDITING_CLIENT_TEMPLATE.FAT&amp;display_string=Audit&amp;VAR:KEY=TOHCPYDMNG&amp;VAR:QUERY=RkZfRUJJVERBX09QRVIoUVRSLDQvMS8yMDEwLDYvMzAvMjAxMCwsLFVTRCk=&amp;WINDOW=FIRST_POPUP&amp;HEIGH","T=450&amp;WIDTH=450&amp;START_MAXIMIZED=FALSE&amp;VAR:CALENDAR=US&amp;VAR:SYMBOL=WFR&amp;VAR:INDEX=0"}</definedName>
    <definedName name="_480__FDSAUDITLINK__" localSheetId="1" hidden="1">{"fdsup://directions/FAT Viewer?action=UPDATE&amp;creator=factset&amp;DYN_ARGS=TRUE&amp;DOC_NAME=FAT:FQL_AUDITING_CLIENT_TEMPLATE.FAT&amp;display_string=Audit&amp;VAR:KEY=PCXWLYJOXC&amp;VAR:QUERY=RkZfRUJJVERBX09QRVIoUVRSLDQvMS8yMDEwLDYvMzAvMjAxMCwsLFVTRCk=&amp;WINDOW=FIRST_POPUP&amp;HEIGH","T=450&amp;WIDTH=450&amp;START_MAXIMIZED=FALSE&amp;VAR:CALENDAR=US&amp;VAR:SYMBOL=L&amp;VAR:INDEX=0"}</definedName>
    <definedName name="_480__FDSAUDITLINK__" hidden="1">{"fdsup://directions/FAT Viewer?action=UPDATE&amp;creator=factset&amp;DYN_ARGS=TRUE&amp;DOC_NAME=FAT:FQL_AUDITING_CLIENT_TEMPLATE.FAT&amp;display_string=Audit&amp;VAR:KEY=PCXWLYJOXC&amp;VAR:QUERY=RkZfRUJJVERBX09QRVIoUVRSLDQvMS8yMDEwLDYvMzAvMjAxMCwsLFVTRCk=&amp;WINDOW=FIRST_POPUP&amp;HEIGH","T=450&amp;WIDTH=450&amp;START_MAXIMIZED=FALSE&amp;VAR:CALENDAR=US&amp;VAR:SYMBOL=L&amp;VAR:INDEX=0"}</definedName>
    <definedName name="_481__FDSAUDITLINK__" localSheetId="1" hidden="1">{"fdsup://directions/FAT Viewer?action=UPDATE&amp;creator=factset&amp;DYN_ARGS=TRUE&amp;DOC_NAME=FAT:FQL_AUDITING_CLIENT_TEMPLATE.FAT&amp;display_string=Audit&amp;VAR:KEY=ZUPUFWPULW&amp;VAR:QUERY=RkZfRUJJVERBX09QRVIoUVRSLDQvMS8yMDA5LDYvMzAvMjAwOSwsLFVTRCk=&amp;WINDOW=FIRST_POPUP&amp;HEIGH","T=450&amp;WIDTH=450&amp;START_MAXIMIZED=FALSE&amp;VAR:CALENDAR=US&amp;VAR:SYMBOL=KSS&amp;VAR:INDEX=0"}</definedName>
    <definedName name="_481__FDSAUDITLINK__" hidden="1">{"fdsup://directions/FAT Viewer?action=UPDATE&amp;creator=factset&amp;DYN_ARGS=TRUE&amp;DOC_NAME=FAT:FQL_AUDITING_CLIENT_TEMPLATE.FAT&amp;display_string=Audit&amp;VAR:KEY=ZUPUFWPULW&amp;VAR:QUERY=RkZfRUJJVERBX09QRVIoUVRSLDQvMS8yMDA5LDYvMzAvMjAwOSwsLFVTRCk=&amp;WINDOW=FIRST_POPUP&amp;HEIGH","T=450&amp;WIDTH=450&amp;START_MAXIMIZED=FALSE&amp;VAR:CALENDAR=US&amp;VAR:SYMBOL=KSS&amp;VAR:INDEX=0"}</definedName>
    <definedName name="_482__FDSAUDITLINK__" localSheetId="1" hidden="1">{"fdsup://directions/FAT Viewer?action=UPDATE&amp;creator=factset&amp;DYN_ARGS=TRUE&amp;DOC_NAME=FAT:FQL_AUDITING_CLIENT_TEMPLATE.FAT&amp;display_string=Audit&amp;VAR:KEY=PKJWJWVYXU&amp;VAR:QUERY=RkZfRUJJVERBX09QRVIoUVRSLDQvMS8yMDEwLDYvMzAvMjAxMCwsLFVTRCk=&amp;WINDOW=FIRST_POPUP&amp;HEIGH","T=450&amp;WIDTH=450&amp;START_MAXIMIZED=FALSE&amp;VAR:CALENDAR=US&amp;VAR:SYMBOL=KSS&amp;VAR:INDEX=0"}</definedName>
    <definedName name="_482__FDSAUDITLINK__" hidden="1">{"fdsup://directions/FAT Viewer?action=UPDATE&amp;creator=factset&amp;DYN_ARGS=TRUE&amp;DOC_NAME=FAT:FQL_AUDITING_CLIENT_TEMPLATE.FAT&amp;display_string=Audit&amp;VAR:KEY=PKJWJWVYXU&amp;VAR:QUERY=RkZfRUJJVERBX09QRVIoUVRSLDQvMS8yMDEwLDYvMzAvMjAxMCwsLFVTRCk=&amp;WINDOW=FIRST_POPUP&amp;HEIGH","T=450&amp;WIDTH=450&amp;START_MAXIMIZED=FALSE&amp;VAR:CALENDAR=US&amp;VAR:SYMBOL=KSS&amp;VAR:INDEX=0"}</definedName>
    <definedName name="_483__FDSAUDITLINK__" localSheetId="1" hidden="1">{"fdsup://directions/FAT Viewer?action=UPDATE&amp;creator=factset&amp;DYN_ARGS=TRUE&amp;DOC_NAME=FAT:FQL_AUDITING_CLIENT_TEMPLATE.FAT&amp;display_string=Audit&amp;VAR:KEY=FONKTUVGZW&amp;VAR:QUERY=RkZfRUJJVERBX09QRVIoUVRSLDQvMS8yMDA5LDYvMzAvMjAwOSwsLFVTRCk=&amp;WINDOW=FIRST_POPUP&amp;HEIGH","T=450&amp;WIDTH=450&amp;START_MAXIMIZED=FALSE&amp;VAR:CALENDAR=US&amp;VAR:SYMBOL=KR&amp;VAR:INDEX=0"}</definedName>
    <definedName name="_483__FDSAUDITLINK__" hidden="1">{"fdsup://directions/FAT Viewer?action=UPDATE&amp;creator=factset&amp;DYN_ARGS=TRUE&amp;DOC_NAME=FAT:FQL_AUDITING_CLIENT_TEMPLATE.FAT&amp;display_string=Audit&amp;VAR:KEY=FONKTUVGZW&amp;VAR:QUERY=RkZfRUJJVERBX09QRVIoUVRSLDQvMS8yMDA5LDYvMzAvMjAwOSwsLFVTRCk=&amp;WINDOW=FIRST_POPUP&amp;HEIGH","T=450&amp;WIDTH=450&amp;START_MAXIMIZED=FALSE&amp;VAR:CALENDAR=US&amp;VAR:SYMBOL=KR&amp;VAR:INDEX=0"}</definedName>
    <definedName name="_484__FDSAUDITLINK__" localSheetId="1" hidden="1">{"fdsup://directions/FAT Viewer?action=UPDATE&amp;creator=factset&amp;DYN_ARGS=TRUE&amp;DOC_NAME=FAT:FQL_AUDITING_CLIENT_TEMPLATE.FAT&amp;display_string=Audit&amp;VAR:KEY=POFODWVIFG&amp;VAR:QUERY=RkZfRUJJVERBX09QRVIoUVRSLDQvMS8yMDEwLDYvMzAvMjAxMCwsLFVTRCk=&amp;WINDOW=FIRST_POPUP&amp;HEIGH","T=450&amp;WIDTH=450&amp;START_MAXIMIZED=FALSE&amp;VAR:CALENDAR=US&amp;VAR:SYMBOL=KR&amp;VAR:INDEX=0"}</definedName>
    <definedName name="_484__FDSAUDITLINK__" hidden="1">{"fdsup://directions/FAT Viewer?action=UPDATE&amp;creator=factset&amp;DYN_ARGS=TRUE&amp;DOC_NAME=FAT:FQL_AUDITING_CLIENT_TEMPLATE.FAT&amp;display_string=Audit&amp;VAR:KEY=POFODWVIFG&amp;VAR:QUERY=RkZfRUJJVERBX09QRVIoUVRSLDQvMS8yMDEwLDYvMzAvMjAxMCwsLFVTRCk=&amp;WINDOW=FIRST_POPUP&amp;HEIGH","T=450&amp;WIDTH=450&amp;START_MAXIMIZED=FALSE&amp;VAR:CALENDAR=US&amp;VAR:SYMBOL=KR&amp;VAR:INDEX=0"}</definedName>
    <definedName name="_485__FDSAUDITLINK__" localSheetId="1" hidden="1">{"fdsup://directions/FAT Viewer?action=UPDATE&amp;creator=factset&amp;DYN_ARGS=TRUE&amp;DOC_NAME=FAT:FQL_AUDITING_CLIENT_TEMPLATE.FAT&amp;display_string=Audit&amp;VAR:KEY=FIBGZOPCHU&amp;VAR:QUERY=RkZfRUJJVERBX09QRVIoUVRSLDQvMS8yMDA5LDYvMzAvMjAwOSwsLFVTRCk=&amp;WINDOW=FIRST_POPUP&amp;HEIGH","T=450&amp;WIDTH=450&amp;START_MAXIMIZED=FALSE&amp;VAR:CALENDAR=US&amp;VAR:SYMBOL=KO&amp;VAR:INDEX=0"}</definedName>
    <definedName name="_485__FDSAUDITLINK__" hidden="1">{"fdsup://directions/FAT Viewer?action=UPDATE&amp;creator=factset&amp;DYN_ARGS=TRUE&amp;DOC_NAME=FAT:FQL_AUDITING_CLIENT_TEMPLATE.FAT&amp;display_string=Audit&amp;VAR:KEY=FIBGZOPCHU&amp;VAR:QUERY=RkZfRUJJVERBX09QRVIoUVRSLDQvMS8yMDA5LDYvMzAvMjAwOSwsLFVTRCk=&amp;WINDOW=FIRST_POPUP&amp;HEIGH","T=450&amp;WIDTH=450&amp;START_MAXIMIZED=FALSE&amp;VAR:CALENDAR=US&amp;VAR:SYMBOL=KO&amp;VAR:INDEX=0"}</definedName>
    <definedName name="_486__FDSAUDITLINK__" localSheetId="1" hidden="1">{"fdsup://directions/FAT Viewer?action=UPDATE&amp;creator=factset&amp;DYN_ARGS=TRUE&amp;DOC_NAME=FAT:FQL_AUDITING_CLIENT_TEMPLATE.FAT&amp;display_string=Audit&amp;VAR:KEY=JULSDOTKBU&amp;VAR:QUERY=RkZfRUJJVERBX09QRVIoUVRSLDQvMS8yMDEwLDYvMzAvMjAxMCwsLFVTRCk=&amp;WINDOW=FIRST_POPUP&amp;HEIGH","T=450&amp;WIDTH=450&amp;START_MAXIMIZED=FALSE&amp;VAR:CALENDAR=US&amp;VAR:SYMBOL=KO&amp;VAR:INDEX=0"}</definedName>
    <definedName name="_486__FDSAUDITLINK__" hidden="1">{"fdsup://directions/FAT Viewer?action=UPDATE&amp;creator=factset&amp;DYN_ARGS=TRUE&amp;DOC_NAME=FAT:FQL_AUDITING_CLIENT_TEMPLATE.FAT&amp;display_string=Audit&amp;VAR:KEY=JULSDOTKBU&amp;VAR:QUERY=RkZfRUJJVERBX09QRVIoUVRSLDQvMS8yMDEwLDYvMzAvMjAxMCwsLFVTRCk=&amp;WINDOW=FIRST_POPUP&amp;HEIGH","T=450&amp;WIDTH=450&amp;START_MAXIMIZED=FALSE&amp;VAR:CALENDAR=US&amp;VAR:SYMBOL=KO&amp;VAR:INDEX=0"}</definedName>
    <definedName name="_487__FDSAUDITLINK__" localSheetId="1" hidden="1">{"fdsup://directions/FAT Viewer?action=UPDATE&amp;creator=factset&amp;DYN_ARGS=TRUE&amp;DOC_NAME=FAT:FQL_AUDITING_CLIENT_TEMPLATE.FAT&amp;display_string=Audit&amp;VAR:KEY=LMBABUVERQ&amp;VAR:QUERY=RkZfRUJJVERBX09QRVIoUVRSLDQvMS8yMDA5LDYvMzAvMjAwOSwsLFVTRCk=&amp;WINDOW=FIRST_POPUP&amp;HEIGH","T=450&amp;WIDTH=450&amp;START_MAXIMIZED=FALSE&amp;VAR:CALENDAR=US&amp;VAR:SYMBOL=KMX&amp;VAR:INDEX=0"}</definedName>
    <definedName name="_487__FDSAUDITLINK__" hidden="1">{"fdsup://directions/FAT Viewer?action=UPDATE&amp;creator=factset&amp;DYN_ARGS=TRUE&amp;DOC_NAME=FAT:FQL_AUDITING_CLIENT_TEMPLATE.FAT&amp;display_string=Audit&amp;VAR:KEY=LMBABUVERQ&amp;VAR:QUERY=RkZfRUJJVERBX09QRVIoUVRSLDQvMS8yMDA5LDYvMzAvMjAwOSwsLFVTRCk=&amp;WINDOW=FIRST_POPUP&amp;HEIGH","T=450&amp;WIDTH=450&amp;START_MAXIMIZED=FALSE&amp;VAR:CALENDAR=US&amp;VAR:SYMBOL=KMX&amp;VAR:INDEX=0"}</definedName>
    <definedName name="_488__FDSAUDITLINK__" localSheetId="1" hidden="1">{"fdsup://directions/FAT Viewer?action=UPDATE&amp;creator=factset&amp;DYN_ARGS=TRUE&amp;DOC_NAME=FAT:FQL_AUDITING_CLIENT_TEMPLATE.FAT&amp;display_string=Audit&amp;VAR:KEY=ZAVQRGHMJK&amp;VAR:QUERY=RkZfRUJJVERBX09QRVIoUVRSLDQvMS8yMDEwLDYvMzAvMjAxMCwsLFVTRCk=&amp;WINDOW=FIRST_POPUP&amp;HEIGH","T=450&amp;WIDTH=450&amp;START_MAXIMIZED=FALSE&amp;VAR:CALENDAR=US&amp;VAR:SYMBOL=KMX&amp;VAR:INDEX=0"}</definedName>
    <definedName name="_488__FDSAUDITLINK__" hidden="1">{"fdsup://directions/FAT Viewer?action=UPDATE&amp;creator=factset&amp;DYN_ARGS=TRUE&amp;DOC_NAME=FAT:FQL_AUDITING_CLIENT_TEMPLATE.FAT&amp;display_string=Audit&amp;VAR:KEY=ZAVQRGHMJK&amp;VAR:QUERY=RkZfRUJJVERBX09QRVIoUVRSLDQvMS8yMDEwLDYvMzAvMjAxMCwsLFVTRCk=&amp;WINDOW=FIRST_POPUP&amp;HEIGH","T=450&amp;WIDTH=450&amp;START_MAXIMIZED=FALSE&amp;VAR:CALENDAR=US&amp;VAR:SYMBOL=KMX&amp;VAR:INDEX=0"}</definedName>
    <definedName name="_489__FDSAUDITLINK__" localSheetId="1" hidden="1">{"fdsup://directions/FAT Viewer?action=UPDATE&amp;creator=factset&amp;DYN_ARGS=TRUE&amp;DOC_NAME=FAT:FQL_AUDITING_CLIENT_TEMPLATE.FAT&amp;display_string=Audit&amp;VAR:KEY=LWLCHMXOFI&amp;VAR:QUERY=RkZfRUJJVERBX09QRVIoUVRSLDQvMS8yMDA5LDYvMzAvMjAwOSwsLFVTRCk=&amp;WINDOW=FIRST_POPUP&amp;HEIGH","T=450&amp;WIDTH=450&amp;START_MAXIMIZED=FALSE&amp;VAR:CALENDAR=US&amp;VAR:SYMBOL=KMB&amp;VAR:INDEX=0"}</definedName>
    <definedName name="_489__FDSAUDITLINK__" hidden="1">{"fdsup://directions/FAT Viewer?action=UPDATE&amp;creator=factset&amp;DYN_ARGS=TRUE&amp;DOC_NAME=FAT:FQL_AUDITING_CLIENT_TEMPLATE.FAT&amp;display_string=Audit&amp;VAR:KEY=LWLCHMXOFI&amp;VAR:QUERY=RkZfRUJJVERBX09QRVIoUVRSLDQvMS8yMDA5LDYvMzAvMjAwOSwsLFVTRCk=&amp;WINDOW=FIRST_POPUP&amp;HEIGH","T=450&amp;WIDTH=450&amp;START_MAXIMIZED=FALSE&amp;VAR:CALENDAR=US&amp;VAR:SYMBOL=KMB&amp;VAR:INDEX=0"}</definedName>
    <definedName name="_49__FDSAUDITLINK__" localSheetId="1" hidden="1">{"fdsup://directions/FAT Viewer?action=UPDATE&amp;creator=factset&amp;DYN_ARGS=TRUE&amp;DOC_NAME=FAT:FQL_AUDITING_CLIENT_TEMPLATE.FAT&amp;display_string=Audit&amp;VAR:KEY=NOLKBKHYNA&amp;VAR:QUERY=RkZfRUJJVERBX09QRVIoUVRSLDQvMS8yMDA5LDYvMzAvMjAwOSwsLFVTRCk=&amp;WINDOW=FIRST_POPUP&amp;HEIGH","T=450&amp;WIDTH=450&amp;START_MAXIMIZED=FALSE&amp;VAR:CALENDAR=US&amp;VAR:SYMBOL=WFMI&amp;VAR:INDEX=0"}</definedName>
    <definedName name="_49__FDSAUDITLINK__" hidden="1">{"fdsup://directions/FAT Viewer?action=UPDATE&amp;creator=factset&amp;DYN_ARGS=TRUE&amp;DOC_NAME=FAT:FQL_AUDITING_CLIENT_TEMPLATE.FAT&amp;display_string=Audit&amp;VAR:KEY=NOLKBKHYNA&amp;VAR:QUERY=RkZfRUJJVERBX09QRVIoUVRSLDQvMS8yMDA5LDYvMzAvMjAwOSwsLFVTRCk=&amp;WINDOW=FIRST_POPUP&amp;HEIGH","T=450&amp;WIDTH=450&amp;START_MAXIMIZED=FALSE&amp;VAR:CALENDAR=US&amp;VAR:SYMBOL=WFMI&amp;VAR:INDEX=0"}</definedName>
    <definedName name="_490__FDSAUDITLINK__" localSheetId="1" hidden="1">{"fdsup://directions/FAT Viewer?action=UPDATE&amp;creator=factset&amp;DYN_ARGS=TRUE&amp;DOC_NAME=FAT:FQL_AUDITING_CLIENT_TEMPLATE.FAT&amp;display_string=Audit&amp;VAR:KEY=NURSBYNCPI&amp;VAR:QUERY=RkZfRUJJVERBX09QRVIoUVRSLDQvMS8yMDEwLDYvMzAvMjAxMCwsLFVTRCk=&amp;WINDOW=FIRST_POPUP&amp;HEIGH","T=450&amp;WIDTH=450&amp;START_MAXIMIZED=FALSE&amp;VAR:CALENDAR=US&amp;VAR:SYMBOL=KMB&amp;VAR:INDEX=0"}</definedName>
    <definedName name="_490__FDSAUDITLINK__" hidden="1">{"fdsup://directions/FAT Viewer?action=UPDATE&amp;creator=factset&amp;DYN_ARGS=TRUE&amp;DOC_NAME=FAT:FQL_AUDITING_CLIENT_TEMPLATE.FAT&amp;display_string=Audit&amp;VAR:KEY=NURSBYNCPI&amp;VAR:QUERY=RkZfRUJJVERBX09QRVIoUVRSLDQvMS8yMDEwLDYvMzAvMjAxMCwsLFVTRCk=&amp;WINDOW=FIRST_POPUP&amp;HEIGH","T=450&amp;WIDTH=450&amp;START_MAXIMIZED=FALSE&amp;VAR:CALENDAR=US&amp;VAR:SYMBOL=KMB&amp;VAR:INDEX=0"}</definedName>
    <definedName name="_491__FDSAUDITLINK__" localSheetId="1" hidden="1">{"fdsup://directions/FAT Viewer?action=UPDATE&amp;creator=factset&amp;DYN_ARGS=TRUE&amp;DOC_NAME=FAT:FQL_AUDITING_CLIENT_TEMPLATE.FAT&amp;display_string=Audit&amp;VAR:KEY=VSJOHSTEZO&amp;VAR:QUERY=RkZfRUJJVERBX09QRVIoUVRSLDQvMS8yMDA5LDYvMzAvMjAwOSwsLFVTRCk=&amp;WINDOW=FIRST_POPUP&amp;HEIGH","T=450&amp;WIDTH=450&amp;START_MAXIMIZED=FALSE&amp;VAR:CALENDAR=US&amp;VAR:SYMBOL=KLAC&amp;VAR:INDEX=0"}</definedName>
    <definedName name="_491__FDSAUDITLINK__" hidden="1">{"fdsup://directions/FAT Viewer?action=UPDATE&amp;creator=factset&amp;DYN_ARGS=TRUE&amp;DOC_NAME=FAT:FQL_AUDITING_CLIENT_TEMPLATE.FAT&amp;display_string=Audit&amp;VAR:KEY=VSJOHSTEZO&amp;VAR:QUERY=RkZfRUJJVERBX09QRVIoUVRSLDQvMS8yMDA5LDYvMzAvMjAwOSwsLFVTRCk=&amp;WINDOW=FIRST_POPUP&amp;HEIGH","T=450&amp;WIDTH=450&amp;START_MAXIMIZED=FALSE&amp;VAR:CALENDAR=US&amp;VAR:SYMBOL=KLAC&amp;VAR:INDEX=0"}</definedName>
    <definedName name="_492__FDSAUDITLINK__" localSheetId="1" hidden="1">{"fdsup://directions/FAT Viewer?action=UPDATE&amp;creator=factset&amp;DYN_ARGS=TRUE&amp;DOC_NAME=FAT:FQL_AUDITING_CLIENT_TEMPLATE.FAT&amp;display_string=Audit&amp;VAR:KEY=NUXWFWBCPE&amp;VAR:QUERY=RkZfRUJJVERBX09QRVIoUVRSLDQvMS8yMDEwLDYvMzAvMjAxMCwsLFVTRCk=&amp;WINDOW=FIRST_POPUP&amp;HEIGH","T=450&amp;WIDTH=450&amp;START_MAXIMIZED=FALSE&amp;VAR:CALENDAR=US&amp;VAR:SYMBOL=KLAC&amp;VAR:INDEX=0"}</definedName>
    <definedName name="_492__FDSAUDITLINK__" hidden="1">{"fdsup://directions/FAT Viewer?action=UPDATE&amp;creator=factset&amp;DYN_ARGS=TRUE&amp;DOC_NAME=FAT:FQL_AUDITING_CLIENT_TEMPLATE.FAT&amp;display_string=Audit&amp;VAR:KEY=NUXWFWBCPE&amp;VAR:QUERY=RkZfRUJJVERBX09QRVIoUVRSLDQvMS8yMDEwLDYvMzAvMjAxMCwsLFVTRCk=&amp;WINDOW=FIRST_POPUP&amp;HEIGH","T=450&amp;WIDTH=450&amp;START_MAXIMIZED=FALSE&amp;VAR:CALENDAR=US&amp;VAR:SYMBOL=KLAC&amp;VAR:INDEX=0"}</definedName>
    <definedName name="_493__FDSAUDITLINK__" localSheetId="1" hidden="1">{"fdsup://directions/FAT Viewer?action=UPDATE&amp;creator=factset&amp;DYN_ARGS=TRUE&amp;DOC_NAME=FAT:FQL_AUDITING_CLIENT_TEMPLATE.FAT&amp;display_string=Audit&amp;VAR:KEY=NKPMNIDEPM&amp;VAR:QUERY=RkZfRUJJVERBX09QRVIoUVRSLDQvMS8yMDA5LDYvMzAvMjAwOSwsLFVTRCk=&amp;WINDOW=FIRST_POPUP&amp;HEIGH","T=450&amp;WIDTH=450&amp;START_MAXIMIZED=FALSE&amp;VAR:CALENDAR=US&amp;VAR:SYMBOL=KIM&amp;VAR:INDEX=0"}</definedName>
    <definedName name="_493__FDSAUDITLINK__" hidden="1">{"fdsup://directions/FAT Viewer?action=UPDATE&amp;creator=factset&amp;DYN_ARGS=TRUE&amp;DOC_NAME=FAT:FQL_AUDITING_CLIENT_TEMPLATE.FAT&amp;display_string=Audit&amp;VAR:KEY=NKPMNIDEPM&amp;VAR:QUERY=RkZfRUJJVERBX09QRVIoUVRSLDQvMS8yMDA5LDYvMzAvMjAwOSwsLFVTRCk=&amp;WINDOW=FIRST_POPUP&amp;HEIGH","T=450&amp;WIDTH=450&amp;START_MAXIMIZED=FALSE&amp;VAR:CALENDAR=US&amp;VAR:SYMBOL=KIM&amp;VAR:INDEX=0"}</definedName>
    <definedName name="_494__FDSAUDITLINK__" localSheetId="1" hidden="1">{"fdsup://directions/FAT Viewer?action=UPDATE&amp;creator=factset&amp;DYN_ARGS=TRUE&amp;DOC_NAME=FAT:FQL_AUDITING_CLIENT_TEMPLATE.FAT&amp;display_string=Audit&amp;VAR:KEY=FUROVKHORI&amp;VAR:QUERY=RkZfRUJJVERBX09QRVIoUVRSLDQvMS8yMDEwLDYvMzAvMjAxMCwsLFVTRCk=&amp;WINDOW=FIRST_POPUP&amp;HEIGH","T=450&amp;WIDTH=450&amp;START_MAXIMIZED=FALSE&amp;VAR:CALENDAR=US&amp;VAR:SYMBOL=KIM&amp;VAR:INDEX=0"}</definedName>
    <definedName name="_494__FDSAUDITLINK__" hidden="1">{"fdsup://directions/FAT Viewer?action=UPDATE&amp;creator=factset&amp;DYN_ARGS=TRUE&amp;DOC_NAME=FAT:FQL_AUDITING_CLIENT_TEMPLATE.FAT&amp;display_string=Audit&amp;VAR:KEY=FUROVKHORI&amp;VAR:QUERY=RkZfRUJJVERBX09QRVIoUVRSLDQvMS8yMDEwLDYvMzAvMjAxMCwsLFVTRCk=&amp;WINDOW=FIRST_POPUP&amp;HEIGH","T=450&amp;WIDTH=450&amp;START_MAXIMIZED=FALSE&amp;VAR:CALENDAR=US&amp;VAR:SYMBOL=KIM&amp;VAR:INDEX=0"}</definedName>
    <definedName name="_495__FDSAUDITLINK__" localSheetId="1" hidden="1">{"fdsup://directions/FAT Viewer?action=UPDATE&amp;creator=factset&amp;DYN_ARGS=TRUE&amp;DOC_NAME=FAT:FQL_AUDITING_CLIENT_TEMPLATE.FAT&amp;display_string=Audit&amp;VAR:KEY=PIRYLCZSZQ&amp;VAR:QUERY=RkZfRUJJVERBX09QRVIoUVRSLDQvMS8yMDA5LDYvMzAvMjAwOSwsLFVTRCk=&amp;WINDOW=FIRST_POPUP&amp;HEIGH","T=450&amp;WIDTH=450&amp;START_MAXIMIZED=FALSE&amp;VAR:CALENDAR=US&amp;VAR:SYMBOL=KG&amp;VAR:INDEX=0"}</definedName>
    <definedName name="_495__FDSAUDITLINK__" hidden="1">{"fdsup://directions/FAT Viewer?action=UPDATE&amp;creator=factset&amp;DYN_ARGS=TRUE&amp;DOC_NAME=FAT:FQL_AUDITING_CLIENT_TEMPLATE.FAT&amp;display_string=Audit&amp;VAR:KEY=PIRYLCZSZQ&amp;VAR:QUERY=RkZfRUJJVERBX09QRVIoUVRSLDQvMS8yMDA5LDYvMzAvMjAwOSwsLFVTRCk=&amp;WINDOW=FIRST_POPUP&amp;HEIGH","T=450&amp;WIDTH=450&amp;START_MAXIMIZED=FALSE&amp;VAR:CALENDAR=US&amp;VAR:SYMBOL=KG&amp;VAR:INDEX=0"}</definedName>
    <definedName name="_496__FDSAUDITLINK__" localSheetId="1" hidden="1">{"fdsup://directions/FAT Viewer?action=UPDATE&amp;creator=factset&amp;DYN_ARGS=TRUE&amp;DOC_NAME=FAT:FQL_AUDITING_CLIENT_TEMPLATE.FAT&amp;display_string=Audit&amp;VAR:KEY=XCLCVYZGXI&amp;VAR:QUERY=RkZfRUJJVERBX09QRVIoUVRSLDQvMS8yMDEwLDYvMzAvMjAxMCwsLFVTRCk=&amp;WINDOW=FIRST_POPUP&amp;HEIGH","T=450&amp;WIDTH=450&amp;START_MAXIMIZED=FALSE&amp;VAR:CALENDAR=US&amp;VAR:SYMBOL=KG&amp;VAR:INDEX=0"}</definedName>
    <definedName name="_496__FDSAUDITLINK__" hidden="1">{"fdsup://directions/FAT Viewer?action=UPDATE&amp;creator=factset&amp;DYN_ARGS=TRUE&amp;DOC_NAME=FAT:FQL_AUDITING_CLIENT_TEMPLATE.FAT&amp;display_string=Audit&amp;VAR:KEY=XCLCVYZGXI&amp;VAR:QUERY=RkZfRUJJVERBX09QRVIoUVRSLDQvMS8yMDEwLDYvMzAvMjAxMCwsLFVTRCk=&amp;WINDOW=FIRST_POPUP&amp;HEIGH","T=450&amp;WIDTH=450&amp;START_MAXIMIZED=FALSE&amp;VAR:CALENDAR=US&amp;VAR:SYMBOL=KG&amp;VAR:INDEX=0"}</definedName>
    <definedName name="_497__FDSAUDITLINK__" localSheetId="1" hidden="1">{"fdsup://directions/FAT Viewer?action=UPDATE&amp;creator=factset&amp;DYN_ARGS=TRUE&amp;DOC_NAME=FAT:FQL_AUDITING_CLIENT_TEMPLATE.FAT&amp;display_string=Audit&amp;VAR:KEY=PUDAPUTOZG&amp;VAR:QUERY=RkZfRUJJVERBX09QRVIoUVRSLDQvMS8yMDA5LDYvMzAvMjAwOSwsLFVTRCk=&amp;WINDOW=FIRST_POPUP&amp;HEIGH","T=450&amp;WIDTH=450&amp;START_MAXIMIZED=FALSE&amp;VAR:CALENDAR=US&amp;VAR:SYMBOL=KFT&amp;VAR:INDEX=0"}</definedName>
    <definedName name="_497__FDSAUDITLINK__" hidden="1">{"fdsup://directions/FAT Viewer?action=UPDATE&amp;creator=factset&amp;DYN_ARGS=TRUE&amp;DOC_NAME=FAT:FQL_AUDITING_CLIENT_TEMPLATE.FAT&amp;display_string=Audit&amp;VAR:KEY=PUDAPUTOZG&amp;VAR:QUERY=RkZfRUJJVERBX09QRVIoUVRSLDQvMS8yMDA5LDYvMzAvMjAwOSwsLFVTRCk=&amp;WINDOW=FIRST_POPUP&amp;HEIGH","T=450&amp;WIDTH=450&amp;START_MAXIMIZED=FALSE&amp;VAR:CALENDAR=US&amp;VAR:SYMBOL=KFT&amp;VAR:INDEX=0"}</definedName>
    <definedName name="_498__FDSAUDITLINK__" localSheetId="1" hidden="1">{"fdsup://directions/FAT Viewer?action=UPDATE&amp;creator=factset&amp;DYN_ARGS=TRUE&amp;DOC_NAME=FAT:FQL_AUDITING_CLIENT_TEMPLATE.FAT&amp;display_string=Audit&amp;VAR:KEY=DWXUBOLMRY&amp;VAR:QUERY=RkZfRUJJVERBX09QRVIoUVRSLDQvMS8yMDEwLDYvMzAvMjAxMCwsLFVTRCk=&amp;WINDOW=FIRST_POPUP&amp;HEIGH","T=450&amp;WIDTH=450&amp;START_MAXIMIZED=FALSE&amp;VAR:CALENDAR=US&amp;VAR:SYMBOL=KFT&amp;VAR:INDEX=0"}</definedName>
    <definedName name="_498__FDSAUDITLINK__" hidden="1">{"fdsup://directions/FAT Viewer?action=UPDATE&amp;creator=factset&amp;DYN_ARGS=TRUE&amp;DOC_NAME=FAT:FQL_AUDITING_CLIENT_TEMPLATE.FAT&amp;display_string=Audit&amp;VAR:KEY=DWXUBOLMRY&amp;VAR:QUERY=RkZfRUJJVERBX09QRVIoUVRSLDQvMS8yMDEwLDYvMzAvMjAxMCwsLFVTRCk=&amp;WINDOW=FIRST_POPUP&amp;HEIGH","T=450&amp;WIDTH=450&amp;START_MAXIMIZED=FALSE&amp;VAR:CALENDAR=US&amp;VAR:SYMBOL=KFT&amp;VAR:INDEX=0"}</definedName>
    <definedName name="_499__FDSAUDITLINK__" localSheetId="1" hidden="1">{"fdsup://directions/FAT Viewer?action=UPDATE&amp;creator=factset&amp;DYN_ARGS=TRUE&amp;DOC_NAME=FAT:FQL_AUDITING_CLIENT_TEMPLATE.FAT&amp;display_string=Audit&amp;VAR:KEY=NINOXUDMHG&amp;VAR:QUERY=RkZfRUJJVERBX09QRVIoUVRSLDQvMS8yMDA5LDYvMzAvMjAwOSwsLFVTRCk=&amp;WINDOW=FIRST_POPUP&amp;HEIGH","T=450&amp;WIDTH=450&amp;START_MAXIMIZED=FALSE&amp;VAR:CALENDAR=US&amp;VAR:SYMBOL=KEY&amp;VAR:INDEX=0"}</definedName>
    <definedName name="_499__FDSAUDITLINK__" hidden="1">{"fdsup://directions/FAT Viewer?action=UPDATE&amp;creator=factset&amp;DYN_ARGS=TRUE&amp;DOC_NAME=FAT:FQL_AUDITING_CLIENT_TEMPLATE.FAT&amp;display_string=Audit&amp;VAR:KEY=NINOXUDMHG&amp;VAR:QUERY=RkZfRUJJVERBX09QRVIoUVRSLDQvMS8yMDA5LDYvMzAvMjAwOSwsLFVTRCk=&amp;WINDOW=FIRST_POPUP&amp;HEIGH","T=450&amp;WIDTH=450&amp;START_MAXIMIZED=FALSE&amp;VAR:CALENDAR=US&amp;VAR:SYMBOL=KEY&amp;VAR:INDEX=0"}</definedName>
    <definedName name="_5__FDSAUDITLINK__" localSheetId="1" hidden="1">{"fdsup://directions/FAT Viewer?action=UPDATE&amp;creator=factset&amp;DYN_ARGS=TRUE&amp;DOC_NAME=FAT:FQL_AUDITING_CLIENT_TEMPLATE.FAT&amp;display_string=Audit&amp;VAR:KEY=XMPIFKRIZK&amp;VAR:QUERY=RkZfRUJJVERBX09QRVIoUVRSLDQvMS8yMDA5LDYvMzAvMjAwOSwsLFVTRCk=&amp;WINDOW=FIRST_POPUP&amp;HEIGH","T=450&amp;WIDTH=450&amp;START_MAXIMIZED=FALSE&amp;VAR:CALENDAR=US&amp;VAR:SYMBOL=YUM&amp;VAR:INDEX=0"}</definedName>
    <definedName name="_5__FDSAUDITLINK__" hidden="1">{"fdsup://directions/FAT Viewer?action=UPDATE&amp;creator=factset&amp;DYN_ARGS=TRUE&amp;DOC_NAME=FAT:FQL_AUDITING_CLIENT_TEMPLATE.FAT&amp;display_string=Audit&amp;VAR:KEY=XMPIFKRIZK&amp;VAR:QUERY=RkZfRUJJVERBX09QRVIoUVRSLDQvMS8yMDA5LDYvMzAvMjAwOSwsLFVTRCk=&amp;WINDOW=FIRST_POPUP&amp;HEIGH","T=450&amp;WIDTH=450&amp;START_MAXIMIZED=FALSE&amp;VAR:CALENDAR=US&amp;VAR:SYMBOL=YUM&amp;VAR:INDEX=0"}</definedName>
    <definedName name="_50__FDSAUDITLINK__" localSheetId="1" hidden="1">{"fdsup://directions/FAT Viewer?action=UPDATE&amp;creator=factset&amp;DYN_ARGS=TRUE&amp;DOC_NAME=FAT:FQL_AUDITING_CLIENT_TEMPLATE.FAT&amp;display_string=Audit&amp;VAR:KEY=LGDEHCPKNK&amp;VAR:QUERY=RkZfRUJJVERBX09QRVIoUVRSLDQvMS8yMDEwLDYvMzAvMjAxMCwsLFVTRCk=&amp;WINDOW=FIRST_POPUP&amp;HEIGH","T=450&amp;WIDTH=450&amp;START_MAXIMIZED=FALSE&amp;VAR:CALENDAR=US&amp;VAR:SYMBOL=WFMI&amp;VAR:INDEX=0"}</definedName>
    <definedName name="_50__FDSAUDITLINK__" hidden="1">{"fdsup://directions/FAT Viewer?action=UPDATE&amp;creator=factset&amp;DYN_ARGS=TRUE&amp;DOC_NAME=FAT:FQL_AUDITING_CLIENT_TEMPLATE.FAT&amp;display_string=Audit&amp;VAR:KEY=LGDEHCPKNK&amp;VAR:QUERY=RkZfRUJJVERBX09QRVIoUVRSLDQvMS8yMDEwLDYvMzAvMjAxMCwsLFVTRCk=&amp;WINDOW=FIRST_POPUP&amp;HEIGH","T=450&amp;WIDTH=450&amp;START_MAXIMIZED=FALSE&amp;VAR:CALENDAR=US&amp;VAR:SYMBOL=WFMI&amp;VAR:INDEX=0"}</definedName>
    <definedName name="_500__FDSAUDITLINK__" localSheetId="1" hidden="1">{"fdsup://directions/FAT Viewer?action=UPDATE&amp;creator=factset&amp;DYN_ARGS=TRUE&amp;DOC_NAME=FAT:FQL_AUDITING_CLIENT_TEMPLATE.FAT&amp;display_string=Audit&amp;VAR:KEY=FADWLKBWPA&amp;VAR:QUERY=RkZfRUJJVERBX09QRVIoUVRSLDQvMS8yMDEwLDYvMzAvMjAxMCwsLFVTRCk=&amp;WINDOW=FIRST_POPUP&amp;HEIGH","T=450&amp;WIDTH=450&amp;START_MAXIMIZED=FALSE&amp;VAR:CALENDAR=US&amp;VAR:SYMBOL=KEY&amp;VAR:INDEX=0"}</definedName>
    <definedName name="_500__FDSAUDITLINK__" hidden="1">{"fdsup://directions/FAT Viewer?action=UPDATE&amp;creator=factset&amp;DYN_ARGS=TRUE&amp;DOC_NAME=FAT:FQL_AUDITING_CLIENT_TEMPLATE.FAT&amp;display_string=Audit&amp;VAR:KEY=FADWLKBWPA&amp;VAR:QUERY=RkZfRUJJVERBX09QRVIoUVRSLDQvMS8yMDEwLDYvMzAvMjAxMCwsLFVTRCk=&amp;WINDOW=FIRST_POPUP&amp;HEIGH","T=450&amp;WIDTH=450&amp;START_MAXIMIZED=FALSE&amp;VAR:CALENDAR=US&amp;VAR:SYMBOL=KEY&amp;VAR:INDEX=0"}</definedName>
    <definedName name="_501__FDSAUDITLINK__" localSheetId="1" hidden="1">{"fdsup://directions/FAT Viewer?action=UPDATE&amp;creator=factset&amp;DYN_ARGS=TRUE&amp;DOC_NAME=FAT:FQL_AUDITING_CLIENT_TEMPLATE.FAT&amp;display_string=Audit&amp;VAR:KEY=TIRCFOBCXE&amp;VAR:QUERY=RkZfRUJJVERBX09QRVIoUVRSLDQvMS8yMDA5LDYvMzAvMjAwOSwsLFVTRCk=&amp;WINDOW=FIRST_POPUP&amp;HEIGH","T=450&amp;WIDTH=450&amp;START_MAXIMIZED=FALSE&amp;VAR:CALENDAR=US&amp;VAR:SYMBOL=K&amp;VAR:INDEX=0"}</definedName>
    <definedName name="_501__FDSAUDITLINK__" hidden="1">{"fdsup://directions/FAT Viewer?action=UPDATE&amp;creator=factset&amp;DYN_ARGS=TRUE&amp;DOC_NAME=FAT:FQL_AUDITING_CLIENT_TEMPLATE.FAT&amp;display_string=Audit&amp;VAR:KEY=TIRCFOBCXE&amp;VAR:QUERY=RkZfRUJJVERBX09QRVIoUVRSLDQvMS8yMDA5LDYvMzAvMjAwOSwsLFVTRCk=&amp;WINDOW=FIRST_POPUP&amp;HEIGH","T=450&amp;WIDTH=450&amp;START_MAXIMIZED=FALSE&amp;VAR:CALENDAR=US&amp;VAR:SYMBOL=K&amp;VAR:INDEX=0"}</definedName>
    <definedName name="_502__FDSAUDITLINK__" localSheetId="1" hidden="1">{"fdsup://directions/FAT Viewer?action=UPDATE&amp;creator=factset&amp;DYN_ARGS=TRUE&amp;DOC_NAME=FAT:FQL_AUDITING_CLIENT_TEMPLATE.FAT&amp;display_string=Audit&amp;VAR:KEY=LSTMVSZMBY&amp;VAR:QUERY=RkZfRUJJVERBX09QRVIoUVRSLDQvMS8yMDEwLDYvMzAvMjAxMCwsLFVTRCk=&amp;WINDOW=FIRST_POPUP&amp;HEIGH","T=450&amp;WIDTH=450&amp;START_MAXIMIZED=FALSE&amp;VAR:CALENDAR=US&amp;VAR:SYMBOL=K&amp;VAR:INDEX=0"}</definedName>
    <definedName name="_502__FDSAUDITLINK__" hidden="1">{"fdsup://directions/FAT Viewer?action=UPDATE&amp;creator=factset&amp;DYN_ARGS=TRUE&amp;DOC_NAME=FAT:FQL_AUDITING_CLIENT_TEMPLATE.FAT&amp;display_string=Audit&amp;VAR:KEY=LSTMVSZMBY&amp;VAR:QUERY=RkZfRUJJVERBX09QRVIoUVRSLDQvMS8yMDEwLDYvMzAvMjAxMCwsLFVTRCk=&amp;WINDOW=FIRST_POPUP&amp;HEIGH","T=450&amp;WIDTH=450&amp;START_MAXIMIZED=FALSE&amp;VAR:CALENDAR=US&amp;VAR:SYMBOL=K&amp;VAR:INDEX=0"}</definedName>
    <definedName name="_503__FDSAUDITLINK__" localSheetId="1" hidden="1">{"fdsup://directions/FAT Viewer?action=UPDATE&amp;creator=factset&amp;DYN_ARGS=TRUE&amp;DOC_NAME=FAT:FQL_AUDITING_CLIENT_TEMPLATE.FAT&amp;display_string=Audit&amp;VAR:KEY=DKLQPGBAHU&amp;VAR:QUERY=RkZfRUJJVERBX09QRVIoUVRSLDQvMS8yMDA5LDYvMzAvMjAwOSwsLFVTRCk=&amp;WINDOW=FIRST_POPUP&amp;HEIGH","T=450&amp;WIDTH=450&amp;START_MAXIMIZED=FALSE&amp;VAR:CALENDAR=US&amp;VAR:SYMBOL=JWN&amp;VAR:INDEX=0"}</definedName>
    <definedName name="_503__FDSAUDITLINK__" hidden="1">{"fdsup://directions/FAT Viewer?action=UPDATE&amp;creator=factset&amp;DYN_ARGS=TRUE&amp;DOC_NAME=FAT:FQL_AUDITING_CLIENT_TEMPLATE.FAT&amp;display_string=Audit&amp;VAR:KEY=DKLQPGBAHU&amp;VAR:QUERY=RkZfRUJJVERBX09QRVIoUVRSLDQvMS8yMDA5LDYvMzAvMjAwOSwsLFVTRCk=&amp;WINDOW=FIRST_POPUP&amp;HEIGH","T=450&amp;WIDTH=450&amp;START_MAXIMIZED=FALSE&amp;VAR:CALENDAR=US&amp;VAR:SYMBOL=JWN&amp;VAR:INDEX=0"}</definedName>
    <definedName name="_504__FDSAUDITLINK__" localSheetId="1" hidden="1">{"fdsup://directions/FAT Viewer?action=UPDATE&amp;creator=factset&amp;DYN_ARGS=TRUE&amp;DOC_NAME=FAT:FQL_AUDITING_CLIENT_TEMPLATE.FAT&amp;display_string=Audit&amp;VAR:KEY=XQVSPMBOFM&amp;VAR:QUERY=RkZfRUJJVERBX09QRVIoUVRSLDQvMS8yMDEwLDYvMzAvMjAxMCwsLFVTRCk=&amp;WINDOW=FIRST_POPUP&amp;HEIGH","T=450&amp;WIDTH=450&amp;START_MAXIMIZED=FALSE&amp;VAR:CALENDAR=US&amp;VAR:SYMBOL=JWN&amp;VAR:INDEX=0"}</definedName>
    <definedName name="_504__FDSAUDITLINK__" hidden="1">{"fdsup://directions/FAT Viewer?action=UPDATE&amp;creator=factset&amp;DYN_ARGS=TRUE&amp;DOC_NAME=FAT:FQL_AUDITING_CLIENT_TEMPLATE.FAT&amp;display_string=Audit&amp;VAR:KEY=XQVSPMBOFM&amp;VAR:QUERY=RkZfRUJJVERBX09QRVIoUVRSLDQvMS8yMDEwLDYvMzAvMjAxMCwsLFVTRCk=&amp;WINDOW=FIRST_POPUP&amp;HEIGH","T=450&amp;WIDTH=450&amp;START_MAXIMIZED=FALSE&amp;VAR:CALENDAR=US&amp;VAR:SYMBOL=JWN&amp;VAR:INDEX=0"}</definedName>
    <definedName name="_505__FDSAUDITLINK__" localSheetId="1" hidden="1">{"fdsup://directions/FAT Viewer?action=UPDATE&amp;creator=factset&amp;DYN_ARGS=TRUE&amp;DOC_NAME=FAT:FQL_AUDITING_CLIENT_TEMPLATE.FAT&amp;display_string=Audit&amp;VAR:KEY=XILIPAVIJG&amp;VAR:QUERY=RkZfRUJJVERBX09QRVIoUVRSLDQvMS8yMDA5LDYvMzAvMjAwOSwsLFVTRCk=&amp;WINDOW=FIRST_POPUP&amp;HEIGH","T=450&amp;WIDTH=450&amp;START_MAXIMIZED=FALSE&amp;VAR:CALENDAR=US&amp;VAR:SYMBOL=JPM&amp;VAR:INDEX=0"}</definedName>
    <definedName name="_505__FDSAUDITLINK__" hidden="1">{"fdsup://directions/FAT Viewer?action=UPDATE&amp;creator=factset&amp;DYN_ARGS=TRUE&amp;DOC_NAME=FAT:FQL_AUDITING_CLIENT_TEMPLATE.FAT&amp;display_string=Audit&amp;VAR:KEY=XILIPAVIJG&amp;VAR:QUERY=RkZfRUJJVERBX09QRVIoUVRSLDQvMS8yMDA5LDYvMzAvMjAwOSwsLFVTRCk=&amp;WINDOW=FIRST_POPUP&amp;HEIGH","T=450&amp;WIDTH=450&amp;START_MAXIMIZED=FALSE&amp;VAR:CALENDAR=US&amp;VAR:SYMBOL=JPM&amp;VAR:INDEX=0"}</definedName>
    <definedName name="_506__FDSAUDITLINK__" localSheetId="1" hidden="1">{"fdsup://directions/FAT Viewer?action=UPDATE&amp;creator=factset&amp;DYN_ARGS=TRUE&amp;DOC_NAME=FAT:FQL_AUDITING_CLIENT_TEMPLATE.FAT&amp;display_string=Audit&amp;VAR:KEY=TIDINWTKZU&amp;VAR:QUERY=RkZfRUJJVERBX09QRVIoUVRSLDQvMS8yMDEwLDYvMzAvMjAxMCwsLFVTRCk=&amp;WINDOW=FIRST_POPUP&amp;HEIGH","T=450&amp;WIDTH=450&amp;START_MAXIMIZED=FALSE&amp;VAR:CALENDAR=US&amp;VAR:SYMBOL=JPM&amp;VAR:INDEX=0"}</definedName>
    <definedName name="_506__FDSAUDITLINK__" hidden="1">{"fdsup://directions/FAT Viewer?action=UPDATE&amp;creator=factset&amp;DYN_ARGS=TRUE&amp;DOC_NAME=FAT:FQL_AUDITING_CLIENT_TEMPLATE.FAT&amp;display_string=Audit&amp;VAR:KEY=TIDINWTKZU&amp;VAR:QUERY=RkZfRUJJVERBX09QRVIoUVRSLDQvMS8yMDEwLDYvMzAvMjAxMCwsLFVTRCk=&amp;WINDOW=FIRST_POPUP&amp;HEIGH","T=450&amp;WIDTH=450&amp;START_MAXIMIZED=FALSE&amp;VAR:CALENDAR=US&amp;VAR:SYMBOL=JPM&amp;VAR:INDEX=0"}</definedName>
    <definedName name="_507__FDSAUDITLINK__" localSheetId="1" hidden="1">{"fdsup://directions/FAT Viewer?action=UPDATE&amp;creator=factset&amp;DYN_ARGS=TRUE&amp;DOC_NAME=FAT:FQL_AUDITING_CLIENT_TEMPLATE.FAT&amp;display_string=Audit&amp;VAR:KEY=FAHKBCNCPQ&amp;VAR:QUERY=RkZfRUJJVERBX09QRVIoUVRSLDQvMS8yMDA5LDYvMzAvMjAwOSwsLFVTRCk=&amp;WINDOW=FIRST_POPUP&amp;HEIGH","T=450&amp;WIDTH=450&amp;START_MAXIMIZED=FALSE&amp;VAR:CALENDAR=US&amp;VAR:SYMBOL=JNS&amp;VAR:INDEX=0"}</definedName>
    <definedName name="_507__FDSAUDITLINK__" hidden="1">{"fdsup://directions/FAT Viewer?action=UPDATE&amp;creator=factset&amp;DYN_ARGS=TRUE&amp;DOC_NAME=FAT:FQL_AUDITING_CLIENT_TEMPLATE.FAT&amp;display_string=Audit&amp;VAR:KEY=FAHKBCNCPQ&amp;VAR:QUERY=RkZfRUJJVERBX09QRVIoUVRSLDQvMS8yMDA5LDYvMzAvMjAwOSwsLFVTRCk=&amp;WINDOW=FIRST_POPUP&amp;HEIGH","T=450&amp;WIDTH=450&amp;START_MAXIMIZED=FALSE&amp;VAR:CALENDAR=US&amp;VAR:SYMBOL=JNS&amp;VAR:INDEX=0"}</definedName>
    <definedName name="_508__FDSAUDITLINK__" localSheetId="1" hidden="1">{"fdsup://directions/FAT Viewer?action=UPDATE&amp;creator=factset&amp;DYN_ARGS=TRUE&amp;DOC_NAME=FAT:FQL_AUDITING_CLIENT_TEMPLATE.FAT&amp;display_string=Audit&amp;VAR:KEY=FOHSNILKVO&amp;VAR:QUERY=RkZfRUJJVERBX09QRVIoUVRSLDQvMS8yMDEwLDYvMzAvMjAxMCwsLFVTRCk=&amp;WINDOW=FIRST_POPUP&amp;HEIGH","T=450&amp;WIDTH=450&amp;START_MAXIMIZED=FALSE&amp;VAR:CALENDAR=US&amp;VAR:SYMBOL=JNS&amp;VAR:INDEX=0"}</definedName>
    <definedName name="_508__FDSAUDITLINK__" hidden="1">{"fdsup://directions/FAT Viewer?action=UPDATE&amp;creator=factset&amp;DYN_ARGS=TRUE&amp;DOC_NAME=FAT:FQL_AUDITING_CLIENT_TEMPLATE.FAT&amp;display_string=Audit&amp;VAR:KEY=FOHSNILKVO&amp;VAR:QUERY=RkZfRUJJVERBX09QRVIoUVRSLDQvMS8yMDEwLDYvMzAvMjAxMCwsLFVTRCk=&amp;WINDOW=FIRST_POPUP&amp;HEIGH","T=450&amp;WIDTH=450&amp;START_MAXIMIZED=FALSE&amp;VAR:CALENDAR=US&amp;VAR:SYMBOL=JNS&amp;VAR:INDEX=0"}</definedName>
    <definedName name="_509__FDSAUDITLINK__" localSheetId="1" hidden="1">{"fdsup://directions/FAT Viewer?action=UPDATE&amp;creator=factset&amp;DYN_ARGS=TRUE&amp;DOC_NAME=FAT:FQL_AUDITING_CLIENT_TEMPLATE.FAT&amp;display_string=Audit&amp;VAR:KEY=HQNKJMRWFU&amp;VAR:QUERY=RkZfRUJJVERBX09QRVIoUVRSLDQvMS8yMDA5LDYvMzAvMjAwOSwsLFVTRCk=&amp;WINDOW=FIRST_POPUP&amp;HEIGH","T=450&amp;WIDTH=450&amp;START_MAXIMIZED=FALSE&amp;VAR:CALENDAR=US&amp;VAR:SYMBOL=JNPR&amp;VAR:INDEX=0"}</definedName>
    <definedName name="_509__FDSAUDITLINK__" hidden="1">{"fdsup://directions/FAT Viewer?action=UPDATE&amp;creator=factset&amp;DYN_ARGS=TRUE&amp;DOC_NAME=FAT:FQL_AUDITING_CLIENT_TEMPLATE.FAT&amp;display_string=Audit&amp;VAR:KEY=HQNKJMRWFU&amp;VAR:QUERY=RkZfRUJJVERBX09QRVIoUVRSLDQvMS8yMDA5LDYvMzAvMjAwOSwsLFVTRCk=&amp;WINDOW=FIRST_POPUP&amp;HEIGH","T=450&amp;WIDTH=450&amp;START_MAXIMIZED=FALSE&amp;VAR:CALENDAR=US&amp;VAR:SYMBOL=JNPR&amp;VAR:INDEX=0"}</definedName>
    <definedName name="_51__FDSAUDITLINK__" localSheetId="1" hidden="1">{"fdsup://directions/FAT Viewer?action=UPDATE&amp;creator=factset&amp;DYN_ARGS=TRUE&amp;DOC_NAME=FAT:FQL_AUDITING_CLIENT_TEMPLATE.FAT&amp;display_string=Audit&amp;VAR:KEY=JYZAXGLINI&amp;VAR:QUERY=RkZfRUJJVERBX09QRVIoUVRSLDQvMS8yMDA5LDYvMzAvMjAwOSwsLFVTRCk=&amp;WINDOW=FIRST_POPUP&amp;HEIGH","T=450&amp;WIDTH=450&amp;START_MAXIMIZED=FALSE&amp;VAR:CALENDAR=US&amp;VAR:SYMBOL=WFC&amp;VAR:INDEX=0"}</definedName>
    <definedName name="_51__FDSAUDITLINK__" hidden="1">{"fdsup://directions/FAT Viewer?action=UPDATE&amp;creator=factset&amp;DYN_ARGS=TRUE&amp;DOC_NAME=FAT:FQL_AUDITING_CLIENT_TEMPLATE.FAT&amp;display_string=Audit&amp;VAR:KEY=JYZAXGLINI&amp;VAR:QUERY=RkZfRUJJVERBX09QRVIoUVRSLDQvMS8yMDA5LDYvMzAvMjAwOSwsLFVTRCk=&amp;WINDOW=FIRST_POPUP&amp;HEIGH","T=450&amp;WIDTH=450&amp;START_MAXIMIZED=FALSE&amp;VAR:CALENDAR=US&amp;VAR:SYMBOL=WFC&amp;VAR:INDEX=0"}</definedName>
    <definedName name="_510__FDSAUDITLINK__" localSheetId="1" hidden="1">{"fdsup://directions/FAT Viewer?action=UPDATE&amp;creator=factset&amp;DYN_ARGS=TRUE&amp;DOC_NAME=FAT:FQL_AUDITING_CLIENT_TEMPLATE.FAT&amp;display_string=Audit&amp;VAR:KEY=VSTCJAFKJU&amp;VAR:QUERY=RkZfRUJJVERBX09QRVIoUVRSLDQvMS8yMDEwLDYvMzAvMjAxMCwsLFVTRCk=&amp;WINDOW=FIRST_POPUP&amp;HEIGH","T=450&amp;WIDTH=450&amp;START_MAXIMIZED=FALSE&amp;VAR:CALENDAR=US&amp;VAR:SYMBOL=JNPR&amp;VAR:INDEX=0"}</definedName>
    <definedName name="_510__FDSAUDITLINK__" hidden="1">{"fdsup://directions/FAT Viewer?action=UPDATE&amp;creator=factset&amp;DYN_ARGS=TRUE&amp;DOC_NAME=FAT:FQL_AUDITING_CLIENT_TEMPLATE.FAT&amp;display_string=Audit&amp;VAR:KEY=VSTCJAFKJU&amp;VAR:QUERY=RkZfRUJJVERBX09QRVIoUVRSLDQvMS8yMDEwLDYvMzAvMjAxMCwsLFVTRCk=&amp;WINDOW=FIRST_POPUP&amp;HEIGH","T=450&amp;WIDTH=450&amp;START_MAXIMIZED=FALSE&amp;VAR:CALENDAR=US&amp;VAR:SYMBOL=JNPR&amp;VAR:INDEX=0"}</definedName>
    <definedName name="_511__FDSAUDITLINK__" localSheetId="1" hidden="1">{"fdsup://directions/FAT Viewer?action=UPDATE&amp;creator=factset&amp;DYN_ARGS=TRUE&amp;DOC_NAME=FAT:FQL_AUDITING_CLIENT_TEMPLATE.FAT&amp;display_string=Audit&amp;VAR:KEY=VWFKNCTUDO&amp;VAR:QUERY=RkZfRUJJVERBX09QRVIoUVRSLDQvMS8yMDA5LDYvMzAvMjAwOSwsLFVTRCk=&amp;WINDOW=FIRST_POPUP&amp;HEIGH","T=450&amp;WIDTH=450&amp;START_MAXIMIZED=FALSE&amp;VAR:CALENDAR=US&amp;VAR:SYMBOL=JNJ&amp;VAR:INDEX=0"}</definedName>
    <definedName name="_511__FDSAUDITLINK__" hidden="1">{"fdsup://directions/FAT Viewer?action=UPDATE&amp;creator=factset&amp;DYN_ARGS=TRUE&amp;DOC_NAME=FAT:FQL_AUDITING_CLIENT_TEMPLATE.FAT&amp;display_string=Audit&amp;VAR:KEY=VWFKNCTUDO&amp;VAR:QUERY=RkZfRUJJVERBX09QRVIoUVRSLDQvMS8yMDA5LDYvMzAvMjAwOSwsLFVTRCk=&amp;WINDOW=FIRST_POPUP&amp;HEIGH","T=450&amp;WIDTH=450&amp;START_MAXIMIZED=FALSE&amp;VAR:CALENDAR=US&amp;VAR:SYMBOL=JNJ&amp;VAR:INDEX=0"}</definedName>
    <definedName name="_512__FDSAUDITLINK__" localSheetId="1" hidden="1">{"fdsup://directions/FAT Viewer?action=UPDATE&amp;creator=factset&amp;DYN_ARGS=TRUE&amp;DOC_NAME=FAT:FQL_AUDITING_CLIENT_TEMPLATE.FAT&amp;display_string=Audit&amp;VAR:KEY=XQLOLUXYHG&amp;VAR:QUERY=RkZfRUJJVERBX09QRVIoUVRSLDQvMS8yMDEwLDYvMzAvMjAxMCwsLFVTRCk=&amp;WINDOW=FIRST_POPUP&amp;HEIGH","T=450&amp;WIDTH=450&amp;START_MAXIMIZED=FALSE&amp;VAR:CALENDAR=US&amp;VAR:SYMBOL=JNJ&amp;VAR:INDEX=0"}</definedName>
    <definedName name="_512__FDSAUDITLINK__" hidden="1">{"fdsup://directions/FAT Viewer?action=UPDATE&amp;creator=factset&amp;DYN_ARGS=TRUE&amp;DOC_NAME=FAT:FQL_AUDITING_CLIENT_TEMPLATE.FAT&amp;display_string=Audit&amp;VAR:KEY=XQLOLUXYHG&amp;VAR:QUERY=RkZfRUJJVERBX09QRVIoUVRSLDQvMS8yMDEwLDYvMzAvMjAxMCwsLFVTRCk=&amp;WINDOW=FIRST_POPUP&amp;HEIGH","T=450&amp;WIDTH=450&amp;START_MAXIMIZED=FALSE&amp;VAR:CALENDAR=US&amp;VAR:SYMBOL=JNJ&amp;VAR:INDEX=0"}</definedName>
    <definedName name="_513__FDSAUDITLINK__" localSheetId="1" hidden="1">{"fdsup://directions/FAT Viewer?action=UPDATE&amp;creator=factset&amp;DYN_ARGS=TRUE&amp;DOC_NAME=FAT:FQL_AUDITING_CLIENT_TEMPLATE.FAT&amp;display_string=Audit&amp;VAR:KEY=VKFOXOHMTA&amp;VAR:QUERY=RkZfRUJJVERBX09QRVIoUVRSLDQvMS8yMDA5LDYvMzAvMjAwOSwsLFVTRCk=&amp;WINDOW=FIRST_POPUP&amp;HEIGH","T=450&amp;WIDTH=450&amp;START_MAXIMIZED=FALSE&amp;VAR:CALENDAR=US&amp;VAR:SYMBOL=JEC&amp;VAR:INDEX=0"}</definedName>
    <definedName name="_513__FDSAUDITLINK__" hidden="1">{"fdsup://directions/FAT Viewer?action=UPDATE&amp;creator=factset&amp;DYN_ARGS=TRUE&amp;DOC_NAME=FAT:FQL_AUDITING_CLIENT_TEMPLATE.FAT&amp;display_string=Audit&amp;VAR:KEY=VKFOXOHMTA&amp;VAR:QUERY=RkZfRUJJVERBX09QRVIoUVRSLDQvMS8yMDA5LDYvMzAvMjAwOSwsLFVTRCk=&amp;WINDOW=FIRST_POPUP&amp;HEIGH","T=450&amp;WIDTH=450&amp;START_MAXIMIZED=FALSE&amp;VAR:CALENDAR=US&amp;VAR:SYMBOL=JEC&amp;VAR:INDEX=0"}</definedName>
    <definedName name="_514__FDSAUDITLINK__" localSheetId="1" hidden="1">{"fdsup://directions/FAT Viewer?action=UPDATE&amp;creator=factset&amp;DYN_ARGS=TRUE&amp;DOC_NAME=FAT:FQL_AUDITING_CLIENT_TEMPLATE.FAT&amp;display_string=Audit&amp;VAR:KEY=FSLWJAZCDA&amp;VAR:QUERY=RkZfRUJJVERBX09QRVIoUVRSLDQvMS8yMDEwLDYvMzAvMjAxMCwsLFVTRCk=&amp;WINDOW=FIRST_POPUP&amp;HEIGH","T=450&amp;WIDTH=450&amp;START_MAXIMIZED=FALSE&amp;VAR:CALENDAR=US&amp;VAR:SYMBOL=JEC&amp;VAR:INDEX=0"}</definedName>
    <definedName name="_514__FDSAUDITLINK__" hidden="1">{"fdsup://directions/FAT Viewer?action=UPDATE&amp;creator=factset&amp;DYN_ARGS=TRUE&amp;DOC_NAME=FAT:FQL_AUDITING_CLIENT_TEMPLATE.FAT&amp;display_string=Audit&amp;VAR:KEY=FSLWJAZCDA&amp;VAR:QUERY=RkZfRUJJVERBX09QRVIoUVRSLDQvMS8yMDEwLDYvMzAvMjAxMCwsLFVTRCk=&amp;WINDOW=FIRST_POPUP&amp;HEIGH","T=450&amp;WIDTH=450&amp;START_MAXIMIZED=FALSE&amp;VAR:CALENDAR=US&amp;VAR:SYMBOL=JEC&amp;VAR:INDEX=0"}</definedName>
    <definedName name="_515__FDSAUDITLINK__" localSheetId="1" hidden="1">{"fdsup://directions/FAT Viewer?action=UPDATE&amp;creator=factset&amp;DYN_ARGS=TRUE&amp;DOC_NAME=FAT:FQL_AUDITING_CLIENT_TEMPLATE.FAT&amp;display_string=Audit&amp;VAR:KEY=DCNKROLSFO&amp;VAR:QUERY=RkZfRUJJVERBX09QRVIoUVRSLDQvMS8yMDA5LDYvMzAvMjAwOSwsLFVTRCk=&amp;WINDOW=FIRST_POPUP&amp;HEIGH","T=450&amp;WIDTH=450&amp;START_MAXIMIZED=FALSE&amp;VAR:CALENDAR=US&amp;VAR:SYMBOL=JDSU&amp;VAR:INDEX=0"}</definedName>
    <definedName name="_515__FDSAUDITLINK__" hidden="1">{"fdsup://directions/FAT Viewer?action=UPDATE&amp;creator=factset&amp;DYN_ARGS=TRUE&amp;DOC_NAME=FAT:FQL_AUDITING_CLIENT_TEMPLATE.FAT&amp;display_string=Audit&amp;VAR:KEY=DCNKROLSFO&amp;VAR:QUERY=RkZfRUJJVERBX09QRVIoUVRSLDQvMS8yMDA5LDYvMzAvMjAwOSwsLFVTRCk=&amp;WINDOW=FIRST_POPUP&amp;HEIGH","T=450&amp;WIDTH=450&amp;START_MAXIMIZED=FALSE&amp;VAR:CALENDAR=US&amp;VAR:SYMBOL=JDSU&amp;VAR:INDEX=0"}</definedName>
    <definedName name="_516__FDSAUDITLINK__" localSheetId="1" hidden="1">{"fdsup://directions/FAT Viewer?action=UPDATE&amp;creator=factset&amp;DYN_ARGS=TRUE&amp;DOC_NAME=FAT:FQL_AUDITING_CLIENT_TEMPLATE.FAT&amp;display_string=Audit&amp;VAR:KEY=DKBQPSZCRE&amp;VAR:QUERY=RkZfRUJJVERBX09QRVIoUVRSLDQvMS8yMDEwLDYvMzAvMjAxMCwsLFVTRCk=&amp;WINDOW=FIRST_POPUP&amp;HEIGH","T=450&amp;WIDTH=450&amp;START_MAXIMIZED=FALSE&amp;VAR:CALENDAR=US&amp;VAR:SYMBOL=JDSU&amp;VAR:INDEX=0"}</definedName>
    <definedName name="_516__FDSAUDITLINK__" hidden="1">{"fdsup://directions/FAT Viewer?action=UPDATE&amp;creator=factset&amp;DYN_ARGS=TRUE&amp;DOC_NAME=FAT:FQL_AUDITING_CLIENT_TEMPLATE.FAT&amp;display_string=Audit&amp;VAR:KEY=DKBQPSZCRE&amp;VAR:QUERY=RkZfRUJJVERBX09QRVIoUVRSLDQvMS8yMDEwLDYvMzAvMjAxMCwsLFVTRCk=&amp;WINDOW=FIRST_POPUP&amp;HEIGH","T=450&amp;WIDTH=450&amp;START_MAXIMIZED=FALSE&amp;VAR:CALENDAR=US&amp;VAR:SYMBOL=JDSU&amp;VAR:INDEX=0"}</definedName>
    <definedName name="_517__FDSAUDITLINK__" localSheetId="1" hidden="1">{"fdsup://directions/FAT Viewer?action=UPDATE&amp;creator=factset&amp;DYN_ARGS=TRUE&amp;DOC_NAME=FAT:FQL_AUDITING_CLIENT_TEMPLATE.FAT&amp;display_string=Audit&amp;VAR:KEY=NMNCHMBAPE&amp;VAR:QUERY=RkZfRUJJVERBX09QRVIoUVRSLDQvMS8yMDA5LDYvMzAvMjAwOSwsLFVTRCk=&amp;WINDOW=FIRST_POPUP&amp;HEIGH","T=450&amp;WIDTH=450&amp;START_MAXIMIZED=FALSE&amp;VAR:CALENDAR=US&amp;VAR:SYMBOL=JCP&amp;VAR:INDEX=0"}</definedName>
    <definedName name="_517__FDSAUDITLINK__" hidden="1">{"fdsup://directions/FAT Viewer?action=UPDATE&amp;creator=factset&amp;DYN_ARGS=TRUE&amp;DOC_NAME=FAT:FQL_AUDITING_CLIENT_TEMPLATE.FAT&amp;display_string=Audit&amp;VAR:KEY=NMNCHMBAPE&amp;VAR:QUERY=RkZfRUJJVERBX09QRVIoUVRSLDQvMS8yMDA5LDYvMzAvMjAwOSwsLFVTRCk=&amp;WINDOW=FIRST_POPUP&amp;HEIGH","T=450&amp;WIDTH=450&amp;START_MAXIMIZED=FALSE&amp;VAR:CALENDAR=US&amp;VAR:SYMBOL=JCP&amp;VAR:INDEX=0"}</definedName>
    <definedName name="_518__FDSAUDITLINK__" localSheetId="1" hidden="1">{"fdsup://directions/FAT Viewer?action=UPDATE&amp;creator=factset&amp;DYN_ARGS=TRUE&amp;DOC_NAME=FAT:FQL_AUDITING_CLIENT_TEMPLATE.FAT&amp;display_string=Audit&amp;VAR:KEY=XWNWXSJMTA&amp;VAR:QUERY=RkZfRUJJVERBX09QRVIoUVRSLDQvMS8yMDEwLDYvMzAvMjAxMCwsLFVTRCk=&amp;WINDOW=FIRST_POPUP&amp;HEIGH","T=450&amp;WIDTH=450&amp;START_MAXIMIZED=FALSE&amp;VAR:CALENDAR=US&amp;VAR:SYMBOL=JCP&amp;VAR:INDEX=0"}</definedName>
    <definedName name="_518__FDSAUDITLINK__" hidden="1">{"fdsup://directions/FAT Viewer?action=UPDATE&amp;creator=factset&amp;DYN_ARGS=TRUE&amp;DOC_NAME=FAT:FQL_AUDITING_CLIENT_TEMPLATE.FAT&amp;display_string=Audit&amp;VAR:KEY=XWNWXSJMTA&amp;VAR:QUERY=RkZfRUJJVERBX09QRVIoUVRSLDQvMS8yMDEwLDYvMzAvMjAxMCwsLFVTRCk=&amp;WINDOW=FIRST_POPUP&amp;HEIGH","T=450&amp;WIDTH=450&amp;START_MAXIMIZED=FALSE&amp;VAR:CALENDAR=US&amp;VAR:SYMBOL=JCP&amp;VAR:INDEX=0"}</definedName>
    <definedName name="_519__FDSAUDITLINK__" localSheetId="1" hidden="1">{"fdsup://directions/FAT Viewer?action=UPDATE&amp;creator=factset&amp;DYN_ARGS=TRUE&amp;DOC_NAME=FAT:FQL_AUDITING_CLIENT_TEMPLATE.FAT&amp;display_string=Audit&amp;VAR:KEY=HEFCBWRCHA&amp;VAR:QUERY=RkZfRUJJVERBX09QRVIoUVRSLDQvMS8yMDA5LDYvMzAvMjAwOSwsLFVTRCk=&amp;WINDOW=FIRST_POPUP&amp;HEIGH","T=450&amp;WIDTH=450&amp;START_MAXIMIZED=FALSE&amp;VAR:CALENDAR=US&amp;VAR:SYMBOL=JCI&amp;VAR:INDEX=0"}</definedName>
    <definedName name="_519__FDSAUDITLINK__" hidden="1">{"fdsup://directions/FAT Viewer?action=UPDATE&amp;creator=factset&amp;DYN_ARGS=TRUE&amp;DOC_NAME=FAT:FQL_AUDITING_CLIENT_TEMPLATE.FAT&amp;display_string=Audit&amp;VAR:KEY=HEFCBWRCHA&amp;VAR:QUERY=RkZfRUJJVERBX09QRVIoUVRSLDQvMS8yMDA5LDYvMzAvMjAwOSwsLFVTRCk=&amp;WINDOW=FIRST_POPUP&amp;HEIGH","T=450&amp;WIDTH=450&amp;START_MAXIMIZED=FALSE&amp;VAR:CALENDAR=US&amp;VAR:SYMBOL=JCI&amp;VAR:INDEX=0"}</definedName>
    <definedName name="_52__FDSAUDITLINK__" localSheetId="1" hidden="1">{"fdsup://directions/FAT Viewer?action=UPDATE&amp;creator=factset&amp;DYN_ARGS=TRUE&amp;DOC_NAME=FAT:FQL_AUDITING_CLIENT_TEMPLATE.FAT&amp;display_string=Audit&amp;VAR:KEY=FMHKHOLCDQ&amp;VAR:QUERY=RkZfRUJJVERBX09QRVIoUVRSLDQvMS8yMDEwLDYvMzAvMjAxMCwsLFVTRCk=&amp;WINDOW=FIRST_POPUP&amp;HEIGH","T=450&amp;WIDTH=450&amp;START_MAXIMIZED=FALSE&amp;VAR:CALENDAR=US&amp;VAR:SYMBOL=WFC&amp;VAR:INDEX=0"}</definedName>
    <definedName name="_52__FDSAUDITLINK__" hidden="1">{"fdsup://directions/FAT Viewer?action=UPDATE&amp;creator=factset&amp;DYN_ARGS=TRUE&amp;DOC_NAME=FAT:FQL_AUDITING_CLIENT_TEMPLATE.FAT&amp;display_string=Audit&amp;VAR:KEY=FMHKHOLCDQ&amp;VAR:QUERY=RkZfRUJJVERBX09QRVIoUVRSLDQvMS8yMDEwLDYvMzAvMjAxMCwsLFVTRCk=&amp;WINDOW=FIRST_POPUP&amp;HEIGH","T=450&amp;WIDTH=450&amp;START_MAXIMIZED=FALSE&amp;VAR:CALENDAR=US&amp;VAR:SYMBOL=WFC&amp;VAR:INDEX=0"}</definedName>
    <definedName name="_520__FDSAUDITLINK__" localSheetId="1" hidden="1">{"fdsup://directions/FAT Viewer?action=UPDATE&amp;creator=factset&amp;DYN_ARGS=TRUE&amp;DOC_NAME=FAT:FQL_AUDITING_CLIENT_TEMPLATE.FAT&amp;display_string=Audit&amp;VAR:KEY=JMNEDCDCHM&amp;VAR:QUERY=RkZfRUJJVERBX09QRVIoUVRSLDQvMS8yMDEwLDYvMzAvMjAxMCwsLFVTRCk=&amp;WINDOW=FIRST_POPUP&amp;HEIGH","T=450&amp;WIDTH=450&amp;START_MAXIMIZED=FALSE&amp;VAR:CALENDAR=US&amp;VAR:SYMBOL=JCI&amp;VAR:INDEX=0"}</definedName>
    <definedName name="_520__FDSAUDITLINK__" hidden="1">{"fdsup://directions/FAT Viewer?action=UPDATE&amp;creator=factset&amp;DYN_ARGS=TRUE&amp;DOC_NAME=FAT:FQL_AUDITING_CLIENT_TEMPLATE.FAT&amp;display_string=Audit&amp;VAR:KEY=JMNEDCDCHM&amp;VAR:QUERY=RkZfRUJJVERBX09QRVIoUVRSLDQvMS8yMDEwLDYvMzAvMjAxMCwsLFVTRCk=&amp;WINDOW=FIRST_POPUP&amp;HEIGH","T=450&amp;WIDTH=450&amp;START_MAXIMIZED=FALSE&amp;VAR:CALENDAR=US&amp;VAR:SYMBOL=JCI&amp;VAR:INDEX=0"}</definedName>
    <definedName name="_521__FDSAUDITLINK__" localSheetId="1" hidden="1">{"fdsup://directions/FAT Viewer?action=UPDATE&amp;creator=factset&amp;DYN_ARGS=TRUE&amp;DOC_NAME=FAT:FQL_AUDITING_CLIENT_TEMPLATE.FAT&amp;display_string=Audit&amp;VAR:KEY=PKVSLYTGXK&amp;VAR:QUERY=RkZfRUJJVERBX09QRVIoUVRSLDQvMS8yMDA5LDYvMzAvMjAwOSwsLFVTRCk=&amp;WINDOW=FIRST_POPUP&amp;HEIGH","T=450&amp;WIDTH=450&amp;START_MAXIMIZED=FALSE&amp;VAR:CALENDAR=US&amp;VAR:SYMBOL=JBL&amp;VAR:INDEX=0"}</definedName>
    <definedName name="_521__FDSAUDITLINK__" hidden="1">{"fdsup://directions/FAT Viewer?action=UPDATE&amp;creator=factset&amp;DYN_ARGS=TRUE&amp;DOC_NAME=FAT:FQL_AUDITING_CLIENT_TEMPLATE.FAT&amp;display_string=Audit&amp;VAR:KEY=PKVSLYTGXK&amp;VAR:QUERY=RkZfRUJJVERBX09QRVIoUVRSLDQvMS8yMDA5LDYvMzAvMjAwOSwsLFVTRCk=&amp;WINDOW=FIRST_POPUP&amp;HEIGH","T=450&amp;WIDTH=450&amp;START_MAXIMIZED=FALSE&amp;VAR:CALENDAR=US&amp;VAR:SYMBOL=JBL&amp;VAR:INDEX=0"}</definedName>
    <definedName name="_522__FDSAUDITLINK__" localSheetId="1" hidden="1">{"fdsup://directions/FAT Viewer?action=UPDATE&amp;creator=factset&amp;DYN_ARGS=TRUE&amp;DOC_NAME=FAT:FQL_AUDITING_CLIENT_TEMPLATE.FAT&amp;display_string=Audit&amp;VAR:KEY=XMRQXGZYLO&amp;VAR:QUERY=RkZfRUJJVERBX09QRVIoUVRSLDQvMS8yMDEwLDYvMzAvMjAxMCwsLFVTRCk=&amp;WINDOW=FIRST_POPUP&amp;HEIGH","T=450&amp;WIDTH=450&amp;START_MAXIMIZED=FALSE&amp;VAR:CALENDAR=US&amp;VAR:SYMBOL=JBL&amp;VAR:INDEX=0"}</definedName>
    <definedName name="_522__FDSAUDITLINK__" hidden="1">{"fdsup://directions/FAT Viewer?action=UPDATE&amp;creator=factset&amp;DYN_ARGS=TRUE&amp;DOC_NAME=FAT:FQL_AUDITING_CLIENT_TEMPLATE.FAT&amp;display_string=Audit&amp;VAR:KEY=XMRQXGZYLO&amp;VAR:QUERY=RkZfRUJJVERBX09QRVIoUVRSLDQvMS8yMDEwLDYvMzAvMjAxMCwsLFVTRCk=&amp;WINDOW=FIRST_POPUP&amp;HEIGH","T=450&amp;WIDTH=450&amp;START_MAXIMIZED=FALSE&amp;VAR:CALENDAR=US&amp;VAR:SYMBOL=JBL&amp;VAR:INDEX=0"}</definedName>
    <definedName name="_523__FDSAUDITLINK__" localSheetId="1" hidden="1">{"fdsup://directions/FAT Viewer?action=UPDATE&amp;creator=factset&amp;DYN_ARGS=TRUE&amp;DOC_NAME=FAT:FQL_AUDITING_CLIENT_TEMPLATE.FAT&amp;display_string=Audit&amp;VAR:KEY=NUDGFSNGTE&amp;VAR:QUERY=RkZfRUJJVERBX09QRVIoUVRSLDQvMS8yMDA5LDYvMzAvMjAwOSwsLFVTRCk=&amp;WINDOW=FIRST_POPUP&amp;HEIGH","T=450&amp;WIDTH=450&amp;START_MAXIMIZED=FALSE&amp;VAR:CALENDAR=US&amp;VAR:SYMBOL=IVZ&amp;VAR:INDEX=0"}</definedName>
    <definedName name="_523__FDSAUDITLINK__" hidden="1">{"fdsup://directions/FAT Viewer?action=UPDATE&amp;creator=factset&amp;DYN_ARGS=TRUE&amp;DOC_NAME=FAT:FQL_AUDITING_CLIENT_TEMPLATE.FAT&amp;display_string=Audit&amp;VAR:KEY=NUDGFSNGTE&amp;VAR:QUERY=RkZfRUJJVERBX09QRVIoUVRSLDQvMS8yMDA5LDYvMzAvMjAwOSwsLFVTRCk=&amp;WINDOW=FIRST_POPUP&amp;HEIGH","T=450&amp;WIDTH=450&amp;START_MAXIMIZED=FALSE&amp;VAR:CALENDAR=US&amp;VAR:SYMBOL=IVZ&amp;VAR:INDEX=0"}</definedName>
    <definedName name="_524__FDSAUDITLINK__" localSheetId="1" hidden="1">{"fdsup://directions/FAT Viewer?action=UPDATE&amp;creator=factset&amp;DYN_ARGS=TRUE&amp;DOC_NAME=FAT:FQL_AUDITING_CLIENT_TEMPLATE.FAT&amp;display_string=Audit&amp;VAR:KEY=VAHUXSNOPQ&amp;VAR:QUERY=RkZfRUJJVERBX09QRVIoUVRSLDQvMS8yMDEwLDYvMzAvMjAxMCwsLFVTRCk=&amp;WINDOW=FIRST_POPUP&amp;HEIGH","T=450&amp;WIDTH=450&amp;START_MAXIMIZED=FALSE&amp;VAR:CALENDAR=US&amp;VAR:SYMBOL=IVZ&amp;VAR:INDEX=0"}</definedName>
    <definedName name="_524__FDSAUDITLINK__" hidden="1">{"fdsup://directions/FAT Viewer?action=UPDATE&amp;creator=factset&amp;DYN_ARGS=TRUE&amp;DOC_NAME=FAT:FQL_AUDITING_CLIENT_TEMPLATE.FAT&amp;display_string=Audit&amp;VAR:KEY=VAHUXSNOPQ&amp;VAR:QUERY=RkZfRUJJVERBX09QRVIoUVRSLDQvMS8yMDEwLDYvMzAvMjAxMCwsLFVTRCk=&amp;WINDOW=FIRST_POPUP&amp;HEIGH","T=450&amp;WIDTH=450&amp;START_MAXIMIZED=FALSE&amp;VAR:CALENDAR=US&amp;VAR:SYMBOL=IVZ&amp;VAR:INDEX=0"}</definedName>
    <definedName name="_525__FDSAUDITLINK__" localSheetId="1" hidden="1">{"fdsup://directions/FAT Viewer?action=UPDATE&amp;creator=factset&amp;DYN_ARGS=TRUE&amp;DOC_NAME=FAT:FQL_AUDITING_CLIENT_TEMPLATE.FAT&amp;display_string=Audit&amp;VAR:KEY=TCBMDEVALO&amp;VAR:QUERY=RkZfRUJJVERBX09QRVIoUVRSLDQvMS8yMDA5LDYvMzAvMjAwOSwsLFVTRCk=&amp;WINDOW=FIRST_POPUP&amp;HEIGH","T=450&amp;WIDTH=450&amp;START_MAXIMIZED=FALSE&amp;VAR:CALENDAR=US&amp;VAR:SYMBOL=ITW&amp;VAR:INDEX=0"}</definedName>
    <definedName name="_525__FDSAUDITLINK__" hidden="1">{"fdsup://directions/FAT Viewer?action=UPDATE&amp;creator=factset&amp;DYN_ARGS=TRUE&amp;DOC_NAME=FAT:FQL_AUDITING_CLIENT_TEMPLATE.FAT&amp;display_string=Audit&amp;VAR:KEY=TCBMDEVALO&amp;VAR:QUERY=RkZfRUJJVERBX09QRVIoUVRSLDQvMS8yMDA5LDYvMzAvMjAwOSwsLFVTRCk=&amp;WINDOW=FIRST_POPUP&amp;HEIGH","T=450&amp;WIDTH=450&amp;START_MAXIMIZED=FALSE&amp;VAR:CALENDAR=US&amp;VAR:SYMBOL=ITW&amp;VAR:INDEX=0"}</definedName>
    <definedName name="_526__FDSAUDITLINK__" localSheetId="1" hidden="1">{"fdsup://directions/FAT Viewer?action=UPDATE&amp;creator=factset&amp;DYN_ARGS=TRUE&amp;DOC_NAME=FAT:FQL_AUDITING_CLIENT_TEMPLATE.FAT&amp;display_string=Audit&amp;VAR:KEY=ZYPINEXUJE&amp;VAR:QUERY=RkZfRUJJVERBX09QRVIoUVRSLDQvMS8yMDEwLDYvMzAvMjAxMCwsLFVTRCk=&amp;WINDOW=FIRST_POPUP&amp;HEIGH","T=450&amp;WIDTH=450&amp;START_MAXIMIZED=FALSE&amp;VAR:CALENDAR=US&amp;VAR:SYMBOL=ITW&amp;VAR:INDEX=0"}</definedName>
    <definedName name="_526__FDSAUDITLINK__" hidden="1">{"fdsup://directions/FAT Viewer?action=UPDATE&amp;creator=factset&amp;DYN_ARGS=TRUE&amp;DOC_NAME=FAT:FQL_AUDITING_CLIENT_TEMPLATE.FAT&amp;display_string=Audit&amp;VAR:KEY=ZYPINEXUJE&amp;VAR:QUERY=RkZfRUJJVERBX09QRVIoUVRSLDQvMS8yMDEwLDYvMzAvMjAxMCwsLFVTRCk=&amp;WINDOW=FIRST_POPUP&amp;HEIGH","T=450&amp;WIDTH=450&amp;START_MAXIMIZED=FALSE&amp;VAR:CALENDAR=US&amp;VAR:SYMBOL=ITW&amp;VAR:INDEX=0"}</definedName>
    <definedName name="_527__FDSAUDITLINK__" localSheetId="1" hidden="1">{"fdsup://directions/FAT Viewer?action=UPDATE&amp;creator=factset&amp;DYN_ARGS=TRUE&amp;DOC_NAME=FAT:FQL_AUDITING_CLIENT_TEMPLATE.FAT&amp;display_string=Audit&amp;VAR:KEY=XUPQRSZOPY&amp;VAR:QUERY=RkZfRUJJVERBX09QRVIoUVRSLDQvMS8yMDA5LDYvMzAvMjAwOSwsLFVTRCk=&amp;WINDOW=FIRST_POPUP&amp;HEIGH","T=450&amp;WIDTH=450&amp;START_MAXIMIZED=FALSE&amp;VAR:CALENDAR=US&amp;VAR:SYMBOL=ITT&amp;VAR:INDEX=0"}</definedName>
    <definedName name="_527__FDSAUDITLINK__" hidden="1">{"fdsup://directions/FAT Viewer?action=UPDATE&amp;creator=factset&amp;DYN_ARGS=TRUE&amp;DOC_NAME=FAT:FQL_AUDITING_CLIENT_TEMPLATE.FAT&amp;display_string=Audit&amp;VAR:KEY=XUPQRSZOPY&amp;VAR:QUERY=RkZfRUJJVERBX09QRVIoUVRSLDQvMS8yMDA5LDYvMzAvMjAwOSwsLFVTRCk=&amp;WINDOW=FIRST_POPUP&amp;HEIGH","T=450&amp;WIDTH=450&amp;START_MAXIMIZED=FALSE&amp;VAR:CALENDAR=US&amp;VAR:SYMBOL=ITT&amp;VAR:INDEX=0"}</definedName>
    <definedName name="_528__FDSAUDITLINK__" localSheetId="1" hidden="1">{"fdsup://directions/FAT Viewer?action=UPDATE&amp;creator=factset&amp;DYN_ARGS=TRUE&amp;DOC_NAME=FAT:FQL_AUDITING_CLIENT_TEMPLATE.FAT&amp;display_string=Audit&amp;VAR:KEY=BINOFSROFO&amp;VAR:QUERY=RkZfRUJJVERBX09QRVIoUVRSLDQvMS8yMDEwLDYvMzAvMjAxMCwsLFVTRCk=&amp;WINDOW=FIRST_POPUP&amp;HEIGH","T=450&amp;WIDTH=450&amp;START_MAXIMIZED=FALSE&amp;VAR:CALENDAR=US&amp;VAR:SYMBOL=ITT&amp;VAR:INDEX=0"}</definedName>
    <definedName name="_528__FDSAUDITLINK__" hidden="1">{"fdsup://directions/FAT Viewer?action=UPDATE&amp;creator=factset&amp;DYN_ARGS=TRUE&amp;DOC_NAME=FAT:FQL_AUDITING_CLIENT_TEMPLATE.FAT&amp;display_string=Audit&amp;VAR:KEY=BINOFSROFO&amp;VAR:QUERY=RkZfRUJJVERBX09QRVIoUVRSLDQvMS8yMDEwLDYvMzAvMjAxMCwsLFVTRCk=&amp;WINDOW=FIRST_POPUP&amp;HEIGH","T=450&amp;WIDTH=450&amp;START_MAXIMIZED=FALSE&amp;VAR:CALENDAR=US&amp;VAR:SYMBOL=ITT&amp;VAR:INDEX=0"}</definedName>
    <definedName name="_529__FDSAUDITLINK__" localSheetId="1" hidden="1">{"fdsup://directions/FAT Viewer?action=UPDATE&amp;creator=factset&amp;DYN_ARGS=TRUE&amp;DOC_NAME=FAT:FQL_AUDITING_CLIENT_TEMPLATE.FAT&amp;display_string=Audit&amp;VAR:KEY=BORIVAXODO&amp;VAR:QUERY=RkZfRUJJVERBX09QRVIoUVRSLDQvMS8yMDA5LDYvMzAvMjAwOSwsLFVTRCk=&amp;WINDOW=FIRST_POPUP&amp;HEIGH","T=450&amp;WIDTH=450&amp;START_MAXIMIZED=FALSE&amp;VAR:CALENDAR=US&amp;VAR:SYMBOL=ISRG&amp;VAR:INDEX=0"}</definedName>
    <definedName name="_529__FDSAUDITLINK__" hidden="1">{"fdsup://directions/FAT Viewer?action=UPDATE&amp;creator=factset&amp;DYN_ARGS=TRUE&amp;DOC_NAME=FAT:FQL_AUDITING_CLIENT_TEMPLATE.FAT&amp;display_string=Audit&amp;VAR:KEY=BORIVAXODO&amp;VAR:QUERY=RkZfRUJJVERBX09QRVIoUVRSLDQvMS8yMDA5LDYvMzAvMjAwOSwsLFVTRCk=&amp;WINDOW=FIRST_POPUP&amp;HEIGH","T=450&amp;WIDTH=450&amp;START_MAXIMIZED=FALSE&amp;VAR:CALENDAR=US&amp;VAR:SYMBOL=ISRG&amp;VAR:INDEX=0"}</definedName>
    <definedName name="_53__FDSAUDITLINK__" localSheetId="1" hidden="1">{"fdsup://directions/FAT Viewer?action=UPDATE&amp;creator=factset&amp;DYN_ARGS=TRUE&amp;DOC_NAME=FAT:FQL_AUDITING_CLIENT_TEMPLATE.FAT&amp;display_string=Audit&amp;VAR:KEY=XWJMTWHOVY&amp;VAR:QUERY=RkZfRUJJVERBX09QRVIoUVRSLDQvMS8yMDA5LDYvMzAvMjAwOSwsLFVTRCk=&amp;WINDOW=FIRST_POPUP&amp;HEIGH","T=450&amp;WIDTH=450&amp;START_MAXIMIZED=FALSE&amp;VAR:CALENDAR=US&amp;VAR:SYMBOL=WEC&amp;VAR:INDEX=0"}</definedName>
    <definedName name="_53__FDSAUDITLINK__" hidden="1">{"fdsup://directions/FAT Viewer?action=UPDATE&amp;creator=factset&amp;DYN_ARGS=TRUE&amp;DOC_NAME=FAT:FQL_AUDITING_CLIENT_TEMPLATE.FAT&amp;display_string=Audit&amp;VAR:KEY=XWJMTWHOVY&amp;VAR:QUERY=RkZfRUJJVERBX09QRVIoUVRSLDQvMS8yMDA5LDYvMzAvMjAwOSwsLFVTRCk=&amp;WINDOW=FIRST_POPUP&amp;HEIGH","T=450&amp;WIDTH=450&amp;START_MAXIMIZED=FALSE&amp;VAR:CALENDAR=US&amp;VAR:SYMBOL=WEC&amp;VAR:INDEX=0"}</definedName>
    <definedName name="_530__FDSAUDITLINK__" localSheetId="1" hidden="1">{"fdsup://directions/FAT Viewer?action=UPDATE&amp;creator=factset&amp;DYN_ARGS=TRUE&amp;DOC_NAME=FAT:FQL_AUDITING_CLIENT_TEMPLATE.FAT&amp;display_string=Audit&amp;VAR:KEY=NQRAFQNUXU&amp;VAR:QUERY=RkZfRUJJVERBX09QRVIoUVRSLDQvMS8yMDEwLDYvMzAvMjAxMCwsLFVTRCk=&amp;WINDOW=FIRST_POPUP&amp;HEIGH","T=450&amp;WIDTH=450&amp;START_MAXIMIZED=FALSE&amp;VAR:CALENDAR=US&amp;VAR:SYMBOL=ISRG&amp;VAR:INDEX=0"}</definedName>
    <definedName name="_530__FDSAUDITLINK__" hidden="1">{"fdsup://directions/FAT Viewer?action=UPDATE&amp;creator=factset&amp;DYN_ARGS=TRUE&amp;DOC_NAME=FAT:FQL_AUDITING_CLIENT_TEMPLATE.FAT&amp;display_string=Audit&amp;VAR:KEY=NQRAFQNUXU&amp;VAR:QUERY=RkZfRUJJVERBX09QRVIoUVRSLDQvMS8yMDEwLDYvMzAvMjAxMCwsLFVTRCk=&amp;WINDOW=FIRST_POPUP&amp;HEIGH","T=450&amp;WIDTH=450&amp;START_MAXIMIZED=FALSE&amp;VAR:CALENDAR=US&amp;VAR:SYMBOL=ISRG&amp;VAR:INDEX=0"}</definedName>
    <definedName name="_531__FDSAUDITLINK__" localSheetId="1" hidden="1">{"fdsup://directions/FAT Viewer?action=UPDATE&amp;creator=factset&amp;DYN_ARGS=TRUE&amp;DOC_NAME=FAT:FQL_AUDITING_CLIENT_TEMPLATE.FAT&amp;display_string=Audit&amp;VAR:KEY=XSRONUHKBM&amp;VAR:QUERY=RkZfRUJJVERBX09QRVIoUVRSLDQvMS8yMDA5LDYvMzAvMjAwOSwsLFVTRCk=&amp;WINDOW=FIRST_POPUP&amp;HEIGH","T=450&amp;WIDTH=450&amp;START_MAXIMIZED=FALSE&amp;VAR:CALENDAR=US&amp;VAR:SYMBOL=IRM&amp;VAR:INDEX=0"}</definedName>
    <definedName name="_531__FDSAUDITLINK__" hidden="1">{"fdsup://directions/FAT Viewer?action=UPDATE&amp;creator=factset&amp;DYN_ARGS=TRUE&amp;DOC_NAME=FAT:FQL_AUDITING_CLIENT_TEMPLATE.FAT&amp;display_string=Audit&amp;VAR:KEY=XSRONUHKBM&amp;VAR:QUERY=RkZfRUJJVERBX09QRVIoUVRSLDQvMS8yMDA5LDYvMzAvMjAwOSwsLFVTRCk=&amp;WINDOW=FIRST_POPUP&amp;HEIGH","T=450&amp;WIDTH=450&amp;START_MAXIMIZED=FALSE&amp;VAR:CALENDAR=US&amp;VAR:SYMBOL=IRM&amp;VAR:INDEX=0"}</definedName>
    <definedName name="_532__FDSAUDITLINK__" localSheetId="1" hidden="1">{"fdsup://directions/FAT Viewer?action=UPDATE&amp;creator=factset&amp;DYN_ARGS=TRUE&amp;DOC_NAME=FAT:FQL_AUDITING_CLIENT_TEMPLATE.FAT&amp;display_string=Audit&amp;VAR:KEY=BKFEBWVSLG&amp;VAR:QUERY=RkZfRUJJVERBX09QRVIoUVRSLDQvMS8yMDEwLDYvMzAvMjAxMCwsLFVTRCk=&amp;WINDOW=FIRST_POPUP&amp;HEIGH","T=450&amp;WIDTH=450&amp;START_MAXIMIZED=FALSE&amp;VAR:CALENDAR=US&amp;VAR:SYMBOL=IRM&amp;VAR:INDEX=0"}</definedName>
    <definedName name="_532__FDSAUDITLINK__" hidden="1">{"fdsup://directions/FAT Viewer?action=UPDATE&amp;creator=factset&amp;DYN_ARGS=TRUE&amp;DOC_NAME=FAT:FQL_AUDITING_CLIENT_TEMPLATE.FAT&amp;display_string=Audit&amp;VAR:KEY=BKFEBWVSLG&amp;VAR:QUERY=RkZfRUJJVERBX09QRVIoUVRSLDQvMS8yMDEwLDYvMzAvMjAxMCwsLFVTRCk=&amp;WINDOW=FIRST_POPUP&amp;HEIGH","T=450&amp;WIDTH=450&amp;START_MAXIMIZED=FALSE&amp;VAR:CALENDAR=US&amp;VAR:SYMBOL=IRM&amp;VAR:INDEX=0"}</definedName>
    <definedName name="_533__FDSAUDITLINK__" localSheetId="1" hidden="1">{"fdsup://directions/FAT Viewer?action=UPDATE&amp;creator=factset&amp;DYN_ARGS=TRUE&amp;DOC_NAME=FAT:FQL_AUDITING_CLIENT_TEMPLATE.FAT&amp;display_string=Audit&amp;VAR:KEY=JQDGXAZWBW&amp;VAR:QUERY=RkZfRUJJVERBX09QRVIoUVRSLDQvMS8yMDA5LDYvMzAvMjAwOSwsLFVTRCk=&amp;WINDOW=FIRST_POPUP&amp;HEIGH","T=450&amp;WIDTH=450&amp;START_MAXIMIZED=FALSE&amp;VAR:CALENDAR=US&amp;VAR:SYMBOL=IPG&amp;VAR:INDEX=0"}</definedName>
    <definedName name="_533__FDSAUDITLINK__" hidden="1">{"fdsup://directions/FAT Viewer?action=UPDATE&amp;creator=factset&amp;DYN_ARGS=TRUE&amp;DOC_NAME=FAT:FQL_AUDITING_CLIENT_TEMPLATE.FAT&amp;display_string=Audit&amp;VAR:KEY=JQDGXAZWBW&amp;VAR:QUERY=RkZfRUJJVERBX09QRVIoUVRSLDQvMS8yMDA5LDYvMzAvMjAwOSwsLFVTRCk=&amp;WINDOW=FIRST_POPUP&amp;HEIGH","T=450&amp;WIDTH=450&amp;START_MAXIMIZED=FALSE&amp;VAR:CALENDAR=US&amp;VAR:SYMBOL=IPG&amp;VAR:INDEX=0"}</definedName>
    <definedName name="_534__FDSAUDITLINK__" localSheetId="1" hidden="1">{"fdsup://directions/FAT Viewer?action=UPDATE&amp;creator=factset&amp;DYN_ARGS=TRUE&amp;DOC_NAME=FAT:FQL_AUDITING_CLIENT_TEMPLATE.FAT&amp;display_string=Audit&amp;VAR:KEY=BGRQFSDADO&amp;VAR:QUERY=RkZfRUJJVERBX09QRVIoUVRSLDQvMS8yMDEwLDYvMzAvMjAxMCwsLFVTRCk=&amp;WINDOW=FIRST_POPUP&amp;HEIGH","T=450&amp;WIDTH=450&amp;START_MAXIMIZED=FALSE&amp;VAR:CALENDAR=US&amp;VAR:SYMBOL=IPG&amp;VAR:INDEX=0"}</definedName>
    <definedName name="_534__FDSAUDITLINK__" hidden="1">{"fdsup://directions/FAT Viewer?action=UPDATE&amp;creator=factset&amp;DYN_ARGS=TRUE&amp;DOC_NAME=FAT:FQL_AUDITING_CLIENT_TEMPLATE.FAT&amp;display_string=Audit&amp;VAR:KEY=BGRQFSDADO&amp;VAR:QUERY=RkZfRUJJVERBX09QRVIoUVRSLDQvMS8yMDEwLDYvMzAvMjAxMCwsLFVTRCk=&amp;WINDOW=FIRST_POPUP&amp;HEIGH","T=450&amp;WIDTH=450&amp;START_MAXIMIZED=FALSE&amp;VAR:CALENDAR=US&amp;VAR:SYMBOL=IPG&amp;VAR:INDEX=0"}</definedName>
    <definedName name="_535__FDSAUDITLINK__" localSheetId="1" hidden="1">{"fdsup://directions/FAT Viewer?action=UPDATE&amp;creator=factset&amp;DYN_ARGS=TRUE&amp;DOC_NAME=FAT:FQL_AUDITING_CLIENT_TEMPLATE.FAT&amp;display_string=Audit&amp;VAR:KEY=VKRAJWNWTM&amp;VAR:QUERY=RkZfRUJJVERBX09QRVIoUVRSLDQvMS8yMDA5LDYvMzAvMjAwOSwsLFVTRCk=&amp;WINDOW=FIRST_POPUP&amp;HEIGH","T=450&amp;WIDTH=450&amp;START_MAXIMIZED=FALSE&amp;VAR:CALENDAR=US&amp;VAR:SYMBOL=IP&amp;VAR:INDEX=0"}</definedName>
    <definedName name="_535__FDSAUDITLINK__" hidden="1">{"fdsup://directions/FAT Viewer?action=UPDATE&amp;creator=factset&amp;DYN_ARGS=TRUE&amp;DOC_NAME=FAT:FQL_AUDITING_CLIENT_TEMPLATE.FAT&amp;display_string=Audit&amp;VAR:KEY=VKRAJWNWTM&amp;VAR:QUERY=RkZfRUJJVERBX09QRVIoUVRSLDQvMS8yMDA5LDYvMzAvMjAwOSwsLFVTRCk=&amp;WINDOW=FIRST_POPUP&amp;HEIGH","T=450&amp;WIDTH=450&amp;START_MAXIMIZED=FALSE&amp;VAR:CALENDAR=US&amp;VAR:SYMBOL=IP&amp;VAR:INDEX=0"}</definedName>
    <definedName name="_536__FDSAUDITLINK__" localSheetId="1" hidden="1">{"fdsup://directions/FAT Viewer?action=UPDATE&amp;creator=factset&amp;DYN_ARGS=TRUE&amp;DOC_NAME=FAT:FQL_AUDITING_CLIENT_TEMPLATE.FAT&amp;display_string=Audit&amp;VAR:KEY=XILUBEPIDY&amp;VAR:QUERY=RkZfRUJJVERBX09QRVIoUVRSLDQvMS8yMDEwLDYvMzAvMjAxMCwsLFVTRCk=&amp;WINDOW=FIRST_POPUP&amp;HEIGH","T=450&amp;WIDTH=450&amp;START_MAXIMIZED=FALSE&amp;VAR:CALENDAR=US&amp;VAR:SYMBOL=IP&amp;VAR:INDEX=0"}</definedName>
    <definedName name="_536__FDSAUDITLINK__" hidden="1">{"fdsup://directions/FAT Viewer?action=UPDATE&amp;creator=factset&amp;DYN_ARGS=TRUE&amp;DOC_NAME=FAT:FQL_AUDITING_CLIENT_TEMPLATE.FAT&amp;display_string=Audit&amp;VAR:KEY=XILUBEPIDY&amp;VAR:QUERY=RkZfRUJJVERBX09QRVIoUVRSLDQvMS8yMDEwLDYvMzAvMjAxMCwsLFVTRCk=&amp;WINDOW=FIRST_POPUP&amp;HEIGH","T=450&amp;WIDTH=450&amp;START_MAXIMIZED=FALSE&amp;VAR:CALENDAR=US&amp;VAR:SYMBOL=IP&amp;VAR:INDEX=0"}</definedName>
    <definedName name="_537__FDSAUDITLINK__" localSheetId="1" hidden="1">{"fdsup://directions/FAT Viewer?action=UPDATE&amp;creator=factset&amp;DYN_ARGS=TRUE&amp;DOC_NAME=FAT:FQL_AUDITING_CLIENT_TEMPLATE.FAT&amp;display_string=Audit&amp;VAR:KEY=RIJCBKTWRG&amp;VAR:QUERY=RkZfRUJJVERBX09QRVIoUVRSLDQvMS8yMDA5LDYvMzAvMjAwOSwsLFVTRCk=&amp;WINDOW=FIRST_POPUP&amp;HEIGH","T=450&amp;WIDTH=450&amp;START_MAXIMIZED=FALSE&amp;VAR:CALENDAR=US&amp;VAR:SYMBOL=INTU&amp;VAR:INDEX=0"}</definedName>
    <definedName name="_537__FDSAUDITLINK__" hidden="1">{"fdsup://directions/FAT Viewer?action=UPDATE&amp;creator=factset&amp;DYN_ARGS=TRUE&amp;DOC_NAME=FAT:FQL_AUDITING_CLIENT_TEMPLATE.FAT&amp;display_string=Audit&amp;VAR:KEY=RIJCBKTWRG&amp;VAR:QUERY=RkZfRUJJVERBX09QRVIoUVRSLDQvMS8yMDA5LDYvMzAvMjAwOSwsLFVTRCk=&amp;WINDOW=FIRST_POPUP&amp;HEIGH","T=450&amp;WIDTH=450&amp;START_MAXIMIZED=FALSE&amp;VAR:CALENDAR=US&amp;VAR:SYMBOL=INTU&amp;VAR:INDEX=0"}</definedName>
    <definedName name="_538__FDSAUDITLINK__" localSheetId="1" hidden="1">{"fdsup://directions/FAT Viewer?action=UPDATE&amp;creator=factset&amp;DYN_ARGS=TRUE&amp;DOC_NAME=FAT:FQL_AUDITING_CLIENT_TEMPLATE.FAT&amp;display_string=Audit&amp;VAR:KEY=LYRUPYPSXS&amp;VAR:QUERY=RkZfRUJJVERBX09QRVIoUVRSLDQvMS8yMDEwLDYvMzAvMjAxMCwsLFVTRCk=&amp;WINDOW=FIRST_POPUP&amp;HEIGH","T=450&amp;WIDTH=450&amp;START_MAXIMIZED=FALSE&amp;VAR:CALENDAR=US&amp;VAR:SYMBOL=INTU&amp;VAR:INDEX=0"}</definedName>
    <definedName name="_538__FDSAUDITLINK__" hidden="1">{"fdsup://directions/FAT Viewer?action=UPDATE&amp;creator=factset&amp;DYN_ARGS=TRUE&amp;DOC_NAME=FAT:FQL_AUDITING_CLIENT_TEMPLATE.FAT&amp;display_string=Audit&amp;VAR:KEY=LYRUPYPSXS&amp;VAR:QUERY=RkZfRUJJVERBX09QRVIoUVRSLDQvMS8yMDEwLDYvMzAvMjAxMCwsLFVTRCk=&amp;WINDOW=FIRST_POPUP&amp;HEIGH","T=450&amp;WIDTH=450&amp;START_MAXIMIZED=FALSE&amp;VAR:CALENDAR=US&amp;VAR:SYMBOL=INTU&amp;VAR:INDEX=0"}</definedName>
    <definedName name="_539__FDSAUDITLINK__" localSheetId="1" hidden="1">{"fdsup://directions/FAT Viewer?action=UPDATE&amp;creator=factset&amp;DYN_ARGS=TRUE&amp;DOC_NAME=FAT:FQL_AUDITING_CLIENT_TEMPLATE.FAT&amp;display_string=Audit&amp;VAR:KEY=JGPETETOBM&amp;VAR:QUERY=RkZfRUJJVERBX09QRVIoUVRSLDQvMS8yMDA5LDYvMzAvMjAwOSwsLFVTRCk=&amp;WINDOW=FIRST_POPUP&amp;HEIGH","T=450&amp;WIDTH=450&amp;START_MAXIMIZED=FALSE&amp;VAR:CALENDAR=US&amp;VAR:SYMBOL=INTC&amp;VAR:INDEX=0"}</definedName>
    <definedName name="_539__FDSAUDITLINK__" hidden="1">{"fdsup://directions/FAT Viewer?action=UPDATE&amp;creator=factset&amp;DYN_ARGS=TRUE&amp;DOC_NAME=FAT:FQL_AUDITING_CLIENT_TEMPLATE.FAT&amp;display_string=Audit&amp;VAR:KEY=JGPETETOBM&amp;VAR:QUERY=RkZfRUJJVERBX09QRVIoUVRSLDQvMS8yMDA5LDYvMzAvMjAwOSwsLFVTRCk=&amp;WINDOW=FIRST_POPUP&amp;HEIGH","T=450&amp;WIDTH=450&amp;START_MAXIMIZED=FALSE&amp;VAR:CALENDAR=US&amp;VAR:SYMBOL=INTC&amp;VAR:INDEX=0"}</definedName>
    <definedName name="_54__FDSAUDITLINK__" localSheetId="1" hidden="1">{"fdsup://directions/FAT Viewer?action=UPDATE&amp;creator=factset&amp;DYN_ARGS=TRUE&amp;DOC_NAME=FAT:FQL_AUDITING_CLIENT_TEMPLATE.FAT&amp;display_string=Audit&amp;VAR:KEY=HOVIFYTEJU&amp;VAR:QUERY=RkZfRUJJVERBX09QRVIoUVRSLDQvMS8yMDEwLDYvMzAvMjAxMCwsLFVTRCk=&amp;WINDOW=FIRST_POPUP&amp;HEIGH","T=450&amp;WIDTH=450&amp;START_MAXIMIZED=FALSE&amp;VAR:CALENDAR=US&amp;VAR:SYMBOL=WEC&amp;VAR:INDEX=0"}</definedName>
    <definedName name="_54__FDSAUDITLINK__" hidden="1">{"fdsup://directions/FAT Viewer?action=UPDATE&amp;creator=factset&amp;DYN_ARGS=TRUE&amp;DOC_NAME=FAT:FQL_AUDITING_CLIENT_TEMPLATE.FAT&amp;display_string=Audit&amp;VAR:KEY=HOVIFYTEJU&amp;VAR:QUERY=RkZfRUJJVERBX09QRVIoUVRSLDQvMS8yMDEwLDYvMzAvMjAxMCwsLFVTRCk=&amp;WINDOW=FIRST_POPUP&amp;HEIGH","T=450&amp;WIDTH=450&amp;START_MAXIMIZED=FALSE&amp;VAR:CALENDAR=US&amp;VAR:SYMBOL=WEC&amp;VAR:INDEX=0"}</definedName>
    <definedName name="_540__FDSAUDITLINK__" localSheetId="1" hidden="1">{"fdsup://directions/FAT Viewer?action=UPDATE&amp;creator=factset&amp;DYN_ARGS=TRUE&amp;DOC_NAME=FAT:FQL_AUDITING_CLIENT_TEMPLATE.FAT&amp;display_string=Audit&amp;VAR:KEY=PQPGHQVSXG&amp;VAR:QUERY=RkZfRUJJVERBX09QRVIoUVRSLDQvMS8yMDEwLDYvMzAvMjAxMCwsLFVTRCk=&amp;WINDOW=FIRST_POPUP&amp;HEIGH","T=450&amp;WIDTH=450&amp;START_MAXIMIZED=FALSE&amp;VAR:CALENDAR=US&amp;VAR:SYMBOL=INTC&amp;VAR:INDEX=0"}</definedName>
    <definedName name="_540__FDSAUDITLINK__" hidden="1">{"fdsup://directions/FAT Viewer?action=UPDATE&amp;creator=factset&amp;DYN_ARGS=TRUE&amp;DOC_NAME=FAT:FQL_AUDITING_CLIENT_TEMPLATE.FAT&amp;display_string=Audit&amp;VAR:KEY=PQPGHQVSXG&amp;VAR:QUERY=RkZfRUJJVERBX09QRVIoUVRSLDQvMS8yMDEwLDYvMzAvMjAxMCwsLFVTRCk=&amp;WINDOW=FIRST_POPUP&amp;HEIGH","T=450&amp;WIDTH=450&amp;START_MAXIMIZED=FALSE&amp;VAR:CALENDAR=US&amp;VAR:SYMBOL=INTC&amp;VAR:INDEX=0"}</definedName>
    <definedName name="_541__FDSAUDITLINK__" localSheetId="1" hidden="1">{"fdsup://directions/FAT Viewer?action=UPDATE&amp;creator=factset&amp;DYN_ARGS=TRUE&amp;DOC_NAME=FAT:FQL_AUDITING_CLIENT_TEMPLATE.FAT&amp;display_string=Audit&amp;VAR:KEY=FIVGVSZUTK&amp;VAR:QUERY=RkZfRUJJVERBX09QRVIoUVRSLDQvMS8yMDA5LDYvMzAvMjAwOSwsLFVTRCk=&amp;WINDOW=FIRST_POPUP&amp;HEIGH","T=450&amp;WIDTH=450&amp;START_MAXIMIZED=FALSE&amp;VAR:CALENDAR=US&amp;VAR:SYMBOL=IGT&amp;VAR:INDEX=0"}</definedName>
    <definedName name="_541__FDSAUDITLINK__" hidden="1">{"fdsup://directions/FAT Viewer?action=UPDATE&amp;creator=factset&amp;DYN_ARGS=TRUE&amp;DOC_NAME=FAT:FQL_AUDITING_CLIENT_TEMPLATE.FAT&amp;display_string=Audit&amp;VAR:KEY=FIVGVSZUTK&amp;VAR:QUERY=RkZfRUJJVERBX09QRVIoUVRSLDQvMS8yMDA5LDYvMzAvMjAwOSwsLFVTRCk=&amp;WINDOW=FIRST_POPUP&amp;HEIGH","T=450&amp;WIDTH=450&amp;START_MAXIMIZED=FALSE&amp;VAR:CALENDAR=US&amp;VAR:SYMBOL=IGT&amp;VAR:INDEX=0"}</definedName>
    <definedName name="_542__FDSAUDITLINK__" localSheetId="1" hidden="1">{"fdsup://directions/FAT Viewer?action=UPDATE&amp;creator=factset&amp;DYN_ARGS=TRUE&amp;DOC_NAME=FAT:FQL_AUDITING_CLIENT_TEMPLATE.FAT&amp;display_string=Audit&amp;VAR:KEY=LQBSHETUPW&amp;VAR:QUERY=RkZfRUJJVERBX09QRVIoUVRSLDQvMS8yMDEwLDYvMzAvMjAxMCwsLFVTRCk=&amp;WINDOW=FIRST_POPUP&amp;HEIGH","T=450&amp;WIDTH=450&amp;START_MAXIMIZED=FALSE&amp;VAR:CALENDAR=US&amp;VAR:SYMBOL=IGT&amp;VAR:INDEX=0"}</definedName>
    <definedName name="_542__FDSAUDITLINK__" hidden="1">{"fdsup://directions/FAT Viewer?action=UPDATE&amp;creator=factset&amp;DYN_ARGS=TRUE&amp;DOC_NAME=FAT:FQL_AUDITING_CLIENT_TEMPLATE.FAT&amp;display_string=Audit&amp;VAR:KEY=LQBSHETUPW&amp;VAR:QUERY=RkZfRUJJVERBX09QRVIoUVRSLDQvMS8yMDEwLDYvMzAvMjAxMCwsLFVTRCk=&amp;WINDOW=FIRST_POPUP&amp;HEIGH","T=450&amp;WIDTH=450&amp;START_MAXIMIZED=FALSE&amp;VAR:CALENDAR=US&amp;VAR:SYMBOL=IGT&amp;VAR:INDEX=0"}</definedName>
    <definedName name="_543__FDSAUDITLINK__" localSheetId="1" hidden="1">{"fdsup://directions/FAT Viewer?action=UPDATE&amp;creator=factset&amp;DYN_ARGS=TRUE&amp;DOC_NAME=FAT:FQL_AUDITING_CLIENT_TEMPLATE.FAT&amp;display_string=Audit&amp;VAR:KEY=XODGTMJCFE&amp;VAR:QUERY=RkZfRUJJVERBX09QRVIoUVRSLDQvMS8yMDA5LDYvMzAvMjAwOSwsLFVTRCk=&amp;WINDOW=FIRST_POPUP&amp;HEIGH","T=450&amp;WIDTH=450&amp;START_MAXIMIZED=FALSE&amp;VAR:CALENDAR=US&amp;VAR:SYMBOL=IFF&amp;VAR:INDEX=0"}</definedName>
    <definedName name="_543__FDSAUDITLINK__" hidden="1">{"fdsup://directions/FAT Viewer?action=UPDATE&amp;creator=factset&amp;DYN_ARGS=TRUE&amp;DOC_NAME=FAT:FQL_AUDITING_CLIENT_TEMPLATE.FAT&amp;display_string=Audit&amp;VAR:KEY=XODGTMJCFE&amp;VAR:QUERY=RkZfRUJJVERBX09QRVIoUVRSLDQvMS8yMDA5LDYvMzAvMjAwOSwsLFVTRCk=&amp;WINDOW=FIRST_POPUP&amp;HEIGH","T=450&amp;WIDTH=450&amp;START_MAXIMIZED=FALSE&amp;VAR:CALENDAR=US&amp;VAR:SYMBOL=IFF&amp;VAR:INDEX=0"}</definedName>
    <definedName name="_544__FDSAUDITLINK__" localSheetId="1" hidden="1">{"fdsup://directions/FAT Viewer?action=UPDATE&amp;creator=factset&amp;DYN_ARGS=TRUE&amp;DOC_NAME=FAT:FQL_AUDITING_CLIENT_TEMPLATE.FAT&amp;display_string=Audit&amp;VAR:KEY=ZCDIRSDITG&amp;VAR:QUERY=RkZfRUJJVERBX09QRVIoUVRSLDQvMS8yMDEwLDYvMzAvMjAxMCwsLFVTRCk=&amp;WINDOW=FIRST_POPUP&amp;HEIGH","T=450&amp;WIDTH=450&amp;START_MAXIMIZED=FALSE&amp;VAR:CALENDAR=US&amp;VAR:SYMBOL=IFF&amp;VAR:INDEX=0"}</definedName>
    <definedName name="_544__FDSAUDITLINK__" hidden="1">{"fdsup://directions/FAT Viewer?action=UPDATE&amp;creator=factset&amp;DYN_ARGS=TRUE&amp;DOC_NAME=FAT:FQL_AUDITING_CLIENT_TEMPLATE.FAT&amp;display_string=Audit&amp;VAR:KEY=ZCDIRSDITG&amp;VAR:QUERY=RkZfRUJJVERBX09QRVIoUVRSLDQvMS8yMDEwLDYvMzAvMjAxMCwsLFVTRCk=&amp;WINDOW=FIRST_POPUP&amp;HEIGH","T=450&amp;WIDTH=450&amp;START_MAXIMIZED=FALSE&amp;VAR:CALENDAR=US&amp;VAR:SYMBOL=IFF&amp;VAR:INDEX=0"}</definedName>
    <definedName name="_545__FDSAUDITLINK__" localSheetId="1" hidden="1">{"fdsup://directions/FAT Viewer?action=UPDATE&amp;creator=factset&amp;DYN_ARGS=TRUE&amp;DOC_NAME=FAT:FQL_AUDITING_CLIENT_TEMPLATE.FAT&amp;display_string=Audit&amp;VAR:KEY=HWBALQBYFI&amp;VAR:QUERY=RkZfRUJJVERBX09QRVIoUVRSLDQvMS8yMDA5LDYvMzAvMjAwOSwsLFVTRCk=&amp;WINDOW=FIRST_POPUP&amp;HEIGH","T=450&amp;WIDTH=450&amp;START_MAXIMIZED=FALSE&amp;VAR:CALENDAR=US&amp;VAR:SYMBOL=ICE&amp;VAR:INDEX=0"}</definedName>
    <definedName name="_545__FDSAUDITLINK__" hidden="1">{"fdsup://directions/FAT Viewer?action=UPDATE&amp;creator=factset&amp;DYN_ARGS=TRUE&amp;DOC_NAME=FAT:FQL_AUDITING_CLIENT_TEMPLATE.FAT&amp;display_string=Audit&amp;VAR:KEY=HWBALQBYFI&amp;VAR:QUERY=RkZfRUJJVERBX09QRVIoUVRSLDQvMS8yMDA5LDYvMzAvMjAwOSwsLFVTRCk=&amp;WINDOW=FIRST_POPUP&amp;HEIGH","T=450&amp;WIDTH=450&amp;START_MAXIMIZED=FALSE&amp;VAR:CALENDAR=US&amp;VAR:SYMBOL=ICE&amp;VAR:INDEX=0"}</definedName>
    <definedName name="_546__FDSAUDITLINK__" localSheetId="1" hidden="1">{"fdsup://directions/FAT Viewer?action=UPDATE&amp;creator=factset&amp;DYN_ARGS=TRUE&amp;DOC_NAME=FAT:FQL_AUDITING_CLIENT_TEMPLATE.FAT&amp;display_string=Audit&amp;VAR:KEY=PGVSRUTSHQ&amp;VAR:QUERY=RkZfRUJJVERBX09QRVIoUVRSLDQvMS8yMDEwLDYvMzAvMjAxMCwsLFVTRCk=&amp;WINDOW=FIRST_POPUP&amp;HEIGH","T=450&amp;WIDTH=450&amp;START_MAXIMIZED=FALSE&amp;VAR:CALENDAR=US&amp;VAR:SYMBOL=ICE&amp;VAR:INDEX=0"}</definedName>
    <definedName name="_546__FDSAUDITLINK__" hidden="1">{"fdsup://directions/FAT Viewer?action=UPDATE&amp;creator=factset&amp;DYN_ARGS=TRUE&amp;DOC_NAME=FAT:FQL_AUDITING_CLIENT_TEMPLATE.FAT&amp;display_string=Audit&amp;VAR:KEY=PGVSRUTSHQ&amp;VAR:QUERY=RkZfRUJJVERBX09QRVIoUVRSLDQvMS8yMDEwLDYvMzAvMjAxMCwsLFVTRCk=&amp;WINDOW=FIRST_POPUP&amp;HEIGH","T=450&amp;WIDTH=450&amp;START_MAXIMIZED=FALSE&amp;VAR:CALENDAR=US&amp;VAR:SYMBOL=ICE&amp;VAR:INDEX=0"}</definedName>
    <definedName name="_547__FDSAUDITLINK__" localSheetId="1" hidden="1">{"fdsup://directions/FAT Viewer?action=UPDATE&amp;creator=factset&amp;DYN_ARGS=TRUE&amp;DOC_NAME=FAT:FQL_AUDITING_CLIENT_TEMPLATE.FAT&amp;display_string=Audit&amp;VAR:KEY=FUNSZYVSPA&amp;VAR:QUERY=RkZfRUJJVERBX09QRVIoUVRSLDQvMS8yMDA5LDYvMzAvMjAwOSwsLFVTRCk=&amp;WINDOW=FIRST_POPUP&amp;HEIGH","T=450&amp;WIDTH=450&amp;START_MAXIMIZED=FALSE&amp;VAR:CALENDAR=US&amp;VAR:SYMBOL=IBM&amp;VAR:INDEX=0"}</definedName>
    <definedName name="_547__FDSAUDITLINK__" hidden="1">{"fdsup://directions/FAT Viewer?action=UPDATE&amp;creator=factset&amp;DYN_ARGS=TRUE&amp;DOC_NAME=FAT:FQL_AUDITING_CLIENT_TEMPLATE.FAT&amp;display_string=Audit&amp;VAR:KEY=FUNSZYVSPA&amp;VAR:QUERY=RkZfRUJJVERBX09QRVIoUVRSLDQvMS8yMDA5LDYvMzAvMjAwOSwsLFVTRCk=&amp;WINDOW=FIRST_POPUP&amp;HEIGH","T=450&amp;WIDTH=450&amp;START_MAXIMIZED=FALSE&amp;VAR:CALENDAR=US&amp;VAR:SYMBOL=IBM&amp;VAR:INDEX=0"}</definedName>
    <definedName name="_548__FDSAUDITLINK__" localSheetId="1" hidden="1">{"fdsup://directions/FAT Viewer?action=UPDATE&amp;creator=factset&amp;DYN_ARGS=TRUE&amp;DOC_NAME=FAT:FQL_AUDITING_CLIENT_TEMPLATE.FAT&amp;display_string=Audit&amp;VAR:KEY=VCNKXCPUZC&amp;VAR:QUERY=RkZfRUJJVERBX09QRVIoUVRSLDQvMS8yMDEwLDYvMzAvMjAxMCwsLFVTRCk=&amp;WINDOW=FIRST_POPUP&amp;HEIGH","T=450&amp;WIDTH=450&amp;START_MAXIMIZED=FALSE&amp;VAR:CALENDAR=US&amp;VAR:SYMBOL=IBM&amp;VAR:INDEX=0"}</definedName>
    <definedName name="_548__FDSAUDITLINK__" hidden="1">{"fdsup://directions/FAT Viewer?action=UPDATE&amp;creator=factset&amp;DYN_ARGS=TRUE&amp;DOC_NAME=FAT:FQL_AUDITING_CLIENT_TEMPLATE.FAT&amp;display_string=Audit&amp;VAR:KEY=VCNKXCPUZC&amp;VAR:QUERY=RkZfRUJJVERBX09QRVIoUVRSLDQvMS8yMDEwLDYvMzAvMjAxMCwsLFVTRCk=&amp;WINDOW=FIRST_POPUP&amp;HEIGH","T=450&amp;WIDTH=450&amp;START_MAXIMIZED=FALSE&amp;VAR:CALENDAR=US&amp;VAR:SYMBOL=IBM&amp;VAR:INDEX=0"}</definedName>
    <definedName name="_549__FDSAUDITLINK__" localSheetId="1" hidden="1">{"fdsup://directions/FAT Viewer?action=UPDATE&amp;creator=factset&amp;DYN_ARGS=TRUE&amp;DOC_NAME=FAT:FQL_AUDITING_CLIENT_TEMPLATE.FAT&amp;display_string=Audit&amp;VAR:KEY=ZGLMZIJSPM&amp;VAR:QUERY=RkZfRUJJVERBX09QRVIoUVRSLDQvMS8yMDA5LDYvMzAvMjAwOSwsLFVTRCk=&amp;WINDOW=FIRST_POPUP&amp;HEIGH","T=450&amp;WIDTH=450&amp;START_MAXIMIZED=FALSE&amp;VAR:CALENDAR=US&amp;VAR:SYMBOL=HUM&amp;VAR:INDEX=0"}</definedName>
    <definedName name="_549__FDSAUDITLINK__" hidden="1">{"fdsup://directions/FAT Viewer?action=UPDATE&amp;creator=factset&amp;DYN_ARGS=TRUE&amp;DOC_NAME=FAT:FQL_AUDITING_CLIENT_TEMPLATE.FAT&amp;display_string=Audit&amp;VAR:KEY=ZGLMZIJSPM&amp;VAR:QUERY=RkZfRUJJVERBX09QRVIoUVRSLDQvMS8yMDA5LDYvMzAvMjAwOSwsLFVTRCk=&amp;WINDOW=FIRST_POPUP&amp;HEIGH","T=450&amp;WIDTH=450&amp;START_MAXIMIZED=FALSE&amp;VAR:CALENDAR=US&amp;VAR:SYMBOL=HUM&amp;VAR:INDEX=0"}</definedName>
    <definedName name="_55__FDSAUDITLINK__" localSheetId="1" hidden="1">{"fdsup://directions/FAT Viewer?action=UPDATE&amp;creator=factset&amp;DYN_ARGS=TRUE&amp;DOC_NAME=FAT:FQL_AUDITING_CLIENT_TEMPLATE.FAT&amp;display_string=Audit&amp;VAR:KEY=VGRGTIFCHE&amp;VAR:QUERY=RkZfRUJJVERBX09QRVIoUVRSLDQvMS8yMDA5LDYvMzAvMjAwOSwsLFVTRCk=&amp;WINDOW=FIRST_POPUP&amp;HEIGH","T=450&amp;WIDTH=450&amp;START_MAXIMIZED=FALSE&amp;VAR:CALENDAR=US&amp;VAR:SYMBOL=WDC&amp;VAR:INDEX=0"}</definedName>
    <definedName name="_55__FDSAUDITLINK__" hidden="1">{"fdsup://directions/FAT Viewer?action=UPDATE&amp;creator=factset&amp;DYN_ARGS=TRUE&amp;DOC_NAME=FAT:FQL_AUDITING_CLIENT_TEMPLATE.FAT&amp;display_string=Audit&amp;VAR:KEY=VGRGTIFCHE&amp;VAR:QUERY=RkZfRUJJVERBX09QRVIoUVRSLDQvMS8yMDA5LDYvMzAvMjAwOSwsLFVTRCk=&amp;WINDOW=FIRST_POPUP&amp;HEIGH","T=450&amp;WIDTH=450&amp;START_MAXIMIZED=FALSE&amp;VAR:CALENDAR=US&amp;VAR:SYMBOL=WDC&amp;VAR:INDEX=0"}</definedName>
    <definedName name="_550__FDSAUDITLINK__" localSheetId="1" hidden="1">{"fdsup://directions/FAT Viewer?action=UPDATE&amp;creator=factset&amp;DYN_ARGS=TRUE&amp;DOC_NAME=FAT:FQL_AUDITING_CLIENT_TEMPLATE.FAT&amp;display_string=Audit&amp;VAR:KEY=VIDYREHUTY&amp;VAR:QUERY=RkZfRUJJVERBX09QRVIoUVRSLDQvMS8yMDEwLDYvMzAvMjAxMCwsLFVTRCk=&amp;WINDOW=FIRST_POPUP&amp;HEIGH","T=450&amp;WIDTH=450&amp;START_MAXIMIZED=FALSE&amp;VAR:CALENDAR=US&amp;VAR:SYMBOL=HUM&amp;VAR:INDEX=0"}</definedName>
    <definedName name="_550__FDSAUDITLINK__" hidden="1">{"fdsup://directions/FAT Viewer?action=UPDATE&amp;creator=factset&amp;DYN_ARGS=TRUE&amp;DOC_NAME=FAT:FQL_AUDITING_CLIENT_TEMPLATE.FAT&amp;display_string=Audit&amp;VAR:KEY=VIDYREHUTY&amp;VAR:QUERY=RkZfRUJJVERBX09QRVIoUVRSLDQvMS8yMDEwLDYvMzAvMjAxMCwsLFVTRCk=&amp;WINDOW=FIRST_POPUP&amp;HEIGH","T=450&amp;WIDTH=450&amp;START_MAXIMIZED=FALSE&amp;VAR:CALENDAR=US&amp;VAR:SYMBOL=HUM&amp;VAR:INDEX=0"}</definedName>
    <definedName name="_551__FDSAUDITLINK__" localSheetId="1" hidden="1">{"fdsup://directions/FAT Viewer?action=UPDATE&amp;creator=factset&amp;DYN_ARGS=TRUE&amp;DOC_NAME=FAT:FQL_AUDITING_CLIENT_TEMPLATE.FAT&amp;display_string=Audit&amp;VAR:KEY=DMZCJKBGBS&amp;VAR:QUERY=RkZfRUJJVERBX09QRVIoUVRSLDQvMS8yMDA5LDYvMzAvMjAwOSwsLFVTRCk=&amp;WINDOW=FIRST_POPUP&amp;HEIGH","T=450&amp;WIDTH=450&amp;START_MAXIMIZED=FALSE&amp;VAR:CALENDAR=US&amp;VAR:SYMBOL=HSY&amp;VAR:INDEX=0"}</definedName>
    <definedName name="_551__FDSAUDITLINK__" hidden="1">{"fdsup://directions/FAT Viewer?action=UPDATE&amp;creator=factset&amp;DYN_ARGS=TRUE&amp;DOC_NAME=FAT:FQL_AUDITING_CLIENT_TEMPLATE.FAT&amp;display_string=Audit&amp;VAR:KEY=DMZCJKBGBS&amp;VAR:QUERY=RkZfRUJJVERBX09QRVIoUVRSLDQvMS8yMDA5LDYvMzAvMjAwOSwsLFVTRCk=&amp;WINDOW=FIRST_POPUP&amp;HEIGH","T=450&amp;WIDTH=450&amp;START_MAXIMIZED=FALSE&amp;VAR:CALENDAR=US&amp;VAR:SYMBOL=HSY&amp;VAR:INDEX=0"}</definedName>
    <definedName name="_552__FDSAUDITLINK__" localSheetId="1" hidden="1">{"fdsup://directions/FAT Viewer?action=UPDATE&amp;creator=factset&amp;DYN_ARGS=TRUE&amp;DOC_NAME=FAT:FQL_AUDITING_CLIENT_TEMPLATE.FAT&amp;display_string=Audit&amp;VAR:KEY=JEXGTMBUPE&amp;VAR:QUERY=RkZfRUJJVERBX09QRVIoUVRSLDQvMS8yMDEwLDYvMzAvMjAxMCwsLFVTRCk=&amp;WINDOW=FIRST_POPUP&amp;HEIGH","T=450&amp;WIDTH=450&amp;START_MAXIMIZED=FALSE&amp;VAR:CALENDAR=US&amp;VAR:SYMBOL=HSY&amp;VAR:INDEX=0"}</definedName>
    <definedName name="_552__FDSAUDITLINK__" hidden="1">{"fdsup://directions/FAT Viewer?action=UPDATE&amp;creator=factset&amp;DYN_ARGS=TRUE&amp;DOC_NAME=FAT:FQL_AUDITING_CLIENT_TEMPLATE.FAT&amp;display_string=Audit&amp;VAR:KEY=JEXGTMBUPE&amp;VAR:QUERY=RkZfRUJJVERBX09QRVIoUVRSLDQvMS8yMDEwLDYvMzAvMjAxMCwsLFVTRCk=&amp;WINDOW=FIRST_POPUP&amp;HEIGH","T=450&amp;WIDTH=450&amp;START_MAXIMIZED=FALSE&amp;VAR:CALENDAR=US&amp;VAR:SYMBOL=HSY&amp;VAR:INDEX=0"}</definedName>
    <definedName name="_553__FDSAUDITLINK__" localSheetId="1" hidden="1">{"fdsup://directions/FAT Viewer?action=UPDATE&amp;creator=factset&amp;DYN_ARGS=TRUE&amp;DOC_NAME=FAT:FQL_AUDITING_CLIENT_TEMPLATE.FAT&amp;display_string=Audit&amp;VAR:KEY=DKFCFYVABG&amp;VAR:QUERY=RkZfRUJJVERBX09QRVIoUVRSLDQvMS8yMDA5LDYvMzAvMjAwOSwsLFVTRCk=&amp;WINDOW=FIRST_POPUP&amp;HEIGH","T=450&amp;WIDTH=450&amp;START_MAXIMIZED=FALSE&amp;VAR:CALENDAR=US&amp;VAR:SYMBOL=HST&amp;VAR:INDEX=0"}</definedName>
    <definedName name="_553__FDSAUDITLINK__" hidden="1">{"fdsup://directions/FAT Viewer?action=UPDATE&amp;creator=factset&amp;DYN_ARGS=TRUE&amp;DOC_NAME=FAT:FQL_AUDITING_CLIENT_TEMPLATE.FAT&amp;display_string=Audit&amp;VAR:KEY=DKFCFYVABG&amp;VAR:QUERY=RkZfRUJJVERBX09QRVIoUVRSLDQvMS8yMDA5LDYvMzAvMjAwOSwsLFVTRCk=&amp;WINDOW=FIRST_POPUP&amp;HEIGH","T=450&amp;WIDTH=450&amp;START_MAXIMIZED=FALSE&amp;VAR:CALENDAR=US&amp;VAR:SYMBOL=HST&amp;VAR:INDEX=0"}</definedName>
    <definedName name="_554__FDSAUDITLINK__" localSheetId="1" hidden="1">{"fdsup://directions/FAT Viewer?action=UPDATE&amp;creator=factset&amp;DYN_ARGS=TRUE&amp;DOC_NAME=FAT:FQL_AUDITING_CLIENT_TEMPLATE.FAT&amp;display_string=Audit&amp;VAR:KEY=PADODARSBA&amp;VAR:QUERY=RkZfRUJJVERBX09QRVIoUVRSLDQvMS8yMDEwLDYvMzAvMjAxMCwsLFVTRCk=&amp;WINDOW=FIRST_POPUP&amp;HEIGH","T=450&amp;WIDTH=450&amp;START_MAXIMIZED=FALSE&amp;VAR:CALENDAR=US&amp;VAR:SYMBOL=HST&amp;VAR:INDEX=0"}</definedName>
    <definedName name="_554__FDSAUDITLINK__" hidden="1">{"fdsup://directions/FAT Viewer?action=UPDATE&amp;creator=factset&amp;DYN_ARGS=TRUE&amp;DOC_NAME=FAT:FQL_AUDITING_CLIENT_TEMPLATE.FAT&amp;display_string=Audit&amp;VAR:KEY=PADODARSBA&amp;VAR:QUERY=RkZfRUJJVERBX09QRVIoUVRSLDQvMS8yMDEwLDYvMzAvMjAxMCwsLFVTRCk=&amp;WINDOW=FIRST_POPUP&amp;HEIGH","T=450&amp;WIDTH=450&amp;START_MAXIMIZED=FALSE&amp;VAR:CALENDAR=US&amp;VAR:SYMBOL=HST&amp;VAR:INDEX=0"}</definedName>
    <definedName name="_555__FDSAUDITLINK__" localSheetId="1" hidden="1">{"fdsup://directions/FAT Viewer?action=UPDATE&amp;creator=factset&amp;DYN_ARGS=TRUE&amp;DOC_NAME=FAT:FQL_AUDITING_CLIENT_TEMPLATE.FAT&amp;display_string=Audit&amp;VAR:KEY=XCTONARMHK&amp;VAR:QUERY=RkZfRUJJVERBX09QRVIoUVRSLDQvMS8yMDA5LDYvMzAvMjAwOSwsLFVTRCk=&amp;WINDOW=FIRST_POPUP&amp;HEIGH","T=450&amp;WIDTH=450&amp;START_MAXIMIZED=FALSE&amp;VAR:CALENDAR=US&amp;VAR:SYMBOL=HSP&amp;VAR:INDEX=0"}</definedName>
    <definedName name="_555__FDSAUDITLINK__" hidden="1">{"fdsup://directions/FAT Viewer?action=UPDATE&amp;creator=factset&amp;DYN_ARGS=TRUE&amp;DOC_NAME=FAT:FQL_AUDITING_CLIENT_TEMPLATE.FAT&amp;display_string=Audit&amp;VAR:KEY=XCTONARMHK&amp;VAR:QUERY=RkZfRUJJVERBX09QRVIoUVRSLDQvMS8yMDA5LDYvMzAvMjAwOSwsLFVTRCk=&amp;WINDOW=FIRST_POPUP&amp;HEIGH","T=450&amp;WIDTH=450&amp;START_MAXIMIZED=FALSE&amp;VAR:CALENDAR=US&amp;VAR:SYMBOL=HSP&amp;VAR:INDEX=0"}</definedName>
    <definedName name="_556__FDSAUDITLINK__" localSheetId="1" hidden="1">{"fdsup://directions/FAT Viewer?action=UPDATE&amp;creator=factset&amp;DYN_ARGS=TRUE&amp;DOC_NAME=FAT:FQL_AUDITING_CLIENT_TEMPLATE.FAT&amp;display_string=Audit&amp;VAR:KEY=XAPEZIJWBG&amp;VAR:QUERY=RkZfRUJJVERBX09QRVIoUVRSLDQvMS8yMDEwLDYvMzAvMjAxMCwsLFVTRCk=&amp;WINDOW=FIRST_POPUP&amp;HEIGH","T=450&amp;WIDTH=450&amp;START_MAXIMIZED=FALSE&amp;VAR:CALENDAR=US&amp;VAR:SYMBOL=HSP&amp;VAR:INDEX=0"}</definedName>
    <definedName name="_556__FDSAUDITLINK__" hidden="1">{"fdsup://directions/FAT Viewer?action=UPDATE&amp;creator=factset&amp;DYN_ARGS=TRUE&amp;DOC_NAME=FAT:FQL_AUDITING_CLIENT_TEMPLATE.FAT&amp;display_string=Audit&amp;VAR:KEY=XAPEZIJWBG&amp;VAR:QUERY=RkZfRUJJVERBX09QRVIoUVRSLDQvMS8yMDEwLDYvMzAvMjAxMCwsLFVTRCk=&amp;WINDOW=FIRST_POPUP&amp;HEIGH","T=450&amp;WIDTH=450&amp;START_MAXIMIZED=FALSE&amp;VAR:CALENDAR=US&amp;VAR:SYMBOL=HSP&amp;VAR:INDEX=0"}</definedName>
    <definedName name="_557__FDSAUDITLINK__" localSheetId="1" hidden="1">{"fdsup://directions/FAT Viewer?action=UPDATE&amp;creator=factset&amp;DYN_ARGS=TRUE&amp;DOC_NAME=FAT:FQL_AUDITING_CLIENT_TEMPLATE.FAT&amp;display_string=Audit&amp;VAR:KEY=VAFULARKLW&amp;VAR:QUERY=RkZfRUJJVERBX09QRVIoUVRSLDQvMS8yMDA5LDYvMzAvMjAwOSwsLFVTRCk=&amp;WINDOW=FIRST_POPUP&amp;HEIGH","T=450&amp;WIDTH=450&amp;START_MAXIMIZED=FALSE&amp;VAR:CALENDAR=US&amp;VAR:SYMBOL=HRS&amp;VAR:INDEX=0"}</definedName>
    <definedName name="_557__FDSAUDITLINK__" hidden="1">{"fdsup://directions/FAT Viewer?action=UPDATE&amp;creator=factset&amp;DYN_ARGS=TRUE&amp;DOC_NAME=FAT:FQL_AUDITING_CLIENT_TEMPLATE.FAT&amp;display_string=Audit&amp;VAR:KEY=VAFULARKLW&amp;VAR:QUERY=RkZfRUJJVERBX09QRVIoUVRSLDQvMS8yMDA5LDYvMzAvMjAwOSwsLFVTRCk=&amp;WINDOW=FIRST_POPUP&amp;HEIGH","T=450&amp;WIDTH=450&amp;START_MAXIMIZED=FALSE&amp;VAR:CALENDAR=US&amp;VAR:SYMBOL=HRS&amp;VAR:INDEX=0"}</definedName>
    <definedName name="_558__FDSAUDITLINK__" localSheetId="1" hidden="1">{"fdsup://directions/FAT Viewer?action=UPDATE&amp;creator=factset&amp;DYN_ARGS=TRUE&amp;DOC_NAME=FAT:FQL_AUDITING_CLIENT_TEMPLATE.FAT&amp;display_string=Audit&amp;VAR:KEY=FSNENOPOHY&amp;VAR:QUERY=RkZfRUJJVERBX09QRVIoUVRSLDQvMS8yMDEwLDYvMzAvMjAxMCwsLFVTRCk=&amp;WINDOW=FIRST_POPUP&amp;HEIGH","T=450&amp;WIDTH=450&amp;START_MAXIMIZED=FALSE&amp;VAR:CALENDAR=US&amp;VAR:SYMBOL=HRS&amp;VAR:INDEX=0"}</definedName>
    <definedName name="_558__FDSAUDITLINK__" hidden="1">{"fdsup://directions/FAT Viewer?action=UPDATE&amp;creator=factset&amp;DYN_ARGS=TRUE&amp;DOC_NAME=FAT:FQL_AUDITING_CLIENT_TEMPLATE.FAT&amp;display_string=Audit&amp;VAR:KEY=FSNENOPOHY&amp;VAR:QUERY=RkZfRUJJVERBX09QRVIoUVRSLDQvMS8yMDEwLDYvMzAvMjAxMCwsLFVTRCk=&amp;WINDOW=FIRST_POPUP&amp;HEIGH","T=450&amp;WIDTH=450&amp;START_MAXIMIZED=FALSE&amp;VAR:CALENDAR=US&amp;VAR:SYMBOL=HRS&amp;VAR:INDEX=0"}</definedName>
    <definedName name="_559__FDSAUDITLINK__" localSheetId="1" hidden="1">{"fdsup://directions/FAT Viewer?action=UPDATE&amp;creator=factset&amp;DYN_ARGS=TRUE&amp;DOC_NAME=FAT:FQL_AUDITING_CLIENT_TEMPLATE.FAT&amp;display_string=Audit&amp;VAR:KEY=FCFAHCDIZA&amp;VAR:QUERY=RkZfRUJJVERBX09QRVIoUVRSLDQvMS8yMDA5LDYvMzAvMjAwOSwsLFVTRCk=&amp;WINDOW=FIRST_POPUP&amp;HEIGH","T=450&amp;WIDTH=450&amp;START_MAXIMIZED=FALSE&amp;VAR:CALENDAR=US&amp;VAR:SYMBOL=HRL&amp;VAR:INDEX=0"}</definedName>
    <definedName name="_559__FDSAUDITLINK__" hidden="1">{"fdsup://directions/FAT Viewer?action=UPDATE&amp;creator=factset&amp;DYN_ARGS=TRUE&amp;DOC_NAME=FAT:FQL_AUDITING_CLIENT_TEMPLATE.FAT&amp;display_string=Audit&amp;VAR:KEY=FCFAHCDIZA&amp;VAR:QUERY=RkZfRUJJVERBX09QRVIoUVRSLDQvMS8yMDA5LDYvMzAvMjAwOSwsLFVTRCk=&amp;WINDOW=FIRST_POPUP&amp;HEIGH","T=450&amp;WIDTH=450&amp;START_MAXIMIZED=FALSE&amp;VAR:CALENDAR=US&amp;VAR:SYMBOL=HRL&amp;VAR:INDEX=0"}</definedName>
    <definedName name="_56__FDSAUDITLINK__" localSheetId="1" hidden="1">{"fdsup://directions/FAT Viewer?action=UPDATE&amp;creator=factset&amp;DYN_ARGS=TRUE&amp;DOC_NAME=FAT:FQL_AUDITING_CLIENT_TEMPLATE.FAT&amp;display_string=Audit&amp;VAR:KEY=ZYPSNMTSNM&amp;VAR:QUERY=RkZfRUJJVERBX09QRVIoUVRSLDQvMS8yMDEwLDYvMzAvMjAxMCwsLFVTRCk=&amp;WINDOW=FIRST_POPUP&amp;HEIGH","T=450&amp;WIDTH=450&amp;START_MAXIMIZED=FALSE&amp;VAR:CALENDAR=US&amp;VAR:SYMBOL=WDC&amp;VAR:INDEX=0"}</definedName>
    <definedName name="_56__FDSAUDITLINK__" hidden="1">{"fdsup://directions/FAT Viewer?action=UPDATE&amp;creator=factset&amp;DYN_ARGS=TRUE&amp;DOC_NAME=FAT:FQL_AUDITING_CLIENT_TEMPLATE.FAT&amp;display_string=Audit&amp;VAR:KEY=ZYPSNMTSNM&amp;VAR:QUERY=RkZfRUJJVERBX09QRVIoUVRSLDQvMS8yMDEwLDYvMzAvMjAxMCwsLFVTRCk=&amp;WINDOW=FIRST_POPUP&amp;HEIGH","T=450&amp;WIDTH=450&amp;START_MAXIMIZED=FALSE&amp;VAR:CALENDAR=US&amp;VAR:SYMBOL=WDC&amp;VAR:INDEX=0"}</definedName>
    <definedName name="_560__FDSAUDITLINK__" localSheetId="1" hidden="1">{"fdsup://directions/FAT Viewer?action=UPDATE&amp;creator=factset&amp;DYN_ARGS=TRUE&amp;DOC_NAME=FAT:FQL_AUDITING_CLIENT_TEMPLATE.FAT&amp;display_string=Audit&amp;VAR:KEY=PARYBILGJK&amp;VAR:QUERY=RkZfRUJJVERBX09QRVIoUVRSLDQvMS8yMDEwLDYvMzAvMjAxMCwsLFVTRCk=&amp;WINDOW=FIRST_POPUP&amp;HEIGH","T=450&amp;WIDTH=450&amp;START_MAXIMIZED=FALSE&amp;VAR:CALENDAR=US&amp;VAR:SYMBOL=HRL&amp;VAR:INDEX=0"}</definedName>
    <definedName name="_560__FDSAUDITLINK__" hidden="1">{"fdsup://directions/FAT Viewer?action=UPDATE&amp;creator=factset&amp;DYN_ARGS=TRUE&amp;DOC_NAME=FAT:FQL_AUDITING_CLIENT_TEMPLATE.FAT&amp;display_string=Audit&amp;VAR:KEY=PARYBILGJK&amp;VAR:QUERY=RkZfRUJJVERBX09QRVIoUVRSLDQvMS8yMDEwLDYvMzAvMjAxMCwsLFVTRCk=&amp;WINDOW=FIRST_POPUP&amp;HEIGH","T=450&amp;WIDTH=450&amp;START_MAXIMIZED=FALSE&amp;VAR:CALENDAR=US&amp;VAR:SYMBOL=HRL&amp;VAR:INDEX=0"}</definedName>
    <definedName name="_561__FDSAUDITLINK__" localSheetId="1" hidden="1">{"fdsup://directions/FAT Viewer?action=UPDATE&amp;creator=factset&amp;DYN_ARGS=TRUE&amp;DOC_NAME=FAT:FQL_AUDITING_CLIENT_TEMPLATE.FAT&amp;display_string=Audit&amp;VAR:KEY=NENEZGNEVY&amp;VAR:QUERY=RkZfRUJJVERBX09QRVIoUVRSLDQvMS8yMDA5LDYvMzAvMjAwOSwsLFVTRCk=&amp;WINDOW=FIRST_POPUP&amp;HEIGH","T=450&amp;WIDTH=450&amp;START_MAXIMIZED=FALSE&amp;VAR:CALENDAR=US&amp;VAR:SYMBOL=HRB&amp;VAR:INDEX=0"}</definedName>
    <definedName name="_561__FDSAUDITLINK__" hidden="1">{"fdsup://directions/FAT Viewer?action=UPDATE&amp;creator=factset&amp;DYN_ARGS=TRUE&amp;DOC_NAME=FAT:FQL_AUDITING_CLIENT_TEMPLATE.FAT&amp;display_string=Audit&amp;VAR:KEY=NENEZGNEVY&amp;VAR:QUERY=RkZfRUJJVERBX09QRVIoUVRSLDQvMS8yMDA5LDYvMzAvMjAwOSwsLFVTRCk=&amp;WINDOW=FIRST_POPUP&amp;HEIGH","T=450&amp;WIDTH=450&amp;START_MAXIMIZED=FALSE&amp;VAR:CALENDAR=US&amp;VAR:SYMBOL=HRB&amp;VAR:INDEX=0"}</definedName>
    <definedName name="_562__FDSAUDITLINK__" localSheetId="1" hidden="1">{"fdsup://directions/FAT Viewer?action=UPDATE&amp;creator=factset&amp;DYN_ARGS=TRUE&amp;DOC_NAME=FAT:FQL_AUDITING_CLIENT_TEMPLATE.FAT&amp;display_string=Audit&amp;VAR:KEY=JSJWTEFSHQ&amp;VAR:QUERY=RkZfRUJJVERBX09QRVIoUVRSLDQvMS8yMDEwLDYvMzAvMjAxMCwsLFVTRCk=&amp;WINDOW=FIRST_POPUP&amp;HEIGH","T=450&amp;WIDTH=450&amp;START_MAXIMIZED=FALSE&amp;VAR:CALENDAR=US&amp;VAR:SYMBOL=HRB&amp;VAR:INDEX=0"}</definedName>
    <definedName name="_562__FDSAUDITLINK__" hidden="1">{"fdsup://directions/FAT Viewer?action=UPDATE&amp;creator=factset&amp;DYN_ARGS=TRUE&amp;DOC_NAME=FAT:FQL_AUDITING_CLIENT_TEMPLATE.FAT&amp;display_string=Audit&amp;VAR:KEY=JSJWTEFSHQ&amp;VAR:QUERY=RkZfRUJJVERBX09QRVIoUVRSLDQvMS8yMDEwLDYvMzAvMjAxMCwsLFVTRCk=&amp;WINDOW=FIRST_POPUP&amp;HEIGH","T=450&amp;WIDTH=450&amp;START_MAXIMIZED=FALSE&amp;VAR:CALENDAR=US&amp;VAR:SYMBOL=HRB&amp;VAR:INDEX=0"}</definedName>
    <definedName name="_563__FDSAUDITLINK__" localSheetId="1" hidden="1">{"fdsup://directions/FAT Viewer?action=UPDATE&amp;creator=factset&amp;DYN_ARGS=TRUE&amp;DOC_NAME=FAT:FQL_AUDITING_CLIENT_TEMPLATE.FAT&amp;display_string=Audit&amp;VAR:KEY=TCNWFQXQRU&amp;VAR:QUERY=RkZfRUJJVERBX09QRVIoUVRSLDQvMS8yMDA5LDYvMzAvMjAwOSwsLFVTRCk=&amp;WINDOW=FIRST_POPUP&amp;HEIGH","T=450&amp;WIDTH=450&amp;START_MAXIMIZED=FALSE&amp;VAR:CALENDAR=US&amp;VAR:SYMBOL=HPQ&amp;VAR:INDEX=0"}</definedName>
    <definedName name="_563__FDSAUDITLINK__" hidden="1">{"fdsup://directions/FAT Viewer?action=UPDATE&amp;creator=factset&amp;DYN_ARGS=TRUE&amp;DOC_NAME=FAT:FQL_AUDITING_CLIENT_TEMPLATE.FAT&amp;display_string=Audit&amp;VAR:KEY=TCNWFQXQRU&amp;VAR:QUERY=RkZfRUJJVERBX09QRVIoUVRSLDQvMS8yMDA5LDYvMzAvMjAwOSwsLFVTRCk=&amp;WINDOW=FIRST_POPUP&amp;HEIGH","T=450&amp;WIDTH=450&amp;START_MAXIMIZED=FALSE&amp;VAR:CALENDAR=US&amp;VAR:SYMBOL=HPQ&amp;VAR:INDEX=0"}</definedName>
    <definedName name="_564__FDSAUDITLINK__" localSheetId="1" hidden="1">{"fdsup://directions/FAT Viewer?action=UPDATE&amp;creator=factset&amp;DYN_ARGS=TRUE&amp;DOC_NAME=FAT:FQL_AUDITING_CLIENT_TEMPLATE.FAT&amp;display_string=Audit&amp;VAR:KEY=HSBMZYLYNY&amp;VAR:QUERY=RkZfRUJJVERBX09QRVIoUVRSLDQvMS8yMDEwLDYvMzAvMjAxMCwsLFVTRCk=&amp;WINDOW=FIRST_POPUP&amp;HEIGH","T=450&amp;WIDTH=450&amp;START_MAXIMIZED=FALSE&amp;VAR:CALENDAR=US&amp;VAR:SYMBOL=HPQ&amp;VAR:INDEX=0"}</definedName>
    <definedName name="_564__FDSAUDITLINK__" hidden="1">{"fdsup://directions/FAT Viewer?action=UPDATE&amp;creator=factset&amp;DYN_ARGS=TRUE&amp;DOC_NAME=FAT:FQL_AUDITING_CLIENT_TEMPLATE.FAT&amp;display_string=Audit&amp;VAR:KEY=HSBMZYLYNY&amp;VAR:QUERY=RkZfRUJJVERBX09QRVIoUVRSLDQvMS8yMDEwLDYvMzAvMjAxMCwsLFVTRCk=&amp;WINDOW=FIRST_POPUP&amp;HEIGH","T=450&amp;WIDTH=450&amp;START_MAXIMIZED=FALSE&amp;VAR:CALENDAR=US&amp;VAR:SYMBOL=HPQ&amp;VAR:INDEX=0"}</definedName>
    <definedName name="_565__FDSAUDITLINK__" localSheetId="1" hidden="1">{"fdsup://directions/FAT Viewer?action=UPDATE&amp;creator=factset&amp;DYN_ARGS=TRUE&amp;DOC_NAME=FAT:FQL_AUDITING_CLIENT_TEMPLATE.FAT&amp;display_string=Audit&amp;VAR:KEY=BYDCVARYNA&amp;VAR:QUERY=RkZfRUJJVERBX09QRVIoUVRSLDQvMS8yMDA5LDYvMzAvMjAwOSwsLFVTRCk=&amp;WINDOW=FIRST_POPUP&amp;HEIGH","T=450&amp;WIDTH=450&amp;START_MAXIMIZED=FALSE&amp;VAR:CALENDAR=US&amp;VAR:SYMBOL=HP&amp;VAR:INDEX=0"}</definedName>
    <definedName name="_565__FDSAUDITLINK__" hidden="1">{"fdsup://directions/FAT Viewer?action=UPDATE&amp;creator=factset&amp;DYN_ARGS=TRUE&amp;DOC_NAME=FAT:FQL_AUDITING_CLIENT_TEMPLATE.FAT&amp;display_string=Audit&amp;VAR:KEY=BYDCVARYNA&amp;VAR:QUERY=RkZfRUJJVERBX09QRVIoUVRSLDQvMS8yMDA5LDYvMzAvMjAwOSwsLFVTRCk=&amp;WINDOW=FIRST_POPUP&amp;HEIGH","T=450&amp;WIDTH=450&amp;START_MAXIMIZED=FALSE&amp;VAR:CALENDAR=US&amp;VAR:SYMBOL=HP&amp;VAR:INDEX=0"}</definedName>
    <definedName name="_566__FDSAUDITLINK__" localSheetId="1" hidden="1">{"fdsup://directions/FAT Viewer?action=UPDATE&amp;creator=factset&amp;DYN_ARGS=TRUE&amp;DOC_NAME=FAT:FQL_AUDITING_CLIENT_TEMPLATE.FAT&amp;display_string=Audit&amp;VAR:KEY=TKPKFSVKTY&amp;VAR:QUERY=RkZfRUJJVERBX09QRVIoUVRSLDQvMS8yMDEwLDYvMzAvMjAxMCwsLFVTRCk=&amp;WINDOW=FIRST_POPUP&amp;HEIGH","T=450&amp;WIDTH=450&amp;START_MAXIMIZED=FALSE&amp;VAR:CALENDAR=US&amp;VAR:SYMBOL=HP&amp;VAR:INDEX=0"}</definedName>
    <definedName name="_566__FDSAUDITLINK__" hidden="1">{"fdsup://directions/FAT Viewer?action=UPDATE&amp;creator=factset&amp;DYN_ARGS=TRUE&amp;DOC_NAME=FAT:FQL_AUDITING_CLIENT_TEMPLATE.FAT&amp;display_string=Audit&amp;VAR:KEY=TKPKFSVKTY&amp;VAR:QUERY=RkZfRUJJVERBX09QRVIoUVRSLDQvMS8yMDEwLDYvMzAvMjAxMCwsLFVTRCk=&amp;WINDOW=FIRST_POPUP&amp;HEIGH","T=450&amp;WIDTH=450&amp;START_MAXIMIZED=FALSE&amp;VAR:CALENDAR=US&amp;VAR:SYMBOL=HP&amp;VAR:INDEX=0"}</definedName>
    <definedName name="_567__FDSAUDITLINK__" localSheetId="1" hidden="1">{"fdsup://directions/FAT Viewer?action=UPDATE&amp;creator=factset&amp;DYN_ARGS=TRUE&amp;DOC_NAME=FAT:FQL_AUDITING_CLIENT_TEMPLATE.FAT&amp;display_string=Audit&amp;VAR:KEY=TYRCLQJYVU&amp;VAR:QUERY=RkZfRUJJVERBX09QRVIoUVRSLDQvMS8yMDA5LDYvMzAvMjAwOSwsLFVTRCk=&amp;WINDOW=FIRST_POPUP&amp;HEIGH","T=450&amp;WIDTH=450&amp;START_MAXIMIZED=FALSE&amp;VAR:CALENDAR=US&amp;VAR:SYMBOL=HOT&amp;VAR:INDEX=0"}</definedName>
    <definedName name="_567__FDSAUDITLINK__" hidden="1">{"fdsup://directions/FAT Viewer?action=UPDATE&amp;creator=factset&amp;DYN_ARGS=TRUE&amp;DOC_NAME=FAT:FQL_AUDITING_CLIENT_TEMPLATE.FAT&amp;display_string=Audit&amp;VAR:KEY=TYRCLQJYVU&amp;VAR:QUERY=RkZfRUJJVERBX09QRVIoUVRSLDQvMS8yMDA5LDYvMzAvMjAwOSwsLFVTRCk=&amp;WINDOW=FIRST_POPUP&amp;HEIGH","T=450&amp;WIDTH=450&amp;START_MAXIMIZED=FALSE&amp;VAR:CALENDAR=US&amp;VAR:SYMBOL=HOT&amp;VAR:INDEX=0"}</definedName>
    <definedName name="_568__FDSAUDITLINK__" localSheetId="1" hidden="1">{"fdsup://directions/FAT Viewer?action=UPDATE&amp;creator=factset&amp;DYN_ARGS=TRUE&amp;DOC_NAME=FAT:FQL_AUDITING_CLIENT_TEMPLATE.FAT&amp;display_string=Audit&amp;VAR:KEY=JCHGDOLOLC&amp;VAR:QUERY=RkZfRUJJVERBX09QRVIoUVRSLDQvMS8yMDEwLDYvMzAvMjAxMCwsLFVTRCk=&amp;WINDOW=FIRST_POPUP&amp;HEIGH","T=450&amp;WIDTH=450&amp;START_MAXIMIZED=FALSE&amp;VAR:CALENDAR=US&amp;VAR:SYMBOL=HOT&amp;VAR:INDEX=0"}</definedName>
    <definedName name="_568__FDSAUDITLINK__" hidden="1">{"fdsup://directions/FAT Viewer?action=UPDATE&amp;creator=factset&amp;DYN_ARGS=TRUE&amp;DOC_NAME=FAT:FQL_AUDITING_CLIENT_TEMPLATE.FAT&amp;display_string=Audit&amp;VAR:KEY=JCHGDOLOLC&amp;VAR:QUERY=RkZfRUJJVERBX09QRVIoUVRSLDQvMS8yMDEwLDYvMzAvMjAxMCwsLFVTRCk=&amp;WINDOW=FIRST_POPUP&amp;HEIGH","T=450&amp;WIDTH=450&amp;START_MAXIMIZED=FALSE&amp;VAR:CALENDAR=US&amp;VAR:SYMBOL=HOT&amp;VAR:INDEX=0"}</definedName>
    <definedName name="_569__FDSAUDITLINK__" localSheetId="1" hidden="1">{"fdsup://directions/FAT Viewer?action=UPDATE&amp;creator=factset&amp;DYN_ARGS=TRUE&amp;DOC_NAME=FAT:FQL_AUDITING_CLIENT_TEMPLATE.FAT&amp;display_string=Audit&amp;VAR:KEY=ZSLYXWJSLW&amp;VAR:QUERY=RkZfRUJJVERBX09QRVIoUVRSLDQvMS8yMDA5LDYvMzAvMjAwOSwsLFVTRCk=&amp;WINDOW=FIRST_POPUP&amp;HEIGH","T=450&amp;WIDTH=450&amp;START_MAXIMIZED=FALSE&amp;VAR:CALENDAR=US&amp;VAR:SYMBOL=HON&amp;VAR:INDEX=0"}</definedName>
    <definedName name="_569__FDSAUDITLINK__" hidden="1">{"fdsup://directions/FAT Viewer?action=UPDATE&amp;creator=factset&amp;DYN_ARGS=TRUE&amp;DOC_NAME=FAT:FQL_AUDITING_CLIENT_TEMPLATE.FAT&amp;display_string=Audit&amp;VAR:KEY=ZSLYXWJSLW&amp;VAR:QUERY=RkZfRUJJVERBX09QRVIoUVRSLDQvMS8yMDA5LDYvMzAvMjAwOSwsLFVTRCk=&amp;WINDOW=FIRST_POPUP&amp;HEIGH","T=450&amp;WIDTH=450&amp;START_MAXIMIZED=FALSE&amp;VAR:CALENDAR=US&amp;VAR:SYMBOL=HON&amp;VAR:INDEX=0"}</definedName>
    <definedName name="_57__FDSAUDITLINK__" localSheetId="1" hidden="1">{"fdsup://directions/FAT Viewer?action=UPDATE&amp;creator=factset&amp;DYN_ARGS=TRUE&amp;DOC_NAME=FAT:FQL_AUDITING_CLIENT_TEMPLATE.FAT&amp;display_string=Audit&amp;VAR:KEY=HETSREHMLY&amp;VAR:QUERY=RkZfRUJJVERBX09QRVIoUVRSLDQvMS8yMDA5LDYvMzAvMjAwOSwsLFVTRCk=&amp;WINDOW=FIRST_POPUP&amp;HEIGH","T=450&amp;WIDTH=450&amp;START_MAXIMIZED=FALSE&amp;VAR:CALENDAR=US&amp;VAR:SYMBOL=WAT&amp;VAR:INDEX=0"}</definedName>
    <definedName name="_57__FDSAUDITLINK__" hidden="1">{"fdsup://directions/FAT Viewer?action=UPDATE&amp;creator=factset&amp;DYN_ARGS=TRUE&amp;DOC_NAME=FAT:FQL_AUDITING_CLIENT_TEMPLATE.FAT&amp;display_string=Audit&amp;VAR:KEY=HETSREHMLY&amp;VAR:QUERY=RkZfRUJJVERBX09QRVIoUVRSLDQvMS8yMDA5LDYvMzAvMjAwOSwsLFVTRCk=&amp;WINDOW=FIRST_POPUP&amp;HEIGH","T=450&amp;WIDTH=450&amp;START_MAXIMIZED=FALSE&amp;VAR:CALENDAR=US&amp;VAR:SYMBOL=WAT&amp;VAR:INDEX=0"}</definedName>
    <definedName name="_570__FDSAUDITLINK__" localSheetId="1" hidden="1">{"fdsup://directions/FAT Viewer?action=UPDATE&amp;creator=factset&amp;DYN_ARGS=TRUE&amp;DOC_NAME=FAT:FQL_AUDITING_CLIENT_TEMPLATE.FAT&amp;display_string=Audit&amp;VAR:KEY=FWDYFWFCZC&amp;VAR:QUERY=RkZfRUJJVERBX09QRVIoUVRSLDQvMS8yMDEwLDYvMzAvMjAxMCwsLFVTRCk=&amp;WINDOW=FIRST_POPUP&amp;HEIGH","T=450&amp;WIDTH=450&amp;START_MAXIMIZED=FALSE&amp;VAR:CALENDAR=US&amp;VAR:SYMBOL=HON&amp;VAR:INDEX=0"}</definedName>
    <definedName name="_570__FDSAUDITLINK__" hidden="1">{"fdsup://directions/FAT Viewer?action=UPDATE&amp;creator=factset&amp;DYN_ARGS=TRUE&amp;DOC_NAME=FAT:FQL_AUDITING_CLIENT_TEMPLATE.FAT&amp;display_string=Audit&amp;VAR:KEY=FWDYFWFCZC&amp;VAR:QUERY=RkZfRUJJVERBX09QRVIoUVRSLDQvMS8yMDEwLDYvMzAvMjAxMCwsLFVTRCk=&amp;WINDOW=FIRST_POPUP&amp;HEIGH","T=450&amp;WIDTH=450&amp;START_MAXIMIZED=FALSE&amp;VAR:CALENDAR=US&amp;VAR:SYMBOL=HON&amp;VAR:INDEX=0"}</definedName>
    <definedName name="_571__FDSAUDITLINK__" localSheetId="1" hidden="1">{"fdsup://directions/FAT Viewer?action=UPDATE&amp;creator=factset&amp;DYN_ARGS=TRUE&amp;DOC_NAME=FAT:FQL_AUDITING_CLIENT_TEMPLATE.FAT&amp;display_string=Audit&amp;VAR:KEY=HOPCBUJIPI&amp;VAR:QUERY=RkZfRUJJVERBX09QRVIoUVRSLDQvMS8yMDA5LDYvMzAvMjAwOSwsLFVTRCk=&amp;WINDOW=FIRST_POPUP&amp;HEIGH","T=450&amp;WIDTH=450&amp;START_MAXIMIZED=FALSE&amp;VAR:CALENDAR=US&amp;VAR:SYMBOL=HOG&amp;VAR:INDEX=0"}</definedName>
    <definedName name="_571__FDSAUDITLINK__" hidden="1">{"fdsup://directions/FAT Viewer?action=UPDATE&amp;creator=factset&amp;DYN_ARGS=TRUE&amp;DOC_NAME=FAT:FQL_AUDITING_CLIENT_TEMPLATE.FAT&amp;display_string=Audit&amp;VAR:KEY=HOPCBUJIPI&amp;VAR:QUERY=RkZfRUJJVERBX09QRVIoUVRSLDQvMS8yMDA5LDYvMzAvMjAwOSwsLFVTRCk=&amp;WINDOW=FIRST_POPUP&amp;HEIGH","T=450&amp;WIDTH=450&amp;START_MAXIMIZED=FALSE&amp;VAR:CALENDAR=US&amp;VAR:SYMBOL=HOG&amp;VAR:INDEX=0"}</definedName>
    <definedName name="_572__FDSAUDITLINK__" localSheetId="1" hidden="1">{"fdsup://directions/FAT Viewer?action=UPDATE&amp;creator=factset&amp;DYN_ARGS=TRUE&amp;DOC_NAME=FAT:FQL_AUDITING_CLIENT_TEMPLATE.FAT&amp;display_string=Audit&amp;VAR:KEY=DCRMZYPIBY&amp;VAR:QUERY=RkZfRUJJVERBX09QRVIoUVRSLDQvMS8yMDEwLDYvMzAvMjAxMCwsLFVTRCk=&amp;WINDOW=FIRST_POPUP&amp;HEIGH","T=450&amp;WIDTH=450&amp;START_MAXIMIZED=FALSE&amp;VAR:CALENDAR=US&amp;VAR:SYMBOL=HOG&amp;VAR:INDEX=0"}</definedName>
    <definedName name="_572__FDSAUDITLINK__" hidden="1">{"fdsup://directions/FAT Viewer?action=UPDATE&amp;creator=factset&amp;DYN_ARGS=TRUE&amp;DOC_NAME=FAT:FQL_AUDITING_CLIENT_TEMPLATE.FAT&amp;display_string=Audit&amp;VAR:KEY=DCRMZYPIBY&amp;VAR:QUERY=RkZfRUJJVERBX09QRVIoUVRSLDQvMS8yMDEwLDYvMzAvMjAxMCwsLFVTRCk=&amp;WINDOW=FIRST_POPUP&amp;HEIGH","T=450&amp;WIDTH=450&amp;START_MAXIMIZED=FALSE&amp;VAR:CALENDAR=US&amp;VAR:SYMBOL=HOG&amp;VAR:INDEX=0"}</definedName>
    <definedName name="_573__FDSAUDITLINK__" localSheetId="1" hidden="1">{"fdsup://directions/FAT Viewer?action=UPDATE&amp;creator=factset&amp;DYN_ARGS=TRUE&amp;DOC_NAME=FAT:FQL_AUDITING_CLIENT_TEMPLATE.FAT&amp;display_string=Audit&amp;VAR:KEY=NSBYNMNGTO&amp;VAR:QUERY=RkZfRUJJVERBX09QRVIoUVRSLDQvMS8yMDA5LDYvMzAvMjAwOSwsLFVTRCk=&amp;WINDOW=FIRST_POPUP&amp;HEIGH","T=450&amp;WIDTH=450&amp;START_MAXIMIZED=FALSE&amp;VAR:CALENDAR=US&amp;VAR:SYMBOL=HNZ&amp;VAR:INDEX=0"}</definedName>
    <definedName name="_573__FDSAUDITLINK__" hidden="1">{"fdsup://directions/FAT Viewer?action=UPDATE&amp;creator=factset&amp;DYN_ARGS=TRUE&amp;DOC_NAME=FAT:FQL_AUDITING_CLIENT_TEMPLATE.FAT&amp;display_string=Audit&amp;VAR:KEY=NSBYNMNGTO&amp;VAR:QUERY=RkZfRUJJVERBX09QRVIoUVRSLDQvMS8yMDA5LDYvMzAvMjAwOSwsLFVTRCk=&amp;WINDOW=FIRST_POPUP&amp;HEIGH","T=450&amp;WIDTH=450&amp;START_MAXIMIZED=FALSE&amp;VAR:CALENDAR=US&amp;VAR:SYMBOL=HNZ&amp;VAR:INDEX=0"}</definedName>
    <definedName name="_574__FDSAUDITLINK__" localSheetId="1" hidden="1">{"fdsup://directions/FAT Viewer?action=UPDATE&amp;creator=factset&amp;DYN_ARGS=TRUE&amp;DOC_NAME=FAT:FQL_AUDITING_CLIENT_TEMPLATE.FAT&amp;display_string=Audit&amp;VAR:KEY=HWRAFCHEJE&amp;VAR:QUERY=RkZfRUJJVERBX09QRVIoUVRSLDQvMS8yMDEwLDYvMzAvMjAxMCwsLFVTRCk=&amp;WINDOW=FIRST_POPUP&amp;HEIGH","T=450&amp;WIDTH=450&amp;START_MAXIMIZED=FALSE&amp;VAR:CALENDAR=US&amp;VAR:SYMBOL=HNZ&amp;VAR:INDEX=0"}</definedName>
    <definedName name="_574__FDSAUDITLINK__" hidden="1">{"fdsup://directions/FAT Viewer?action=UPDATE&amp;creator=factset&amp;DYN_ARGS=TRUE&amp;DOC_NAME=FAT:FQL_AUDITING_CLIENT_TEMPLATE.FAT&amp;display_string=Audit&amp;VAR:KEY=HWRAFCHEJE&amp;VAR:QUERY=RkZfRUJJVERBX09QRVIoUVRSLDQvMS8yMDEwLDYvMzAvMjAxMCwsLFVTRCk=&amp;WINDOW=FIRST_POPUP&amp;HEIGH","T=450&amp;WIDTH=450&amp;START_MAXIMIZED=FALSE&amp;VAR:CALENDAR=US&amp;VAR:SYMBOL=HNZ&amp;VAR:INDEX=0"}</definedName>
    <definedName name="_575__FDSAUDITLINK__" localSheetId="1" hidden="1">{"fdsup://directions/FAT Viewer?action=UPDATE&amp;creator=factset&amp;DYN_ARGS=TRUE&amp;DOC_NAME=FAT:FQL_AUDITING_CLIENT_TEMPLATE.FAT&amp;display_string=Audit&amp;VAR:KEY=RWFYXIDUFS&amp;VAR:QUERY=RkZfRUJJVERBX09QRVIoUVRSLDQvMS8yMDA5LDYvMzAvMjAwOSwsLFVTRCk=&amp;WINDOW=FIRST_POPUP&amp;HEIGH","T=450&amp;WIDTH=450&amp;START_MAXIMIZED=FALSE&amp;VAR:CALENDAR=US&amp;VAR:SYMBOL=HIG&amp;VAR:INDEX=0"}</definedName>
    <definedName name="_575__FDSAUDITLINK__" hidden="1">{"fdsup://directions/FAT Viewer?action=UPDATE&amp;creator=factset&amp;DYN_ARGS=TRUE&amp;DOC_NAME=FAT:FQL_AUDITING_CLIENT_TEMPLATE.FAT&amp;display_string=Audit&amp;VAR:KEY=RWFYXIDUFS&amp;VAR:QUERY=RkZfRUJJVERBX09QRVIoUVRSLDQvMS8yMDA5LDYvMzAvMjAwOSwsLFVTRCk=&amp;WINDOW=FIRST_POPUP&amp;HEIGH","T=450&amp;WIDTH=450&amp;START_MAXIMIZED=FALSE&amp;VAR:CALENDAR=US&amp;VAR:SYMBOL=HIG&amp;VAR:INDEX=0"}</definedName>
    <definedName name="_576__FDSAUDITLINK__" localSheetId="1" hidden="1">{"fdsup://directions/FAT Viewer?action=UPDATE&amp;creator=factset&amp;DYN_ARGS=TRUE&amp;DOC_NAME=FAT:FQL_AUDITING_CLIENT_TEMPLATE.FAT&amp;display_string=Audit&amp;VAR:KEY=PMDSDAFOFK&amp;VAR:QUERY=RkZfRUJJVERBX09QRVIoUVRSLDQvMS8yMDEwLDYvMzAvMjAxMCwsLFVTRCk=&amp;WINDOW=FIRST_POPUP&amp;HEIGH","T=450&amp;WIDTH=450&amp;START_MAXIMIZED=FALSE&amp;VAR:CALENDAR=US&amp;VAR:SYMBOL=HIG&amp;VAR:INDEX=0"}</definedName>
    <definedName name="_576__FDSAUDITLINK__" hidden="1">{"fdsup://directions/FAT Viewer?action=UPDATE&amp;creator=factset&amp;DYN_ARGS=TRUE&amp;DOC_NAME=FAT:FQL_AUDITING_CLIENT_TEMPLATE.FAT&amp;display_string=Audit&amp;VAR:KEY=PMDSDAFOFK&amp;VAR:QUERY=RkZfRUJJVERBX09QRVIoUVRSLDQvMS8yMDEwLDYvMzAvMjAxMCwsLFVTRCk=&amp;WINDOW=FIRST_POPUP&amp;HEIGH","T=450&amp;WIDTH=450&amp;START_MAXIMIZED=FALSE&amp;VAR:CALENDAR=US&amp;VAR:SYMBOL=HIG&amp;VAR:INDEX=0"}</definedName>
    <definedName name="_577__FDSAUDITLINK__" localSheetId="1" hidden="1">{"fdsup://directions/FAT Viewer?action=UPDATE&amp;creator=factset&amp;DYN_ARGS=TRUE&amp;DOC_NAME=FAT:FQL_AUDITING_CLIENT_TEMPLATE.FAT&amp;display_string=Audit&amp;VAR:KEY=REPUFIZUVU&amp;VAR:QUERY=RkZfRUJJVERBX09QRVIoUVRSLDQvMS8yMDA5LDYvMzAvMjAwOSwsLFVTRCk=&amp;WINDOW=FIRST_POPUP&amp;HEIGH","T=450&amp;WIDTH=450&amp;START_MAXIMIZED=FALSE&amp;VAR:CALENDAR=US&amp;VAR:SYMBOL=HES&amp;VAR:INDEX=0"}</definedName>
    <definedName name="_577__FDSAUDITLINK__" hidden="1">{"fdsup://directions/FAT Viewer?action=UPDATE&amp;creator=factset&amp;DYN_ARGS=TRUE&amp;DOC_NAME=FAT:FQL_AUDITING_CLIENT_TEMPLATE.FAT&amp;display_string=Audit&amp;VAR:KEY=REPUFIZUVU&amp;VAR:QUERY=RkZfRUJJVERBX09QRVIoUVRSLDQvMS8yMDA5LDYvMzAvMjAwOSwsLFVTRCk=&amp;WINDOW=FIRST_POPUP&amp;HEIGH","T=450&amp;WIDTH=450&amp;START_MAXIMIZED=FALSE&amp;VAR:CALENDAR=US&amp;VAR:SYMBOL=HES&amp;VAR:INDEX=0"}</definedName>
    <definedName name="_578__FDSAUDITLINK__" localSheetId="1" hidden="1">{"fdsup://directions/FAT Viewer?action=UPDATE&amp;creator=factset&amp;DYN_ARGS=TRUE&amp;DOC_NAME=FAT:FQL_AUDITING_CLIENT_TEMPLATE.FAT&amp;display_string=Audit&amp;VAR:KEY=LYFUTWLWFU&amp;VAR:QUERY=RkZfRUJJVERBX09QRVIoUVRSLDQvMS8yMDEwLDYvMzAvMjAxMCwsLFVTRCk=&amp;WINDOW=FIRST_POPUP&amp;HEIGH","T=450&amp;WIDTH=450&amp;START_MAXIMIZED=FALSE&amp;VAR:CALENDAR=US&amp;VAR:SYMBOL=HES&amp;VAR:INDEX=0"}</definedName>
    <definedName name="_578__FDSAUDITLINK__" hidden="1">{"fdsup://directions/FAT Viewer?action=UPDATE&amp;creator=factset&amp;DYN_ARGS=TRUE&amp;DOC_NAME=FAT:FQL_AUDITING_CLIENT_TEMPLATE.FAT&amp;display_string=Audit&amp;VAR:KEY=LYFUTWLWFU&amp;VAR:QUERY=RkZfRUJJVERBX09QRVIoUVRSLDQvMS8yMDEwLDYvMzAvMjAxMCwsLFVTRCk=&amp;WINDOW=FIRST_POPUP&amp;HEIGH","T=450&amp;WIDTH=450&amp;START_MAXIMIZED=FALSE&amp;VAR:CALENDAR=US&amp;VAR:SYMBOL=HES&amp;VAR:INDEX=0"}</definedName>
    <definedName name="_579__FDSAUDITLINK__" localSheetId="1" hidden="1">{"fdsup://directions/FAT Viewer?action=UPDATE&amp;creator=factset&amp;DYN_ARGS=TRUE&amp;DOC_NAME=FAT:FQL_AUDITING_CLIENT_TEMPLATE.FAT&amp;display_string=Audit&amp;VAR:KEY=NEHGJIZURU&amp;VAR:QUERY=RkZfRUJJVERBX09QRVIoUVRSLDQvMS8yMDA5LDYvMzAvMjAwOSwsLFVTRCk=&amp;WINDOW=FIRST_POPUP&amp;HEIGH","T=450&amp;WIDTH=450&amp;START_MAXIMIZED=FALSE&amp;VAR:CALENDAR=US&amp;VAR:SYMBOL=HD&amp;VAR:INDEX=0"}</definedName>
    <definedName name="_579__FDSAUDITLINK__" hidden="1">{"fdsup://directions/FAT Viewer?action=UPDATE&amp;creator=factset&amp;DYN_ARGS=TRUE&amp;DOC_NAME=FAT:FQL_AUDITING_CLIENT_TEMPLATE.FAT&amp;display_string=Audit&amp;VAR:KEY=NEHGJIZURU&amp;VAR:QUERY=RkZfRUJJVERBX09QRVIoUVRSLDQvMS8yMDA5LDYvMzAvMjAwOSwsLFVTRCk=&amp;WINDOW=FIRST_POPUP&amp;HEIGH","T=450&amp;WIDTH=450&amp;START_MAXIMIZED=FALSE&amp;VAR:CALENDAR=US&amp;VAR:SYMBOL=HD&amp;VAR:INDEX=0"}</definedName>
    <definedName name="_58__FDSAUDITLINK__" localSheetId="1" hidden="1">{"fdsup://directions/FAT Viewer?action=UPDATE&amp;creator=factset&amp;DYN_ARGS=TRUE&amp;DOC_NAME=FAT:FQL_AUDITING_CLIENT_TEMPLATE.FAT&amp;display_string=Audit&amp;VAR:KEY=FUVCZOLSFI&amp;VAR:QUERY=RkZfRUJJVERBX09QRVIoUVRSLDQvMS8yMDEwLDYvMzAvMjAxMCwsLFVTRCk=&amp;WINDOW=FIRST_POPUP&amp;HEIGH","T=450&amp;WIDTH=450&amp;START_MAXIMIZED=FALSE&amp;VAR:CALENDAR=US&amp;VAR:SYMBOL=WAT&amp;VAR:INDEX=0"}</definedName>
    <definedName name="_58__FDSAUDITLINK__" hidden="1">{"fdsup://directions/FAT Viewer?action=UPDATE&amp;creator=factset&amp;DYN_ARGS=TRUE&amp;DOC_NAME=FAT:FQL_AUDITING_CLIENT_TEMPLATE.FAT&amp;display_string=Audit&amp;VAR:KEY=FUVCZOLSFI&amp;VAR:QUERY=RkZfRUJJVERBX09QRVIoUVRSLDQvMS8yMDEwLDYvMzAvMjAxMCwsLFVTRCk=&amp;WINDOW=FIRST_POPUP&amp;HEIGH","T=450&amp;WIDTH=450&amp;START_MAXIMIZED=FALSE&amp;VAR:CALENDAR=US&amp;VAR:SYMBOL=WAT&amp;VAR:INDEX=0"}</definedName>
    <definedName name="_580__FDSAUDITLINK__" localSheetId="1" hidden="1">{"fdsup://directions/FAT Viewer?action=UPDATE&amp;creator=factset&amp;DYN_ARGS=TRUE&amp;DOC_NAME=FAT:FQL_AUDITING_CLIENT_TEMPLATE.FAT&amp;display_string=Audit&amp;VAR:KEY=NWNKLWTEFY&amp;VAR:QUERY=RkZfRUJJVERBX09QRVIoUVRSLDQvMS8yMDEwLDYvMzAvMjAxMCwsLFVTRCk=&amp;WINDOW=FIRST_POPUP&amp;HEIGH","T=450&amp;WIDTH=450&amp;START_MAXIMIZED=FALSE&amp;VAR:CALENDAR=US&amp;VAR:SYMBOL=HD&amp;VAR:INDEX=0"}</definedName>
    <definedName name="_580__FDSAUDITLINK__" hidden="1">{"fdsup://directions/FAT Viewer?action=UPDATE&amp;creator=factset&amp;DYN_ARGS=TRUE&amp;DOC_NAME=FAT:FQL_AUDITING_CLIENT_TEMPLATE.FAT&amp;display_string=Audit&amp;VAR:KEY=NWNKLWTEFY&amp;VAR:QUERY=RkZfRUJJVERBX09QRVIoUVRSLDQvMS8yMDEwLDYvMzAvMjAxMCwsLFVTRCk=&amp;WINDOW=FIRST_POPUP&amp;HEIGH","T=450&amp;WIDTH=450&amp;START_MAXIMIZED=FALSE&amp;VAR:CALENDAR=US&amp;VAR:SYMBOL=HD&amp;VAR:INDEX=0"}</definedName>
    <definedName name="_581__FDSAUDITLINK__" localSheetId="1" hidden="1">{"fdsup://directions/FAT Viewer?action=UPDATE&amp;creator=factset&amp;DYN_ARGS=TRUE&amp;DOC_NAME=FAT:FQL_AUDITING_CLIENT_TEMPLATE.FAT&amp;display_string=Audit&amp;VAR:KEY=VIJKDGPEZQ&amp;VAR:QUERY=RkZfRUJJVERBX09QRVIoUVRSLDQvMS8yMDA5LDYvMzAvMjAwOSwsLFVTRCk=&amp;WINDOW=FIRST_POPUP&amp;HEIGH","T=450&amp;WIDTH=450&amp;START_MAXIMIZED=FALSE&amp;VAR:CALENDAR=US&amp;VAR:SYMBOL=HCP&amp;VAR:INDEX=0"}</definedName>
    <definedName name="_581__FDSAUDITLINK__" hidden="1">{"fdsup://directions/FAT Viewer?action=UPDATE&amp;creator=factset&amp;DYN_ARGS=TRUE&amp;DOC_NAME=FAT:FQL_AUDITING_CLIENT_TEMPLATE.FAT&amp;display_string=Audit&amp;VAR:KEY=VIJKDGPEZQ&amp;VAR:QUERY=RkZfRUJJVERBX09QRVIoUVRSLDQvMS8yMDA5LDYvMzAvMjAwOSwsLFVTRCk=&amp;WINDOW=FIRST_POPUP&amp;HEIGH","T=450&amp;WIDTH=450&amp;START_MAXIMIZED=FALSE&amp;VAR:CALENDAR=US&amp;VAR:SYMBOL=HCP&amp;VAR:INDEX=0"}</definedName>
    <definedName name="_582__FDSAUDITLINK__" localSheetId="1" hidden="1">{"fdsup://directions/FAT Viewer?action=UPDATE&amp;creator=factset&amp;DYN_ARGS=TRUE&amp;DOC_NAME=FAT:FQL_AUDITING_CLIENT_TEMPLATE.FAT&amp;display_string=Audit&amp;VAR:KEY=XKREZGNMZI&amp;VAR:QUERY=RkZfRUJJVERBX09QRVIoUVRSLDQvMS8yMDEwLDYvMzAvMjAxMCwsLFVTRCk=&amp;WINDOW=FIRST_POPUP&amp;HEIGH","T=450&amp;WIDTH=450&amp;START_MAXIMIZED=FALSE&amp;VAR:CALENDAR=US&amp;VAR:SYMBOL=HCP&amp;VAR:INDEX=0"}</definedName>
    <definedName name="_582__FDSAUDITLINK__" hidden="1">{"fdsup://directions/FAT Viewer?action=UPDATE&amp;creator=factset&amp;DYN_ARGS=TRUE&amp;DOC_NAME=FAT:FQL_AUDITING_CLIENT_TEMPLATE.FAT&amp;display_string=Audit&amp;VAR:KEY=XKREZGNMZI&amp;VAR:QUERY=RkZfRUJJVERBX09QRVIoUVRSLDQvMS8yMDEwLDYvMzAvMjAxMCwsLFVTRCk=&amp;WINDOW=FIRST_POPUP&amp;HEIGH","T=450&amp;WIDTH=450&amp;START_MAXIMIZED=FALSE&amp;VAR:CALENDAR=US&amp;VAR:SYMBOL=HCP&amp;VAR:INDEX=0"}</definedName>
    <definedName name="_583__FDSAUDITLINK__" localSheetId="1" hidden="1">{"fdsup://directions/FAT Viewer?action=UPDATE&amp;creator=factset&amp;DYN_ARGS=TRUE&amp;DOC_NAME=FAT:FQL_AUDITING_CLIENT_TEMPLATE.FAT&amp;display_string=Audit&amp;VAR:KEY=RADIDSBOHE&amp;VAR:QUERY=RkZfRUJJVERBX09QRVIoUVRSLDQvMS8yMDA5LDYvMzAvMjAwOSwsLFVTRCk=&amp;WINDOW=FIRST_POPUP&amp;HEIGH","T=450&amp;WIDTH=450&amp;START_MAXIMIZED=FALSE&amp;VAR:CALENDAR=US&amp;VAR:SYMBOL=HCN&amp;VAR:INDEX=0"}</definedName>
    <definedName name="_583__FDSAUDITLINK__" hidden="1">{"fdsup://directions/FAT Viewer?action=UPDATE&amp;creator=factset&amp;DYN_ARGS=TRUE&amp;DOC_NAME=FAT:FQL_AUDITING_CLIENT_TEMPLATE.FAT&amp;display_string=Audit&amp;VAR:KEY=RADIDSBOHE&amp;VAR:QUERY=RkZfRUJJVERBX09QRVIoUVRSLDQvMS8yMDA5LDYvMzAvMjAwOSwsLFVTRCk=&amp;WINDOW=FIRST_POPUP&amp;HEIGH","T=450&amp;WIDTH=450&amp;START_MAXIMIZED=FALSE&amp;VAR:CALENDAR=US&amp;VAR:SYMBOL=HCN&amp;VAR:INDEX=0"}</definedName>
    <definedName name="_584__FDSAUDITLINK__" localSheetId="1" hidden="1">{"fdsup://directions/FAT Viewer?action=UPDATE&amp;creator=factset&amp;DYN_ARGS=TRUE&amp;DOC_NAME=FAT:FQL_AUDITING_CLIENT_TEMPLATE.FAT&amp;display_string=Audit&amp;VAR:KEY=XSNKTSXEPQ&amp;VAR:QUERY=RkZfRUJJVERBX09QRVIoUVRSLDQvMS8yMDEwLDYvMzAvMjAxMCwsLFVTRCk=&amp;WINDOW=FIRST_POPUP&amp;HEIGH","T=450&amp;WIDTH=450&amp;START_MAXIMIZED=FALSE&amp;VAR:CALENDAR=US&amp;VAR:SYMBOL=HCN&amp;VAR:INDEX=0"}</definedName>
    <definedName name="_584__FDSAUDITLINK__" hidden="1">{"fdsup://directions/FAT Viewer?action=UPDATE&amp;creator=factset&amp;DYN_ARGS=TRUE&amp;DOC_NAME=FAT:FQL_AUDITING_CLIENT_TEMPLATE.FAT&amp;display_string=Audit&amp;VAR:KEY=XSNKTSXEPQ&amp;VAR:QUERY=RkZfRUJJVERBX09QRVIoUVRSLDQvMS8yMDEwLDYvMzAvMjAxMCwsLFVTRCk=&amp;WINDOW=FIRST_POPUP&amp;HEIGH","T=450&amp;WIDTH=450&amp;START_MAXIMIZED=FALSE&amp;VAR:CALENDAR=US&amp;VAR:SYMBOL=HCN&amp;VAR:INDEX=0"}</definedName>
    <definedName name="_585__FDSAUDITLINK__" localSheetId="1" hidden="1">{"fdsup://directions/FAT Viewer?action=UPDATE&amp;creator=factset&amp;DYN_ARGS=TRUE&amp;DOC_NAME=FAT:FQL_AUDITING_CLIENT_TEMPLATE.FAT&amp;display_string=Audit&amp;VAR:KEY=XOHSNOPGBO&amp;VAR:QUERY=RkZfRUJJVERBX09QRVIoUVRSLDQvMS8yMDA5LDYvMzAvMjAwOSwsLFVTRCk=&amp;WINDOW=FIRST_POPUP&amp;HEIGH","T=450&amp;WIDTH=450&amp;START_MAXIMIZED=FALSE&amp;VAR:CALENDAR=US&amp;VAR:SYMBOL=HCBK&amp;VAR:INDEX=0"}</definedName>
    <definedName name="_585__FDSAUDITLINK__" hidden="1">{"fdsup://directions/FAT Viewer?action=UPDATE&amp;creator=factset&amp;DYN_ARGS=TRUE&amp;DOC_NAME=FAT:FQL_AUDITING_CLIENT_TEMPLATE.FAT&amp;display_string=Audit&amp;VAR:KEY=XOHSNOPGBO&amp;VAR:QUERY=RkZfRUJJVERBX09QRVIoUVRSLDQvMS8yMDA5LDYvMzAvMjAwOSwsLFVTRCk=&amp;WINDOW=FIRST_POPUP&amp;HEIGH","T=450&amp;WIDTH=450&amp;START_MAXIMIZED=FALSE&amp;VAR:CALENDAR=US&amp;VAR:SYMBOL=HCBK&amp;VAR:INDEX=0"}</definedName>
    <definedName name="_586__FDSAUDITLINK__" localSheetId="1" hidden="1">{"fdsup://directions/FAT Viewer?action=UPDATE&amp;creator=factset&amp;DYN_ARGS=TRUE&amp;DOC_NAME=FAT:FQL_AUDITING_CLIENT_TEMPLATE.FAT&amp;display_string=Audit&amp;VAR:KEY=NEFSLYDQNA&amp;VAR:QUERY=RkZfRUJJVERBX09QRVIoUVRSLDQvMS8yMDEwLDYvMzAvMjAxMCwsLFVTRCk=&amp;WINDOW=FIRST_POPUP&amp;HEIGH","T=450&amp;WIDTH=450&amp;START_MAXIMIZED=FALSE&amp;VAR:CALENDAR=US&amp;VAR:SYMBOL=HCBK&amp;VAR:INDEX=0"}</definedName>
    <definedName name="_586__FDSAUDITLINK__" hidden="1">{"fdsup://directions/FAT Viewer?action=UPDATE&amp;creator=factset&amp;DYN_ARGS=TRUE&amp;DOC_NAME=FAT:FQL_AUDITING_CLIENT_TEMPLATE.FAT&amp;display_string=Audit&amp;VAR:KEY=NEFSLYDQNA&amp;VAR:QUERY=RkZfRUJJVERBX09QRVIoUVRSLDQvMS8yMDEwLDYvMzAvMjAxMCwsLFVTRCk=&amp;WINDOW=FIRST_POPUP&amp;HEIGH","T=450&amp;WIDTH=450&amp;START_MAXIMIZED=FALSE&amp;VAR:CALENDAR=US&amp;VAR:SYMBOL=HCBK&amp;VAR:INDEX=0"}</definedName>
    <definedName name="_587__FDSAUDITLINK__" localSheetId="1" hidden="1">{"fdsup://directions/FAT Viewer?action=UPDATE&amp;creator=factset&amp;DYN_ARGS=TRUE&amp;DOC_NAME=FAT:FQL_AUDITING_CLIENT_TEMPLATE.FAT&amp;display_string=Audit&amp;VAR:KEY=HIFOBWNEPW&amp;VAR:QUERY=RkZfRUJJVERBX09QRVIoUVRSLDQvMS8yMDA5LDYvMzAvMjAwOSwsLFVTRCk=&amp;WINDOW=FIRST_POPUP&amp;HEIGH","T=450&amp;WIDTH=450&amp;START_MAXIMIZED=FALSE&amp;VAR:CALENDAR=US&amp;VAR:SYMBOL=HBAN&amp;VAR:INDEX=0"}</definedName>
    <definedName name="_587__FDSAUDITLINK__" hidden="1">{"fdsup://directions/FAT Viewer?action=UPDATE&amp;creator=factset&amp;DYN_ARGS=TRUE&amp;DOC_NAME=FAT:FQL_AUDITING_CLIENT_TEMPLATE.FAT&amp;display_string=Audit&amp;VAR:KEY=HIFOBWNEPW&amp;VAR:QUERY=RkZfRUJJVERBX09QRVIoUVRSLDQvMS8yMDA5LDYvMzAvMjAwOSwsLFVTRCk=&amp;WINDOW=FIRST_POPUP&amp;HEIGH","T=450&amp;WIDTH=450&amp;START_MAXIMIZED=FALSE&amp;VAR:CALENDAR=US&amp;VAR:SYMBOL=HBAN&amp;VAR:INDEX=0"}</definedName>
    <definedName name="_588__FDSAUDITLINK__" localSheetId="1" hidden="1">{"fdsup://directions/FAT Viewer?action=UPDATE&amp;creator=factset&amp;DYN_ARGS=TRUE&amp;DOC_NAME=FAT:FQL_AUDITING_CLIENT_TEMPLATE.FAT&amp;display_string=Audit&amp;VAR:KEY=ZAXIXIBWLS&amp;VAR:QUERY=RkZfRUJJVERBX09QRVIoUVRSLDQvMS8yMDEwLDYvMzAvMjAxMCwsLFVTRCk=&amp;WINDOW=FIRST_POPUP&amp;HEIGH","T=450&amp;WIDTH=450&amp;START_MAXIMIZED=FALSE&amp;VAR:CALENDAR=US&amp;VAR:SYMBOL=HBAN&amp;VAR:INDEX=0"}</definedName>
    <definedName name="_588__FDSAUDITLINK__" hidden="1">{"fdsup://directions/FAT Viewer?action=UPDATE&amp;creator=factset&amp;DYN_ARGS=TRUE&amp;DOC_NAME=FAT:FQL_AUDITING_CLIENT_TEMPLATE.FAT&amp;display_string=Audit&amp;VAR:KEY=ZAXIXIBWLS&amp;VAR:QUERY=RkZfRUJJVERBX09QRVIoUVRSLDQvMS8yMDEwLDYvMzAvMjAxMCwsLFVTRCk=&amp;WINDOW=FIRST_POPUP&amp;HEIGH","T=450&amp;WIDTH=450&amp;START_MAXIMIZED=FALSE&amp;VAR:CALENDAR=US&amp;VAR:SYMBOL=HBAN&amp;VAR:INDEX=0"}</definedName>
    <definedName name="_589__FDSAUDITLINK__" localSheetId="1" hidden="1">{"fdsup://directions/FAT Viewer?action=UPDATE&amp;creator=factset&amp;DYN_ARGS=TRUE&amp;DOC_NAME=FAT:FQL_AUDITING_CLIENT_TEMPLATE.FAT&amp;display_string=Audit&amp;VAR:KEY=BAVEVWJCRA&amp;VAR:QUERY=RkZfRUJJVERBX09QRVIoUVRSLDQvMS8yMDA5LDYvMzAvMjAwOSwsLFVTRCk=&amp;WINDOW=FIRST_POPUP&amp;HEIGH","T=450&amp;WIDTH=450&amp;START_MAXIMIZED=FALSE&amp;VAR:CALENDAR=US&amp;VAR:SYMBOL=HAS&amp;VAR:INDEX=0"}</definedName>
    <definedName name="_589__FDSAUDITLINK__" hidden="1">{"fdsup://directions/FAT Viewer?action=UPDATE&amp;creator=factset&amp;DYN_ARGS=TRUE&amp;DOC_NAME=FAT:FQL_AUDITING_CLIENT_TEMPLATE.FAT&amp;display_string=Audit&amp;VAR:KEY=BAVEVWJCRA&amp;VAR:QUERY=RkZfRUJJVERBX09QRVIoUVRSLDQvMS8yMDA5LDYvMzAvMjAwOSwsLFVTRCk=&amp;WINDOW=FIRST_POPUP&amp;HEIGH","T=450&amp;WIDTH=450&amp;START_MAXIMIZED=FALSE&amp;VAR:CALENDAR=US&amp;VAR:SYMBOL=HAS&amp;VAR:INDEX=0"}</definedName>
    <definedName name="_59__FDSAUDITLINK__" localSheetId="1" hidden="1">{"fdsup://directions/FAT Viewer?action=UPDATE&amp;creator=factset&amp;DYN_ARGS=TRUE&amp;DOC_NAME=FAT:FQL_AUDITING_CLIENT_TEMPLATE.FAT&amp;display_string=Audit&amp;VAR:KEY=BYVSZEXUDA&amp;VAR:QUERY=RkZfRUJJVERBX09QRVIoUVRSLDQvMS8yMDA5LDYvMzAvMjAwOSwsLFVTRCk=&amp;WINDOW=FIRST_POPUP&amp;HEIGH","T=450&amp;WIDTH=450&amp;START_MAXIMIZED=FALSE&amp;VAR:CALENDAR=US&amp;VAR:SYMBOL=WAG&amp;VAR:INDEX=0"}</definedName>
    <definedName name="_59__FDSAUDITLINK__" hidden="1">{"fdsup://directions/FAT Viewer?action=UPDATE&amp;creator=factset&amp;DYN_ARGS=TRUE&amp;DOC_NAME=FAT:FQL_AUDITING_CLIENT_TEMPLATE.FAT&amp;display_string=Audit&amp;VAR:KEY=BYVSZEXUDA&amp;VAR:QUERY=RkZfRUJJVERBX09QRVIoUVRSLDQvMS8yMDA5LDYvMzAvMjAwOSwsLFVTRCk=&amp;WINDOW=FIRST_POPUP&amp;HEIGH","T=450&amp;WIDTH=450&amp;START_MAXIMIZED=FALSE&amp;VAR:CALENDAR=US&amp;VAR:SYMBOL=WAG&amp;VAR:INDEX=0"}</definedName>
    <definedName name="_590__FDSAUDITLINK__" localSheetId="1" hidden="1">{"fdsup://directions/FAT Viewer?action=UPDATE&amp;creator=factset&amp;DYN_ARGS=TRUE&amp;DOC_NAME=FAT:FQL_AUDITING_CLIENT_TEMPLATE.FAT&amp;display_string=Audit&amp;VAR:KEY=ZGLEPSPUNC&amp;VAR:QUERY=RkZfRUJJVERBX09QRVIoUVRSLDQvMS8yMDEwLDYvMzAvMjAxMCwsLFVTRCk=&amp;WINDOW=FIRST_POPUP&amp;HEIGH","T=450&amp;WIDTH=450&amp;START_MAXIMIZED=FALSE&amp;VAR:CALENDAR=US&amp;VAR:SYMBOL=HAS&amp;VAR:INDEX=0"}</definedName>
    <definedName name="_590__FDSAUDITLINK__" hidden="1">{"fdsup://directions/FAT Viewer?action=UPDATE&amp;creator=factset&amp;DYN_ARGS=TRUE&amp;DOC_NAME=FAT:FQL_AUDITING_CLIENT_TEMPLATE.FAT&amp;display_string=Audit&amp;VAR:KEY=ZGLEPSPUNC&amp;VAR:QUERY=RkZfRUJJVERBX09QRVIoUVRSLDQvMS8yMDEwLDYvMzAvMjAxMCwsLFVTRCk=&amp;WINDOW=FIRST_POPUP&amp;HEIGH","T=450&amp;WIDTH=450&amp;START_MAXIMIZED=FALSE&amp;VAR:CALENDAR=US&amp;VAR:SYMBOL=HAS&amp;VAR:INDEX=0"}</definedName>
    <definedName name="_591__FDSAUDITLINK__" localSheetId="1" hidden="1">{"fdsup://directions/FAT Viewer?action=UPDATE&amp;creator=factset&amp;DYN_ARGS=TRUE&amp;DOC_NAME=FAT:FQL_AUDITING_CLIENT_TEMPLATE.FAT&amp;display_string=Audit&amp;VAR:KEY=NSPIVOZUTC&amp;VAR:QUERY=RkZfRUJJVERBX09QRVIoUVRSLDQvMS8yMDA5LDYvMzAvMjAwOSwsLFVTRCk=&amp;WINDOW=FIRST_POPUP&amp;HEIGH","T=450&amp;WIDTH=450&amp;START_MAXIMIZED=FALSE&amp;VAR:CALENDAR=US&amp;VAR:SYMBOL=HAR&amp;VAR:INDEX=0"}</definedName>
    <definedName name="_591__FDSAUDITLINK__" hidden="1">{"fdsup://directions/FAT Viewer?action=UPDATE&amp;creator=factset&amp;DYN_ARGS=TRUE&amp;DOC_NAME=FAT:FQL_AUDITING_CLIENT_TEMPLATE.FAT&amp;display_string=Audit&amp;VAR:KEY=NSPIVOZUTC&amp;VAR:QUERY=RkZfRUJJVERBX09QRVIoUVRSLDQvMS8yMDA5LDYvMzAvMjAwOSwsLFVTRCk=&amp;WINDOW=FIRST_POPUP&amp;HEIGH","T=450&amp;WIDTH=450&amp;START_MAXIMIZED=FALSE&amp;VAR:CALENDAR=US&amp;VAR:SYMBOL=HAR&amp;VAR:INDEX=0"}</definedName>
    <definedName name="_592__FDSAUDITLINK__" localSheetId="1" hidden="1">{"fdsup://directions/FAT Viewer?action=UPDATE&amp;creator=factset&amp;DYN_ARGS=TRUE&amp;DOC_NAME=FAT:FQL_AUDITING_CLIENT_TEMPLATE.FAT&amp;display_string=Audit&amp;VAR:KEY=ZWRSHWHCXW&amp;VAR:QUERY=RkZfRUJJVERBX09QRVIoUVRSLDQvMS8yMDEwLDYvMzAvMjAxMCwsLFVTRCk=&amp;WINDOW=FIRST_POPUP&amp;HEIGH","T=450&amp;WIDTH=450&amp;START_MAXIMIZED=FALSE&amp;VAR:CALENDAR=US&amp;VAR:SYMBOL=HAR&amp;VAR:INDEX=0"}</definedName>
    <definedName name="_592__FDSAUDITLINK__" hidden="1">{"fdsup://directions/FAT Viewer?action=UPDATE&amp;creator=factset&amp;DYN_ARGS=TRUE&amp;DOC_NAME=FAT:FQL_AUDITING_CLIENT_TEMPLATE.FAT&amp;display_string=Audit&amp;VAR:KEY=ZWRSHWHCXW&amp;VAR:QUERY=RkZfRUJJVERBX09QRVIoUVRSLDQvMS8yMDEwLDYvMzAvMjAxMCwsLFVTRCk=&amp;WINDOW=FIRST_POPUP&amp;HEIGH","T=450&amp;WIDTH=450&amp;START_MAXIMIZED=FALSE&amp;VAR:CALENDAR=US&amp;VAR:SYMBOL=HAR&amp;VAR:INDEX=0"}</definedName>
    <definedName name="_593__FDSAUDITLINK__" localSheetId="1" hidden="1">{"fdsup://directions/FAT Viewer?action=UPDATE&amp;creator=factset&amp;DYN_ARGS=TRUE&amp;DOC_NAME=FAT:FQL_AUDITING_CLIENT_TEMPLATE.FAT&amp;display_string=Audit&amp;VAR:KEY=HMRYFOJSVE&amp;VAR:QUERY=RkZfRUJJVERBX09QRVIoUVRSLDQvMS8yMDA5LDYvMzAvMjAwOSwsLFVTRCk=&amp;WINDOW=FIRST_POPUP&amp;HEIGH","T=450&amp;WIDTH=450&amp;START_MAXIMIZED=FALSE&amp;VAR:CALENDAR=US&amp;VAR:SYMBOL=HAL&amp;VAR:INDEX=0"}</definedName>
    <definedName name="_593__FDSAUDITLINK__" hidden="1">{"fdsup://directions/FAT Viewer?action=UPDATE&amp;creator=factset&amp;DYN_ARGS=TRUE&amp;DOC_NAME=FAT:FQL_AUDITING_CLIENT_TEMPLATE.FAT&amp;display_string=Audit&amp;VAR:KEY=HMRYFOJSVE&amp;VAR:QUERY=RkZfRUJJVERBX09QRVIoUVRSLDQvMS8yMDA5LDYvMzAvMjAwOSwsLFVTRCk=&amp;WINDOW=FIRST_POPUP&amp;HEIGH","T=450&amp;WIDTH=450&amp;START_MAXIMIZED=FALSE&amp;VAR:CALENDAR=US&amp;VAR:SYMBOL=HAL&amp;VAR:INDEX=0"}</definedName>
    <definedName name="_594__FDSAUDITLINK__" localSheetId="1" hidden="1">{"fdsup://directions/FAT Viewer?action=UPDATE&amp;creator=factset&amp;DYN_ARGS=TRUE&amp;DOC_NAME=FAT:FQL_AUDITING_CLIENT_TEMPLATE.FAT&amp;display_string=Audit&amp;VAR:KEY=XOPKVWPCHQ&amp;VAR:QUERY=RkZfRUJJVERBX09QRVIoUVRSLDQvMS8yMDEwLDYvMzAvMjAxMCwsLFVTRCk=&amp;WINDOW=FIRST_POPUP&amp;HEIGH","T=450&amp;WIDTH=450&amp;START_MAXIMIZED=FALSE&amp;VAR:CALENDAR=US&amp;VAR:SYMBOL=HAL&amp;VAR:INDEX=0"}</definedName>
    <definedName name="_594__FDSAUDITLINK__" hidden="1">{"fdsup://directions/FAT Viewer?action=UPDATE&amp;creator=factset&amp;DYN_ARGS=TRUE&amp;DOC_NAME=FAT:FQL_AUDITING_CLIENT_TEMPLATE.FAT&amp;display_string=Audit&amp;VAR:KEY=XOPKVWPCHQ&amp;VAR:QUERY=RkZfRUJJVERBX09QRVIoUVRSLDQvMS8yMDEwLDYvMzAvMjAxMCwsLFVTRCk=&amp;WINDOW=FIRST_POPUP&amp;HEIGH","T=450&amp;WIDTH=450&amp;START_MAXIMIZED=FALSE&amp;VAR:CALENDAR=US&amp;VAR:SYMBOL=HAL&amp;VAR:INDEX=0"}</definedName>
    <definedName name="_595__FDSAUDITLINK__" localSheetId="1" hidden="1">{"fdsup://directions/FAT Viewer?action=UPDATE&amp;creator=factset&amp;DYN_ARGS=TRUE&amp;DOC_NAME=FAT:FQL_AUDITING_CLIENT_TEMPLATE.FAT&amp;display_string=Audit&amp;VAR:KEY=VWLIHMXOJM&amp;VAR:QUERY=RkZfRUJJVERBX09QRVIoUVRSLDQvMS8yMDA5LDYvMzAvMjAwOSwsLFVTRCk=&amp;WINDOW=FIRST_POPUP&amp;HEIGH","T=450&amp;WIDTH=450&amp;START_MAXIMIZED=FALSE&amp;VAR:CALENDAR=US&amp;VAR:SYMBOL=GWW&amp;VAR:INDEX=0"}</definedName>
    <definedName name="_595__FDSAUDITLINK__" hidden="1">{"fdsup://directions/FAT Viewer?action=UPDATE&amp;creator=factset&amp;DYN_ARGS=TRUE&amp;DOC_NAME=FAT:FQL_AUDITING_CLIENT_TEMPLATE.FAT&amp;display_string=Audit&amp;VAR:KEY=VWLIHMXOJM&amp;VAR:QUERY=RkZfRUJJVERBX09QRVIoUVRSLDQvMS8yMDA5LDYvMzAvMjAwOSwsLFVTRCk=&amp;WINDOW=FIRST_POPUP&amp;HEIGH","T=450&amp;WIDTH=450&amp;START_MAXIMIZED=FALSE&amp;VAR:CALENDAR=US&amp;VAR:SYMBOL=GWW&amp;VAR:INDEX=0"}</definedName>
    <definedName name="_596__FDSAUDITLINK__" localSheetId="1" hidden="1">{"fdsup://directions/FAT Viewer?action=UPDATE&amp;creator=factset&amp;DYN_ARGS=TRUE&amp;DOC_NAME=FAT:FQL_AUDITING_CLIENT_TEMPLATE.FAT&amp;display_string=Audit&amp;VAR:KEY=PCLEHALCPQ&amp;VAR:QUERY=RkZfRUJJVERBX09QRVIoUVRSLDQvMS8yMDEwLDYvMzAvMjAxMCwsLFVTRCk=&amp;WINDOW=FIRST_POPUP&amp;HEIGH","T=450&amp;WIDTH=450&amp;START_MAXIMIZED=FALSE&amp;VAR:CALENDAR=US&amp;VAR:SYMBOL=GWW&amp;VAR:INDEX=0"}</definedName>
    <definedName name="_596__FDSAUDITLINK__" hidden="1">{"fdsup://directions/FAT Viewer?action=UPDATE&amp;creator=factset&amp;DYN_ARGS=TRUE&amp;DOC_NAME=FAT:FQL_AUDITING_CLIENT_TEMPLATE.FAT&amp;display_string=Audit&amp;VAR:KEY=PCLEHALCPQ&amp;VAR:QUERY=RkZfRUJJVERBX09QRVIoUVRSLDQvMS8yMDEwLDYvMzAvMjAxMCwsLFVTRCk=&amp;WINDOW=FIRST_POPUP&amp;HEIGH","T=450&amp;WIDTH=450&amp;START_MAXIMIZED=FALSE&amp;VAR:CALENDAR=US&amp;VAR:SYMBOL=GWW&amp;VAR:INDEX=0"}</definedName>
    <definedName name="_597__FDSAUDITLINK__" localSheetId="1" hidden="1">{"fdsup://directions/FAT Viewer?action=UPDATE&amp;creator=factset&amp;DYN_ARGS=TRUE&amp;DOC_NAME=FAT:FQL_AUDITING_CLIENT_TEMPLATE.FAT&amp;display_string=Audit&amp;VAR:KEY=RYXIXKBCXE&amp;VAR:QUERY=RkZfRUJJVERBX09QRVIoUVRSLDQvMS8yMDA5LDYvMzAvMjAwOSwsLFVTRCk=&amp;WINDOW=FIRST_POPUP&amp;HEIGH","T=450&amp;WIDTH=450&amp;START_MAXIMIZED=FALSE&amp;VAR:CALENDAR=US&amp;VAR:SYMBOL=GT&amp;VAR:INDEX=0"}</definedName>
    <definedName name="_597__FDSAUDITLINK__" hidden="1">{"fdsup://directions/FAT Viewer?action=UPDATE&amp;creator=factset&amp;DYN_ARGS=TRUE&amp;DOC_NAME=FAT:FQL_AUDITING_CLIENT_TEMPLATE.FAT&amp;display_string=Audit&amp;VAR:KEY=RYXIXKBCXE&amp;VAR:QUERY=RkZfRUJJVERBX09QRVIoUVRSLDQvMS8yMDA5LDYvMzAvMjAwOSwsLFVTRCk=&amp;WINDOW=FIRST_POPUP&amp;HEIGH","T=450&amp;WIDTH=450&amp;START_MAXIMIZED=FALSE&amp;VAR:CALENDAR=US&amp;VAR:SYMBOL=GT&amp;VAR:INDEX=0"}</definedName>
    <definedName name="_598__FDSAUDITLINK__" localSheetId="1" hidden="1">{"fdsup://directions/FAT Viewer?action=UPDATE&amp;creator=factset&amp;DYN_ARGS=TRUE&amp;DOC_NAME=FAT:FQL_AUDITING_CLIENT_TEMPLATE.FAT&amp;display_string=Audit&amp;VAR:KEY=ZCRWDUXKRM&amp;VAR:QUERY=RkZfRUJJVERBX09QRVIoUVRSLDQvMS8yMDEwLDYvMzAvMjAxMCwsLFVTRCk=&amp;WINDOW=FIRST_POPUP&amp;HEIGH","T=450&amp;WIDTH=450&amp;START_MAXIMIZED=FALSE&amp;VAR:CALENDAR=US&amp;VAR:SYMBOL=GT&amp;VAR:INDEX=0"}</definedName>
    <definedName name="_598__FDSAUDITLINK__" hidden="1">{"fdsup://directions/FAT Viewer?action=UPDATE&amp;creator=factset&amp;DYN_ARGS=TRUE&amp;DOC_NAME=FAT:FQL_AUDITING_CLIENT_TEMPLATE.FAT&amp;display_string=Audit&amp;VAR:KEY=ZCRWDUXKRM&amp;VAR:QUERY=RkZfRUJJVERBX09QRVIoUVRSLDQvMS8yMDEwLDYvMzAvMjAxMCwsLFVTRCk=&amp;WINDOW=FIRST_POPUP&amp;HEIGH","T=450&amp;WIDTH=450&amp;START_MAXIMIZED=FALSE&amp;VAR:CALENDAR=US&amp;VAR:SYMBOL=GT&amp;VAR:INDEX=0"}</definedName>
    <definedName name="_599__FDSAUDITLINK__" localSheetId="1" hidden="1">{"fdsup://directions/FAT Viewer?action=UPDATE&amp;creator=factset&amp;DYN_ARGS=TRUE&amp;DOC_NAME=FAT:FQL_AUDITING_CLIENT_TEMPLATE.FAT&amp;display_string=Audit&amp;VAR:KEY=HIZATQLCTY&amp;VAR:QUERY=RkZfRUJJVERBX09QRVIoUVRSLDQvMS8yMDA5LDYvMzAvMjAwOSwsLFVTRCk=&amp;WINDOW=FIRST_POPUP&amp;HEIGH","T=450&amp;WIDTH=450&amp;START_MAXIMIZED=FALSE&amp;VAR:CALENDAR=US&amp;VAR:SYMBOL=GS&amp;VAR:INDEX=0"}</definedName>
    <definedName name="_599__FDSAUDITLINK__" hidden="1">{"fdsup://directions/FAT Viewer?action=UPDATE&amp;creator=factset&amp;DYN_ARGS=TRUE&amp;DOC_NAME=FAT:FQL_AUDITING_CLIENT_TEMPLATE.FAT&amp;display_string=Audit&amp;VAR:KEY=HIZATQLCTY&amp;VAR:QUERY=RkZfRUJJVERBX09QRVIoUVRSLDQvMS8yMDA5LDYvMzAvMjAwOSwsLFVTRCk=&amp;WINDOW=FIRST_POPUP&amp;HEIGH","T=450&amp;WIDTH=450&amp;START_MAXIMIZED=FALSE&amp;VAR:CALENDAR=US&amp;VAR:SYMBOL=GS&amp;VAR:INDEX=0"}</definedName>
    <definedName name="_6__FDSAUDITLINK__" localSheetId="1" hidden="1">{"fdsup://directions/FAT Viewer?action=UPDATE&amp;creator=factset&amp;DYN_ARGS=TRUE&amp;DOC_NAME=FAT:FQL_AUDITING_CLIENT_TEMPLATE.FAT&amp;display_string=Audit&amp;VAR:KEY=VENGBKJMHO&amp;VAR:QUERY=RkZfRUJJVERBX09QRVIoUVRSLDQvMS8yMDEwLDYvMzAvMjAxMCwsLFVTRCk=&amp;WINDOW=FIRST_POPUP&amp;HEIGH","T=450&amp;WIDTH=450&amp;START_MAXIMIZED=FALSE&amp;VAR:CALENDAR=US&amp;VAR:SYMBOL=YUM&amp;VAR:INDEX=0"}</definedName>
    <definedName name="_6__FDSAUDITLINK__" hidden="1">{"fdsup://Directions/FactSet Auditing Viewer?action=AUDIT_VALUE&amp;DB=129&amp;ID1=11132010&amp;VALUEID=02001&amp;SDATE=200903&amp;PERIODTYPE=QTR_STD&amp;window=popup_no_bar&amp;width=385&amp;height=120&amp;START_MAXIMIZED=FALSE&amp;creator=factset&amp;display_string=Audit"}</definedName>
    <definedName name="_60__FDSAUDITLINK__" localSheetId="1" hidden="1">{"fdsup://directions/FAT Viewer?action=UPDATE&amp;creator=factset&amp;DYN_ARGS=TRUE&amp;DOC_NAME=FAT:FQL_AUDITING_CLIENT_TEMPLATE.FAT&amp;display_string=Audit&amp;VAR:KEY=VUBSXILMJM&amp;VAR:QUERY=RkZfRUJJVERBX09QRVIoUVRSLDQvMS8yMDEwLDYvMzAvMjAxMCwsLFVTRCk=&amp;WINDOW=FIRST_POPUP&amp;HEIGH","T=450&amp;WIDTH=450&amp;START_MAXIMIZED=FALSE&amp;VAR:CALENDAR=US&amp;VAR:SYMBOL=WAG&amp;VAR:INDEX=0"}</definedName>
    <definedName name="_60__FDSAUDITLINK__" hidden="1">{"fdsup://directions/FAT Viewer?action=UPDATE&amp;creator=factset&amp;DYN_ARGS=TRUE&amp;DOC_NAME=FAT:FQL_AUDITING_CLIENT_TEMPLATE.FAT&amp;display_string=Audit&amp;VAR:KEY=VUBSXILMJM&amp;VAR:QUERY=RkZfRUJJVERBX09QRVIoUVRSLDQvMS8yMDEwLDYvMzAvMjAxMCwsLFVTRCk=&amp;WINDOW=FIRST_POPUP&amp;HEIGH","T=450&amp;WIDTH=450&amp;START_MAXIMIZED=FALSE&amp;VAR:CALENDAR=US&amp;VAR:SYMBOL=WAG&amp;VAR:INDEX=0"}</definedName>
    <definedName name="_600__FDSAUDITLINK__" localSheetId="1" hidden="1">{"fdsup://directions/FAT Viewer?action=UPDATE&amp;creator=factset&amp;DYN_ARGS=TRUE&amp;DOC_NAME=FAT:FQL_AUDITING_CLIENT_TEMPLATE.FAT&amp;display_string=Audit&amp;VAR:KEY=ZMPIXSZSBA&amp;VAR:QUERY=RkZfRUJJVERBX09QRVIoUVRSLDQvMS8yMDEwLDYvMzAvMjAxMCwsLFVTRCk=&amp;WINDOW=FIRST_POPUP&amp;HEIGH","T=450&amp;WIDTH=450&amp;START_MAXIMIZED=FALSE&amp;VAR:CALENDAR=US&amp;VAR:SYMBOL=GS&amp;VAR:INDEX=0"}</definedName>
    <definedName name="_600__FDSAUDITLINK__" hidden="1">{"fdsup://directions/FAT Viewer?action=UPDATE&amp;creator=factset&amp;DYN_ARGS=TRUE&amp;DOC_NAME=FAT:FQL_AUDITING_CLIENT_TEMPLATE.FAT&amp;display_string=Audit&amp;VAR:KEY=ZMPIXSZSBA&amp;VAR:QUERY=RkZfRUJJVERBX09QRVIoUVRSLDQvMS8yMDEwLDYvMzAvMjAxMCwsLFVTRCk=&amp;WINDOW=FIRST_POPUP&amp;HEIGH","T=450&amp;WIDTH=450&amp;START_MAXIMIZED=FALSE&amp;VAR:CALENDAR=US&amp;VAR:SYMBOL=GS&amp;VAR:INDEX=0"}</definedName>
    <definedName name="_601__FDSAUDITLINK__" localSheetId="1" hidden="1">{"fdsup://directions/FAT Viewer?action=UPDATE&amp;creator=factset&amp;DYN_ARGS=TRUE&amp;DOC_NAME=FAT:FQL_AUDITING_CLIENT_TEMPLATE.FAT&amp;display_string=Audit&amp;VAR:KEY=LABCTEZCXQ&amp;VAR:QUERY=RkZfRUJJVERBX09QRVIoUVRSLDQvMS8yMDA5LDYvMzAvMjAwOSwsLFVTRCk=&amp;WINDOW=FIRST_POPUP&amp;HEIGH","T=450&amp;WIDTH=450&amp;START_MAXIMIZED=FALSE&amp;VAR:CALENDAR=US&amp;VAR:SYMBOL=GR&amp;VAR:INDEX=0"}</definedName>
    <definedName name="_601__FDSAUDITLINK__" hidden="1">{"fdsup://directions/FAT Viewer?action=UPDATE&amp;creator=factset&amp;DYN_ARGS=TRUE&amp;DOC_NAME=FAT:FQL_AUDITING_CLIENT_TEMPLATE.FAT&amp;display_string=Audit&amp;VAR:KEY=LABCTEZCXQ&amp;VAR:QUERY=RkZfRUJJVERBX09QRVIoUVRSLDQvMS8yMDA5LDYvMzAvMjAwOSwsLFVTRCk=&amp;WINDOW=FIRST_POPUP&amp;HEIGH","T=450&amp;WIDTH=450&amp;START_MAXIMIZED=FALSE&amp;VAR:CALENDAR=US&amp;VAR:SYMBOL=GR&amp;VAR:INDEX=0"}</definedName>
    <definedName name="_602__FDSAUDITLINK__" localSheetId="1" hidden="1">{"fdsup://directions/FAT Viewer?action=UPDATE&amp;creator=factset&amp;DYN_ARGS=TRUE&amp;DOC_NAME=FAT:FQL_AUDITING_CLIENT_TEMPLATE.FAT&amp;display_string=Audit&amp;VAR:KEY=ROHWVCFGBW&amp;VAR:QUERY=RkZfRUJJVERBX09QRVIoUVRSLDQvMS8yMDEwLDYvMzAvMjAxMCwsLFVTRCk=&amp;WINDOW=FIRST_POPUP&amp;HEIGH","T=450&amp;WIDTH=450&amp;START_MAXIMIZED=FALSE&amp;VAR:CALENDAR=US&amp;VAR:SYMBOL=GR&amp;VAR:INDEX=0"}</definedName>
    <definedName name="_602__FDSAUDITLINK__" hidden="1">{"fdsup://directions/FAT Viewer?action=UPDATE&amp;creator=factset&amp;DYN_ARGS=TRUE&amp;DOC_NAME=FAT:FQL_AUDITING_CLIENT_TEMPLATE.FAT&amp;display_string=Audit&amp;VAR:KEY=ROHWVCFGBW&amp;VAR:QUERY=RkZfRUJJVERBX09QRVIoUVRSLDQvMS8yMDEwLDYvMzAvMjAxMCwsLFVTRCk=&amp;WINDOW=FIRST_POPUP&amp;HEIGH","T=450&amp;WIDTH=450&amp;START_MAXIMIZED=FALSE&amp;VAR:CALENDAR=US&amp;VAR:SYMBOL=GR&amp;VAR:INDEX=0"}</definedName>
    <definedName name="_603__FDSAUDITLINK__" localSheetId="1" hidden="1">{"fdsup://directions/FAT Viewer?action=UPDATE&amp;creator=factset&amp;DYN_ARGS=TRUE&amp;DOC_NAME=FAT:FQL_AUDITING_CLIENT_TEMPLATE.FAT&amp;display_string=Audit&amp;VAR:KEY=ZIZYRSLQBI&amp;VAR:QUERY=RkZfRUJJVERBX09QRVIoUVRSLDQvMS8yMDA5LDYvMzAvMjAwOSwsLFVTRCk=&amp;WINDOW=FIRST_POPUP&amp;HEIGH","T=450&amp;WIDTH=450&amp;START_MAXIMIZED=FALSE&amp;VAR:CALENDAR=US&amp;VAR:SYMBOL=GPS&amp;VAR:INDEX=0"}</definedName>
    <definedName name="_603__FDSAUDITLINK__" hidden="1">{"fdsup://directions/FAT Viewer?action=UPDATE&amp;creator=factset&amp;DYN_ARGS=TRUE&amp;DOC_NAME=FAT:FQL_AUDITING_CLIENT_TEMPLATE.FAT&amp;display_string=Audit&amp;VAR:KEY=ZIZYRSLQBI&amp;VAR:QUERY=RkZfRUJJVERBX09QRVIoUVRSLDQvMS8yMDA5LDYvMzAvMjAwOSwsLFVTRCk=&amp;WINDOW=FIRST_POPUP&amp;HEIGH","T=450&amp;WIDTH=450&amp;START_MAXIMIZED=FALSE&amp;VAR:CALENDAR=US&amp;VAR:SYMBOL=GPS&amp;VAR:INDEX=0"}</definedName>
    <definedName name="_604__FDSAUDITLINK__" localSheetId="1" hidden="1">{"fdsup://directions/FAT Viewer?action=UPDATE&amp;creator=factset&amp;DYN_ARGS=TRUE&amp;DOC_NAME=FAT:FQL_AUDITING_CLIENT_TEMPLATE.FAT&amp;display_string=Audit&amp;VAR:KEY=XALOZWXULE&amp;VAR:QUERY=RkZfRUJJVERBX09QRVIoUVRSLDQvMS8yMDEwLDYvMzAvMjAxMCwsLFVTRCk=&amp;WINDOW=FIRST_POPUP&amp;HEIGH","T=450&amp;WIDTH=450&amp;START_MAXIMIZED=FALSE&amp;VAR:CALENDAR=US&amp;VAR:SYMBOL=GPS&amp;VAR:INDEX=0"}</definedName>
    <definedName name="_604__FDSAUDITLINK__" hidden="1">{"fdsup://directions/FAT Viewer?action=UPDATE&amp;creator=factset&amp;DYN_ARGS=TRUE&amp;DOC_NAME=FAT:FQL_AUDITING_CLIENT_TEMPLATE.FAT&amp;display_string=Audit&amp;VAR:KEY=XALOZWXULE&amp;VAR:QUERY=RkZfRUJJVERBX09QRVIoUVRSLDQvMS8yMDEwLDYvMzAvMjAxMCwsLFVTRCk=&amp;WINDOW=FIRST_POPUP&amp;HEIGH","T=450&amp;WIDTH=450&amp;START_MAXIMIZED=FALSE&amp;VAR:CALENDAR=US&amp;VAR:SYMBOL=GPS&amp;VAR:INDEX=0"}</definedName>
    <definedName name="_605__FDSAUDITLINK__" localSheetId="1" hidden="1">{"fdsup://directions/FAT Viewer?action=UPDATE&amp;creator=factset&amp;DYN_ARGS=TRUE&amp;DOC_NAME=FAT:FQL_AUDITING_CLIENT_TEMPLATE.FAT&amp;display_string=Audit&amp;VAR:KEY=FITYRMXUBU&amp;VAR:QUERY=RkZfRUJJVERBX09QRVIoUVRSLDQvMS8yMDA5LDYvMzAvMjAwOSwsLFVTRCk=&amp;WINDOW=FIRST_POPUP&amp;HEIGH","T=450&amp;WIDTH=450&amp;START_MAXIMIZED=FALSE&amp;VAR:CALENDAR=US&amp;VAR:SYMBOL=GPC&amp;VAR:INDEX=0"}</definedName>
    <definedName name="_605__FDSAUDITLINK__" hidden="1">{"fdsup://directions/FAT Viewer?action=UPDATE&amp;creator=factset&amp;DYN_ARGS=TRUE&amp;DOC_NAME=FAT:FQL_AUDITING_CLIENT_TEMPLATE.FAT&amp;display_string=Audit&amp;VAR:KEY=FITYRMXUBU&amp;VAR:QUERY=RkZfRUJJVERBX09QRVIoUVRSLDQvMS8yMDA5LDYvMzAvMjAwOSwsLFVTRCk=&amp;WINDOW=FIRST_POPUP&amp;HEIGH","T=450&amp;WIDTH=450&amp;START_MAXIMIZED=FALSE&amp;VAR:CALENDAR=US&amp;VAR:SYMBOL=GPC&amp;VAR:INDEX=0"}</definedName>
    <definedName name="_606__FDSAUDITLINK__" localSheetId="1" hidden="1">{"fdsup://directions/FAT Viewer?action=UPDATE&amp;creator=factset&amp;DYN_ARGS=TRUE&amp;DOC_NAME=FAT:FQL_AUDITING_CLIENT_TEMPLATE.FAT&amp;display_string=Audit&amp;VAR:KEY=HEDYVOBIVY&amp;VAR:QUERY=RkZfRUJJVERBX09QRVIoUVRSLDQvMS8yMDEwLDYvMzAvMjAxMCwsLFVTRCk=&amp;WINDOW=FIRST_POPUP&amp;HEIGH","T=450&amp;WIDTH=450&amp;START_MAXIMIZED=FALSE&amp;VAR:CALENDAR=US&amp;VAR:SYMBOL=GPC&amp;VAR:INDEX=0"}</definedName>
    <definedName name="_606__FDSAUDITLINK__" hidden="1">{"fdsup://directions/FAT Viewer?action=UPDATE&amp;creator=factset&amp;DYN_ARGS=TRUE&amp;DOC_NAME=FAT:FQL_AUDITING_CLIENT_TEMPLATE.FAT&amp;display_string=Audit&amp;VAR:KEY=HEDYVOBIVY&amp;VAR:QUERY=RkZfRUJJVERBX09QRVIoUVRSLDQvMS8yMDEwLDYvMzAvMjAxMCwsLFVTRCk=&amp;WINDOW=FIRST_POPUP&amp;HEIGH","T=450&amp;WIDTH=450&amp;START_MAXIMIZED=FALSE&amp;VAR:CALENDAR=US&amp;VAR:SYMBOL=GPC&amp;VAR:INDEX=0"}</definedName>
    <definedName name="_607__FDSAUDITLINK__" localSheetId="1" hidden="1">{"fdsup://directions/FAT Viewer?action=UPDATE&amp;creator=factset&amp;DYN_ARGS=TRUE&amp;DOC_NAME=FAT:FQL_AUDITING_CLIENT_TEMPLATE.FAT&amp;display_string=Audit&amp;VAR:KEY=BADQJMNKPK&amp;VAR:QUERY=RkZfRUJJVERBX09QRVIoUVRSLDQvMS8yMDA5LDYvMzAvMjAwOSwsLFVTRCk=&amp;WINDOW=FIRST_POPUP&amp;HEIGH","T=450&amp;WIDTH=450&amp;START_MAXIMIZED=FALSE&amp;VAR:CALENDAR=US&amp;VAR:SYMBOL=GOOG&amp;VAR:INDEX=0"}</definedName>
    <definedName name="_607__FDSAUDITLINK__" hidden="1">{"fdsup://directions/FAT Viewer?action=UPDATE&amp;creator=factset&amp;DYN_ARGS=TRUE&amp;DOC_NAME=FAT:FQL_AUDITING_CLIENT_TEMPLATE.FAT&amp;display_string=Audit&amp;VAR:KEY=BADQJMNKPK&amp;VAR:QUERY=RkZfRUJJVERBX09QRVIoUVRSLDQvMS8yMDA5LDYvMzAvMjAwOSwsLFVTRCk=&amp;WINDOW=FIRST_POPUP&amp;HEIGH","T=450&amp;WIDTH=450&amp;START_MAXIMIZED=FALSE&amp;VAR:CALENDAR=US&amp;VAR:SYMBOL=GOOG&amp;VAR:INDEX=0"}</definedName>
    <definedName name="_608__FDSAUDITLINK__" localSheetId="1" hidden="1">{"fdsup://directions/FAT Viewer?action=UPDATE&amp;creator=factset&amp;DYN_ARGS=TRUE&amp;DOC_NAME=FAT:FQL_AUDITING_CLIENT_TEMPLATE.FAT&amp;display_string=Audit&amp;VAR:KEY=VCBAJOZAZO&amp;VAR:QUERY=RkZfRUJJVERBX09QRVIoUVRSLDQvMS8yMDEwLDYvMzAvMjAxMCwsLFVTRCk=&amp;WINDOW=FIRST_POPUP&amp;HEIGH","T=450&amp;WIDTH=450&amp;START_MAXIMIZED=FALSE&amp;VAR:CALENDAR=US&amp;VAR:SYMBOL=GOOG&amp;VAR:INDEX=0"}</definedName>
    <definedName name="_608__FDSAUDITLINK__" hidden="1">{"fdsup://directions/FAT Viewer?action=UPDATE&amp;creator=factset&amp;DYN_ARGS=TRUE&amp;DOC_NAME=FAT:FQL_AUDITING_CLIENT_TEMPLATE.FAT&amp;display_string=Audit&amp;VAR:KEY=VCBAJOZAZO&amp;VAR:QUERY=RkZfRUJJVERBX09QRVIoUVRSLDQvMS8yMDEwLDYvMzAvMjAxMCwsLFVTRCk=&amp;WINDOW=FIRST_POPUP&amp;HEIGH","T=450&amp;WIDTH=450&amp;START_MAXIMIZED=FALSE&amp;VAR:CALENDAR=US&amp;VAR:SYMBOL=GOOG&amp;VAR:INDEX=0"}</definedName>
    <definedName name="_609__FDSAUDITLINK__" localSheetId="1" hidden="1">{"fdsup://directions/FAT Viewer?action=UPDATE&amp;creator=factset&amp;DYN_ARGS=TRUE&amp;DOC_NAME=FAT:FQL_AUDITING_CLIENT_TEMPLATE.FAT&amp;display_string=Audit&amp;VAR:KEY=ZSNAHGRAHO&amp;VAR:QUERY=RkZfRUJJVERBX09QRVIoUVRSLDQvMS8yMDA5LDYvMzAvMjAwOSwsLFVTRCk=&amp;WINDOW=FIRST_POPUP&amp;HEIGH","T=450&amp;WIDTH=450&amp;START_MAXIMIZED=FALSE&amp;VAR:CALENDAR=US&amp;VAR:SYMBOL=GNW&amp;VAR:INDEX=0"}</definedName>
    <definedName name="_609__FDSAUDITLINK__" hidden="1">{"fdsup://directions/FAT Viewer?action=UPDATE&amp;creator=factset&amp;DYN_ARGS=TRUE&amp;DOC_NAME=FAT:FQL_AUDITING_CLIENT_TEMPLATE.FAT&amp;display_string=Audit&amp;VAR:KEY=ZSNAHGRAHO&amp;VAR:QUERY=RkZfRUJJVERBX09QRVIoUVRSLDQvMS8yMDA5LDYvMzAvMjAwOSwsLFVTRCk=&amp;WINDOW=FIRST_POPUP&amp;HEIGH","T=450&amp;WIDTH=450&amp;START_MAXIMIZED=FALSE&amp;VAR:CALENDAR=US&amp;VAR:SYMBOL=GNW&amp;VAR:INDEX=0"}</definedName>
    <definedName name="_61__FDSAUDITLINK__" localSheetId="1" hidden="1">{"fdsup://directions/FAT Viewer?action=UPDATE&amp;creator=factset&amp;DYN_ARGS=TRUE&amp;DOC_NAME=FAT:FQL_AUDITING_CLIENT_TEMPLATE.FAT&amp;display_string=Audit&amp;VAR:KEY=TWRMDUXGBK&amp;VAR:QUERY=RkZfRUJJVERBX09QRVIoUVRSLDQvMS8yMDA5LDYvMzAvMjAwOSwsLFVTRCk=&amp;WINDOW=FIRST_POPUP&amp;HEIGH","T=450&amp;WIDTH=450&amp;START_MAXIMIZED=FALSE&amp;VAR:CALENDAR=US&amp;VAR:SYMBOL=VZ&amp;VAR:INDEX=0"}</definedName>
    <definedName name="_61__FDSAUDITLINK__" hidden="1">{"fdsup://directions/FAT Viewer?action=UPDATE&amp;creator=factset&amp;DYN_ARGS=TRUE&amp;DOC_NAME=FAT:FQL_AUDITING_CLIENT_TEMPLATE.FAT&amp;display_string=Audit&amp;VAR:KEY=TWRMDUXGBK&amp;VAR:QUERY=RkZfRUJJVERBX09QRVIoUVRSLDQvMS8yMDA5LDYvMzAvMjAwOSwsLFVTRCk=&amp;WINDOW=FIRST_POPUP&amp;HEIGH","T=450&amp;WIDTH=450&amp;START_MAXIMIZED=FALSE&amp;VAR:CALENDAR=US&amp;VAR:SYMBOL=VZ&amp;VAR:INDEX=0"}</definedName>
    <definedName name="_610__FDSAUDITLINK__" localSheetId="1" hidden="1">{"fdsup://directions/FAT Viewer?action=UPDATE&amp;creator=factset&amp;DYN_ARGS=TRUE&amp;DOC_NAME=FAT:FQL_AUDITING_CLIENT_TEMPLATE.FAT&amp;display_string=Audit&amp;VAR:KEY=RAZALQXGBK&amp;VAR:QUERY=RkZfRUJJVERBX09QRVIoUVRSLDQvMS8yMDEwLDYvMzAvMjAxMCwsLFVTRCk=&amp;WINDOW=FIRST_POPUP&amp;HEIGH","T=450&amp;WIDTH=450&amp;START_MAXIMIZED=FALSE&amp;VAR:CALENDAR=US&amp;VAR:SYMBOL=GNW&amp;VAR:INDEX=0"}</definedName>
    <definedName name="_610__FDSAUDITLINK__" hidden="1">{"fdsup://directions/FAT Viewer?action=UPDATE&amp;creator=factset&amp;DYN_ARGS=TRUE&amp;DOC_NAME=FAT:FQL_AUDITING_CLIENT_TEMPLATE.FAT&amp;display_string=Audit&amp;VAR:KEY=RAZALQXGBK&amp;VAR:QUERY=RkZfRUJJVERBX09QRVIoUVRSLDQvMS8yMDEwLDYvMzAvMjAxMCwsLFVTRCk=&amp;WINDOW=FIRST_POPUP&amp;HEIGH","T=450&amp;WIDTH=450&amp;START_MAXIMIZED=FALSE&amp;VAR:CALENDAR=US&amp;VAR:SYMBOL=GNW&amp;VAR:INDEX=0"}</definedName>
    <definedName name="_611__FDSAUDITLINK__" localSheetId="1" hidden="1">{"fdsup://directions/FAT Viewer?action=UPDATE&amp;creator=factset&amp;DYN_ARGS=TRUE&amp;DOC_NAME=FAT:FQL_AUDITING_CLIENT_TEMPLATE.FAT&amp;display_string=Audit&amp;VAR:KEY=NMVQVOHYVY&amp;VAR:QUERY=RkZfRUJJVERBX09QRVIoUVRSLDQvMS8yMDA5LDYvMzAvMjAwOSwsLFVTRCk=&amp;WINDOW=FIRST_POPUP&amp;HEIGH","T=450&amp;WIDTH=450&amp;START_MAXIMIZED=FALSE&amp;VAR:CALENDAR=US&amp;VAR:SYMBOL=GME&amp;VAR:INDEX=0"}</definedName>
    <definedName name="_611__FDSAUDITLINK__" hidden="1">{"fdsup://directions/FAT Viewer?action=UPDATE&amp;creator=factset&amp;DYN_ARGS=TRUE&amp;DOC_NAME=FAT:FQL_AUDITING_CLIENT_TEMPLATE.FAT&amp;display_string=Audit&amp;VAR:KEY=NMVQVOHYVY&amp;VAR:QUERY=RkZfRUJJVERBX09QRVIoUVRSLDQvMS8yMDA5LDYvMzAvMjAwOSwsLFVTRCk=&amp;WINDOW=FIRST_POPUP&amp;HEIGH","T=450&amp;WIDTH=450&amp;START_MAXIMIZED=FALSE&amp;VAR:CALENDAR=US&amp;VAR:SYMBOL=GME&amp;VAR:INDEX=0"}</definedName>
    <definedName name="_612__FDSAUDITLINK__" localSheetId="1" hidden="1">{"fdsup://directions/FAT Viewer?action=UPDATE&amp;creator=factset&amp;DYN_ARGS=TRUE&amp;DOC_NAME=FAT:FQL_AUDITING_CLIENT_TEMPLATE.FAT&amp;display_string=Audit&amp;VAR:KEY=TMJSVITSZU&amp;VAR:QUERY=RkZfRUJJVERBX09QRVIoUVRSLDQvMS8yMDEwLDYvMzAvMjAxMCwsLFVTRCk=&amp;WINDOW=FIRST_POPUP&amp;HEIGH","T=450&amp;WIDTH=450&amp;START_MAXIMIZED=FALSE&amp;VAR:CALENDAR=US&amp;VAR:SYMBOL=GME&amp;VAR:INDEX=0"}</definedName>
    <definedName name="_612__FDSAUDITLINK__" hidden="1">{"fdsup://directions/FAT Viewer?action=UPDATE&amp;creator=factset&amp;DYN_ARGS=TRUE&amp;DOC_NAME=FAT:FQL_AUDITING_CLIENT_TEMPLATE.FAT&amp;display_string=Audit&amp;VAR:KEY=TMJSVITSZU&amp;VAR:QUERY=RkZfRUJJVERBX09QRVIoUVRSLDQvMS8yMDEwLDYvMzAvMjAxMCwsLFVTRCk=&amp;WINDOW=FIRST_POPUP&amp;HEIGH","T=450&amp;WIDTH=450&amp;START_MAXIMIZED=FALSE&amp;VAR:CALENDAR=US&amp;VAR:SYMBOL=GME&amp;VAR:INDEX=0"}</definedName>
    <definedName name="_613__FDSAUDITLINK__" localSheetId="1" hidden="1">{"fdsup://directions/FAT Viewer?action=UPDATE&amp;creator=factset&amp;DYN_ARGS=TRUE&amp;DOC_NAME=FAT:FQL_AUDITING_CLIENT_TEMPLATE.FAT&amp;display_string=Audit&amp;VAR:KEY=PGDKLSTWDU&amp;VAR:QUERY=RkZfRUJJVERBX09QRVIoUVRSLDQvMS8yMDA5LDYvMzAvMjAwOSwsLFVTRCk=&amp;WINDOW=FIRST_POPUP&amp;HEIGH","T=450&amp;WIDTH=450&amp;START_MAXIMIZED=FALSE&amp;VAR:CALENDAR=US&amp;VAR:SYMBOL=GLW&amp;VAR:INDEX=0"}</definedName>
    <definedName name="_613__FDSAUDITLINK__" hidden="1">{"fdsup://directions/FAT Viewer?action=UPDATE&amp;creator=factset&amp;DYN_ARGS=TRUE&amp;DOC_NAME=FAT:FQL_AUDITING_CLIENT_TEMPLATE.FAT&amp;display_string=Audit&amp;VAR:KEY=PGDKLSTWDU&amp;VAR:QUERY=RkZfRUJJVERBX09QRVIoUVRSLDQvMS8yMDA5LDYvMzAvMjAwOSwsLFVTRCk=&amp;WINDOW=FIRST_POPUP&amp;HEIGH","T=450&amp;WIDTH=450&amp;START_MAXIMIZED=FALSE&amp;VAR:CALENDAR=US&amp;VAR:SYMBOL=GLW&amp;VAR:INDEX=0"}</definedName>
    <definedName name="_614__FDSAUDITLINK__" localSheetId="1" hidden="1">{"fdsup://directions/FAT Viewer?action=UPDATE&amp;creator=factset&amp;DYN_ARGS=TRUE&amp;DOC_NAME=FAT:FQL_AUDITING_CLIENT_TEMPLATE.FAT&amp;display_string=Audit&amp;VAR:KEY=FYDMXSNYVK&amp;VAR:QUERY=RkZfRUJJVERBX09QRVIoUVRSLDQvMS8yMDEwLDYvMzAvMjAxMCwsLFVTRCk=&amp;WINDOW=FIRST_POPUP&amp;HEIGH","T=450&amp;WIDTH=450&amp;START_MAXIMIZED=FALSE&amp;VAR:CALENDAR=US&amp;VAR:SYMBOL=GLW&amp;VAR:INDEX=0"}</definedName>
    <definedName name="_614__FDSAUDITLINK__" hidden="1">{"fdsup://directions/FAT Viewer?action=UPDATE&amp;creator=factset&amp;DYN_ARGS=TRUE&amp;DOC_NAME=FAT:FQL_AUDITING_CLIENT_TEMPLATE.FAT&amp;display_string=Audit&amp;VAR:KEY=FYDMXSNYVK&amp;VAR:QUERY=RkZfRUJJVERBX09QRVIoUVRSLDQvMS8yMDEwLDYvMzAvMjAxMCwsLFVTRCk=&amp;WINDOW=FIRST_POPUP&amp;HEIGH","T=450&amp;WIDTH=450&amp;START_MAXIMIZED=FALSE&amp;VAR:CALENDAR=US&amp;VAR:SYMBOL=GLW&amp;VAR:INDEX=0"}</definedName>
    <definedName name="_615__FDSAUDITLINK__" localSheetId="1" hidden="1">{"fdsup://directions/FAT Viewer?action=UPDATE&amp;creator=factset&amp;DYN_ARGS=TRUE&amp;DOC_NAME=FAT:FQL_AUDITING_CLIENT_TEMPLATE.FAT&amp;display_string=Audit&amp;VAR:KEY=DWZWHMJMZM&amp;VAR:QUERY=RkZfRUJJVERBX09QRVIoUVRSLDQvMS8yMDA5LDYvMzAvMjAwOSwsLFVTRCk=&amp;WINDOW=FIRST_POPUP&amp;HEIGH","T=450&amp;WIDTH=450&amp;START_MAXIMIZED=FALSE&amp;VAR:CALENDAR=US&amp;VAR:SYMBOL=GIS&amp;VAR:INDEX=0"}</definedName>
    <definedName name="_615__FDSAUDITLINK__" hidden="1">{"fdsup://directions/FAT Viewer?action=UPDATE&amp;creator=factset&amp;DYN_ARGS=TRUE&amp;DOC_NAME=FAT:FQL_AUDITING_CLIENT_TEMPLATE.FAT&amp;display_string=Audit&amp;VAR:KEY=DWZWHMJMZM&amp;VAR:QUERY=RkZfRUJJVERBX09QRVIoUVRSLDQvMS8yMDA5LDYvMzAvMjAwOSwsLFVTRCk=&amp;WINDOW=FIRST_POPUP&amp;HEIGH","T=450&amp;WIDTH=450&amp;START_MAXIMIZED=FALSE&amp;VAR:CALENDAR=US&amp;VAR:SYMBOL=GIS&amp;VAR:INDEX=0"}</definedName>
    <definedName name="_616__FDSAUDITLINK__" localSheetId="1" hidden="1">{"fdsup://directions/FAT Viewer?action=UPDATE&amp;creator=factset&amp;DYN_ARGS=TRUE&amp;DOC_NAME=FAT:FQL_AUDITING_CLIENT_TEMPLATE.FAT&amp;display_string=Audit&amp;VAR:KEY=RIHOFKROZQ&amp;VAR:QUERY=RkZfRUJJVERBX09QRVIoUVRSLDQvMS8yMDEwLDYvMzAvMjAxMCwsLFVTRCk=&amp;WINDOW=FIRST_POPUP&amp;HEIGH","T=450&amp;WIDTH=450&amp;START_MAXIMIZED=FALSE&amp;VAR:CALENDAR=US&amp;VAR:SYMBOL=GIS&amp;VAR:INDEX=0"}</definedName>
    <definedName name="_616__FDSAUDITLINK__" hidden="1">{"fdsup://directions/FAT Viewer?action=UPDATE&amp;creator=factset&amp;DYN_ARGS=TRUE&amp;DOC_NAME=FAT:FQL_AUDITING_CLIENT_TEMPLATE.FAT&amp;display_string=Audit&amp;VAR:KEY=RIHOFKROZQ&amp;VAR:QUERY=RkZfRUJJVERBX09QRVIoUVRSLDQvMS8yMDEwLDYvMzAvMjAxMCwsLFVTRCk=&amp;WINDOW=FIRST_POPUP&amp;HEIGH","T=450&amp;WIDTH=450&amp;START_MAXIMIZED=FALSE&amp;VAR:CALENDAR=US&amp;VAR:SYMBOL=GIS&amp;VAR:INDEX=0"}</definedName>
    <definedName name="_617__FDSAUDITLINK__" localSheetId="1" hidden="1">{"fdsup://directions/FAT Viewer?action=UPDATE&amp;creator=factset&amp;DYN_ARGS=TRUE&amp;DOC_NAME=FAT:FQL_AUDITING_CLIENT_TEMPLATE.FAT&amp;display_string=Audit&amp;VAR:KEY=BGFOTGZAVM&amp;VAR:QUERY=RkZfRUJJVERBX09QRVIoUVRSLDQvMS8yMDA5LDYvMzAvMjAwOSwsLFVTRCk=&amp;WINDOW=FIRST_POPUP&amp;HEIGH","T=450&amp;WIDTH=450&amp;START_MAXIMIZED=FALSE&amp;VAR:CALENDAR=US&amp;VAR:SYMBOL=GILD&amp;VAR:INDEX=0"}</definedName>
    <definedName name="_617__FDSAUDITLINK__" hidden="1">{"fdsup://directions/FAT Viewer?action=UPDATE&amp;creator=factset&amp;DYN_ARGS=TRUE&amp;DOC_NAME=FAT:FQL_AUDITING_CLIENT_TEMPLATE.FAT&amp;display_string=Audit&amp;VAR:KEY=BGFOTGZAVM&amp;VAR:QUERY=RkZfRUJJVERBX09QRVIoUVRSLDQvMS8yMDA5LDYvMzAvMjAwOSwsLFVTRCk=&amp;WINDOW=FIRST_POPUP&amp;HEIGH","T=450&amp;WIDTH=450&amp;START_MAXIMIZED=FALSE&amp;VAR:CALENDAR=US&amp;VAR:SYMBOL=GILD&amp;VAR:INDEX=0"}</definedName>
    <definedName name="_618__FDSAUDITLINK__" localSheetId="1" hidden="1">{"fdsup://directions/FAT Viewer?action=UPDATE&amp;creator=factset&amp;DYN_ARGS=TRUE&amp;DOC_NAME=FAT:FQL_AUDITING_CLIENT_TEMPLATE.FAT&amp;display_string=Audit&amp;VAR:KEY=DENYDEVYLE&amp;VAR:QUERY=RkZfRUJJVERBX09QRVIoUVRSLDQvMS8yMDEwLDYvMzAvMjAxMCwsLFVTRCk=&amp;WINDOW=FIRST_POPUP&amp;HEIGH","T=450&amp;WIDTH=450&amp;START_MAXIMIZED=FALSE&amp;VAR:CALENDAR=US&amp;VAR:SYMBOL=GILD&amp;VAR:INDEX=0"}</definedName>
    <definedName name="_618__FDSAUDITLINK__" hidden="1">{"fdsup://directions/FAT Viewer?action=UPDATE&amp;creator=factset&amp;DYN_ARGS=TRUE&amp;DOC_NAME=FAT:FQL_AUDITING_CLIENT_TEMPLATE.FAT&amp;display_string=Audit&amp;VAR:KEY=DENYDEVYLE&amp;VAR:QUERY=RkZfRUJJVERBX09QRVIoUVRSLDQvMS8yMDEwLDYvMzAvMjAxMCwsLFVTRCk=&amp;WINDOW=FIRST_POPUP&amp;HEIGH","T=450&amp;WIDTH=450&amp;START_MAXIMIZED=FALSE&amp;VAR:CALENDAR=US&amp;VAR:SYMBOL=GILD&amp;VAR:INDEX=0"}</definedName>
    <definedName name="_619__FDSAUDITLINK__" localSheetId="1" hidden="1">{"fdsup://directions/FAT Viewer?action=UPDATE&amp;creator=factset&amp;DYN_ARGS=TRUE&amp;DOC_NAME=FAT:FQL_AUDITING_CLIENT_TEMPLATE.FAT&amp;display_string=Audit&amp;VAR:KEY=RIBOHWXGHK&amp;VAR:QUERY=RkZfRUJJVERBX09QRVIoUVRSLDQvMS8yMDA5LDYvMzAvMjAwOSwsLFVTRCk=&amp;WINDOW=FIRST_POPUP&amp;HEIGH","T=450&amp;WIDTH=450&amp;START_MAXIMIZED=FALSE&amp;VAR:CALENDAR=US&amp;VAR:SYMBOL=GENZ&amp;VAR:INDEX=0"}</definedName>
    <definedName name="_619__FDSAUDITLINK__" hidden="1">{"fdsup://directions/FAT Viewer?action=UPDATE&amp;creator=factset&amp;DYN_ARGS=TRUE&amp;DOC_NAME=FAT:FQL_AUDITING_CLIENT_TEMPLATE.FAT&amp;display_string=Audit&amp;VAR:KEY=RIBOHWXGHK&amp;VAR:QUERY=RkZfRUJJVERBX09QRVIoUVRSLDQvMS8yMDA5LDYvMzAvMjAwOSwsLFVTRCk=&amp;WINDOW=FIRST_POPUP&amp;HEIGH","T=450&amp;WIDTH=450&amp;START_MAXIMIZED=FALSE&amp;VAR:CALENDAR=US&amp;VAR:SYMBOL=GENZ&amp;VAR:INDEX=0"}</definedName>
    <definedName name="_62__FDSAUDITLINK__" localSheetId="1" hidden="1">{"fdsup://directions/FAT Viewer?action=UPDATE&amp;creator=factset&amp;DYN_ARGS=TRUE&amp;DOC_NAME=FAT:FQL_AUDITING_CLIENT_TEMPLATE.FAT&amp;display_string=Audit&amp;VAR:KEY=XWXMRCJGTU&amp;VAR:QUERY=RkZfRUJJVERBX09QRVIoUVRSLDQvMS8yMDEwLDYvMzAvMjAxMCwsLFVTRCk=&amp;WINDOW=FIRST_POPUP&amp;HEIGH","T=450&amp;WIDTH=450&amp;START_MAXIMIZED=FALSE&amp;VAR:CALENDAR=US&amp;VAR:SYMBOL=VZ&amp;VAR:INDEX=0"}</definedName>
    <definedName name="_62__FDSAUDITLINK__" hidden="1">{"fdsup://directions/FAT Viewer?action=UPDATE&amp;creator=factset&amp;DYN_ARGS=TRUE&amp;DOC_NAME=FAT:FQL_AUDITING_CLIENT_TEMPLATE.FAT&amp;display_string=Audit&amp;VAR:KEY=XWXMRCJGTU&amp;VAR:QUERY=RkZfRUJJVERBX09QRVIoUVRSLDQvMS8yMDEwLDYvMzAvMjAxMCwsLFVTRCk=&amp;WINDOW=FIRST_POPUP&amp;HEIGH","T=450&amp;WIDTH=450&amp;START_MAXIMIZED=FALSE&amp;VAR:CALENDAR=US&amp;VAR:SYMBOL=VZ&amp;VAR:INDEX=0"}</definedName>
    <definedName name="_620__FDSAUDITLINK__" localSheetId="1" hidden="1">{"fdsup://directions/FAT Viewer?action=UPDATE&amp;creator=factset&amp;DYN_ARGS=TRUE&amp;DOC_NAME=FAT:FQL_AUDITING_CLIENT_TEMPLATE.FAT&amp;display_string=Audit&amp;VAR:KEY=TQBGZUJSRC&amp;VAR:QUERY=RkZfRUJJVERBX09QRVIoUVRSLDQvMS8yMDEwLDYvMzAvMjAxMCwsLFVTRCk=&amp;WINDOW=FIRST_POPUP&amp;HEIGH","T=450&amp;WIDTH=450&amp;START_MAXIMIZED=FALSE&amp;VAR:CALENDAR=US&amp;VAR:SYMBOL=GENZ&amp;VAR:INDEX=0"}</definedName>
    <definedName name="_620__FDSAUDITLINK__" hidden="1">{"fdsup://directions/FAT Viewer?action=UPDATE&amp;creator=factset&amp;DYN_ARGS=TRUE&amp;DOC_NAME=FAT:FQL_AUDITING_CLIENT_TEMPLATE.FAT&amp;display_string=Audit&amp;VAR:KEY=TQBGZUJSRC&amp;VAR:QUERY=RkZfRUJJVERBX09QRVIoUVRSLDQvMS8yMDEwLDYvMzAvMjAxMCwsLFVTRCk=&amp;WINDOW=FIRST_POPUP&amp;HEIGH","T=450&amp;WIDTH=450&amp;START_MAXIMIZED=FALSE&amp;VAR:CALENDAR=US&amp;VAR:SYMBOL=GENZ&amp;VAR:INDEX=0"}</definedName>
    <definedName name="_621__FDSAUDITLINK__" localSheetId="1" hidden="1">{"fdsup://directions/FAT Viewer?action=UPDATE&amp;creator=factset&amp;DYN_ARGS=TRUE&amp;DOC_NAME=FAT:FQL_AUDITING_CLIENT_TEMPLATE.FAT&amp;display_string=Audit&amp;VAR:KEY=NGLCNCBMTG&amp;VAR:QUERY=RkZfRUJJVERBX09QRVIoUVRSLDQvMS8yMDA5LDYvMzAvMjAwOSwsLFVTRCk=&amp;WINDOW=FIRST_POPUP&amp;HEIGH","T=450&amp;WIDTH=450&amp;START_MAXIMIZED=FALSE&amp;VAR:CALENDAR=US&amp;VAR:SYMBOL=GE&amp;VAR:INDEX=0"}</definedName>
    <definedName name="_621__FDSAUDITLINK__" hidden="1">{"fdsup://directions/FAT Viewer?action=UPDATE&amp;creator=factset&amp;DYN_ARGS=TRUE&amp;DOC_NAME=FAT:FQL_AUDITING_CLIENT_TEMPLATE.FAT&amp;display_string=Audit&amp;VAR:KEY=NGLCNCBMTG&amp;VAR:QUERY=RkZfRUJJVERBX09QRVIoUVRSLDQvMS8yMDA5LDYvMzAvMjAwOSwsLFVTRCk=&amp;WINDOW=FIRST_POPUP&amp;HEIGH","T=450&amp;WIDTH=450&amp;START_MAXIMIZED=FALSE&amp;VAR:CALENDAR=US&amp;VAR:SYMBOL=GE&amp;VAR:INDEX=0"}</definedName>
    <definedName name="_622__FDSAUDITLINK__" localSheetId="1" hidden="1">{"fdsup://directions/FAT Viewer?action=UPDATE&amp;creator=factset&amp;DYN_ARGS=TRUE&amp;DOC_NAME=FAT:FQL_AUDITING_CLIENT_TEMPLATE.FAT&amp;display_string=Audit&amp;VAR:KEY=VELCHEZYZU&amp;VAR:QUERY=RkZfRUJJVERBX09QRVIoUVRSLDQvMS8yMDEwLDYvMzAvMjAxMCwsLFVTRCk=&amp;WINDOW=FIRST_POPUP&amp;HEIGH","T=450&amp;WIDTH=450&amp;START_MAXIMIZED=FALSE&amp;VAR:CALENDAR=US&amp;VAR:SYMBOL=GE&amp;VAR:INDEX=0"}</definedName>
    <definedName name="_622__FDSAUDITLINK__" hidden="1">{"fdsup://directions/FAT Viewer?action=UPDATE&amp;creator=factset&amp;DYN_ARGS=TRUE&amp;DOC_NAME=FAT:FQL_AUDITING_CLIENT_TEMPLATE.FAT&amp;display_string=Audit&amp;VAR:KEY=VELCHEZYZU&amp;VAR:QUERY=RkZfRUJJVERBX09QRVIoUVRSLDQvMS8yMDEwLDYvMzAvMjAxMCwsLFVTRCk=&amp;WINDOW=FIRST_POPUP&amp;HEIGH","T=450&amp;WIDTH=450&amp;START_MAXIMIZED=FALSE&amp;VAR:CALENDAR=US&amp;VAR:SYMBOL=GE&amp;VAR:INDEX=0"}</definedName>
    <definedName name="_623__FDSAUDITLINK__" localSheetId="1" hidden="1">{"fdsup://directions/FAT Viewer?action=UPDATE&amp;creator=factset&amp;DYN_ARGS=TRUE&amp;DOC_NAME=FAT:FQL_AUDITING_CLIENT_TEMPLATE.FAT&amp;display_string=Audit&amp;VAR:KEY=JONMNQLKFG&amp;VAR:QUERY=RkZfRUJJVERBX09QRVIoUVRSLDQvMS8yMDA5LDYvMzAvMjAwOSwsLFVTRCk=&amp;WINDOW=FIRST_POPUP&amp;HEIGH","T=450&amp;WIDTH=450&amp;START_MAXIMIZED=FALSE&amp;VAR:CALENDAR=US&amp;VAR:SYMBOL=GD&amp;VAR:INDEX=0"}</definedName>
    <definedName name="_623__FDSAUDITLINK__" hidden="1">{"fdsup://directions/FAT Viewer?action=UPDATE&amp;creator=factset&amp;DYN_ARGS=TRUE&amp;DOC_NAME=FAT:FQL_AUDITING_CLIENT_TEMPLATE.FAT&amp;display_string=Audit&amp;VAR:KEY=JONMNQLKFG&amp;VAR:QUERY=RkZfRUJJVERBX09QRVIoUVRSLDQvMS8yMDA5LDYvMzAvMjAwOSwsLFVTRCk=&amp;WINDOW=FIRST_POPUP&amp;HEIGH","T=450&amp;WIDTH=450&amp;START_MAXIMIZED=FALSE&amp;VAR:CALENDAR=US&amp;VAR:SYMBOL=GD&amp;VAR:INDEX=0"}</definedName>
    <definedName name="_624__FDSAUDITLINK__" localSheetId="1" hidden="1">{"fdsup://directions/FAT Viewer?action=UPDATE&amp;creator=factset&amp;DYN_ARGS=TRUE&amp;DOC_NAME=FAT:FQL_AUDITING_CLIENT_TEMPLATE.FAT&amp;display_string=Audit&amp;VAR:KEY=HYZSZUTCDM&amp;VAR:QUERY=RkZfRUJJVERBX09QRVIoUVRSLDQvMS8yMDEwLDYvMzAvMjAxMCwsLFVTRCk=&amp;WINDOW=FIRST_POPUP&amp;HEIGH","T=450&amp;WIDTH=450&amp;START_MAXIMIZED=FALSE&amp;VAR:CALENDAR=US&amp;VAR:SYMBOL=GD&amp;VAR:INDEX=0"}</definedName>
    <definedName name="_624__FDSAUDITLINK__" hidden="1">{"fdsup://directions/FAT Viewer?action=UPDATE&amp;creator=factset&amp;DYN_ARGS=TRUE&amp;DOC_NAME=FAT:FQL_AUDITING_CLIENT_TEMPLATE.FAT&amp;display_string=Audit&amp;VAR:KEY=HYZSZUTCDM&amp;VAR:QUERY=RkZfRUJJVERBX09QRVIoUVRSLDQvMS8yMDEwLDYvMzAvMjAxMCwsLFVTRCk=&amp;WINDOW=FIRST_POPUP&amp;HEIGH","T=450&amp;WIDTH=450&amp;START_MAXIMIZED=FALSE&amp;VAR:CALENDAR=US&amp;VAR:SYMBOL=GD&amp;VAR:INDEX=0"}</definedName>
    <definedName name="_625__FDSAUDITLINK__" localSheetId="1" hidden="1">{"fdsup://directions/FAT Viewer?action=UPDATE&amp;creator=factset&amp;DYN_ARGS=TRUE&amp;DOC_NAME=FAT:FQL_AUDITING_CLIENT_TEMPLATE.FAT&amp;display_string=Audit&amp;VAR:KEY=ZOPKHGXYNI&amp;VAR:QUERY=RkZfRUJJVERBX09QRVIoUVRSLDQvMS8yMDA5LDYvMzAvMjAwOSwsLFVTRCk=&amp;WINDOW=FIRST_POPUP&amp;HEIGH","T=450&amp;WIDTH=450&amp;START_MAXIMIZED=FALSE&amp;VAR:CALENDAR=US&amp;VAR:SYMBOL=GCI&amp;VAR:INDEX=0"}</definedName>
    <definedName name="_625__FDSAUDITLINK__" hidden="1">{"fdsup://directions/FAT Viewer?action=UPDATE&amp;creator=factset&amp;DYN_ARGS=TRUE&amp;DOC_NAME=FAT:FQL_AUDITING_CLIENT_TEMPLATE.FAT&amp;display_string=Audit&amp;VAR:KEY=ZOPKHGXYNI&amp;VAR:QUERY=RkZfRUJJVERBX09QRVIoUVRSLDQvMS8yMDA5LDYvMzAvMjAwOSwsLFVTRCk=&amp;WINDOW=FIRST_POPUP&amp;HEIGH","T=450&amp;WIDTH=450&amp;START_MAXIMIZED=FALSE&amp;VAR:CALENDAR=US&amp;VAR:SYMBOL=GCI&amp;VAR:INDEX=0"}</definedName>
    <definedName name="_626__FDSAUDITLINK__" localSheetId="1" hidden="1">{"fdsup://directions/FAT Viewer?action=UPDATE&amp;creator=factset&amp;DYN_ARGS=TRUE&amp;DOC_NAME=FAT:FQL_AUDITING_CLIENT_TEMPLATE.FAT&amp;display_string=Audit&amp;VAR:KEY=XIHKZSHGVG&amp;VAR:QUERY=RkZfRUJJVERBX09QRVIoUVRSLDQvMS8yMDEwLDYvMzAvMjAxMCwsLFVTRCk=&amp;WINDOW=FIRST_POPUP&amp;HEIGH","T=450&amp;WIDTH=450&amp;START_MAXIMIZED=FALSE&amp;VAR:CALENDAR=US&amp;VAR:SYMBOL=GCI&amp;VAR:INDEX=0"}</definedName>
    <definedName name="_626__FDSAUDITLINK__" hidden="1">{"fdsup://directions/FAT Viewer?action=UPDATE&amp;creator=factset&amp;DYN_ARGS=TRUE&amp;DOC_NAME=FAT:FQL_AUDITING_CLIENT_TEMPLATE.FAT&amp;display_string=Audit&amp;VAR:KEY=XIHKZSHGVG&amp;VAR:QUERY=RkZfRUJJVERBX09QRVIoUVRSLDQvMS8yMDEwLDYvMzAvMjAxMCwsLFVTRCk=&amp;WINDOW=FIRST_POPUP&amp;HEIGH","T=450&amp;WIDTH=450&amp;START_MAXIMIZED=FALSE&amp;VAR:CALENDAR=US&amp;VAR:SYMBOL=GCI&amp;VAR:INDEX=0"}</definedName>
    <definedName name="_627__FDSAUDITLINK__" localSheetId="1" hidden="1">{"fdsup://directions/FAT Viewer?action=UPDATE&amp;creator=factset&amp;DYN_ARGS=TRUE&amp;DOC_NAME=FAT:FQL_AUDITING_CLIENT_TEMPLATE.FAT&amp;display_string=Audit&amp;VAR:KEY=NWJEPWJWHM&amp;VAR:QUERY=RkZfRUJJVERBX09QRVIoUVRSLDQvMS8yMDA5LDYvMzAvMjAwOSwsLFVTRCk=&amp;WINDOW=FIRST_POPUP&amp;HEIGH","T=450&amp;WIDTH=450&amp;START_MAXIMIZED=FALSE&amp;VAR:CALENDAR=US&amp;VAR:SYMBOL=GAS&amp;VAR:INDEX=0"}</definedName>
    <definedName name="_627__FDSAUDITLINK__" hidden="1">{"fdsup://directions/FAT Viewer?action=UPDATE&amp;creator=factset&amp;DYN_ARGS=TRUE&amp;DOC_NAME=FAT:FQL_AUDITING_CLIENT_TEMPLATE.FAT&amp;display_string=Audit&amp;VAR:KEY=NWJEPWJWHM&amp;VAR:QUERY=RkZfRUJJVERBX09QRVIoUVRSLDQvMS8yMDA5LDYvMzAvMjAwOSwsLFVTRCk=&amp;WINDOW=FIRST_POPUP&amp;HEIGH","T=450&amp;WIDTH=450&amp;START_MAXIMIZED=FALSE&amp;VAR:CALENDAR=US&amp;VAR:SYMBOL=GAS&amp;VAR:INDEX=0"}</definedName>
    <definedName name="_628__FDSAUDITLINK__" localSheetId="1" hidden="1">{"fdsup://directions/FAT Viewer?action=UPDATE&amp;creator=factset&amp;DYN_ARGS=TRUE&amp;DOC_NAME=FAT:FQL_AUDITING_CLIENT_TEMPLATE.FAT&amp;display_string=Audit&amp;VAR:KEY=DELCHGFIZK&amp;VAR:QUERY=RkZfRUJJVERBX09QRVIoUVRSLDQvMS8yMDEwLDYvMzAvMjAxMCwsLFVTRCk=&amp;WINDOW=FIRST_POPUP&amp;HEIGH","T=450&amp;WIDTH=450&amp;START_MAXIMIZED=FALSE&amp;VAR:CALENDAR=US&amp;VAR:SYMBOL=GAS&amp;VAR:INDEX=0"}</definedName>
    <definedName name="_628__FDSAUDITLINK__" hidden="1">{"fdsup://directions/FAT Viewer?action=UPDATE&amp;creator=factset&amp;DYN_ARGS=TRUE&amp;DOC_NAME=FAT:FQL_AUDITING_CLIENT_TEMPLATE.FAT&amp;display_string=Audit&amp;VAR:KEY=DELCHGFIZK&amp;VAR:QUERY=RkZfRUJJVERBX09QRVIoUVRSLDQvMS8yMDEwLDYvMzAvMjAxMCwsLFVTRCk=&amp;WINDOW=FIRST_POPUP&amp;HEIGH","T=450&amp;WIDTH=450&amp;START_MAXIMIZED=FALSE&amp;VAR:CALENDAR=US&amp;VAR:SYMBOL=GAS&amp;VAR:INDEX=0"}</definedName>
    <definedName name="_629__FDSAUDITLINK__" localSheetId="1" hidden="1">{"fdsup://directions/FAT Viewer?action=UPDATE&amp;creator=factset&amp;DYN_ARGS=TRUE&amp;DOC_NAME=FAT:FQL_AUDITING_CLIENT_TEMPLATE.FAT&amp;display_string=Audit&amp;VAR:KEY=PSBEPOTQFI&amp;VAR:QUERY=RkZfRUJJVERBX09QRVIoUVRSLDQvMS8yMDA5LDYvMzAvMjAwOSwsLFVTRCk=&amp;WINDOW=FIRST_POPUP&amp;HEIGH","T=450&amp;WIDTH=450&amp;START_MAXIMIZED=FALSE&amp;VAR:CALENDAR=US&amp;VAR:SYMBOL=FTR&amp;VAR:INDEX=0"}</definedName>
    <definedName name="_629__FDSAUDITLINK__" hidden="1">{"fdsup://directions/FAT Viewer?action=UPDATE&amp;creator=factset&amp;DYN_ARGS=TRUE&amp;DOC_NAME=FAT:FQL_AUDITING_CLIENT_TEMPLATE.FAT&amp;display_string=Audit&amp;VAR:KEY=PSBEPOTQFI&amp;VAR:QUERY=RkZfRUJJVERBX09QRVIoUVRSLDQvMS8yMDA5LDYvMzAvMjAwOSwsLFVTRCk=&amp;WINDOW=FIRST_POPUP&amp;HEIGH","T=450&amp;WIDTH=450&amp;START_MAXIMIZED=FALSE&amp;VAR:CALENDAR=US&amp;VAR:SYMBOL=FTR&amp;VAR:INDEX=0"}</definedName>
    <definedName name="_63__FDSAUDITLINK__" localSheetId="1" hidden="1">{"fdsup://directions/FAT Viewer?action=UPDATE&amp;creator=factset&amp;DYN_ARGS=TRUE&amp;DOC_NAME=FAT:FQL_AUDITING_CLIENT_TEMPLATE.FAT&amp;display_string=Audit&amp;VAR:KEY=JYTWPOHYXI&amp;VAR:QUERY=RkZfRUJJVERBX09QRVIoUVRSLDQvMS8yMDA5LDYvMzAvMjAwOSwsLFVTRCk=&amp;WINDOW=FIRST_POPUP&amp;HEIGH","T=450&amp;WIDTH=450&amp;START_MAXIMIZED=FALSE&amp;VAR:CALENDAR=US&amp;VAR:SYMBOL=VTR&amp;VAR:INDEX=0"}</definedName>
    <definedName name="_63__FDSAUDITLINK__" hidden="1">{"fdsup://directions/FAT Viewer?action=UPDATE&amp;creator=factset&amp;DYN_ARGS=TRUE&amp;DOC_NAME=FAT:FQL_AUDITING_CLIENT_TEMPLATE.FAT&amp;display_string=Audit&amp;VAR:KEY=JYTWPOHYXI&amp;VAR:QUERY=RkZfRUJJVERBX09QRVIoUVRSLDQvMS8yMDA5LDYvMzAvMjAwOSwsLFVTRCk=&amp;WINDOW=FIRST_POPUP&amp;HEIGH","T=450&amp;WIDTH=450&amp;START_MAXIMIZED=FALSE&amp;VAR:CALENDAR=US&amp;VAR:SYMBOL=VTR&amp;VAR:INDEX=0"}</definedName>
    <definedName name="_630__FDSAUDITLINK__" localSheetId="1" hidden="1">{"fdsup://directions/FAT Viewer?action=UPDATE&amp;creator=factset&amp;DYN_ARGS=TRUE&amp;DOC_NAME=FAT:FQL_AUDITING_CLIENT_TEMPLATE.FAT&amp;display_string=Audit&amp;VAR:KEY=PYTORKRKXA&amp;VAR:QUERY=RkZfRUJJVERBX09QRVIoUVRSLDQvMS8yMDEwLDYvMzAvMjAxMCwsLFVTRCk=&amp;WINDOW=FIRST_POPUP&amp;HEIGH","T=450&amp;WIDTH=450&amp;START_MAXIMIZED=FALSE&amp;VAR:CALENDAR=US&amp;VAR:SYMBOL=FTR&amp;VAR:INDEX=0"}</definedName>
    <definedName name="_630__FDSAUDITLINK__" hidden="1">{"fdsup://directions/FAT Viewer?action=UPDATE&amp;creator=factset&amp;DYN_ARGS=TRUE&amp;DOC_NAME=FAT:FQL_AUDITING_CLIENT_TEMPLATE.FAT&amp;display_string=Audit&amp;VAR:KEY=PYTORKRKXA&amp;VAR:QUERY=RkZfRUJJVERBX09QRVIoUVRSLDQvMS8yMDEwLDYvMzAvMjAxMCwsLFVTRCk=&amp;WINDOW=FIRST_POPUP&amp;HEIGH","T=450&amp;WIDTH=450&amp;START_MAXIMIZED=FALSE&amp;VAR:CALENDAR=US&amp;VAR:SYMBOL=FTR&amp;VAR:INDEX=0"}</definedName>
    <definedName name="_631__FDSAUDITLINK__" localSheetId="1" hidden="1">{"fdsup://directions/FAT Viewer?action=UPDATE&amp;creator=factset&amp;DYN_ARGS=TRUE&amp;DOC_NAME=FAT:FQL_AUDITING_CLIENT_TEMPLATE.FAT&amp;display_string=Audit&amp;VAR:KEY=JITQVIHKBS&amp;VAR:QUERY=RkZfRUJJVERBX09QRVIoUVRSLDQvMS8yMDA5LDYvMzAvMjAwOSwsLFVTRCk=&amp;WINDOW=FIRST_POPUP&amp;HEIGH","T=450&amp;WIDTH=450&amp;START_MAXIMIZED=FALSE&amp;VAR:CALENDAR=US&amp;VAR:SYMBOL=FTI&amp;VAR:INDEX=0"}</definedName>
    <definedName name="_631__FDSAUDITLINK__" hidden="1">{"fdsup://directions/FAT Viewer?action=UPDATE&amp;creator=factset&amp;DYN_ARGS=TRUE&amp;DOC_NAME=FAT:FQL_AUDITING_CLIENT_TEMPLATE.FAT&amp;display_string=Audit&amp;VAR:KEY=JITQVIHKBS&amp;VAR:QUERY=RkZfRUJJVERBX09QRVIoUVRSLDQvMS8yMDA5LDYvMzAvMjAwOSwsLFVTRCk=&amp;WINDOW=FIRST_POPUP&amp;HEIGH","T=450&amp;WIDTH=450&amp;START_MAXIMIZED=FALSE&amp;VAR:CALENDAR=US&amp;VAR:SYMBOL=FTI&amp;VAR:INDEX=0"}</definedName>
    <definedName name="_632__FDSAUDITLINK__" localSheetId="1" hidden="1">{"fdsup://directions/FAT Viewer?action=UPDATE&amp;creator=factset&amp;DYN_ARGS=TRUE&amp;DOC_NAME=FAT:FQL_AUDITING_CLIENT_TEMPLATE.FAT&amp;display_string=Audit&amp;VAR:KEY=FKFUBADUNC&amp;VAR:QUERY=RkZfRUJJVERBX09QRVIoUVRSLDQvMS8yMDEwLDYvMzAvMjAxMCwsLFVTRCk=&amp;WINDOW=FIRST_POPUP&amp;HEIGH","T=450&amp;WIDTH=450&amp;START_MAXIMIZED=FALSE&amp;VAR:CALENDAR=US&amp;VAR:SYMBOL=FTI&amp;VAR:INDEX=0"}</definedName>
    <definedName name="_632__FDSAUDITLINK__" hidden="1">{"fdsup://directions/FAT Viewer?action=UPDATE&amp;creator=factset&amp;DYN_ARGS=TRUE&amp;DOC_NAME=FAT:FQL_AUDITING_CLIENT_TEMPLATE.FAT&amp;display_string=Audit&amp;VAR:KEY=FKFUBADUNC&amp;VAR:QUERY=RkZfRUJJVERBX09QRVIoUVRSLDQvMS8yMDEwLDYvMzAvMjAxMCwsLFVTRCk=&amp;WINDOW=FIRST_POPUP&amp;HEIGH","T=450&amp;WIDTH=450&amp;START_MAXIMIZED=FALSE&amp;VAR:CALENDAR=US&amp;VAR:SYMBOL=FTI&amp;VAR:INDEX=0"}</definedName>
    <definedName name="_633__FDSAUDITLINK__" localSheetId="1" hidden="1">{"fdsup://directions/FAT Viewer?action=UPDATE&amp;creator=factset&amp;DYN_ARGS=TRUE&amp;DOC_NAME=FAT:FQL_AUDITING_CLIENT_TEMPLATE.FAT&amp;display_string=Audit&amp;VAR:KEY=BIDGVSHURM&amp;VAR:QUERY=RkZfRUJJVERBX09QRVIoUVRSLDQvMS8yMDA5LDYvMzAvMjAwOSwsLFVTRCk=&amp;WINDOW=FIRST_POPUP&amp;HEIGH","T=450&amp;WIDTH=450&amp;START_MAXIMIZED=FALSE&amp;VAR:CALENDAR=US&amp;VAR:SYMBOL=FSLR&amp;VAR:INDEX=0"}</definedName>
    <definedName name="_633__FDSAUDITLINK__" hidden="1">{"fdsup://directions/FAT Viewer?action=UPDATE&amp;creator=factset&amp;DYN_ARGS=TRUE&amp;DOC_NAME=FAT:FQL_AUDITING_CLIENT_TEMPLATE.FAT&amp;display_string=Audit&amp;VAR:KEY=BIDGVSHURM&amp;VAR:QUERY=RkZfRUJJVERBX09QRVIoUVRSLDQvMS8yMDA5LDYvMzAvMjAwOSwsLFVTRCk=&amp;WINDOW=FIRST_POPUP&amp;HEIGH","T=450&amp;WIDTH=450&amp;START_MAXIMIZED=FALSE&amp;VAR:CALENDAR=US&amp;VAR:SYMBOL=FSLR&amp;VAR:INDEX=0"}</definedName>
    <definedName name="_634__FDSAUDITLINK__" localSheetId="1" hidden="1">{"fdsup://directions/FAT Viewer?action=UPDATE&amp;creator=factset&amp;DYN_ARGS=TRUE&amp;DOC_NAME=FAT:FQL_AUDITING_CLIENT_TEMPLATE.FAT&amp;display_string=Audit&amp;VAR:KEY=BYNYJMLOJK&amp;VAR:QUERY=RkZfRUJJVERBX09QRVIoUVRSLDQvMS8yMDEwLDYvMzAvMjAxMCwsLFVTRCk=&amp;WINDOW=FIRST_POPUP&amp;HEIGH","T=450&amp;WIDTH=450&amp;START_MAXIMIZED=FALSE&amp;VAR:CALENDAR=US&amp;VAR:SYMBOL=FSLR&amp;VAR:INDEX=0"}</definedName>
    <definedName name="_634__FDSAUDITLINK__" hidden="1">{"fdsup://directions/FAT Viewer?action=UPDATE&amp;creator=factset&amp;DYN_ARGS=TRUE&amp;DOC_NAME=FAT:FQL_AUDITING_CLIENT_TEMPLATE.FAT&amp;display_string=Audit&amp;VAR:KEY=BYNYJMLOJK&amp;VAR:QUERY=RkZfRUJJVERBX09QRVIoUVRSLDQvMS8yMDEwLDYvMzAvMjAxMCwsLFVTRCk=&amp;WINDOW=FIRST_POPUP&amp;HEIGH","T=450&amp;WIDTH=450&amp;START_MAXIMIZED=FALSE&amp;VAR:CALENDAR=US&amp;VAR:SYMBOL=FSLR&amp;VAR:INDEX=0"}</definedName>
    <definedName name="_635__FDSAUDITLINK__" localSheetId="1" hidden="1">{"fdsup://directions/FAT Viewer?action=UPDATE&amp;creator=factset&amp;DYN_ARGS=TRUE&amp;DOC_NAME=FAT:FQL_AUDITING_CLIENT_TEMPLATE.FAT&amp;display_string=Audit&amp;VAR:KEY=DGZWXQNETG&amp;VAR:QUERY=RkZfRUJJVERBX09QRVIoUVRSLDQvMS8yMDA5LDYvMzAvMjAwOSwsLFVTRCk=&amp;WINDOW=FIRST_POPUP&amp;HEIGH","T=450&amp;WIDTH=450&amp;START_MAXIMIZED=FALSE&amp;VAR:CALENDAR=US&amp;VAR:SYMBOL=FRX&amp;VAR:INDEX=0"}</definedName>
    <definedName name="_635__FDSAUDITLINK__" hidden="1">{"fdsup://directions/FAT Viewer?action=UPDATE&amp;creator=factset&amp;DYN_ARGS=TRUE&amp;DOC_NAME=FAT:FQL_AUDITING_CLIENT_TEMPLATE.FAT&amp;display_string=Audit&amp;VAR:KEY=DGZWXQNETG&amp;VAR:QUERY=RkZfRUJJVERBX09QRVIoUVRSLDQvMS8yMDA5LDYvMzAvMjAwOSwsLFVTRCk=&amp;WINDOW=FIRST_POPUP&amp;HEIGH","T=450&amp;WIDTH=450&amp;START_MAXIMIZED=FALSE&amp;VAR:CALENDAR=US&amp;VAR:SYMBOL=FRX&amp;VAR:INDEX=0"}</definedName>
    <definedName name="_636__FDSAUDITLINK__" localSheetId="1" hidden="1">{"fdsup://directions/FAT Viewer?action=UPDATE&amp;creator=factset&amp;DYN_ARGS=TRUE&amp;DOC_NAME=FAT:FQL_AUDITING_CLIENT_TEMPLATE.FAT&amp;display_string=Audit&amp;VAR:KEY=JSLGDCHWRQ&amp;VAR:QUERY=RkZfRUJJVERBX09QRVIoUVRSLDQvMS8yMDEwLDYvMzAvMjAxMCwsLFVTRCk=&amp;WINDOW=FIRST_POPUP&amp;HEIGH","T=450&amp;WIDTH=450&amp;START_MAXIMIZED=FALSE&amp;VAR:CALENDAR=US&amp;VAR:SYMBOL=FRX&amp;VAR:INDEX=0"}</definedName>
    <definedName name="_636__FDSAUDITLINK__" hidden="1">{"fdsup://directions/FAT Viewer?action=UPDATE&amp;creator=factset&amp;DYN_ARGS=TRUE&amp;DOC_NAME=FAT:FQL_AUDITING_CLIENT_TEMPLATE.FAT&amp;display_string=Audit&amp;VAR:KEY=JSLGDCHWRQ&amp;VAR:QUERY=RkZfRUJJVERBX09QRVIoUVRSLDQvMS8yMDEwLDYvMzAvMjAxMCwsLFVTRCk=&amp;WINDOW=FIRST_POPUP&amp;HEIGH","T=450&amp;WIDTH=450&amp;START_MAXIMIZED=FALSE&amp;VAR:CALENDAR=US&amp;VAR:SYMBOL=FRX&amp;VAR:INDEX=0"}</definedName>
    <definedName name="_637__FDSAUDITLINK__" localSheetId="1" hidden="1">{"fdsup://directions/FAT Viewer?action=UPDATE&amp;creator=factset&amp;DYN_ARGS=TRUE&amp;DOC_NAME=FAT:FQL_AUDITING_CLIENT_TEMPLATE.FAT&amp;display_string=Audit&amp;VAR:KEY=FEDMFYXMFW&amp;VAR:QUERY=RkZfRUJJVERBX09QRVIoUVRSLDQvMS8yMDA5LDYvMzAvMjAwOSwsLFVTRCk=&amp;WINDOW=FIRST_POPUP&amp;HEIGH","T=450&amp;WIDTH=450&amp;START_MAXIMIZED=FALSE&amp;VAR:CALENDAR=US&amp;VAR:SYMBOL=FO&amp;VAR:INDEX=0"}</definedName>
    <definedName name="_637__FDSAUDITLINK__" hidden="1">{"fdsup://directions/FAT Viewer?action=UPDATE&amp;creator=factset&amp;DYN_ARGS=TRUE&amp;DOC_NAME=FAT:FQL_AUDITING_CLIENT_TEMPLATE.FAT&amp;display_string=Audit&amp;VAR:KEY=FEDMFYXMFW&amp;VAR:QUERY=RkZfRUJJVERBX09QRVIoUVRSLDQvMS8yMDA5LDYvMzAvMjAwOSwsLFVTRCk=&amp;WINDOW=FIRST_POPUP&amp;HEIGH","T=450&amp;WIDTH=450&amp;START_MAXIMIZED=FALSE&amp;VAR:CALENDAR=US&amp;VAR:SYMBOL=FO&amp;VAR:INDEX=0"}</definedName>
    <definedName name="_638__FDSAUDITLINK__" localSheetId="1" hidden="1">{"fdsup://directions/FAT Viewer?action=UPDATE&amp;creator=factset&amp;DYN_ARGS=TRUE&amp;DOC_NAME=FAT:FQL_AUDITING_CLIENT_TEMPLATE.FAT&amp;display_string=Audit&amp;VAR:KEY=TANWJARMLE&amp;VAR:QUERY=RkZfRUJJVERBX09QRVIoUVRSLDQvMS8yMDEwLDYvMzAvMjAxMCwsLFVTRCk=&amp;WINDOW=FIRST_POPUP&amp;HEIGH","T=450&amp;WIDTH=450&amp;START_MAXIMIZED=FALSE&amp;VAR:CALENDAR=US&amp;VAR:SYMBOL=FO&amp;VAR:INDEX=0"}</definedName>
    <definedName name="_638__FDSAUDITLINK__" hidden="1">{"fdsup://directions/FAT Viewer?action=UPDATE&amp;creator=factset&amp;DYN_ARGS=TRUE&amp;DOC_NAME=FAT:FQL_AUDITING_CLIENT_TEMPLATE.FAT&amp;display_string=Audit&amp;VAR:KEY=TANWJARMLE&amp;VAR:QUERY=RkZfRUJJVERBX09QRVIoUVRSLDQvMS8yMDEwLDYvMzAvMjAxMCwsLFVTRCk=&amp;WINDOW=FIRST_POPUP&amp;HEIGH","T=450&amp;WIDTH=450&amp;START_MAXIMIZED=FALSE&amp;VAR:CALENDAR=US&amp;VAR:SYMBOL=FO&amp;VAR:INDEX=0"}</definedName>
    <definedName name="_639__FDSAUDITLINK__" localSheetId="1" hidden="1">{"fdsup://directions/FAT Viewer?action=UPDATE&amp;creator=factset&amp;DYN_ARGS=TRUE&amp;DOC_NAME=FAT:FQL_AUDITING_CLIENT_TEMPLATE.FAT&amp;display_string=Audit&amp;VAR:KEY=JSPWFMDCLU&amp;VAR:QUERY=RkZfRUJJVERBX09QRVIoUVRSLDQvMS8yMDA5LDYvMzAvMjAwOSwsLFVTRCk=&amp;WINDOW=FIRST_POPUP&amp;HEIGH","T=450&amp;WIDTH=450&amp;START_MAXIMIZED=FALSE&amp;VAR:CALENDAR=US&amp;VAR:SYMBOL=FMC&amp;VAR:INDEX=0"}</definedName>
    <definedName name="_639__FDSAUDITLINK__" hidden="1">{"fdsup://directions/FAT Viewer?action=UPDATE&amp;creator=factset&amp;DYN_ARGS=TRUE&amp;DOC_NAME=FAT:FQL_AUDITING_CLIENT_TEMPLATE.FAT&amp;display_string=Audit&amp;VAR:KEY=JSPWFMDCLU&amp;VAR:QUERY=RkZfRUJJVERBX09QRVIoUVRSLDQvMS8yMDA5LDYvMzAvMjAwOSwsLFVTRCk=&amp;WINDOW=FIRST_POPUP&amp;HEIGH","T=450&amp;WIDTH=450&amp;START_MAXIMIZED=FALSE&amp;VAR:CALENDAR=US&amp;VAR:SYMBOL=FMC&amp;VAR:INDEX=0"}</definedName>
    <definedName name="_64__FDSAUDITLINK__" localSheetId="1" hidden="1">{"fdsup://directions/FAT Viewer?action=UPDATE&amp;creator=factset&amp;DYN_ARGS=TRUE&amp;DOC_NAME=FAT:FQL_AUDITING_CLIENT_TEMPLATE.FAT&amp;display_string=Audit&amp;VAR:KEY=ZGZWRKBGDO&amp;VAR:QUERY=RkZfRUJJVERBX09QRVIoUVRSLDQvMS8yMDEwLDYvMzAvMjAxMCwsLFVTRCk=&amp;WINDOW=FIRST_POPUP&amp;HEIGH","T=450&amp;WIDTH=450&amp;START_MAXIMIZED=FALSE&amp;VAR:CALENDAR=US&amp;VAR:SYMBOL=VTR&amp;VAR:INDEX=0"}</definedName>
    <definedName name="_64__FDSAUDITLINK__" hidden="1">{"fdsup://directions/FAT Viewer?action=UPDATE&amp;creator=factset&amp;DYN_ARGS=TRUE&amp;DOC_NAME=FAT:FQL_AUDITING_CLIENT_TEMPLATE.FAT&amp;display_string=Audit&amp;VAR:KEY=ZGZWRKBGDO&amp;VAR:QUERY=RkZfRUJJVERBX09QRVIoUVRSLDQvMS8yMDEwLDYvMzAvMjAxMCwsLFVTRCk=&amp;WINDOW=FIRST_POPUP&amp;HEIGH","T=450&amp;WIDTH=450&amp;START_MAXIMIZED=FALSE&amp;VAR:CALENDAR=US&amp;VAR:SYMBOL=VTR&amp;VAR:INDEX=0"}</definedName>
    <definedName name="_640__FDSAUDITLINK__" localSheetId="1" hidden="1">{"fdsup://directions/FAT Viewer?action=UPDATE&amp;creator=factset&amp;DYN_ARGS=TRUE&amp;DOC_NAME=FAT:FQL_AUDITING_CLIENT_TEMPLATE.FAT&amp;display_string=Audit&amp;VAR:KEY=LUBWJSPQZY&amp;VAR:QUERY=RkZfRUJJVERBX09QRVIoUVRSLDQvMS8yMDEwLDYvMzAvMjAxMCwsLFVTRCk=&amp;WINDOW=FIRST_POPUP&amp;HEIGH","T=450&amp;WIDTH=450&amp;START_MAXIMIZED=FALSE&amp;VAR:CALENDAR=US&amp;VAR:SYMBOL=FMC&amp;VAR:INDEX=0"}</definedName>
    <definedName name="_640__FDSAUDITLINK__" hidden="1">{"fdsup://directions/FAT Viewer?action=UPDATE&amp;creator=factset&amp;DYN_ARGS=TRUE&amp;DOC_NAME=FAT:FQL_AUDITING_CLIENT_TEMPLATE.FAT&amp;display_string=Audit&amp;VAR:KEY=LUBWJSPQZY&amp;VAR:QUERY=RkZfRUJJVERBX09QRVIoUVRSLDQvMS8yMDEwLDYvMzAvMjAxMCwsLFVTRCk=&amp;WINDOW=FIRST_POPUP&amp;HEIGH","T=450&amp;WIDTH=450&amp;START_MAXIMIZED=FALSE&amp;VAR:CALENDAR=US&amp;VAR:SYMBOL=FMC&amp;VAR:INDEX=0"}</definedName>
    <definedName name="_641__FDSAUDITLINK__" localSheetId="1" hidden="1">{"fdsup://directions/FAT Viewer?action=UPDATE&amp;creator=factset&amp;DYN_ARGS=TRUE&amp;DOC_NAME=FAT:FQL_AUDITING_CLIENT_TEMPLATE.FAT&amp;display_string=Audit&amp;VAR:KEY=NKBEFQHERQ&amp;VAR:QUERY=RkZfRUJJVERBX09QRVIoUVRSLDQvMS8yMDA5LDYvMzAvMjAwOSwsLFVTRCk=&amp;WINDOW=FIRST_POPUP&amp;HEIGH","T=450&amp;WIDTH=450&amp;START_MAXIMIZED=FALSE&amp;VAR:CALENDAR=US&amp;VAR:SYMBOL=FLS&amp;VAR:INDEX=0"}</definedName>
    <definedName name="_641__FDSAUDITLINK__" hidden="1">{"fdsup://directions/FAT Viewer?action=UPDATE&amp;creator=factset&amp;DYN_ARGS=TRUE&amp;DOC_NAME=FAT:FQL_AUDITING_CLIENT_TEMPLATE.FAT&amp;display_string=Audit&amp;VAR:KEY=NKBEFQHERQ&amp;VAR:QUERY=RkZfRUJJVERBX09QRVIoUVRSLDQvMS8yMDA5LDYvMzAvMjAwOSwsLFVTRCk=&amp;WINDOW=FIRST_POPUP&amp;HEIGH","T=450&amp;WIDTH=450&amp;START_MAXIMIZED=FALSE&amp;VAR:CALENDAR=US&amp;VAR:SYMBOL=FLS&amp;VAR:INDEX=0"}</definedName>
    <definedName name="_642__FDSAUDITLINK__" localSheetId="1" hidden="1">{"fdsup://directions/FAT Viewer?action=UPDATE&amp;creator=factset&amp;DYN_ARGS=TRUE&amp;DOC_NAME=FAT:FQL_AUDITING_CLIENT_TEMPLATE.FAT&amp;display_string=Audit&amp;VAR:KEY=TITUDYNYNS&amp;VAR:QUERY=RkZfRUJJVERBX09QRVIoUVRSLDQvMS8yMDEwLDYvMzAvMjAxMCwsLFVTRCk=&amp;WINDOW=FIRST_POPUP&amp;HEIGH","T=450&amp;WIDTH=450&amp;START_MAXIMIZED=FALSE&amp;VAR:CALENDAR=US&amp;VAR:SYMBOL=FLS&amp;VAR:INDEX=0"}</definedName>
    <definedName name="_642__FDSAUDITLINK__" hidden="1">{"fdsup://directions/FAT Viewer?action=UPDATE&amp;creator=factset&amp;DYN_ARGS=TRUE&amp;DOC_NAME=FAT:FQL_AUDITING_CLIENT_TEMPLATE.FAT&amp;display_string=Audit&amp;VAR:KEY=TITUDYNYNS&amp;VAR:QUERY=RkZfRUJJVERBX09QRVIoUVRSLDQvMS8yMDEwLDYvMzAvMjAxMCwsLFVTRCk=&amp;WINDOW=FIRST_POPUP&amp;HEIGH","T=450&amp;WIDTH=450&amp;START_MAXIMIZED=FALSE&amp;VAR:CALENDAR=US&amp;VAR:SYMBOL=FLS&amp;VAR:INDEX=0"}</definedName>
    <definedName name="_643__FDSAUDITLINK__" localSheetId="1" hidden="1">{"fdsup://directions/FAT Viewer?action=UPDATE&amp;creator=factset&amp;DYN_ARGS=TRUE&amp;DOC_NAME=FAT:FQL_AUDITING_CLIENT_TEMPLATE.FAT&amp;display_string=Audit&amp;VAR:KEY=FIXABYVSPC&amp;VAR:QUERY=RkZfRUJJVERBX09QRVIoUVRSLDQvMS8yMDA5LDYvMzAvMjAwOSwsLFVTRCk=&amp;WINDOW=FIRST_POPUP&amp;HEIGH","T=450&amp;WIDTH=450&amp;START_MAXIMIZED=FALSE&amp;VAR:CALENDAR=US&amp;VAR:SYMBOL=FLR&amp;VAR:INDEX=0"}</definedName>
    <definedName name="_643__FDSAUDITLINK__" hidden="1">{"fdsup://directions/FAT Viewer?action=UPDATE&amp;creator=factset&amp;DYN_ARGS=TRUE&amp;DOC_NAME=FAT:FQL_AUDITING_CLIENT_TEMPLATE.FAT&amp;display_string=Audit&amp;VAR:KEY=FIXABYVSPC&amp;VAR:QUERY=RkZfRUJJVERBX09QRVIoUVRSLDQvMS8yMDA5LDYvMzAvMjAwOSwsLFVTRCk=&amp;WINDOW=FIRST_POPUP&amp;HEIGH","T=450&amp;WIDTH=450&amp;START_MAXIMIZED=FALSE&amp;VAR:CALENDAR=US&amp;VAR:SYMBOL=FLR&amp;VAR:INDEX=0"}</definedName>
    <definedName name="_644__FDSAUDITLINK__" localSheetId="1" hidden="1">{"fdsup://directions/FAT Viewer?action=UPDATE&amp;creator=factset&amp;DYN_ARGS=TRUE&amp;DOC_NAME=FAT:FQL_AUDITING_CLIENT_TEMPLATE.FAT&amp;display_string=Audit&amp;VAR:KEY=DKVCHEPCFM&amp;VAR:QUERY=RkZfRUJJVERBX09QRVIoUVRSLDQvMS8yMDEwLDYvMzAvMjAxMCwsLFVTRCk=&amp;WINDOW=FIRST_POPUP&amp;HEIGH","T=450&amp;WIDTH=450&amp;START_MAXIMIZED=FALSE&amp;VAR:CALENDAR=US&amp;VAR:SYMBOL=FLR&amp;VAR:INDEX=0"}</definedName>
    <definedName name="_644__FDSAUDITLINK__" hidden="1">{"fdsup://directions/FAT Viewer?action=UPDATE&amp;creator=factset&amp;DYN_ARGS=TRUE&amp;DOC_NAME=FAT:FQL_AUDITING_CLIENT_TEMPLATE.FAT&amp;display_string=Audit&amp;VAR:KEY=DKVCHEPCFM&amp;VAR:QUERY=RkZfRUJJVERBX09QRVIoUVRSLDQvMS8yMDEwLDYvMzAvMjAxMCwsLFVTRCk=&amp;WINDOW=FIRST_POPUP&amp;HEIGH","T=450&amp;WIDTH=450&amp;START_MAXIMIZED=FALSE&amp;VAR:CALENDAR=US&amp;VAR:SYMBOL=FLR&amp;VAR:INDEX=0"}</definedName>
    <definedName name="_645__FDSAUDITLINK__" localSheetId="1" hidden="1">{"fdsup://directions/FAT Viewer?action=UPDATE&amp;creator=factset&amp;DYN_ARGS=TRUE&amp;DOC_NAME=FAT:FQL_AUDITING_CLIENT_TEMPLATE.FAT&amp;display_string=Audit&amp;VAR:KEY=LSHOFWZWTS&amp;VAR:QUERY=RkZfRUJJVERBX09QRVIoUVRSLDQvMS8yMDA5LDYvMzAvMjAwOSwsLFVTRCk=&amp;WINDOW=FIRST_POPUP&amp;HEIGH","T=450&amp;WIDTH=450&amp;START_MAXIMIZED=FALSE&amp;VAR:CALENDAR=US&amp;VAR:SYMBOL=FLIR&amp;VAR:INDEX=0"}</definedName>
    <definedName name="_645__FDSAUDITLINK__" hidden="1">{"fdsup://directions/FAT Viewer?action=UPDATE&amp;creator=factset&amp;DYN_ARGS=TRUE&amp;DOC_NAME=FAT:FQL_AUDITING_CLIENT_TEMPLATE.FAT&amp;display_string=Audit&amp;VAR:KEY=LSHOFWZWTS&amp;VAR:QUERY=RkZfRUJJVERBX09QRVIoUVRSLDQvMS8yMDA5LDYvMzAvMjAwOSwsLFVTRCk=&amp;WINDOW=FIRST_POPUP&amp;HEIGH","T=450&amp;WIDTH=450&amp;START_MAXIMIZED=FALSE&amp;VAR:CALENDAR=US&amp;VAR:SYMBOL=FLIR&amp;VAR:INDEX=0"}</definedName>
    <definedName name="_646__FDSAUDITLINK__" localSheetId="1" hidden="1">{"fdsup://directions/FAT Viewer?action=UPDATE&amp;creator=factset&amp;DYN_ARGS=TRUE&amp;DOC_NAME=FAT:FQL_AUDITING_CLIENT_TEMPLATE.FAT&amp;display_string=Audit&amp;VAR:KEY=PCVCXSLIDY&amp;VAR:QUERY=RkZfRUJJVERBX09QRVIoUVRSLDQvMS8yMDEwLDYvMzAvMjAxMCwsLFVTRCk=&amp;WINDOW=FIRST_POPUP&amp;HEIGH","T=450&amp;WIDTH=450&amp;START_MAXIMIZED=FALSE&amp;VAR:CALENDAR=US&amp;VAR:SYMBOL=FLIR&amp;VAR:INDEX=0"}</definedName>
    <definedName name="_646__FDSAUDITLINK__" hidden="1">{"fdsup://directions/FAT Viewer?action=UPDATE&amp;creator=factset&amp;DYN_ARGS=TRUE&amp;DOC_NAME=FAT:FQL_AUDITING_CLIENT_TEMPLATE.FAT&amp;display_string=Audit&amp;VAR:KEY=PCVCXSLIDY&amp;VAR:QUERY=RkZfRUJJVERBX09QRVIoUVRSLDQvMS8yMDEwLDYvMzAvMjAxMCwsLFVTRCk=&amp;WINDOW=FIRST_POPUP&amp;HEIGH","T=450&amp;WIDTH=450&amp;START_MAXIMIZED=FALSE&amp;VAR:CALENDAR=US&amp;VAR:SYMBOL=FLIR&amp;VAR:INDEX=0"}</definedName>
    <definedName name="_647__FDSAUDITLINK__" localSheetId="1" hidden="1">{"fdsup://directions/FAT Viewer?action=UPDATE&amp;creator=factset&amp;DYN_ARGS=TRUE&amp;DOC_NAME=FAT:FQL_AUDITING_CLIENT_TEMPLATE.FAT&amp;display_string=Audit&amp;VAR:KEY=FQHGDCFCJC&amp;VAR:QUERY=RkZfRUJJVERBX09QRVIoUVRSLDQvMS8yMDA5LDYvMzAvMjAwOSwsLFVTRCk=&amp;WINDOW=FIRST_POPUP&amp;HEIGH","T=450&amp;WIDTH=450&amp;START_MAXIMIZED=FALSE&amp;VAR:CALENDAR=US&amp;VAR:SYMBOL=FITB&amp;VAR:INDEX=0"}</definedName>
    <definedName name="_647__FDSAUDITLINK__" hidden="1">{"fdsup://directions/FAT Viewer?action=UPDATE&amp;creator=factset&amp;DYN_ARGS=TRUE&amp;DOC_NAME=FAT:FQL_AUDITING_CLIENT_TEMPLATE.FAT&amp;display_string=Audit&amp;VAR:KEY=FQHGDCFCJC&amp;VAR:QUERY=RkZfRUJJVERBX09QRVIoUVRSLDQvMS8yMDA5LDYvMzAvMjAwOSwsLFVTRCk=&amp;WINDOW=FIRST_POPUP&amp;HEIGH","T=450&amp;WIDTH=450&amp;START_MAXIMIZED=FALSE&amp;VAR:CALENDAR=US&amp;VAR:SYMBOL=FITB&amp;VAR:INDEX=0"}</definedName>
    <definedName name="_648__FDSAUDITLINK__" localSheetId="1" hidden="1">{"fdsup://directions/FAT Viewer?action=UPDATE&amp;creator=factset&amp;DYN_ARGS=TRUE&amp;DOC_NAME=FAT:FQL_AUDITING_CLIENT_TEMPLATE.FAT&amp;display_string=Audit&amp;VAR:KEY=TYTKJUBSZG&amp;VAR:QUERY=RkZfRUJJVERBX09QRVIoUVRSLDQvMS8yMDEwLDYvMzAvMjAxMCwsLFVTRCk=&amp;WINDOW=FIRST_POPUP&amp;HEIGH","T=450&amp;WIDTH=450&amp;START_MAXIMIZED=FALSE&amp;VAR:CALENDAR=US&amp;VAR:SYMBOL=FITB&amp;VAR:INDEX=0"}</definedName>
    <definedName name="_648__FDSAUDITLINK__" hidden="1">{"fdsup://directions/FAT Viewer?action=UPDATE&amp;creator=factset&amp;DYN_ARGS=TRUE&amp;DOC_NAME=FAT:FQL_AUDITING_CLIENT_TEMPLATE.FAT&amp;display_string=Audit&amp;VAR:KEY=TYTKJUBSZG&amp;VAR:QUERY=RkZfRUJJVERBX09QRVIoUVRSLDQvMS8yMDEwLDYvMzAvMjAxMCwsLFVTRCk=&amp;WINDOW=FIRST_POPUP&amp;HEIGH","T=450&amp;WIDTH=450&amp;START_MAXIMIZED=FALSE&amp;VAR:CALENDAR=US&amp;VAR:SYMBOL=FITB&amp;VAR:INDEX=0"}</definedName>
    <definedName name="_649__FDSAUDITLINK__" localSheetId="1" hidden="1">{"fdsup://directions/FAT Viewer?action=UPDATE&amp;creator=factset&amp;DYN_ARGS=TRUE&amp;DOC_NAME=FAT:FQL_AUDITING_CLIENT_TEMPLATE.FAT&amp;display_string=Audit&amp;VAR:KEY=NGNCTAPQZW&amp;VAR:QUERY=RkZfRUJJVERBX09QRVIoUVRSLDQvMS8yMDA5LDYvMzAvMjAwOSwsLFVTRCk=&amp;WINDOW=FIRST_POPUP&amp;HEIGH","T=450&amp;WIDTH=450&amp;START_MAXIMIZED=FALSE&amp;VAR:CALENDAR=US&amp;VAR:SYMBOL=FISV&amp;VAR:INDEX=0"}</definedName>
    <definedName name="_649__FDSAUDITLINK__" hidden="1">{"fdsup://directions/FAT Viewer?action=UPDATE&amp;creator=factset&amp;DYN_ARGS=TRUE&amp;DOC_NAME=FAT:FQL_AUDITING_CLIENT_TEMPLATE.FAT&amp;display_string=Audit&amp;VAR:KEY=NGNCTAPQZW&amp;VAR:QUERY=RkZfRUJJVERBX09QRVIoUVRSLDQvMS8yMDA5LDYvMzAvMjAwOSwsLFVTRCk=&amp;WINDOW=FIRST_POPUP&amp;HEIGH","T=450&amp;WIDTH=450&amp;START_MAXIMIZED=FALSE&amp;VAR:CALENDAR=US&amp;VAR:SYMBOL=FISV&amp;VAR:INDEX=0"}</definedName>
    <definedName name="_65__FDSAUDITLINK__" localSheetId="1" hidden="1">{"fdsup://directions/FAT Viewer?action=UPDATE&amp;creator=factset&amp;DYN_ARGS=TRUE&amp;DOC_NAME=FAT:FQL_AUDITING_CLIENT_TEMPLATE.FAT&amp;display_string=Audit&amp;VAR:KEY=HWVQTGHUZA&amp;VAR:QUERY=RkZfRUJJVERBX09QRVIoUVRSLDQvMS8yMDA5LDYvMzAvMjAwOSwsLFVTRCk=&amp;WINDOW=FIRST_POPUP&amp;HEIGH","T=450&amp;WIDTH=450&amp;START_MAXIMIZED=FALSE&amp;VAR:CALENDAR=US&amp;VAR:SYMBOL=VRSN&amp;VAR:INDEX=0"}</definedName>
    <definedName name="_65__FDSAUDITLINK__" hidden="1">{"fdsup://directions/FAT Viewer?action=UPDATE&amp;creator=factset&amp;DYN_ARGS=TRUE&amp;DOC_NAME=FAT:FQL_AUDITING_CLIENT_TEMPLATE.FAT&amp;display_string=Audit&amp;VAR:KEY=HWVQTGHUZA&amp;VAR:QUERY=RkZfRUJJVERBX09QRVIoUVRSLDQvMS8yMDA5LDYvMzAvMjAwOSwsLFVTRCk=&amp;WINDOW=FIRST_POPUP&amp;HEIGH","T=450&amp;WIDTH=450&amp;START_MAXIMIZED=FALSE&amp;VAR:CALENDAR=US&amp;VAR:SYMBOL=VRSN&amp;VAR:INDEX=0"}</definedName>
    <definedName name="_650__FDSAUDITLINK__" localSheetId="1" hidden="1">{"fdsup://directions/FAT Viewer?action=UPDATE&amp;creator=factset&amp;DYN_ARGS=TRUE&amp;DOC_NAME=FAT:FQL_AUDITING_CLIENT_TEMPLATE.FAT&amp;display_string=Audit&amp;VAR:KEY=FQFKVKHWZQ&amp;VAR:QUERY=RkZfRUJJVERBX09QRVIoUVRSLDQvMS8yMDEwLDYvMzAvMjAxMCwsLFVTRCk=&amp;WINDOW=FIRST_POPUP&amp;HEIGH","T=450&amp;WIDTH=450&amp;START_MAXIMIZED=FALSE&amp;VAR:CALENDAR=US&amp;VAR:SYMBOL=FISV&amp;VAR:INDEX=0"}</definedName>
    <definedName name="_650__FDSAUDITLINK__" hidden="1">{"fdsup://directions/FAT Viewer?action=UPDATE&amp;creator=factset&amp;DYN_ARGS=TRUE&amp;DOC_NAME=FAT:FQL_AUDITING_CLIENT_TEMPLATE.FAT&amp;display_string=Audit&amp;VAR:KEY=FQFKVKHWZQ&amp;VAR:QUERY=RkZfRUJJVERBX09QRVIoUVRSLDQvMS8yMDEwLDYvMzAvMjAxMCwsLFVTRCk=&amp;WINDOW=FIRST_POPUP&amp;HEIGH","T=450&amp;WIDTH=450&amp;START_MAXIMIZED=FALSE&amp;VAR:CALENDAR=US&amp;VAR:SYMBOL=FISV&amp;VAR:INDEX=0"}</definedName>
    <definedName name="_651__FDSAUDITLINK__" localSheetId="1" hidden="1">{"fdsup://directions/FAT Viewer?action=UPDATE&amp;creator=factset&amp;DYN_ARGS=TRUE&amp;DOC_NAME=FAT:FQL_AUDITING_CLIENT_TEMPLATE.FAT&amp;display_string=Audit&amp;VAR:KEY=JSFOJIFELM&amp;VAR:QUERY=RkZfRUJJVERBX09QRVIoUVRSLDQvMS8yMDA5LDYvMzAvMjAwOSwsLFVTRCk=&amp;WINDOW=FIRST_POPUP&amp;HEIGH","T=450&amp;WIDTH=450&amp;START_MAXIMIZED=FALSE&amp;VAR:CALENDAR=US&amp;VAR:SYMBOL=FIS&amp;VAR:INDEX=0"}</definedName>
    <definedName name="_651__FDSAUDITLINK__" hidden="1">{"fdsup://directions/FAT Viewer?action=UPDATE&amp;creator=factset&amp;DYN_ARGS=TRUE&amp;DOC_NAME=FAT:FQL_AUDITING_CLIENT_TEMPLATE.FAT&amp;display_string=Audit&amp;VAR:KEY=JSFOJIFELM&amp;VAR:QUERY=RkZfRUJJVERBX09QRVIoUVRSLDQvMS8yMDA5LDYvMzAvMjAwOSwsLFVTRCk=&amp;WINDOW=FIRST_POPUP&amp;HEIGH","T=450&amp;WIDTH=450&amp;START_MAXIMIZED=FALSE&amp;VAR:CALENDAR=US&amp;VAR:SYMBOL=FIS&amp;VAR:INDEX=0"}</definedName>
    <definedName name="_652__FDSAUDITLINK__" localSheetId="1" hidden="1">{"fdsup://directions/FAT Viewer?action=UPDATE&amp;creator=factset&amp;DYN_ARGS=TRUE&amp;DOC_NAME=FAT:FQL_AUDITING_CLIENT_TEMPLATE.FAT&amp;display_string=Audit&amp;VAR:KEY=NCFMPMPAFA&amp;VAR:QUERY=RkZfRUJJVERBX09QRVIoUVRSLDQvMS8yMDEwLDYvMzAvMjAxMCwsLFVTRCk=&amp;WINDOW=FIRST_POPUP&amp;HEIGH","T=450&amp;WIDTH=450&amp;START_MAXIMIZED=FALSE&amp;VAR:CALENDAR=US&amp;VAR:SYMBOL=FIS&amp;VAR:INDEX=0"}</definedName>
    <definedName name="_652__FDSAUDITLINK__" hidden="1">{"fdsup://directions/FAT Viewer?action=UPDATE&amp;creator=factset&amp;DYN_ARGS=TRUE&amp;DOC_NAME=FAT:FQL_AUDITING_CLIENT_TEMPLATE.FAT&amp;display_string=Audit&amp;VAR:KEY=NCFMPMPAFA&amp;VAR:QUERY=RkZfRUJJVERBX09QRVIoUVRSLDQvMS8yMDEwLDYvMzAvMjAxMCwsLFVTRCk=&amp;WINDOW=FIRST_POPUP&amp;HEIGH","T=450&amp;WIDTH=450&amp;START_MAXIMIZED=FALSE&amp;VAR:CALENDAR=US&amp;VAR:SYMBOL=FIS&amp;VAR:INDEX=0"}</definedName>
    <definedName name="_653__FDSAUDITLINK__" localSheetId="1" hidden="1">{"fdsup://directions/FAT Viewer?action=UPDATE&amp;creator=factset&amp;DYN_ARGS=TRUE&amp;DOC_NAME=FAT:FQL_AUDITING_CLIENT_TEMPLATE.FAT&amp;display_string=Audit&amp;VAR:KEY=PORMZSNKXE&amp;VAR:QUERY=RkZfRUJJVERBX09QRVIoUVRSLDQvMS8yMDA5LDYvMzAvMjAwOSwsLFVTRCk=&amp;WINDOW=FIRST_POPUP&amp;HEIGH","T=450&amp;WIDTH=450&amp;START_MAXIMIZED=FALSE&amp;VAR:CALENDAR=US&amp;VAR:SYMBOL=FII&amp;VAR:INDEX=0"}</definedName>
    <definedName name="_653__FDSAUDITLINK__" hidden="1">{"fdsup://directions/FAT Viewer?action=UPDATE&amp;creator=factset&amp;DYN_ARGS=TRUE&amp;DOC_NAME=FAT:FQL_AUDITING_CLIENT_TEMPLATE.FAT&amp;display_string=Audit&amp;VAR:KEY=PORMZSNKXE&amp;VAR:QUERY=RkZfRUJJVERBX09QRVIoUVRSLDQvMS8yMDA5LDYvMzAvMjAwOSwsLFVTRCk=&amp;WINDOW=FIRST_POPUP&amp;HEIGH","T=450&amp;WIDTH=450&amp;START_MAXIMIZED=FALSE&amp;VAR:CALENDAR=US&amp;VAR:SYMBOL=FII&amp;VAR:INDEX=0"}</definedName>
    <definedName name="_654__FDSAUDITLINK__" localSheetId="1" hidden="1">{"fdsup://directions/FAT Viewer?action=UPDATE&amp;creator=factset&amp;DYN_ARGS=TRUE&amp;DOC_NAME=FAT:FQL_AUDITING_CLIENT_TEMPLATE.FAT&amp;display_string=Audit&amp;VAR:KEY=XSNCNCDYZQ&amp;VAR:QUERY=RkZfRUJJVERBX09QRVIoUVRSLDQvMS8yMDEwLDYvMzAvMjAxMCwsLFVTRCk=&amp;WINDOW=FIRST_POPUP&amp;HEIGH","T=450&amp;WIDTH=450&amp;START_MAXIMIZED=FALSE&amp;VAR:CALENDAR=US&amp;VAR:SYMBOL=FII&amp;VAR:INDEX=0"}</definedName>
    <definedName name="_654__FDSAUDITLINK__" hidden="1">{"fdsup://directions/FAT Viewer?action=UPDATE&amp;creator=factset&amp;DYN_ARGS=TRUE&amp;DOC_NAME=FAT:FQL_AUDITING_CLIENT_TEMPLATE.FAT&amp;display_string=Audit&amp;VAR:KEY=XSNCNCDYZQ&amp;VAR:QUERY=RkZfRUJJVERBX09QRVIoUVRSLDQvMS8yMDEwLDYvMzAvMjAxMCwsLFVTRCk=&amp;WINDOW=FIRST_POPUP&amp;HEIGH","T=450&amp;WIDTH=450&amp;START_MAXIMIZED=FALSE&amp;VAR:CALENDAR=US&amp;VAR:SYMBOL=FII&amp;VAR:INDEX=0"}</definedName>
    <definedName name="_655__FDSAUDITLINK__" localSheetId="1" hidden="1">{"fdsup://directions/FAT Viewer?action=UPDATE&amp;creator=factset&amp;DYN_ARGS=TRUE&amp;DOC_NAME=FAT:FQL_AUDITING_CLIENT_TEMPLATE.FAT&amp;display_string=Audit&amp;VAR:KEY=VCDWBMFWFS&amp;VAR:QUERY=RkZfRUJJVERBX09QRVIoUVRSLDQvMS8yMDA5LDYvMzAvMjAwOSwsLFVTRCk=&amp;WINDOW=FIRST_POPUP&amp;HEIGH","T=450&amp;WIDTH=450&amp;START_MAXIMIZED=FALSE&amp;VAR:CALENDAR=US&amp;VAR:SYMBOL=FHN&amp;VAR:INDEX=0"}</definedName>
    <definedName name="_655__FDSAUDITLINK__" hidden="1">{"fdsup://directions/FAT Viewer?action=UPDATE&amp;creator=factset&amp;DYN_ARGS=TRUE&amp;DOC_NAME=FAT:FQL_AUDITING_CLIENT_TEMPLATE.FAT&amp;display_string=Audit&amp;VAR:KEY=VCDWBMFWFS&amp;VAR:QUERY=RkZfRUJJVERBX09QRVIoUVRSLDQvMS8yMDA5LDYvMzAvMjAwOSwsLFVTRCk=&amp;WINDOW=FIRST_POPUP&amp;HEIGH","T=450&amp;WIDTH=450&amp;START_MAXIMIZED=FALSE&amp;VAR:CALENDAR=US&amp;VAR:SYMBOL=FHN&amp;VAR:INDEX=0"}</definedName>
    <definedName name="_656__FDSAUDITLINK__" localSheetId="1" hidden="1">{"fdsup://directions/FAT Viewer?action=UPDATE&amp;creator=factset&amp;DYN_ARGS=TRUE&amp;DOC_NAME=FAT:FQL_AUDITING_CLIENT_TEMPLATE.FAT&amp;display_string=Audit&amp;VAR:KEY=TYPKDIVCNK&amp;VAR:QUERY=RkZfRUJJVERBX09QRVIoUVRSLDQvMS8yMDEwLDYvMzAvMjAxMCwsLFVTRCk=&amp;WINDOW=FIRST_POPUP&amp;HEIGH","T=450&amp;WIDTH=450&amp;START_MAXIMIZED=FALSE&amp;VAR:CALENDAR=US&amp;VAR:SYMBOL=FHN&amp;VAR:INDEX=0"}</definedName>
    <definedName name="_656__FDSAUDITLINK__" hidden="1">{"fdsup://directions/FAT Viewer?action=UPDATE&amp;creator=factset&amp;DYN_ARGS=TRUE&amp;DOC_NAME=FAT:FQL_AUDITING_CLIENT_TEMPLATE.FAT&amp;display_string=Audit&amp;VAR:KEY=TYPKDIVCNK&amp;VAR:QUERY=RkZfRUJJVERBX09QRVIoUVRSLDQvMS8yMDEwLDYvMzAvMjAxMCwsLFVTRCk=&amp;WINDOW=FIRST_POPUP&amp;HEIGH","T=450&amp;WIDTH=450&amp;START_MAXIMIZED=FALSE&amp;VAR:CALENDAR=US&amp;VAR:SYMBOL=FHN&amp;VAR:INDEX=0"}</definedName>
    <definedName name="_657__FDSAUDITLINK__" localSheetId="1" hidden="1">{"fdsup://directions/FAT Viewer?action=UPDATE&amp;creator=factset&amp;DYN_ARGS=TRUE&amp;DOC_NAME=FAT:FQL_AUDITING_CLIENT_TEMPLATE.FAT&amp;display_string=Audit&amp;VAR:KEY=RALANEZGTY&amp;VAR:QUERY=RkZfRUJJVERBX09QRVIoUVRSLDQvMS8yMDA5LDYvMzAvMjAwOSwsLFVTRCk=&amp;WINDOW=FIRST_POPUP&amp;HEIGH","T=450&amp;WIDTH=450&amp;START_MAXIMIZED=FALSE&amp;VAR:CALENDAR=US&amp;VAR:SYMBOL=FE&amp;VAR:INDEX=0"}</definedName>
    <definedName name="_657__FDSAUDITLINK__" hidden="1">{"fdsup://directions/FAT Viewer?action=UPDATE&amp;creator=factset&amp;DYN_ARGS=TRUE&amp;DOC_NAME=FAT:FQL_AUDITING_CLIENT_TEMPLATE.FAT&amp;display_string=Audit&amp;VAR:KEY=RALANEZGTY&amp;VAR:QUERY=RkZfRUJJVERBX09QRVIoUVRSLDQvMS8yMDA5LDYvMzAvMjAwOSwsLFVTRCk=&amp;WINDOW=FIRST_POPUP&amp;HEIGH","T=450&amp;WIDTH=450&amp;START_MAXIMIZED=FALSE&amp;VAR:CALENDAR=US&amp;VAR:SYMBOL=FE&amp;VAR:INDEX=0"}</definedName>
    <definedName name="_658__FDSAUDITLINK__" localSheetId="1" hidden="1">{"fdsup://directions/FAT Viewer?action=UPDATE&amp;creator=factset&amp;DYN_ARGS=TRUE&amp;DOC_NAME=FAT:FQL_AUDITING_CLIENT_TEMPLATE.FAT&amp;display_string=Audit&amp;VAR:KEY=RQBWJGHCLK&amp;VAR:QUERY=RkZfRUJJVERBX09QRVIoUVRSLDQvMS8yMDEwLDYvMzAvMjAxMCwsLFVTRCk=&amp;WINDOW=FIRST_POPUP&amp;HEIGH","T=450&amp;WIDTH=450&amp;START_MAXIMIZED=FALSE&amp;VAR:CALENDAR=US&amp;VAR:SYMBOL=FE&amp;VAR:INDEX=0"}</definedName>
    <definedName name="_658__FDSAUDITLINK__" hidden="1">{"fdsup://directions/FAT Viewer?action=UPDATE&amp;creator=factset&amp;DYN_ARGS=TRUE&amp;DOC_NAME=FAT:FQL_AUDITING_CLIENT_TEMPLATE.FAT&amp;display_string=Audit&amp;VAR:KEY=RQBWJGHCLK&amp;VAR:QUERY=RkZfRUJJVERBX09QRVIoUVRSLDQvMS8yMDEwLDYvMzAvMjAxMCwsLFVTRCk=&amp;WINDOW=FIRST_POPUP&amp;HEIGH","T=450&amp;WIDTH=450&amp;START_MAXIMIZED=FALSE&amp;VAR:CALENDAR=US&amp;VAR:SYMBOL=FE&amp;VAR:INDEX=0"}</definedName>
    <definedName name="_659__FDSAUDITLINK__" localSheetId="1" hidden="1">{"fdsup://directions/FAT Viewer?action=UPDATE&amp;creator=factset&amp;DYN_ARGS=TRUE&amp;DOC_NAME=FAT:FQL_AUDITING_CLIENT_TEMPLATE.FAT&amp;display_string=Audit&amp;VAR:KEY=LONKLYZWTA&amp;VAR:QUERY=RkZfRUJJVERBX09QRVIoUVRSLDQvMS8yMDA5LDYvMzAvMjAwOSwsLFVTRCk=&amp;WINDOW=FIRST_POPUP&amp;HEIGH","T=450&amp;WIDTH=450&amp;START_MAXIMIZED=FALSE&amp;VAR:CALENDAR=US&amp;VAR:SYMBOL=FDX&amp;VAR:INDEX=0"}</definedName>
    <definedName name="_659__FDSAUDITLINK__" hidden="1">{"fdsup://directions/FAT Viewer?action=UPDATE&amp;creator=factset&amp;DYN_ARGS=TRUE&amp;DOC_NAME=FAT:FQL_AUDITING_CLIENT_TEMPLATE.FAT&amp;display_string=Audit&amp;VAR:KEY=LONKLYZWTA&amp;VAR:QUERY=RkZfRUJJVERBX09QRVIoUVRSLDQvMS8yMDA5LDYvMzAvMjAwOSwsLFVTRCk=&amp;WINDOW=FIRST_POPUP&amp;HEIGH","T=450&amp;WIDTH=450&amp;START_MAXIMIZED=FALSE&amp;VAR:CALENDAR=US&amp;VAR:SYMBOL=FDX&amp;VAR:INDEX=0"}</definedName>
    <definedName name="_66__FDSAUDITLINK__" localSheetId="1" hidden="1">{"fdsup://directions/FAT Viewer?action=UPDATE&amp;creator=factset&amp;DYN_ARGS=TRUE&amp;DOC_NAME=FAT:FQL_AUDITING_CLIENT_TEMPLATE.FAT&amp;display_string=Audit&amp;VAR:KEY=ZIVETKXMXC&amp;VAR:QUERY=RkZfRUJJVERBX09QRVIoUVRSLDQvMS8yMDEwLDYvMzAvMjAxMCwsLFVTRCk=&amp;WINDOW=FIRST_POPUP&amp;HEIGH","T=450&amp;WIDTH=450&amp;START_MAXIMIZED=FALSE&amp;VAR:CALENDAR=US&amp;VAR:SYMBOL=VRSN&amp;VAR:INDEX=0"}</definedName>
    <definedName name="_66__FDSAUDITLINK__" hidden="1">{"fdsup://directions/FAT Viewer?action=UPDATE&amp;creator=factset&amp;DYN_ARGS=TRUE&amp;DOC_NAME=FAT:FQL_AUDITING_CLIENT_TEMPLATE.FAT&amp;display_string=Audit&amp;VAR:KEY=ZIVETKXMXC&amp;VAR:QUERY=RkZfRUJJVERBX09QRVIoUVRSLDQvMS8yMDEwLDYvMzAvMjAxMCwsLFVTRCk=&amp;WINDOW=FIRST_POPUP&amp;HEIGH","T=450&amp;WIDTH=450&amp;START_MAXIMIZED=FALSE&amp;VAR:CALENDAR=US&amp;VAR:SYMBOL=VRSN&amp;VAR:INDEX=0"}</definedName>
    <definedName name="_660__FDSAUDITLINK__" localSheetId="1" hidden="1">{"fdsup://directions/FAT Viewer?action=UPDATE&amp;creator=factset&amp;DYN_ARGS=TRUE&amp;DOC_NAME=FAT:FQL_AUDITING_CLIENT_TEMPLATE.FAT&amp;display_string=Audit&amp;VAR:KEY=JWPODCHGNO&amp;VAR:QUERY=RkZfRUJJVERBX09QRVIoUVRSLDQvMS8yMDEwLDYvMzAvMjAxMCwsLFVTRCk=&amp;WINDOW=FIRST_POPUP&amp;HEIGH","T=450&amp;WIDTH=450&amp;START_MAXIMIZED=FALSE&amp;VAR:CALENDAR=US&amp;VAR:SYMBOL=FDX&amp;VAR:INDEX=0"}</definedName>
    <definedName name="_660__FDSAUDITLINK__" hidden="1">{"fdsup://directions/FAT Viewer?action=UPDATE&amp;creator=factset&amp;DYN_ARGS=TRUE&amp;DOC_NAME=FAT:FQL_AUDITING_CLIENT_TEMPLATE.FAT&amp;display_string=Audit&amp;VAR:KEY=JWPODCHGNO&amp;VAR:QUERY=RkZfRUJJVERBX09QRVIoUVRSLDQvMS8yMDEwLDYvMzAvMjAxMCwsLFVTRCk=&amp;WINDOW=FIRST_POPUP&amp;HEIGH","T=450&amp;WIDTH=450&amp;START_MAXIMIZED=FALSE&amp;VAR:CALENDAR=US&amp;VAR:SYMBOL=FDX&amp;VAR:INDEX=0"}</definedName>
    <definedName name="_661__FDSAUDITLINK__" localSheetId="1" hidden="1">{"fdsup://directions/FAT Viewer?action=UPDATE&amp;creator=factset&amp;DYN_ARGS=TRUE&amp;DOC_NAME=FAT:FQL_AUDITING_CLIENT_TEMPLATE.FAT&amp;display_string=Audit&amp;VAR:KEY=TUXMTETGZY&amp;VAR:QUERY=RkZfRUJJVERBX09QRVIoUVRSLDQvMS8yMDA5LDYvMzAvMjAwOSwsLFVTRCk=&amp;WINDOW=FIRST_POPUP&amp;HEIGH","T=450&amp;WIDTH=450&amp;START_MAXIMIZED=FALSE&amp;VAR:CALENDAR=US&amp;VAR:SYMBOL=FDO&amp;VAR:INDEX=0"}</definedName>
    <definedName name="_661__FDSAUDITLINK__" hidden="1">{"fdsup://directions/FAT Viewer?action=UPDATE&amp;creator=factset&amp;DYN_ARGS=TRUE&amp;DOC_NAME=FAT:FQL_AUDITING_CLIENT_TEMPLATE.FAT&amp;display_string=Audit&amp;VAR:KEY=TUXMTETGZY&amp;VAR:QUERY=RkZfRUJJVERBX09QRVIoUVRSLDQvMS8yMDA5LDYvMzAvMjAwOSwsLFVTRCk=&amp;WINDOW=FIRST_POPUP&amp;HEIGH","T=450&amp;WIDTH=450&amp;START_MAXIMIZED=FALSE&amp;VAR:CALENDAR=US&amp;VAR:SYMBOL=FDO&amp;VAR:INDEX=0"}</definedName>
    <definedName name="_662__FDSAUDITLINK__" localSheetId="1" hidden="1">{"fdsup://directions/FAT Viewer?action=UPDATE&amp;creator=factset&amp;DYN_ARGS=TRUE&amp;DOC_NAME=FAT:FQL_AUDITING_CLIENT_TEMPLATE.FAT&amp;display_string=Audit&amp;VAR:KEY=FYVODOXCFG&amp;VAR:QUERY=RkZfRUJJVERBX09QRVIoUVRSLDQvMS8yMDEwLDYvMzAvMjAxMCwsLFVTRCk=&amp;WINDOW=FIRST_POPUP&amp;HEIGH","T=450&amp;WIDTH=450&amp;START_MAXIMIZED=FALSE&amp;VAR:CALENDAR=US&amp;VAR:SYMBOL=FDO&amp;VAR:INDEX=0"}</definedName>
    <definedName name="_662__FDSAUDITLINK__" hidden="1">{"fdsup://directions/FAT Viewer?action=UPDATE&amp;creator=factset&amp;DYN_ARGS=TRUE&amp;DOC_NAME=FAT:FQL_AUDITING_CLIENT_TEMPLATE.FAT&amp;display_string=Audit&amp;VAR:KEY=FYVODOXCFG&amp;VAR:QUERY=RkZfRUJJVERBX09QRVIoUVRSLDQvMS8yMDEwLDYvMzAvMjAxMCwsLFVTRCk=&amp;WINDOW=FIRST_POPUP&amp;HEIGH","T=450&amp;WIDTH=450&amp;START_MAXIMIZED=FALSE&amp;VAR:CALENDAR=US&amp;VAR:SYMBOL=FDO&amp;VAR:INDEX=0"}</definedName>
    <definedName name="_663__FDSAUDITLINK__" localSheetId="1" hidden="1">{"fdsup://directions/FAT Viewer?action=UPDATE&amp;creator=factset&amp;DYN_ARGS=TRUE&amp;DOC_NAME=FAT:FQL_AUDITING_CLIENT_TEMPLATE.FAT&amp;display_string=Audit&amp;VAR:KEY=LINATWRQVK&amp;VAR:QUERY=RkZfRUJJVERBX09QRVIoUVRSLDQvMS8yMDA5LDYvMzAvMjAwOSwsLFVTRCk=&amp;WINDOW=FIRST_POPUP&amp;HEIGH","T=450&amp;WIDTH=450&amp;START_MAXIMIZED=FALSE&amp;VAR:CALENDAR=US&amp;VAR:SYMBOL=FCX&amp;VAR:INDEX=0"}</definedName>
    <definedName name="_663__FDSAUDITLINK__" hidden="1">{"fdsup://directions/FAT Viewer?action=UPDATE&amp;creator=factset&amp;DYN_ARGS=TRUE&amp;DOC_NAME=FAT:FQL_AUDITING_CLIENT_TEMPLATE.FAT&amp;display_string=Audit&amp;VAR:KEY=LINATWRQVK&amp;VAR:QUERY=RkZfRUJJVERBX09QRVIoUVRSLDQvMS8yMDA5LDYvMzAvMjAwOSwsLFVTRCk=&amp;WINDOW=FIRST_POPUP&amp;HEIGH","T=450&amp;WIDTH=450&amp;START_MAXIMIZED=FALSE&amp;VAR:CALENDAR=US&amp;VAR:SYMBOL=FCX&amp;VAR:INDEX=0"}</definedName>
    <definedName name="_664__FDSAUDITLINK__" localSheetId="1" hidden="1">{"fdsup://directions/FAT Viewer?action=UPDATE&amp;creator=factset&amp;DYN_ARGS=TRUE&amp;DOC_NAME=FAT:FQL_AUDITING_CLIENT_TEMPLATE.FAT&amp;display_string=Audit&amp;VAR:KEY=RKJYRMHITE&amp;VAR:QUERY=RkZfRUJJVERBX09QRVIoUVRSLDQvMS8yMDEwLDYvMzAvMjAxMCwsLFVTRCk=&amp;WINDOW=FIRST_POPUP&amp;HEIGH","T=450&amp;WIDTH=450&amp;START_MAXIMIZED=FALSE&amp;VAR:CALENDAR=US&amp;VAR:SYMBOL=FCX&amp;VAR:INDEX=0"}</definedName>
    <definedName name="_664__FDSAUDITLINK__" hidden="1">{"fdsup://directions/FAT Viewer?action=UPDATE&amp;creator=factset&amp;DYN_ARGS=TRUE&amp;DOC_NAME=FAT:FQL_AUDITING_CLIENT_TEMPLATE.FAT&amp;display_string=Audit&amp;VAR:KEY=RKJYRMHITE&amp;VAR:QUERY=RkZfRUJJVERBX09QRVIoUVRSLDQvMS8yMDEwLDYvMzAvMjAxMCwsLFVTRCk=&amp;WINDOW=FIRST_POPUP&amp;HEIGH","T=450&amp;WIDTH=450&amp;START_MAXIMIZED=FALSE&amp;VAR:CALENDAR=US&amp;VAR:SYMBOL=FCX&amp;VAR:INDEX=0"}</definedName>
    <definedName name="_665__FDSAUDITLINK__" localSheetId="1" hidden="1">{"fdsup://directions/FAT Viewer?action=UPDATE&amp;creator=factset&amp;DYN_ARGS=TRUE&amp;DOC_NAME=FAT:FQL_AUDITING_CLIENT_TEMPLATE.FAT&amp;display_string=Audit&amp;VAR:KEY=JEZQREPWDW&amp;VAR:QUERY=RkZfRUJJVERBX09QRVIoUVRSLDQvMS8yMDA5LDYvMzAvMjAwOSwsLFVTRCk=&amp;WINDOW=FIRST_POPUP&amp;HEIGH","T=450&amp;WIDTH=450&amp;START_MAXIMIZED=FALSE&amp;VAR:CALENDAR=US&amp;VAR:SYMBOL=FAST&amp;VAR:INDEX=0"}</definedName>
    <definedName name="_665__FDSAUDITLINK__" hidden="1">{"fdsup://directions/FAT Viewer?action=UPDATE&amp;creator=factset&amp;DYN_ARGS=TRUE&amp;DOC_NAME=FAT:FQL_AUDITING_CLIENT_TEMPLATE.FAT&amp;display_string=Audit&amp;VAR:KEY=JEZQREPWDW&amp;VAR:QUERY=RkZfRUJJVERBX09QRVIoUVRSLDQvMS8yMDA5LDYvMzAvMjAwOSwsLFVTRCk=&amp;WINDOW=FIRST_POPUP&amp;HEIGH","T=450&amp;WIDTH=450&amp;START_MAXIMIZED=FALSE&amp;VAR:CALENDAR=US&amp;VAR:SYMBOL=FAST&amp;VAR:INDEX=0"}</definedName>
    <definedName name="_666__FDSAUDITLINK__" localSheetId="1" hidden="1">{"fdsup://directions/FAT Viewer?action=UPDATE&amp;creator=factset&amp;DYN_ARGS=TRUE&amp;DOC_NAME=FAT:FQL_AUDITING_CLIENT_TEMPLATE.FAT&amp;display_string=Audit&amp;VAR:KEY=ZOVGNOLQXS&amp;VAR:QUERY=RkZfRUJJVERBX09QRVIoUVRSLDQvMS8yMDEwLDYvMzAvMjAxMCwsLFVTRCk=&amp;WINDOW=FIRST_POPUP&amp;HEIGH","T=450&amp;WIDTH=450&amp;START_MAXIMIZED=FALSE&amp;VAR:CALENDAR=US&amp;VAR:SYMBOL=FAST&amp;VAR:INDEX=0"}</definedName>
    <definedName name="_666__FDSAUDITLINK__" hidden="1">{"fdsup://directions/FAT Viewer?action=UPDATE&amp;creator=factset&amp;DYN_ARGS=TRUE&amp;DOC_NAME=FAT:FQL_AUDITING_CLIENT_TEMPLATE.FAT&amp;display_string=Audit&amp;VAR:KEY=ZOVGNOLQXS&amp;VAR:QUERY=RkZfRUJJVERBX09QRVIoUVRSLDQvMS8yMDEwLDYvMzAvMjAxMCwsLFVTRCk=&amp;WINDOW=FIRST_POPUP&amp;HEIGH","T=450&amp;WIDTH=450&amp;START_MAXIMIZED=FALSE&amp;VAR:CALENDAR=US&amp;VAR:SYMBOL=FAST&amp;VAR:INDEX=0"}</definedName>
    <definedName name="_667__FDSAUDITLINK__" localSheetId="1" hidden="1">{"fdsup://directions/FAT Viewer?action=UPDATE&amp;creator=factset&amp;DYN_ARGS=TRUE&amp;DOC_NAME=FAT:FQL_AUDITING_CLIENT_TEMPLATE.FAT&amp;display_string=Audit&amp;VAR:KEY=VQJOJKTYNG&amp;VAR:QUERY=RkZfRUJJVERBX09QRVIoUVRSLDQvMS8yMDA5LDYvMzAvMjAwOSwsLFVTRCk=&amp;WINDOW=FIRST_POPUP&amp;HEIGH","T=450&amp;WIDTH=450&amp;START_MAXIMIZED=FALSE&amp;VAR:CALENDAR=US&amp;VAR:SYMBOL=F&amp;VAR:INDEX=0"}</definedName>
    <definedName name="_667__FDSAUDITLINK__" hidden="1">{"fdsup://directions/FAT Viewer?action=UPDATE&amp;creator=factset&amp;DYN_ARGS=TRUE&amp;DOC_NAME=FAT:FQL_AUDITING_CLIENT_TEMPLATE.FAT&amp;display_string=Audit&amp;VAR:KEY=VQJOJKTYNG&amp;VAR:QUERY=RkZfRUJJVERBX09QRVIoUVRSLDQvMS8yMDA5LDYvMzAvMjAwOSwsLFVTRCk=&amp;WINDOW=FIRST_POPUP&amp;HEIGH","T=450&amp;WIDTH=450&amp;START_MAXIMIZED=FALSE&amp;VAR:CALENDAR=US&amp;VAR:SYMBOL=F&amp;VAR:INDEX=0"}</definedName>
    <definedName name="_668__FDSAUDITLINK__" localSheetId="1" hidden="1">{"fdsup://directions/FAT Viewer?action=UPDATE&amp;creator=factset&amp;DYN_ARGS=TRUE&amp;DOC_NAME=FAT:FQL_AUDITING_CLIENT_TEMPLATE.FAT&amp;display_string=Audit&amp;VAR:KEY=LCRWTGVGZU&amp;VAR:QUERY=RkZfRUJJVERBX09QRVIoUVRSLDQvMS8yMDEwLDYvMzAvMjAxMCwsLFVTRCk=&amp;WINDOW=FIRST_POPUP&amp;HEIGH","T=450&amp;WIDTH=450&amp;START_MAXIMIZED=FALSE&amp;VAR:CALENDAR=US&amp;VAR:SYMBOL=F&amp;VAR:INDEX=0"}</definedName>
    <definedName name="_668__FDSAUDITLINK__" hidden="1">{"fdsup://directions/FAT Viewer?action=UPDATE&amp;creator=factset&amp;DYN_ARGS=TRUE&amp;DOC_NAME=FAT:FQL_AUDITING_CLIENT_TEMPLATE.FAT&amp;display_string=Audit&amp;VAR:KEY=LCRWTGVGZU&amp;VAR:QUERY=RkZfRUJJVERBX09QRVIoUVRSLDQvMS8yMDEwLDYvMzAvMjAxMCwsLFVTRCk=&amp;WINDOW=FIRST_POPUP&amp;HEIGH","T=450&amp;WIDTH=450&amp;START_MAXIMIZED=FALSE&amp;VAR:CALENDAR=US&amp;VAR:SYMBOL=F&amp;VAR:INDEX=0"}</definedName>
    <definedName name="_669__FDSAUDITLINK__" localSheetId="1" hidden="1">{"fdsup://directions/FAT Viewer?action=UPDATE&amp;creator=factset&amp;DYN_ARGS=TRUE&amp;DOC_NAME=FAT:FQL_AUDITING_CLIENT_TEMPLATE.FAT&amp;display_string=Audit&amp;VAR:KEY=RSPGJOBADK&amp;VAR:QUERY=RkZfRUJJVERBX09QRVIoUVRSLDQvMS8yMDA5LDYvMzAvMjAwOSwsLFVTRCk=&amp;WINDOW=FIRST_POPUP&amp;HEIGH","T=450&amp;WIDTH=450&amp;START_MAXIMIZED=FALSE&amp;VAR:CALENDAR=US&amp;VAR:SYMBOL=EXPE&amp;VAR:INDEX=0"}</definedName>
    <definedName name="_669__FDSAUDITLINK__" hidden="1">{"fdsup://directions/FAT Viewer?action=UPDATE&amp;creator=factset&amp;DYN_ARGS=TRUE&amp;DOC_NAME=FAT:FQL_AUDITING_CLIENT_TEMPLATE.FAT&amp;display_string=Audit&amp;VAR:KEY=RSPGJOBADK&amp;VAR:QUERY=RkZfRUJJVERBX09QRVIoUVRSLDQvMS8yMDA5LDYvMzAvMjAwOSwsLFVTRCk=&amp;WINDOW=FIRST_POPUP&amp;HEIGH","T=450&amp;WIDTH=450&amp;START_MAXIMIZED=FALSE&amp;VAR:CALENDAR=US&amp;VAR:SYMBOL=EXPE&amp;VAR:INDEX=0"}</definedName>
    <definedName name="_67__FDSAUDITLINK__" localSheetId="1" hidden="1">{"fdsup://directions/FAT Viewer?action=UPDATE&amp;creator=factset&amp;DYN_ARGS=TRUE&amp;DOC_NAME=FAT:FQL_AUDITING_CLIENT_TEMPLATE.FAT&amp;display_string=Audit&amp;VAR:KEY=RSXOBMFUNK&amp;VAR:QUERY=RkZfRUJJVERBX09QRVIoUVRSLDQvMS8yMDA5LDYvMzAvMjAwOSwsLFVTRCk=&amp;WINDOW=FIRST_POPUP&amp;HEIGH","T=450&amp;WIDTH=450&amp;START_MAXIMIZED=FALSE&amp;VAR:CALENDAR=US&amp;VAR:SYMBOL=VNO&amp;VAR:INDEX=0"}</definedName>
    <definedName name="_67__FDSAUDITLINK__" hidden="1">{"fdsup://directions/FAT Viewer?action=UPDATE&amp;creator=factset&amp;DYN_ARGS=TRUE&amp;DOC_NAME=FAT:FQL_AUDITING_CLIENT_TEMPLATE.FAT&amp;display_string=Audit&amp;VAR:KEY=RSXOBMFUNK&amp;VAR:QUERY=RkZfRUJJVERBX09QRVIoUVRSLDQvMS8yMDA5LDYvMzAvMjAwOSwsLFVTRCk=&amp;WINDOW=FIRST_POPUP&amp;HEIGH","T=450&amp;WIDTH=450&amp;START_MAXIMIZED=FALSE&amp;VAR:CALENDAR=US&amp;VAR:SYMBOL=VNO&amp;VAR:INDEX=0"}</definedName>
    <definedName name="_670__FDSAUDITLINK__" localSheetId="1" hidden="1">{"fdsup://directions/FAT Viewer?action=UPDATE&amp;creator=factset&amp;DYN_ARGS=TRUE&amp;DOC_NAME=FAT:FQL_AUDITING_CLIENT_TEMPLATE.FAT&amp;display_string=Audit&amp;VAR:KEY=NGJWJIJEDE&amp;VAR:QUERY=RkZfRUJJVERBX09QRVIoUVRSLDQvMS8yMDEwLDYvMzAvMjAxMCwsLFVTRCk=&amp;WINDOW=FIRST_POPUP&amp;HEIGH","T=450&amp;WIDTH=450&amp;START_MAXIMIZED=FALSE&amp;VAR:CALENDAR=US&amp;VAR:SYMBOL=EXPE&amp;VAR:INDEX=0"}</definedName>
    <definedName name="_670__FDSAUDITLINK__" hidden="1">{"fdsup://directions/FAT Viewer?action=UPDATE&amp;creator=factset&amp;DYN_ARGS=TRUE&amp;DOC_NAME=FAT:FQL_AUDITING_CLIENT_TEMPLATE.FAT&amp;display_string=Audit&amp;VAR:KEY=NGJWJIJEDE&amp;VAR:QUERY=RkZfRUJJVERBX09QRVIoUVRSLDQvMS8yMDEwLDYvMzAvMjAxMCwsLFVTRCk=&amp;WINDOW=FIRST_POPUP&amp;HEIGH","T=450&amp;WIDTH=450&amp;START_MAXIMIZED=FALSE&amp;VAR:CALENDAR=US&amp;VAR:SYMBOL=EXPE&amp;VAR:INDEX=0"}</definedName>
    <definedName name="_671__FDSAUDITLINK__" localSheetId="1" hidden="1">{"fdsup://directions/FAT Viewer?action=UPDATE&amp;creator=factset&amp;DYN_ARGS=TRUE&amp;DOC_NAME=FAT:FQL_AUDITING_CLIENT_TEMPLATE.FAT&amp;display_string=Audit&amp;VAR:KEY=LCHWREFKDC&amp;VAR:QUERY=RkZfRUJJVERBX09QRVIoUVRSLDQvMS8yMDA5LDYvMzAvMjAwOSwsLFVTRCk=&amp;WINDOW=FIRST_POPUP&amp;HEIGH","T=450&amp;WIDTH=450&amp;START_MAXIMIZED=FALSE&amp;VAR:CALENDAR=US&amp;VAR:SYMBOL=EXPD&amp;VAR:INDEX=0"}</definedName>
    <definedName name="_671__FDSAUDITLINK__" hidden="1">{"fdsup://directions/FAT Viewer?action=UPDATE&amp;creator=factset&amp;DYN_ARGS=TRUE&amp;DOC_NAME=FAT:FQL_AUDITING_CLIENT_TEMPLATE.FAT&amp;display_string=Audit&amp;VAR:KEY=LCHWREFKDC&amp;VAR:QUERY=RkZfRUJJVERBX09QRVIoUVRSLDQvMS8yMDA5LDYvMzAvMjAwOSwsLFVTRCk=&amp;WINDOW=FIRST_POPUP&amp;HEIGH","T=450&amp;WIDTH=450&amp;START_MAXIMIZED=FALSE&amp;VAR:CALENDAR=US&amp;VAR:SYMBOL=EXPD&amp;VAR:INDEX=0"}</definedName>
    <definedName name="_672__FDSAUDITLINK__" localSheetId="1" hidden="1">{"fdsup://directions/FAT Viewer?action=UPDATE&amp;creator=factset&amp;DYN_ARGS=TRUE&amp;DOC_NAME=FAT:FQL_AUDITING_CLIENT_TEMPLATE.FAT&amp;display_string=Audit&amp;VAR:KEY=PAVKRIZSNM&amp;VAR:QUERY=RkZfRUJJVERBX09QRVIoUVRSLDQvMS8yMDEwLDYvMzAvMjAxMCwsLFVTRCk=&amp;WINDOW=FIRST_POPUP&amp;HEIGH","T=450&amp;WIDTH=450&amp;START_MAXIMIZED=FALSE&amp;VAR:CALENDAR=US&amp;VAR:SYMBOL=EXPD&amp;VAR:INDEX=0"}</definedName>
    <definedName name="_672__FDSAUDITLINK__" hidden="1">{"fdsup://directions/FAT Viewer?action=UPDATE&amp;creator=factset&amp;DYN_ARGS=TRUE&amp;DOC_NAME=FAT:FQL_AUDITING_CLIENT_TEMPLATE.FAT&amp;display_string=Audit&amp;VAR:KEY=PAVKRIZSNM&amp;VAR:QUERY=RkZfRUJJVERBX09QRVIoUVRSLDQvMS8yMDEwLDYvMzAvMjAxMCwsLFVTRCk=&amp;WINDOW=FIRST_POPUP&amp;HEIGH","T=450&amp;WIDTH=450&amp;START_MAXIMIZED=FALSE&amp;VAR:CALENDAR=US&amp;VAR:SYMBOL=EXPD&amp;VAR:INDEX=0"}</definedName>
    <definedName name="_673__FDSAUDITLINK__" localSheetId="1" hidden="1">{"fdsup://directions/FAT Viewer?action=UPDATE&amp;creator=factset&amp;DYN_ARGS=TRUE&amp;DOC_NAME=FAT:FQL_AUDITING_CLIENT_TEMPLATE.FAT&amp;display_string=Audit&amp;VAR:KEY=HSBMZAJIPK&amp;VAR:QUERY=RkZfRUJJVERBX09QRVIoUVRSLDQvMS8yMDA5LDYvMzAvMjAwOSwsLFVTRCk=&amp;WINDOW=FIRST_POPUP&amp;HEIGH","T=450&amp;WIDTH=450&amp;START_MAXIMIZED=FALSE&amp;VAR:CALENDAR=US&amp;VAR:SYMBOL=EXC&amp;VAR:INDEX=0"}</definedName>
    <definedName name="_673__FDSAUDITLINK__" hidden="1">{"fdsup://directions/FAT Viewer?action=UPDATE&amp;creator=factset&amp;DYN_ARGS=TRUE&amp;DOC_NAME=FAT:FQL_AUDITING_CLIENT_TEMPLATE.FAT&amp;display_string=Audit&amp;VAR:KEY=HSBMZAJIPK&amp;VAR:QUERY=RkZfRUJJVERBX09QRVIoUVRSLDQvMS8yMDA5LDYvMzAvMjAwOSwsLFVTRCk=&amp;WINDOW=FIRST_POPUP&amp;HEIGH","T=450&amp;WIDTH=450&amp;START_MAXIMIZED=FALSE&amp;VAR:CALENDAR=US&amp;VAR:SYMBOL=EXC&amp;VAR:INDEX=0"}</definedName>
    <definedName name="_674__FDSAUDITLINK__" localSheetId="1" hidden="1">{"fdsup://directions/FAT Viewer?action=UPDATE&amp;creator=factset&amp;DYN_ARGS=TRUE&amp;DOC_NAME=FAT:FQL_AUDITING_CLIENT_TEMPLATE.FAT&amp;display_string=Audit&amp;VAR:KEY=VIXYPABMTM&amp;VAR:QUERY=RkZfRUJJVERBX09QRVIoUVRSLDQvMS8yMDEwLDYvMzAvMjAxMCwsLFVTRCk=&amp;WINDOW=FIRST_POPUP&amp;HEIGH","T=450&amp;WIDTH=450&amp;START_MAXIMIZED=FALSE&amp;VAR:CALENDAR=US&amp;VAR:SYMBOL=EXC&amp;VAR:INDEX=0"}</definedName>
    <definedName name="_674__FDSAUDITLINK__" hidden="1">{"fdsup://directions/FAT Viewer?action=UPDATE&amp;creator=factset&amp;DYN_ARGS=TRUE&amp;DOC_NAME=FAT:FQL_AUDITING_CLIENT_TEMPLATE.FAT&amp;display_string=Audit&amp;VAR:KEY=VIXYPABMTM&amp;VAR:QUERY=RkZfRUJJVERBX09QRVIoUVRSLDQvMS8yMDEwLDYvMzAvMjAxMCwsLFVTRCk=&amp;WINDOW=FIRST_POPUP&amp;HEIGH","T=450&amp;WIDTH=450&amp;START_MAXIMIZED=FALSE&amp;VAR:CALENDAR=US&amp;VAR:SYMBOL=EXC&amp;VAR:INDEX=0"}</definedName>
    <definedName name="_675__FDSAUDITLINK__" localSheetId="1" hidden="1">{"fdsup://directions/FAT Viewer?action=UPDATE&amp;creator=factset&amp;DYN_ARGS=TRUE&amp;DOC_NAME=FAT:FQL_AUDITING_CLIENT_TEMPLATE.FAT&amp;display_string=Audit&amp;VAR:KEY=DWLWBIXEFG&amp;VAR:QUERY=RkZfRUJJVERBX09QRVIoUVRSLDQvMS8yMDA5LDYvMzAvMjAwOSwsLFVTRCk=&amp;WINDOW=FIRST_POPUP&amp;HEIGH","T=450&amp;WIDTH=450&amp;START_MAXIMIZED=FALSE&amp;VAR:CALENDAR=US&amp;VAR:SYMBOL=ETR&amp;VAR:INDEX=0"}</definedName>
    <definedName name="_675__FDSAUDITLINK__" hidden="1">{"fdsup://directions/FAT Viewer?action=UPDATE&amp;creator=factset&amp;DYN_ARGS=TRUE&amp;DOC_NAME=FAT:FQL_AUDITING_CLIENT_TEMPLATE.FAT&amp;display_string=Audit&amp;VAR:KEY=DWLWBIXEFG&amp;VAR:QUERY=RkZfRUJJVERBX09QRVIoUVRSLDQvMS8yMDA5LDYvMzAvMjAwOSwsLFVTRCk=&amp;WINDOW=FIRST_POPUP&amp;HEIGH","T=450&amp;WIDTH=450&amp;START_MAXIMIZED=FALSE&amp;VAR:CALENDAR=US&amp;VAR:SYMBOL=ETR&amp;VAR:INDEX=0"}</definedName>
    <definedName name="_676__FDSAUDITLINK__" localSheetId="1" hidden="1">{"fdsup://directions/FAT Viewer?action=UPDATE&amp;creator=factset&amp;DYN_ARGS=TRUE&amp;DOC_NAME=FAT:FQL_AUDITING_CLIENT_TEMPLATE.FAT&amp;display_string=Audit&amp;VAR:KEY=FIJMNUTQPG&amp;VAR:QUERY=RkZfRUJJVERBX09QRVIoUVRSLDQvMS8yMDEwLDYvMzAvMjAxMCwsLFVTRCk=&amp;WINDOW=FIRST_POPUP&amp;HEIGH","T=450&amp;WIDTH=450&amp;START_MAXIMIZED=FALSE&amp;VAR:CALENDAR=US&amp;VAR:SYMBOL=ETR&amp;VAR:INDEX=0"}</definedName>
    <definedName name="_676__FDSAUDITLINK__" hidden="1">{"fdsup://directions/FAT Viewer?action=UPDATE&amp;creator=factset&amp;DYN_ARGS=TRUE&amp;DOC_NAME=FAT:FQL_AUDITING_CLIENT_TEMPLATE.FAT&amp;display_string=Audit&amp;VAR:KEY=FIJMNUTQPG&amp;VAR:QUERY=RkZfRUJJVERBX09QRVIoUVRSLDQvMS8yMDEwLDYvMzAvMjAxMCwsLFVTRCk=&amp;WINDOW=FIRST_POPUP&amp;HEIGH","T=450&amp;WIDTH=450&amp;START_MAXIMIZED=FALSE&amp;VAR:CALENDAR=US&amp;VAR:SYMBOL=ETR&amp;VAR:INDEX=0"}</definedName>
    <definedName name="_677__FDSAUDITLINK__" localSheetId="1" hidden="1">{"fdsup://directions/FAT Viewer?action=UPDATE&amp;creator=factset&amp;DYN_ARGS=TRUE&amp;DOC_NAME=FAT:FQL_AUDITING_CLIENT_TEMPLATE.FAT&amp;display_string=Audit&amp;VAR:KEY=XGTKZIFQDW&amp;VAR:QUERY=RkZfRUJJVERBX09QRVIoUVRSLDQvMS8yMDA5LDYvMzAvMjAwOSwsLFVTRCk=&amp;WINDOW=FIRST_POPUP&amp;HEIGH","T=450&amp;WIDTH=450&amp;START_MAXIMIZED=FALSE&amp;VAR:CALENDAR=US&amp;VAR:SYMBOL=ETN&amp;VAR:INDEX=0"}</definedName>
    <definedName name="_677__FDSAUDITLINK__" hidden="1">{"fdsup://directions/FAT Viewer?action=UPDATE&amp;creator=factset&amp;DYN_ARGS=TRUE&amp;DOC_NAME=FAT:FQL_AUDITING_CLIENT_TEMPLATE.FAT&amp;display_string=Audit&amp;VAR:KEY=XGTKZIFQDW&amp;VAR:QUERY=RkZfRUJJVERBX09QRVIoUVRSLDQvMS8yMDA5LDYvMzAvMjAwOSwsLFVTRCk=&amp;WINDOW=FIRST_POPUP&amp;HEIGH","T=450&amp;WIDTH=450&amp;START_MAXIMIZED=FALSE&amp;VAR:CALENDAR=US&amp;VAR:SYMBOL=ETN&amp;VAR:INDEX=0"}</definedName>
    <definedName name="_678__FDSAUDITLINK__" localSheetId="1" hidden="1">{"fdsup://directions/FAT Viewer?action=UPDATE&amp;creator=factset&amp;DYN_ARGS=TRUE&amp;DOC_NAME=FAT:FQL_AUDITING_CLIENT_TEMPLATE.FAT&amp;display_string=Audit&amp;VAR:KEY=FSTWDCVCJA&amp;VAR:QUERY=RkZfRUJJVERBX09QRVIoUVRSLDQvMS8yMDEwLDYvMzAvMjAxMCwsLFVTRCk=&amp;WINDOW=FIRST_POPUP&amp;HEIGH","T=450&amp;WIDTH=450&amp;START_MAXIMIZED=FALSE&amp;VAR:CALENDAR=US&amp;VAR:SYMBOL=ETN&amp;VAR:INDEX=0"}</definedName>
    <definedName name="_678__FDSAUDITLINK__" hidden="1">{"fdsup://directions/FAT Viewer?action=UPDATE&amp;creator=factset&amp;DYN_ARGS=TRUE&amp;DOC_NAME=FAT:FQL_AUDITING_CLIENT_TEMPLATE.FAT&amp;display_string=Audit&amp;VAR:KEY=FSTWDCVCJA&amp;VAR:QUERY=RkZfRUJJVERBX09QRVIoUVRSLDQvMS8yMDEwLDYvMzAvMjAxMCwsLFVTRCk=&amp;WINDOW=FIRST_POPUP&amp;HEIGH","T=450&amp;WIDTH=450&amp;START_MAXIMIZED=FALSE&amp;VAR:CALENDAR=US&amp;VAR:SYMBOL=ETN&amp;VAR:INDEX=0"}</definedName>
    <definedName name="_679__FDSAUDITLINK__" localSheetId="1" hidden="1">{"fdsup://directions/FAT Viewer?action=UPDATE&amp;creator=factset&amp;DYN_ARGS=TRUE&amp;DOC_NAME=FAT:FQL_AUDITING_CLIENT_TEMPLATE.FAT&amp;display_string=Audit&amp;VAR:KEY=DILKHKBULA&amp;VAR:QUERY=RkZfRUJJVERBX09QRVIoUVRSLDQvMS8yMDA5LDYvMzAvMjAwOSwsLFVTRCk=&amp;WINDOW=FIRST_POPUP&amp;HEIGH","T=450&amp;WIDTH=450&amp;START_MAXIMIZED=FALSE&amp;VAR:CALENDAR=US&amp;VAR:SYMBOL=ETFC&amp;VAR:INDEX=0"}</definedName>
    <definedName name="_679__FDSAUDITLINK__" hidden="1">{"fdsup://directions/FAT Viewer?action=UPDATE&amp;creator=factset&amp;DYN_ARGS=TRUE&amp;DOC_NAME=FAT:FQL_AUDITING_CLIENT_TEMPLATE.FAT&amp;display_string=Audit&amp;VAR:KEY=DILKHKBULA&amp;VAR:QUERY=RkZfRUJJVERBX09QRVIoUVRSLDQvMS8yMDA5LDYvMzAvMjAwOSwsLFVTRCk=&amp;WINDOW=FIRST_POPUP&amp;HEIGH","T=450&amp;WIDTH=450&amp;START_MAXIMIZED=FALSE&amp;VAR:CALENDAR=US&amp;VAR:SYMBOL=ETFC&amp;VAR:INDEX=0"}</definedName>
    <definedName name="_68__FDSAUDITLINK__" localSheetId="1" hidden="1">{"fdsup://directions/FAT Viewer?action=UPDATE&amp;creator=factset&amp;DYN_ARGS=TRUE&amp;DOC_NAME=FAT:FQL_AUDITING_CLIENT_TEMPLATE.FAT&amp;display_string=Audit&amp;VAR:KEY=NUNYJGJWNY&amp;VAR:QUERY=RkZfRUJJVERBX09QRVIoUVRSLDQvMS8yMDEwLDYvMzAvMjAxMCwsLFVTRCk=&amp;WINDOW=FIRST_POPUP&amp;HEIGH","T=450&amp;WIDTH=450&amp;START_MAXIMIZED=FALSE&amp;VAR:CALENDAR=US&amp;VAR:SYMBOL=VNO&amp;VAR:INDEX=0"}</definedName>
    <definedName name="_68__FDSAUDITLINK__" hidden="1">{"fdsup://directions/FAT Viewer?action=UPDATE&amp;creator=factset&amp;DYN_ARGS=TRUE&amp;DOC_NAME=FAT:FQL_AUDITING_CLIENT_TEMPLATE.FAT&amp;display_string=Audit&amp;VAR:KEY=NUNYJGJWNY&amp;VAR:QUERY=RkZfRUJJVERBX09QRVIoUVRSLDQvMS8yMDEwLDYvMzAvMjAxMCwsLFVTRCk=&amp;WINDOW=FIRST_POPUP&amp;HEIGH","T=450&amp;WIDTH=450&amp;START_MAXIMIZED=FALSE&amp;VAR:CALENDAR=US&amp;VAR:SYMBOL=VNO&amp;VAR:INDEX=0"}</definedName>
    <definedName name="_680__FDSAUDITLINK__" localSheetId="1" hidden="1">{"fdsup://directions/FAT Viewer?action=UPDATE&amp;creator=factset&amp;DYN_ARGS=TRUE&amp;DOC_NAME=FAT:FQL_AUDITING_CLIENT_TEMPLATE.FAT&amp;display_string=Audit&amp;VAR:KEY=NQBYFQDYJE&amp;VAR:QUERY=RkZfRUJJVERBX09QRVIoUVRSLDQvMS8yMDEwLDYvMzAvMjAxMCwsLFVTRCk=&amp;WINDOW=FIRST_POPUP&amp;HEIGH","T=450&amp;WIDTH=450&amp;START_MAXIMIZED=FALSE&amp;VAR:CALENDAR=US&amp;VAR:SYMBOL=ETFC&amp;VAR:INDEX=0"}</definedName>
    <definedName name="_680__FDSAUDITLINK__" hidden="1">{"fdsup://directions/FAT Viewer?action=UPDATE&amp;creator=factset&amp;DYN_ARGS=TRUE&amp;DOC_NAME=FAT:FQL_AUDITING_CLIENT_TEMPLATE.FAT&amp;display_string=Audit&amp;VAR:KEY=NQBYFQDYJE&amp;VAR:QUERY=RkZfRUJJVERBX09QRVIoUVRSLDQvMS8yMDEwLDYvMzAvMjAxMCwsLFVTRCk=&amp;WINDOW=FIRST_POPUP&amp;HEIGH","T=450&amp;WIDTH=450&amp;START_MAXIMIZED=FALSE&amp;VAR:CALENDAR=US&amp;VAR:SYMBOL=ETFC&amp;VAR:INDEX=0"}</definedName>
    <definedName name="_681__FDSAUDITLINK__" localSheetId="1" hidden="1">{"fdsup://directions/FAT Viewer?action=UPDATE&amp;creator=factset&amp;DYN_ARGS=TRUE&amp;DOC_NAME=FAT:FQL_AUDITING_CLIENT_TEMPLATE.FAT&amp;display_string=Audit&amp;VAR:KEY=LYNGZKJAJU&amp;VAR:QUERY=RkZfRUJJVERBX09QRVIoUVRSLDQvMS8yMDA5LDYvMzAvMjAwOSwsLFVTRCk=&amp;WINDOW=FIRST_POPUP&amp;HEIGH","T=450&amp;WIDTH=450&amp;START_MAXIMIZED=FALSE&amp;VAR:CALENDAR=US&amp;VAR:SYMBOL=ESRX&amp;VAR:INDEX=0"}</definedName>
    <definedName name="_681__FDSAUDITLINK__" hidden="1">{"fdsup://directions/FAT Viewer?action=UPDATE&amp;creator=factset&amp;DYN_ARGS=TRUE&amp;DOC_NAME=FAT:FQL_AUDITING_CLIENT_TEMPLATE.FAT&amp;display_string=Audit&amp;VAR:KEY=LYNGZKJAJU&amp;VAR:QUERY=RkZfRUJJVERBX09QRVIoUVRSLDQvMS8yMDA5LDYvMzAvMjAwOSwsLFVTRCk=&amp;WINDOW=FIRST_POPUP&amp;HEIGH","T=450&amp;WIDTH=450&amp;START_MAXIMIZED=FALSE&amp;VAR:CALENDAR=US&amp;VAR:SYMBOL=ESRX&amp;VAR:INDEX=0"}</definedName>
    <definedName name="_682__FDSAUDITLINK__" localSheetId="1" hidden="1">{"fdsup://directions/FAT Viewer?action=UPDATE&amp;creator=factset&amp;DYN_ARGS=TRUE&amp;DOC_NAME=FAT:FQL_AUDITING_CLIENT_TEMPLATE.FAT&amp;display_string=Audit&amp;VAR:KEY=FWXYTWTQNC&amp;VAR:QUERY=RkZfRUJJVERBX09QRVIoUVRSLDQvMS8yMDEwLDYvMzAvMjAxMCwsLFVTRCk=&amp;WINDOW=FIRST_POPUP&amp;HEIGH","T=450&amp;WIDTH=450&amp;START_MAXIMIZED=FALSE&amp;VAR:CALENDAR=US&amp;VAR:SYMBOL=ESRX&amp;VAR:INDEX=0"}</definedName>
    <definedName name="_682__FDSAUDITLINK__" hidden="1">{"fdsup://directions/FAT Viewer?action=UPDATE&amp;creator=factset&amp;DYN_ARGS=TRUE&amp;DOC_NAME=FAT:FQL_AUDITING_CLIENT_TEMPLATE.FAT&amp;display_string=Audit&amp;VAR:KEY=FWXYTWTQNC&amp;VAR:QUERY=RkZfRUJJVERBX09QRVIoUVRSLDQvMS8yMDEwLDYvMzAvMjAxMCwsLFVTRCk=&amp;WINDOW=FIRST_POPUP&amp;HEIGH","T=450&amp;WIDTH=450&amp;START_MAXIMIZED=FALSE&amp;VAR:CALENDAR=US&amp;VAR:SYMBOL=ESRX&amp;VAR:INDEX=0"}</definedName>
    <definedName name="_683__FDSAUDITLINK__" localSheetId="1" hidden="1">{"fdsup://directions/FAT Viewer?action=UPDATE&amp;creator=factset&amp;DYN_ARGS=TRUE&amp;DOC_NAME=FAT:FQL_AUDITING_CLIENT_TEMPLATE.FAT&amp;display_string=Audit&amp;VAR:KEY=HMDYPAHURC&amp;VAR:QUERY=RkZfRUJJVERBX09QRVIoUVRSLDQvMS8yMDA5LDYvMzAvMjAwOSwsLFVTRCk=&amp;WINDOW=FIRST_POPUP&amp;HEIGH","T=450&amp;WIDTH=450&amp;START_MAXIMIZED=FALSE&amp;VAR:CALENDAR=US&amp;VAR:SYMBOL=ERTS&amp;VAR:INDEX=0"}</definedName>
    <definedName name="_683__FDSAUDITLINK__" hidden="1">{"fdsup://directions/FAT Viewer?action=UPDATE&amp;creator=factset&amp;DYN_ARGS=TRUE&amp;DOC_NAME=FAT:FQL_AUDITING_CLIENT_TEMPLATE.FAT&amp;display_string=Audit&amp;VAR:KEY=HMDYPAHURC&amp;VAR:QUERY=RkZfRUJJVERBX09QRVIoUVRSLDQvMS8yMDA5LDYvMzAvMjAwOSwsLFVTRCk=&amp;WINDOW=FIRST_POPUP&amp;HEIGH","T=450&amp;WIDTH=450&amp;START_MAXIMIZED=FALSE&amp;VAR:CALENDAR=US&amp;VAR:SYMBOL=ERTS&amp;VAR:INDEX=0"}</definedName>
    <definedName name="_684__FDSAUDITLINK__" localSheetId="1" hidden="1">{"fdsup://directions/FAT Viewer?action=UPDATE&amp;creator=factset&amp;DYN_ARGS=TRUE&amp;DOC_NAME=FAT:FQL_AUDITING_CLIENT_TEMPLATE.FAT&amp;display_string=Audit&amp;VAR:KEY=BCDAXMPCXQ&amp;VAR:QUERY=RkZfRUJJVERBX09QRVIoUVRSLDQvMS8yMDEwLDYvMzAvMjAxMCwsLFVTRCk=&amp;WINDOW=FIRST_POPUP&amp;HEIGH","T=450&amp;WIDTH=450&amp;START_MAXIMIZED=FALSE&amp;VAR:CALENDAR=US&amp;VAR:SYMBOL=ERTS&amp;VAR:INDEX=0"}</definedName>
    <definedName name="_684__FDSAUDITLINK__" hidden="1">{"fdsup://directions/FAT Viewer?action=UPDATE&amp;creator=factset&amp;DYN_ARGS=TRUE&amp;DOC_NAME=FAT:FQL_AUDITING_CLIENT_TEMPLATE.FAT&amp;display_string=Audit&amp;VAR:KEY=BCDAXMPCXQ&amp;VAR:QUERY=RkZfRUJJVERBX09QRVIoUVRSLDQvMS8yMDEwLDYvMzAvMjAxMCwsLFVTRCk=&amp;WINDOW=FIRST_POPUP&amp;HEIGH","T=450&amp;WIDTH=450&amp;START_MAXIMIZED=FALSE&amp;VAR:CALENDAR=US&amp;VAR:SYMBOL=ERTS&amp;VAR:INDEX=0"}</definedName>
    <definedName name="_685__FDSAUDITLINK__" localSheetId="1" hidden="1">{"fdsup://directions/FAT Viewer?action=UPDATE&amp;creator=factset&amp;DYN_ARGS=TRUE&amp;DOC_NAME=FAT:FQL_AUDITING_CLIENT_TEMPLATE.FAT&amp;display_string=Audit&amp;VAR:KEY=JAZQHEVGVY&amp;VAR:QUERY=RkZfRUJJVERBX09QRVIoUVRSLDQvMS8yMDA5LDYvMzAvMjAwOSwsLFVTRCk=&amp;WINDOW=FIRST_POPUP&amp;HEIGH","T=450&amp;WIDTH=450&amp;START_MAXIMIZED=FALSE&amp;VAR:CALENDAR=US&amp;VAR:SYMBOL=EQT&amp;VAR:INDEX=0"}</definedName>
    <definedName name="_685__FDSAUDITLINK__" hidden="1">{"fdsup://directions/FAT Viewer?action=UPDATE&amp;creator=factset&amp;DYN_ARGS=TRUE&amp;DOC_NAME=FAT:FQL_AUDITING_CLIENT_TEMPLATE.FAT&amp;display_string=Audit&amp;VAR:KEY=JAZQHEVGVY&amp;VAR:QUERY=RkZfRUJJVERBX09QRVIoUVRSLDQvMS8yMDA5LDYvMzAvMjAwOSwsLFVTRCk=&amp;WINDOW=FIRST_POPUP&amp;HEIGH","T=450&amp;WIDTH=450&amp;START_MAXIMIZED=FALSE&amp;VAR:CALENDAR=US&amp;VAR:SYMBOL=EQT&amp;VAR:INDEX=0"}</definedName>
    <definedName name="_686__FDSAUDITLINK__" localSheetId="1" hidden="1">{"fdsup://directions/FAT Viewer?action=UPDATE&amp;creator=factset&amp;DYN_ARGS=TRUE&amp;DOC_NAME=FAT:FQL_AUDITING_CLIENT_TEMPLATE.FAT&amp;display_string=Audit&amp;VAR:KEY=RKZWPAZEDQ&amp;VAR:QUERY=RkZfRUJJVERBX09QRVIoUVRSLDQvMS8yMDEwLDYvMzAvMjAxMCwsLFVTRCk=&amp;WINDOW=FIRST_POPUP&amp;HEIGH","T=450&amp;WIDTH=450&amp;START_MAXIMIZED=FALSE&amp;VAR:CALENDAR=US&amp;VAR:SYMBOL=EQT&amp;VAR:INDEX=0"}</definedName>
    <definedName name="_686__FDSAUDITLINK__" hidden="1">{"fdsup://directions/FAT Viewer?action=UPDATE&amp;creator=factset&amp;DYN_ARGS=TRUE&amp;DOC_NAME=FAT:FQL_AUDITING_CLIENT_TEMPLATE.FAT&amp;display_string=Audit&amp;VAR:KEY=RKZWPAZEDQ&amp;VAR:QUERY=RkZfRUJJVERBX09QRVIoUVRSLDQvMS8yMDEwLDYvMzAvMjAxMCwsLFVTRCk=&amp;WINDOW=FIRST_POPUP&amp;HEIGH","T=450&amp;WIDTH=450&amp;START_MAXIMIZED=FALSE&amp;VAR:CALENDAR=US&amp;VAR:SYMBOL=EQT&amp;VAR:INDEX=0"}</definedName>
    <definedName name="_687__FDSAUDITLINK__" localSheetId="1" hidden="1">{"fdsup://directions/FAT Viewer?action=UPDATE&amp;creator=factset&amp;DYN_ARGS=TRUE&amp;DOC_NAME=FAT:FQL_AUDITING_CLIENT_TEMPLATE.FAT&amp;display_string=Audit&amp;VAR:KEY=NIDKNWFOXM&amp;VAR:QUERY=RkZfRUJJVERBX09QRVIoUVRSLDQvMS8yMDA5LDYvMzAvMjAwOSwsLFVTRCk=&amp;WINDOW=FIRST_POPUP&amp;HEIGH","T=450&amp;WIDTH=450&amp;START_MAXIMIZED=FALSE&amp;VAR:CALENDAR=US&amp;VAR:SYMBOL=EQR&amp;VAR:INDEX=0"}</definedName>
    <definedName name="_687__FDSAUDITLINK__" hidden="1">{"fdsup://directions/FAT Viewer?action=UPDATE&amp;creator=factset&amp;DYN_ARGS=TRUE&amp;DOC_NAME=FAT:FQL_AUDITING_CLIENT_TEMPLATE.FAT&amp;display_string=Audit&amp;VAR:KEY=NIDKNWFOXM&amp;VAR:QUERY=RkZfRUJJVERBX09QRVIoUVRSLDQvMS8yMDA5LDYvMzAvMjAwOSwsLFVTRCk=&amp;WINDOW=FIRST_POPUP&amp;HEIGH","T=450&amp;WIDTH=450&amp;START_MAXIMIZED=FALSE&amp;VAR:CALENDAR=US&amp;VAR:SYMBOL=EQR&amp;VAR:INDEX=0"}</definedName>
    <definedName name="_688__FDSAUDITLINK__" localSheetId="1" hidden="1">{"fdsup://directions/FAT Viewer?action=UPDATE&amp;creator=factset&amp;DYN_ARGS=TRUE&amp;DOC_NAME=FAT:FQL_AUDITING_CLIENT_TEMPLATE.FAT&amp;display_string=Audit&amp;VAR:KEY=JWVSVABCDC&amp;VAR:QUERY=RkZfRUJJVERBX09QRVIoUVRSLDQvMS8yMDEwLDYvMzAvMjAxMCwsLFVTRCk=&amp;WINDOW=FIRST_POPUP&amp;HEIGH","T=450&amp;WIDTH=450&amp;START_MAXIMIZED=FALSE&amp;VAR:CALENDAR=US&amp;VAR:SYMBOL=EQR&amp;VAR:INDEX=0"}</definedName>
    <definedName name="_688__FDSAUDITLINK__" hidden="1">{"fdsup://directions/FAT Viewer?action=UPDATE&amp;creator=factset&amp;DYN_ARGS=TRUE&amp;DOC_NAME=FAT:FQL_AUDITING_CLIENT_TEMPLATE.FAT&amp;display_string=Audit&amp;VAR:KEY=JWVSVABCDC&amp;VAR:QUERY=RkZfRUJJVERBX09QRVIoUVRSLDQvMS8yMDEwLDYvMzAvMjAxMCwsLFVTRCk=&amp;WINDOW=FIRST_POPUP&amp;HEIGH","T=450&amp;WIDTH=450&amp;START_MAXIMIZED=FALSE&amp;VAR:CALENDAR=US&amp;VAR:SYMBOL=EQR&amp;VAR:INDEX=0"}</definedName>
    <definedName name="_689__FDSAUDITLINK__" localSheetId="1" hidden="1">{"fdsup://directions/FAT Viewer?action=UPDATE&amp;creator=factset&amp;DYN_ARGS=TRUE&amp;DOC_NAME=FAT:FQL_AUDITING_CLIENT_TEMPLATE.FAT&amp;display_string=Audit&amp;VAR:KEY=BCRQPUZMVE&amp;VAR:QUERY=RkZfRUJJVERBX09QRVIoUVRSLDQvMS8yMDA5LDYvMzAvMjAwOSwsLFVTRCk=&amp;WINDOW=FIRST_POPUP&amp;HEIGH","T=450&amp;WIDTH=450&amp;START_MAXIMIZED=FALSE&amp;VAR:CALENDAR=US&amp;VAR:SYMBOL=EP&amp;VAR:INDEX=0"}</definedName>
    <definedName name="_689__FDSAUDITLINK__" hidden="1">{"fdsup://directions/FAT Viewer?action=UPDATE&amp;creator=factset&amp;DYN_ARGS=TRUE&amp;DOC_NAME=FAT:FQL_AUDITING_CLIENT_TEMPLATE.FAT&amp;display_string=Audit&amp;VAR:KEY=BCRQPUZMVE&amp;VAR:QUERY=RkZfRUJJVERBX09QRVIoUVRSLDQvMS8yMDA5LDYvMzAvMjAwOSwsLFVTRCk=&amp;WINDOW=FIRST_POPUP&amp;HEIGH","T=450&amp;WIDTH=450&amp;START_MAXIMIZED=FALSE&amp;VAR:CALENDAR=US&amp;VAR:SYMBOL=EP&amp;VAR:INDEX=0"}</definedName>
    <definedName name="_69__FDSAUDITLINK__" localSheetId="1" hidden="1">{"fdsup://directions/FAT Viewer?action=UPDATE&amp;creator=factset&amp;DYN_ARGS=TRUE&amp;DOC_NAME=FAT:FQL_AUDITING_CLIENT_TEMPLATE.FAT&amp;display_string=Audit&amp;VAR:KEY=LADYLKZWVS&amp;VAR:QUERY=RkZfRUJJVERBX09QRVIoUVRSLDQvMS8yMDA5LDYvMzAvMjAwOSwsLFVTRCk=&amp;WINDOW=FIRST_POPUP&amp;HEIGH","T=450&amp;WIDTH=450&amp;START_MAXIMIZED=FALSE&amp;VAR:CALENDAR=US&amp;VAR:SYMBOL=VMC&amp;VAR:INDEX=0"}</definedName>
    <definedName name="_69__FDSAUDITLINK__" hidden="1">{"fdsup://directions/FAT Viewer?action=UPDATE&amp;creator=factset&amp;DYN_ARGS=TRUE&amp;DOC_NAME=FAT:FQL_AUDITING_CLIENT_TEMPLATE.FAT&amp;display_string=Audit&amp;VAR:KEY=LADYLKZWVS&amp;VAR:QUERY=RkZfRUJJVERBX09QRVIoUVRSLDQvMS8yMDA5LDYvMzAvMjAwOSwsLFVTRCk=&amp;WINDOW=FIRST_POPUP&amp;HEIGH","T=450&amp;WIDTH=450&amp;START_MAXIMIZED=FALSE&amp;VAR:CALENDAR=US&amp;VAR:SYMBOL=VMC&amp;VAR:INDEX=0"}</definedName>
    <definedName name="_690__FDSAUDITLINK__" localSheetId="1" hidden="1">{"fdsup://directions/FAT Viewer?action=UPDATE&amp;creator=factset&amp;DYN_ARGS=TRUE&amp;DOC_NAME=FAT:FQL_AUDITING_CLIENT_TEMPLATE.FAT&amp;display_string=Audit&amp;VAR:KEY=XMTORQHYBU&amp;VAR:QUERY=RkZfRUJJVERBX09QRVIoUVRSLDQvMS8yMDEwLDYvMzAvMjAxMCwsLFVTRCk=&amp;WINDOW=FIRST_POPUP&amp;HEIGH","T=450&amp;WIDTH=450&amp;START_MAXIMIZED=FALSE&amp;VAR:CALENDAR=US&amp;VAR:SYMBOL=EP&amp;VAR:INDEX=0"}</definedName>
    <definedName name="_690__FDSAUDITLINK__" hidden="1">{"fdsup://directions/FAT Viewer?action=UPDATE&amp;creator=factset&amp;DYN_ARGS=TRUE&amp;DOC_NAME=FAT:FQL_AUDITING_CLIENT_TEMPLATE.FAT&amp;display_string=Audit&amp;VAR:KEY=XMTORQHYBU&amp;VAR:QUERY=RkZfRUJJVERBX09QRVIoUVRSLDQvMS8yMDEwLDYvMzAvMjAxMCwsLFVTRCk=&amp;WINDOW=FIRST_POPUP&amp;HEIGH","T=450&amp;WIDTH=450&amp;START_MAXIMIZED=FALSE&amp;VAR:CALENDAR=US&amp;VAR:SYMBOL=EP&amp;VAR:INDEX=0"}</definedName>
    <definedName name="_691__FDSAUDITLINK__" localSheetId="1" hidden="1">{"fdsup://directions/FAT Viewer?action=UPDATE&amp;creator=factset&amp;DYN_ARGS=TRUE&amp;DOC_NAME=FAT:FQL_AUDITING_CLIENT_TEMPLATE.FAT&amp;display_string=Audit&amp;VAR:KEY=VWXEVIBITA&amp;VAR:QUERY=RkZfRUJJVERBX09QRVIoUVRSLDQvMS8yMDA5LDYvMzAvMjAwOSwsLFVTRCk=&amp;WINDOW=FIRST_POPUP&amp;HEIGH","T=450&amp;WIDTH=450&amp;START_MAXIMIZED=FALSE&amp;VAR:CALENDAR=US&amp;VAR:SYMBOL=EOG&amp;VAR:INDEX=0"}</definedName>
    <definedName name="_691__FDSAUDITLINK__" hidden="1">{"fdsup://directions/FAT Viewer?action=UPDATE&amp;creator=factset&amp;DYN_ARGS=TRUE&amp;DOC_NAME=FAT:FQL_AUDITING_CLIENT_TEMPLATE.FAT&amp;display_string=Audit&amp;VAR:KEY=VWXEVIBITA&amp;VAR:QUERY=RkZfRUJJVERBX09QRVIoUVRSLDQvMS8yMDA5LDYvMzAvMjAwOSwsLFVTRCk=&amp;WINDOW=FIRST_POPUP&amp;HEIGH","T=450&amp;WIDTH=450&amp;START_MAXIMIZED=FALSE&amp;VAR:CALENDAR=US&amp;VAR:SYMBOL=EOG&amp;VAR:INDEX=0"}</definedName>
    <definedName name="_692__FDSAUDITLINK__" localSheetId="1" hidden="1">{"fdsup://directions/FAT Viewer?action=UPDATE&amp;creator=factset&amp;DYN_ARGS=TRUE&amp;DOC_NAME=FAT:FQL_AUDITING_CLIENT_TEMPLATE.FAT&amp;display_string=Audit&amp;VAR:KEY=LWZMBQZULI&amp;VAR:QUERY=RkZfRUJJVERBX09QRVIoUVRSLDQvMS8yMDEwLDYvMzAvMjAxMCwsLFVTRCk=&amp;WINDOW=FIRST_POPUP&amp;HEIGH","T=450&amp;WIDTH=450&amp;START_MAXIMIZED=FALSE&amp;VAR:CALENDAR=US&amp;VAR:SYMBOL=EOG&amp;VAR:INDEX=0"}</definedName>
    <definedName name="_692__FDSAUDITLINK__" hidden="1">{"fdsup://directions/FAT Viewer?action=UPDATE&amp;creator=factset&amp;DYN_ARGS=TRUE&amp;DOC_NAME=FAT:FQL_AUDITING_CLIENT_TEMPLATE.FAT&amp;display_string=Audit&amp;VAR:KEY=LWZMBQZULI&amp;VAR:QUERY=RkZfRUJJVERBX09QRVIoUVRSLDQvMS8yMDEwLDYvMzAvMjAxMCwsLFVTRCk=&amp;WINDOW=FIRST_POPUP&amp;HEIGH","T=450&amp;WIDTH=450&amp;START_MAXIMIZED=FALSE&amp;VAR:CALENDAR=US&amp;VAR:SYMBOL=EOG&amp;VAR:INDEX=0"}</definedName>
    <definedName name="_693__FDSAUDITLINK__" localSheetId="1" hidden="1">{"fdsup://directions/FAT Viewer?action=UPDATE&amp;creator=factset&amp;DYN_ARGS=TRUE&amp;DOC_NAME=FAT:FQL_AUDITING_CLIENT_TEMPLATE.FAT&amp;display_string=Audit&amp;VAR:KEY=HIDOZSTEFG&amp;VAR:QUERY=RkZfRUJJVERBX09QRVIoUVRSLDQvMS8yMDA5LDYvMzAvMjAwOSwsLFVTRCk=&amp;WINDOW=FIRST_POPUP&amp;HEIGH","T=450&amp;WIDTH=450&amp;START_MAXIMIZED=FALSE&amp;VAR:CALENDAR=US&amp;VAR:SYMBOL=EMR&amp;VAR:INDEX=0"}</definedName>
    <definedName name="_693__FDSAUDITLINK__" hidden="1">{"fdsup://directions/FAT Viewer?action=UPDATE&amp;creator=factset&amp;DYN_ARGS=TRUE&amp;DOC_NAME=FAT:FQL_AUDITING_CLIENT_TEMPLATE.FAT&amp;display_string=Audit&amp;VAR:KEY=HIDOZSTEFG&amp;VAR:QUERY=RkZfRUJJVERBX09QRVIoUVRSLDQvMS8yMDA5LDYvMzAvMjAwOSwsLFVTRCk=&amp;WINDOW=FIRST_POPUP&amp;HEIGH","T=450&amp;WIDTH=450&amp;START_MAXIMIZED=FALSE&amp;VAR:CALENDAR=US&amp;VAR:SYMBOL=EMR&amp;VAR:INDEX=0"}</definedName>
    <definedName name="_694__FDSAUDITLINK__" localSheetId="1" hidden="1">{"fdsup://directions/FAT Viewer?action=UPDATE&amp;creator=factset&amp;DYN_ARGS=TRUE&amp;DOC_NAME=FAT:FQL_AUDITING_CLIENT_TEMPLATE.FAT&amp;display_string=Audit&amp;VAR:KEY=TOTMLSXUPY&amp;VAR:QUERY=RkZfRUJJVERBX09QRVIoUVRSLDQvMS8yMDEwLDYvMzAvMjAxMCwsLFVTRCk=&amp;WINDOW=FIRST_POPUP&amp;HEIGH","T=450&amp;WIDTH=450&amp;START_MAXIMIZED=FALSE&amp;VAR:CALENDAR=US&amp;VAR:SYMBOL=EMR&amp;VAR:INDEX=0"}</definedName>
    <definedName name="_694__FDSAUDITLINK__" hidden="1">{"fdsup://directions/FAT Viewer?action=UPDATE&amp;creator=factset&amp;DYN_ARGS=TRUE&amp;DOC_NAME=FAT:FQL_AUDITING_CLIENT_TEMPLATE.FAT&amp;display_string=Audit&amp;VAR:KEY=TOTMLSXUPY&amp;VAR:QUERY=RkZfRUJJVERBX09QRVIoUVRSLDQvMS8yMDEwLDYvMzAvMjAxMCwsLFVTRCk=&amp;WINDOW=FIRST_POPUP&amp;HEIGH","T=450&amp;WIDTH=450&amp;START_MAXIMIZED=FALSE&amp;VAR:CALENDAR=US&amp;VAR:SYMBOL=EMR&amp;VAR:INDEX=0"}</definedName>
    <definedName name="_695__FDSAUDITLINK__" localSheetId="1" hidden="1">{"fdsup://directions/FAT Viewer?action=UPDATE&amp;creator=factset&amp;DYN_ARGS=TRUE&amp;DOC_NAME=FAT:FQL_AUDITING_CLIENT_TEMPLATE.FAT&amp;display_string=Audit&amp;VAR:KEY=NCFCBQBATU&amp;VAR:QUERY=RkZfRUJJVERBX09QRVIoUVRSLDQvMS8yMDA5LDYvMzAvMjAwOSwsLFVTRCk=&amp;WINDOW=FIRST_POPUP&amp;HEIGH","T=450&amp;WIDTH=450&amp;START_MAXIMIZED=FALSE&amp;VAR:CALENDAR=US&amp;VAR:SYMBOL=EMN&amp;VAR:INDEX=0"}</definedName>
    <definedName name="_695__FDSAUDITLINK__" hidden="1">{"fdsup://directions/FAT Viewer?action=UPDATE&amp;creator=factset&amp;DYN_ARGS=TRUE&amp;DOC_NAME=FAT:FQL_AUDITING_CLIENT_TEMPLATE.FAT&amp;display_string=Audit&amp;VAR:KEY=NCFCBQBATU&amp;VAR:QUERY=RkZfRUJJVERBX09QRVIoUVRSLDQvMS8yMDA5LDYvMzAvMjAwOSwsLFVTRCk=&amp;WINDOW=FIRST_POPUP&amp;HEIGH","T=450&amp;WIDTH=450&amp;START_MAXIMIZED=FALSE&amp;VAR:CALENDAR=US&amp;VAR:SYMBOL=EMN&amp;VAR:INDEX=0"}</definedName>
    <definedName name="_696__FDSAUDITLINK__" localSheetId="1" hidden="1">{"fdsup://directions/FAT Viewer?action=UPDATE&amp;creator=factset&amp;DYN_ARGS=TRUE&amp;DOC_NAME=FAT:FQL_AUDITING_CLIENT_TEMPLATE.FAT&amp;display_string=Audit&amp;VAR:KEY=VMXQPOHKJS&amp;VAR:QUERY=RkZfRUJJVERBX09QRVIoUVRSLDQvMS8yMDEwLDYvMzAvMjAxMCwsLFVTRCk=&amp;WINDOW=FIRST_POPUP&amp;HEIGH","T=450&amp;WIDTH=450&amp;START_MAXIMIZED=FALSE&amp;VAR:CALENDAR=US&amp;VAR:SYMBOL=EMN&amp;VAR:INDEX=0"}</definedName>
    <definedName name="_696__FDSAUDITLINK__" hidden="1">{"fdsup://directions/FAT Viewer?action=UPDATE&amp;creator=factset&amp;DYN_ARGS=TRUE&amp;DOC_NAME=FAT:FQL_AUDITING_CLIENT_TEMPLATE.FAT&amp;display_string=Audit&amp;VAR:KEY=VMXQPOHKJS&amp;VAR:QUERY=RkZfRUJJVERBX09QRVIoUVRSLDQvMS8yMDEwLDYvMzAvMjAxMCwsLFVTRCk=&amp;WINDOW=FIRST_POPUP&amp;HEIGH","T=450&amp;WIDTH=450&amp;START_MAXIMIZED=FALSE&amp;VAR:CALENDAR=US&amp;VAR:SYMBOL=EMN&amp;VAR:INDEX=0"}</definedName>
    <definedName name="_697__FDSAUDITLINK__" localSheetId="1" hidden="1">{"fdsup://directions/FAT Viewer?action=UPDATE&amp;creator=factset&amp;DYN_ARGS=TRUE&amp;DOC_NAME=FAT:FQL_AUDITING_CLIENT_TEMPLATE.FAT&amp;display_string=Audit&amp;VAR:KEY=LORYLSRAVW&amp;VAR:QUERY=RkZfRUJJVERBX09QRVIoUVRSLDQvMS8yMDA5LDYvMzAvMjAwOSwsLFVTRCk=&amp;WINDOW=FIRST_POPUP&amp;HEIGH","T=450&amp;WIDTH=450&amp;START_MAXIMIZED=FALSE&amp;VAR:CALENDAR=US&amp;VAR:SYMBOL=EMC&amp;VAR:INDEX=0"}</definedName>
    <definedName name="_697__FDSAUDITLINK__" hidden="1">{"fdsup://directions/FAT Viewer?action=UPDATE&amp;creator=factset&amp;DYN_ARGS=TRUE&amp;DOC_NAME=FAT:FQL_AUDITING_CLIENT_TEMPLATE.FAT&amp;display_string=Audit&amp;VAR:KEY=LORYLSRAVW&amp;VAR:QUERY=RkZfRUJJVERBX09QRVIoUVRSLDQvMS8yMDA5LDYvMzAvMjAwOSwsLFVTRCk=&amp;WINDOW=FIRST_POPUP&amp;HEIGH","T=450&amp;WIDTH=450&amp;START_MAXIMIZED=FALSE&amp;VAR:CALENDAR=US&amp;VAR:SYMBOL=EMC&amp;VAR:INDEX=0"}</definedName>
    <definedName name="_698__FDSAUDITLINK__" localSheetId="1" hidden="1">{"fdsup://directions/FAT Viewer?action=UPDATE&amp;creator=factset&amp;DYN_ARGS=TRUE&amp;DOC_NAME=FAT:FQL_AUDITING_CLIENT_TEMPLATE.FAT&amp;display_string=Audit&amp;VAR:KEY=PKLIBGDSXA&amp;VAR:QUERY=RkZfRUJJVERBX09QRVIoUVRSLDQvMS8yMDEwLDYvMzAvMjAxMCwsLFVTRCk=&amp;WINDOW=FIRST_POPUP&amp;HEIGH","T=450&amp;WIDTH=450&amp;START_MAXIMIZED=FALSE&amp;VAR:CALENDAR=US&amp;VAR:SYMBOL=EMC&amp;VAR:INDEX=0"}</definedName>
    <definedName name="_698__FDSAUDITLINK__" hidden="1">{"fdsup://directions/FAT Viewer?action=UPDATE&amp;creator=factset&amp;DYN_ARGS=TRUE&amp;DOC_NAME=FAT:FQL_AUDITING_CLIENT_TEMPLATE.FAT&amp;display_string=Audit&amp;VAR:KEY=PKLIBGDSXA&amp;VAR:QUERY=RkZfRUJJVERBX09QRVIoUVRSLDQvMS8yMDEwLDYvMzAvMjAxMCwsLFVTRCk=&amp;WINDOW=FIRST_POPUP&amp;HEIGH","T=450&amp;WIDTH=450&amp;START_MAXIMIZED=FALSE&amp;VAR:CALENDAR=US&amp;VAR:SYMBOL=EMC&amp;VAR:INDEX=0"}</definedName>
    <definedName name="_699__FDSAUDITLINK__" localSheetId="1" hidden="1">{"fdsup://directions/FAT Viewer?action=UPDATE&amp;creator=factset&amp;DYN_ARGS=TRUE&amp;DOC_NAME=FAT:FQL_AUDITING_CLIENT_TEMPLATE.FAT&amp;display_string=Audit&amp;VAR:KEY=TEJEJMRSRA&amp;VAR:QUERY=RkZfRUJJVERBX09QRVIoUVRSLDQvMS8yMDA5LDYvMzAvMjAwOSwsLFVTRCk=&amp;WINDOW=FIRST_POPUP&amp;HEIGH","T=450&amp;WIDTH=450&amp;START_MAXIMIZED=FALSE&amp;VAR:CALENDAR=US&amp;VAR:SYMBOL=EL&amp;VAR:INDEX=0"}</definedName>
    <definedName name="_699__FDSAUDITLINK__" hidden="1">{"fdsup://directions/FAT Viewer?action=UPDATE&amp;creator=factset&amp;DYN_ARGS=TRUE&amp;DOC_NAME=FAT:FQL_AUDITING_CLIENT_TEMPLATE.FAT&amp;display_string=Audit&amp;VAR:KEY=TEJEJMRSRA&amp;VAR:QUERY=RkZfRUJJVERBX09QRVIoUVRSLDQvMS8yMDA5LDYvMzAvMjAwOSwsLFVTRCk=&amp;WINDOW=FIRST_POPUP&amp;HEIGH","T=450&amp;WIDTH=450&amp;START_MAXIMIZED=FALSE&amp;VAR:CALENDAR=US&amp;VAR:SYMBOL=EL&amp;VAR:INDEX=0"}</definedName>
    <definedName name="_7__FDSAUDITLINK__" localSheetId="1" hidden="1">{"fdsup://directions/FAT Viewer?action=UPDATE&amp;creator=factset&amp;DYN_ARGS=TRUE&amp;DOC_NAME=FAT:FQL_AUDITING_CLIENT_TEMPLATE.FAT&amp;display_string=Audit&amp;VAR:KEY=RQRAXKREZW&amp;VAR:QUERY=RkZfRUJJVERBX09QRVIoUVRSLDQvMS8yMDA5LDYvMzAvMjAwOSwsLFVTRCk=&amp;WINDOW=FIRST_POPUP&amp;HEIGH","T=450&amp;WIDTH=450&amp;START_MAXIMIZED=FALSE&amp;VAR:CALENDAR=US&amp;VAR:SYMBOL=YHOO&amp;VAR:INDEX=0"}</definedName>
    <definedName name="_7__FDSAUDITLINK__" hidden="1">{"fdsup://Directions/FactSet Auditing Viewer?action=AUDIT_VALUE&amp;DB=129&amp;ID1=88250810&amp;VALUEID=02001&amp;SDATE=200903&amp;PERIODTYPE=QTR_STD&amp;window=popup_no_bar&amp;width=385&amp;height=120&amp;START_MAXIMIZED=FALSE&amp;creator=factset&amp;display_string=Audit"}</definedName>
    <definedName name="_70__FDSAUDITLINK__" localSheetId="1" hidden="1">{"fdsup://directions/FAT Viewer?action=UPDATE&amp;creator=factset&amp;DYN_ARGS=TRUE&amp;DOC_NAME=FAT:FQL_AUDITING_CLIENT_TEMPLATE.FAT&amp;display_string=Audit&amp;VAR:KEY=JWPMNADMTO&amp;VAR:QUERY=RkZfRUJJVERBX09QRVIoUVRSLDQvMS8yMDEwLDYvMzAvMjAxMCwsLFVTRCk=&amp;WINDOW=FIRST_POPUP&amp;HEIGH","T=450&amp;WIDTH=450&amp;START_MAXIMIZED=FALSE&amp;VAR:CALENDAR=US&amp;VAR:SYMBOL=VMC&amp;VAR:INDEX=0"}</definedName>
    <definedName name="_70__FDSAUDITLINK__" hidden="1">{"fdsup://directions/FAT Viewer?action=UPDATE&amp;creator=factset&amp;DYN_ARGS=TRUE&amp;DOC_NAME=FAT:FQL_AUDITING_CLIENT_TEMPLATE.FAT&amp;display_string=Audit&amp;VAR:KEY=JWPMNADMTO&amp;VAR:QUERY=RkZfRUJJVERBX09QRVIoUVRSLDQvMS8yMDEwLDYvMzAvMjAxMCwsLFVTRCk=&amp;WINDOW=FIRST_POPUP&amp;HEIGH","T=450&amp;WIDTH=450&amp;START_MAXIMIZED=FALSE&amp;VAR:CALENDAR=US&amp;VAR:SYMBOL=VMC&amp;VAR:INDEX=0"}</definedName>
    <definedName name="_700__FDSAUDITLINK__" localSheetId="1" hidden="1">{"fdsup://directions/FAT Viewer?action=UPDATE&amp;creator=factset&amp;DYN_ARGS=TRUE&amp;DOC_NAME=FAT:FQL_AUDITING_CLIENT_TEMPLATE.FAT&amp;display_string=Audit&amp;VAR:KEY=RUNYRABSZM&amp;VAR:QUERY=RkZfRUJJVERBX09QRVIoUVRSLDQvMS8yMDEwLDYvMzAvMjAxMCwsLFVTRCk=&amp;WINDOW=FIRST_POPUP&amp;HEIGH","T=450&amp;WIDTH=450&amp;START_MAXIMIZED=FALSE&amp;VAR:CALENDAR=US&amp;VAR:SYMBOL=EL&amp;VAR:INDEX=0"}</definedName>
    <definedName name="_700__FDSAUDITLINK__" hidden="1">{"fdsup://directions/FAT Viewer?action=UPDATE&amp;creator=factset&amp;DYN_ARGS=TRUE&amp;DOC_NAME=FAT:FQL_AUDITING_CLIENT_TEMPLATE.FAT&amp;display_string=Audit&amp;VAR:KEY=RUNYRABSZM&amp;VAR:QUERY=RkZfRUJJVERBX09QRVIoUVRSLDQvMS8yMDEwLDYvMzAvMjAxMCwsLFVTRCk=&amp;WINDOW=FIRST_POPUP&amp;HEIGH","T=450&amp;WIDTH=450&amp;START_MAXIMIZED=FALSE&amp;VAR:CALENDAR=US&amp;VAR:SYMBOL=EL&amp;VAR:INDEX=0"}</definedName>
    <definedName name="_701__FDSAUDITLINK__" localSheetId="1" hidden="1">{"fdsup://directions/FAT Viewer?action=UPDATE&amp;creator=factset&amp;DYN_ARGS=TRUE&amp;DOC_NAME=FAT:FQL_AUDITING_CLIENT_TEMPLATE.FAT&amp;display_string=Audit&amp;VAR:KEY=JWLIZOFMBE&amp;VAR:QUERY=RkZfRUJJVERBX09QRVIoUVRSLDQvMS8yMDA5LDYvMzAvMjAwOSwsLFVTRCk=&amp;WINDOW=FIRST_POPUP&amp;HEIGH","T=450&amp;WIDTH=450&amp;START_MAXIMIZED=FALSE&amp;VAR:CALENDAR=US&amp;VAR:SYMBOL=EK&amp;VAR:INDEX=0"}</definedName>
    <definedName name="_701__FDSAUDITLINK__" hidden="1">{"fdsup://directions/FAT Viewer?action=UPDATE&amp;creator=factset&amp;DYN_ARGS=TRUE&amp;DOC_NAME=FAT:FQL_AUDITING_CLIENT_TEMPLATE.FAT&amp;display_string=Audit&amp;VAR:KEY=JWLIZOFMBE&amp;VAR:QUERY=RkZfRUJJVERBX09QRVIoUVRSLDQvMS8yMDA5LDYvMzAvMjAwOSwsLFVTRCk=&amp;WINDOW=FIRST_POPUP&amp;HEIGH","T=450&amp;WIDTH=450&amp;START_MAXIMIZED=FALSE&amp;VAR:CALENDAR=US&amp;VAR:SYMBOL=EK&amp;VAR:INDEX=0"}</definedName>
    <definedName name="_702__FDSAUDITLINK__" localSheetId="1" hidden="1">{"fdsup://directions/FAT Viewer?action=UPDATE&amp;creator=factset&amp;DYN_ARGS=TRUE&amp;DOC_NAME=FAT:FQL_AUDITING_CLIENT_TEMPLATE.FAT&amp;display_string=Audit&amp;VAR:KEY=XKVIBURQPS&amp;VAR:QUERY=RkZfRUJJVERBX09QRVIoUVRSLDQvMS8yMDEwLDYvMzAvMjAxMCwsLFVTRCk=&amp;WINDOW=FIRST_POPUP&amp;HEIGH","T=450&amp;WIDTH=450&amp;START_MAXIMIZED=FALSE&amp;VAR:CALENDAR=US&amp;VAR:SYMBOL=EK&amp;VAR:INDEX=0"}</definedName>
    <definedName name="_702__FDSAUDITLINK__" hidden="1">{"fdsup://directions/FAT Viewer?action=UPDATE&amp;creator=factset&amp;DYN_ARGS=TRUE&amp;DOC_NAME=FAT:FQL_AUDITING_CLIENT_TEMPLATE.FAT&amp;display_string=Audit&amp;VAR:KEY=XKVIBURQPS&amp;VAR:QUERY=RkZfRUJJVERBX09QRVIoUVRSLDQvMS8yMDEwLDYvMzAvMjAxMCwsLFVTRCk=&amp;WINDOW=FIRST_POPUP&amp;HEIGH","T=450&amp;WIDTH=450&amp;START_MAXIMIZED=FALSE&amp;VAR:CALENDAR=US&amp;VAR:SYMBOL=EK&amp;VAR:INDEX=0"}</definedName>
    <definedName name="_703__FDSAUDITLINK__" localSheetId="1" hidden="1">{"fdsup://directions/FAT Viewer?action=UPDATE&amp;creator=factset&amp;DYN_ARGS=TRUE&amp;DOC_NAME=FAT:FQL_AUDITING_CLIENT_TEMPLATE.FAT&amp;display_string=Audit&amp;VAR:KEY=NYVEVARMTY&amp;VAR:QUERY=RkZfRUJJVERBX09QRVIoUVRSLDQvMS8yMDA5LDYvMzAvMjAwOSwsLFVTRCk=&amp;WINDOW=FIRST_POPUP&amp;HEIGH","T=450&amp;WIDTH=450&amp;START_MAXIMIZED=FALSE&amp;VAR:CALENDAR=US&amp;VAR:SYMBOL=EIX&amp;VAR:INDEX=0"}</definedName>
    <definedName name="_703__FDSAUDITLINK__" hidden="1">{"fdsup://directions/FAT Viewer?action=UPDATE&amp;creator=factset&amp;DYN_ARGS=TRUE&amp;DOC_NAME=FAT:FQL_AUDITING_CLIENT_TEMPLATE.FAT&amp;display_string=Audit&amp;VAR:KEY=NYVEVARMTY&amp;VAR:QUERY=RkZfRUJJVERBX09QRVIoUVRSLDQvMS8yMDA5LDYvMzAvMjAwOSwsLFVTRCk=&amp;WINDOW=FIRST_POPUP&amp;HEIGH","T=450&amp;WIDTH=450&amp;START_MAXIMIZED=FALSE&amp;VAR:CALENDAR=US&amp;VAR:SYMBOL=EIX&amp;VAR:INDEX=0"}</definedName>
    <definedName name="_704__FDSAUDITLINK__" localSheetId="1" hidden="1">{"fdsup://directions/FAT Viewer?action=UPDATE&amp;creator=factset&amp;DYN_ARGS=TRUE&amp;DOC_NAME=FAT:FQL_AUDITING_CLIENT_TEMPLATE.FAT&amp;display_string=Audit&amp;VAR:KEY=VQNIHQHGNI&amp;VAR:QUERY=RkZfRUJJVERBX09QRVIoUVRSLDQvMS8yMDEwLDYvMzAvMjAxMCwsLFVTRCk=&amp;WINDOW=FIRST_POPUP&amp;HEIGH","T=450&amp;WIDTH=450&amp;START_MAXIMIZED=FALSE&amp;VAR:CALENDAR=US&amp;VAR:SYMBOL=EIX&amp;VAR:INDEX=0"}</definedName>
    <definedName name="_704__FDSAUDITLINK__" hidden="1">{"fdsup://directions/FAT Viewer?action=UPDATE&amp;creator=factset&amp;DYN_ARGS=TRUE&amp;DOC_NAME=FAT:FQL_AUDITING_CLIENT_TEMPLATE.FAT&amp;display_string=Audit&amp;VAR:KEY=VQNIHQHGNI&amp;VAR:QUERY=RkZfRUJJVERBX09QRVIoUVRSLDQvMS8yMDEwLDYvMzAvMjAxMCwsLFVTRCk=&amp;WINDOW=FIRST_POPUP&amp;HEIGH","T=450&amp;WIDTH=450&amp;START_MAXIMIZED=FALSE&amp;VAR:CALENDAR=US&amp;VAR:SYMBOL=EIX&amp;VAR:INDEX=0"}</definedName>
    <definedName name="_705__FDSAUDITLINK__" localSheetId="1" hidden="1">{"fdsup://directions/FAT Viewer?action=UPDATE&amp;creator=factset&amp;DYN_ARGS=TRUE&amp;DOC_NAME=FAT:FQL_AUDITING_CLIENT_TEMPLATE.FAT&amp;display_string=Audit&amp;VAR:KEY=PMTKZODCDO&amp;VAR:QUERY=RkZfRUJJVERBX09QRVIoUVRSLDQvMS8yMDA5LDYvMzAvMjAwOSwsLFVTRCk=&amp;WINDOW=FIRST_POPUP&amp;HEIGH","T=450&amp;WIDTH=450&amp;START_MAXIMIZED=FALSE&amp;VAR:CALENDAR=US&amp;VAR:SYMBOL=EFX&amp;VAR:INDEX=0"}</definedName>
    <definedName name="_705__FDSAUDITLINK__" hidden="1">{"fdsup://directions/FAT Viewer?action=UPDATE&amp;creator=factset&amp;DYN_ARGS=TRUE&amp;DOC_NAME=FAT:FQL_AUDITING_CLIENT_TEMPLATE.FAT&amp;display_string=Audit&amp;VAR:KEY=PMTKZODCDO&amp;VAR:QUERY=RkZfRUJJVERBX09QRVIoUVRSLDQvMS8yMDA5LDYvMzAvMjAwOSwsLFVTRCk=&amp;WINDOW=FIRST_POPUP&amp;HEIGH","T=450&amp;WIDTH=450&amp;START_MAXIMIZED=FALSE&amp;VAR:CALENDAR=US&amp;VAR:SYMBOL=EFX&amp;VAR:INDEX=0"}</definedName>
    <definedName name="_706__FDSAUDITLINK__" localSheetId="1" hidden="1">{"fdsup://directions/FAT Viewer?action=UPDATE&amp;creator=factset&amp;DYN_ARGS=TRUE&amp;DOC_NAME=FAT:FQL_AUDITING_CLIENT_TEMPLATE.FAT&amp;display_string=Audit&amp;VAR:KEY=HUDWJSBCPA&amp;VAR:QUERY=RkZfRUJJVERBX09QRVIoUVRSLDQvMS8yMDEwLDYvMzAvMjAxMCwsLFVTRCk=&amp;WINDOW=FIRST_POPUP&amp;HEIGH","T=450&amp;WIDTH=450&amp;START_MAXIMIZED=FALSE&amp;VAR:CALENDAR=US&amp;VAR:SYMBOL=EFX&amp;VAR:INDEX=0"}</definedName>
    <definedName name="_706__FDSAUDITLINK__" hidden="1">{"fdsup://directions/FAT Viewer?action=UPDATE&amp;creator=factset&amp;DYN_ARGS=TRUE&amp;DOC_NAME=FAT:FQL_AUDITING_CLIENT_TEMPLATE.FAT&amp;display_string=Audit&amp;VAR:KEY=HUDWJSBCPA&amp;VAR:QUERY=RkZfRUJJVERBX09QRVIoUVRSLDQvMS8yMDEwLDYvMzAvMjAxMCwsLFVTRCk=&amp;WINDOW=FIRST_POPUP&amp;HEIGH","T=450&amp;WIDTH=450&amp;START_MAXIMIZED=FALSE&amp;VAR:CALENDAR=US&amp;VAR:SYMBOL=EFX&amp;VAR:INDEX=0"}</definedName>
    <definedName name="_707__FDSAUDITLINK__" localSheetId="1" hidden="1">{"fdsup://directions/FAT Viewer?action=UPDATE&amp;creator=factset&amp;DYN_ARGS=TRUE&amp;DOC_NAME=FAT:FQL_AUDITING_CLIENT_TEMPLATE.FAT&amp;display_string=Audit&amp;VAR:KEY=HSFGNGPULC&amp;VAR:QUERY=RkZfRUJJVERBX09QRVIoUVRSLDQvMS8yMDA5LDYvMzAvMjAwOSwsLFVTRCk=&amp;WINDOW=FIRST_POPUP&amp;HEIGH","T=450&amp;WIDTH=450&amp;START_MAXIMIZED=FALSE&amp;VAR:CALENDAR=US&amp;VAR:SYMBOL=ED&amp;VAR:INDEX=0"}</definedName>
    <definedName name="_707__FDSAUDITLINK__" hidden="1">{"fdsup://directions/FAT Viewer?action=UPDATE&amp;creator=factset&amp;DYN_ARGS=TRUE&amp;DOC_NAME=FAT:FQL_AUDITING_CLIENT_TEMPLATE.FAT&amp;display_string=Audit&amp;VAR:KEY=HSFGNGPULC&amp;VAR:QUERY=RkZfRUJJVERBX09QRVIoUVRSLDQvMS8yMDA5LDYvMzAvMjAwOSwsLFVTRCk=&amp;WINDOW=FIRST_POPUP&amp;HEIGH","T=450&amp;WIDTH=450&amp;START_MAXIMIZED=FALSE&amp;VAR:CALENDAR=US&amp;VAR:SYMBOL=ED&amp;VAR:INDEX=0"}</definedName>
    <definedName name="_708__FDSAUDITLINK__" localSheetId="1" hidden="1">{"fdsup://directions/FAT Viewer?action=UPDATE&amp;creator=factset&amp;DYN_ARGS=TRUE&amp;DOC_NAME=FAT:FQL_AUDITING_CLIENT_TEMPLATE.FAT&amp;display_string=Audit&amp;VAR:KEY=VQVOTWDIBU&amp;VAR:QUERY=RkZfRUJJVERBX09QRVIoUVRSLDQvMS8yMDEwLDYvMzAvMjAxMCwsLFVTRCk=&amp;WINDOW=FIRST_POPUP&amp;HEIGH","T=450&amp;WIDTH=450&amp;START_MAXIMIZED=FALSE&amp;VAR:CALENDAR=US&amp;VAR:SYMBOL=ED&amp;VAR:INDEX=0"}</definedName>
    <definedName name="_708__FDSAUDITLINK__" hidden="1">{"fdsup://directions/FAT Viewer?action=UPDATE&amp;creator=factset&amp;DYN_ARGS=TRUE&amp;DOC_NAME=FAT:FQL_AUDITING_CLIENT_TEMPLATE.FAT&amp;display_string=Audit&amp;VAR:KEY=VQVOTWDIBU&amp;VAR:QUERY=RkZfRUJJVERBX09QRVIoUVRSLDQvMS8yMDEwLDYvMzAvMjAxMCwsLFVTRCk=&amp;WINDOW=FIRST_POPUP&amp;HEIGH","T=450&amp;WIDTH=450&amp;START_MAXIMIZED=FALSE&amp;VAR:CALENDAR=US&amp;VAR:SYMBOL=ED&amp;VAR:INDEX=0"}</definedName>
    <definedName name="_709__FDSAUDITLINK__" localSheetId="1" hidden="1">{"fdsup://directions/FAT Viewer?action=UPDATE&amp;creator=factset&amp;DYN_ARGS=TRUE&amp;DOC_NAME=FAT:FQL_AUDITING_CLIENT_TEMPLATE.FAT&amp;display_string=Audit&amp;VAR:KEY=DOZWDCREDY&amp;VAR:QUERY=RkZfRUJJVERBX09QRVIoUVRSLDQvMS8yMDA5LDYvMzAvMjAwOSwsLFVTRCk=&amp;WINDOW=FIRST_POPUP&amp;HEIGH","T=450&amp;WIDTH=450&amp;START_MAXIMIZED=FALSE&amp;VAR:CALENDAR=US&amp;VAR:SYMBOL=ECL&amp;VAR:INDEX=0"}</definedName>
    <definedName name="_709__FDSAUDITLINK__" hidden="1">{"fdsup://directions/FAT Viewer?action=UPDATE&amp;creator=factset&amp;DYN_ARGS=TRUE&amp;DOC_NAME=FAT:FQL_AUDITING_CLIENT_TEMPLATE.FAT&amp;display_string=Audit&amp;VAR:KEY=DOZWDCREDY&amp;VAR:QUERY=RkZfRUJJVERBX09QRVIoUVRSLDQvMS8yMDA5LDYvMzAvMjAwOSwsLFVTRCk=&amp;WINDOW=FIRST_POPUP&amp;HEIGH","T=450&amp;WIDTH=450&amp;START_MAXIMIZED=FALSE&amp;VAR:CALENDAR=US&amp;VAR:SYMBOL=ECL&amp;VAR:INDEX=0"}</definedName>
    <definedName name="_71__FDSAUDITLINK__" localSheetId="1" hidden="1">{"fdsup://directions/FAT Viewer?action=UPDATE&amp;creator=factset&amp;DYN_ARGS=TRUE&amp;DOC_NAME=FAT:FQL_AUDITING_CLIENT_TEMPLATE.FAT&amp;display_string=Audit&amp;VAR:KEY=TGZUHSJAXU&amp;VAR:QUERY=RkZfRUJJVERBX09QRVIoUVRSLDQvMS8yMDA5LDYvMzAvMjAwOSwsLFVTRCk=&amp;WINDOW=FIRST_POPUP&amp;HEIGH","T=450&amp;WIDTH=450&amp;START_MAXIMIZED=FALSE&amp;VAR:CALENDAR=US&amp;VAR:SYMBOL=VLO&amp;VAR:INDEX=0"}</definedName>
    <definedName name="_71__FDSAUDITLINK__" hidden="1">{"fdsup://directions/FAT Viewer?action=UPDATE&amp;creator=factset&amp;DYN_ARGS=TRUE&amp;DOC_NAME=FAT:FQL_AUDITING_CLIENT_TEMPLATE.FAT&amp;display_string=Audit&amp;VAR:KEY=TGZUHSJAXU&amp;VAR:QUERY=RkZfRUJJVERBX09QRVIoUVRSLDQvMS8yMDA5LDYvMzAvMjAwOSwsLFVTRCk=&amp;WINDOW=FIRST_POPUP&amp;HEIGH","T=450&amp;WIDTH=450&amp;START_MAXIMIZED=FALSE&amp;VAR:CALENDAR=US&amp;VAR:SYMBOL=VLO&amp;VAR:INDEX=0"}</definedName>
    <definedName name="_710__FDSAUDITLINK__" localSheetId="1" hidden="1">{"fdsup://directions/FAT Viewer?action=UPDATE&amp;creator=factset&amp;DYN_ARGS=TRUE&amp;DOC_NAME=FAT:FQL_AUDITING_CLIENT_TEMPLATE.FAT&amp;display_string=Audit&amp;VAR:KEY=TCJEBCPKLM&amp;VAR:QUERY=RkZfRUJJVERBX09QRVIoUVRSLDQvMS8yMDEwLDYvMzAvMjAxMCwsLFVTRCk=&amp;WINDOW=FIRST_POPUP&amp;HEIGH","T=450&amp;WIDTH=450&amp;START_MAXIMIZED=FALSE&amp;VAR:CALENDAR=US&amp;VAR:SYMBOL=ECL&amp;VAR:INDEX=0"}</definedName>
    <definedName name="_710__FDSAUDITLINK__" hidden="1">{"fdsup://directions/FAT Viewer?action=UPDATE&amp;creator=factset&amp;DYN_ARGS=TRUE&amp;DOC_NAME=FAT:FQL_AUDITING_CLIENT_TEMPLATE.FAT&amp;display_string=Audit&amp;VAR:KEY=TCJEBCPKLM&amp;VAR:QUERY=RkZfRUJJVERBX09QRVIoUVRSLDQvMS8yMDEwLDYvMzAvMjAxMCwsLFVTRCk=&amp;WINDOW=FIRST_POPUP&amp;HEIGH","T=450&amp;WIDTH=450&amp;START_MAXIMIZED=FALSE&amp;VAR:CALENDAR=US&amp;VAR:SYMBOL=ECL&amp;VAR:INDEX=0"}</definedName>
    <definedName name="_711__FDSAUDITLINK__" localSheetId="1" hidden="1">{"fdsup://directions/FAT Viewer?action=UPDATE&amp;creator=factset&amp;DYN_ARGS=TRUE&amp;DOC_NAME=FAT:FQL_AUDITING_CLIENT_TEMPLATE.FAT&amp;display_string=Audit&amp;VAR:KEY=LOFWFOFMPW&amp;VAR:QUERY=RkZfRUJJVERBX09QRVIoUVRSLDQvMS8yMDA5LDYvMzAvMjAwOSwsLFVTRCk=&amp;WINDOW=FIRST_POPUP&amp;HEIGH","T=450&amp;WIDTH=450&amp;START_MAXIMIZED=FALSE&amp;VAR:CALENDAR=US&amp;VAR:SYMBOL=EBAY&amp;VAR:INDEX=0"}</definedName>
    <definedName name="_711__FDSAUDITLINK__" hidden="1">{"fdsup://directions/FAT Viewer?action=UPDATE&amp;creator=factset&amp;DYN_ARGS=TRUE&amp;DOC_NAME=FAT:FQL_AUDITING_CLIENT_TEMPLATE.FAT&amp;display_string=Audit&amp;VAR:KEY=LOFWFOFMPW&amp;VAR:QUERY=RkZfRUJJVERBX09QRVIoUVRSLDQvMS8yMDA5LDYvMzAvMjAwOSwsLFVTRCk=&amp;WINDOW=FIRST_POPUP&amp;HEIGH","T=450&amp;WIDTH=450&amp;START_MAXIMIZED=FALSE&amp;VAR:CALENDAR=US&amp;VAR:SYMBOL=EBAY&amp;VAR:INDEX=0"}</definedName>
    <definedName name="_712__FDSAUDITLINK__" localSheetId="1" hidden="1">{"fdsup://directions/FAT Viewer?action=UPDATE&amp;creator=factset&amp;DYN_ARGS=TRUE&amp;DOC_NAME=FAT:FQL_AUDITING_CLIENT_TEMPLATE.FAT&amp;display_string=Audit&amp;VAR:KEY=FETQDEPYLQ&amp;VAR:QUERY=RkZfRUJJVERBX09QRVIoUVRSLDQvMS8yMDEwLDYvMzAvMjAxMCwsLFVTRCk=&amp;WINDOW=FIRST_POPUP&amp;HEIGH","T=450&amp;WIDTH=450&amp;START_MAXIMIZED=FALSE&amp;VAR:CALENDAR=US&amp;VAR:SYMBOL=EBAY&amp;VAR:INDEX=0"}</definedName>
    <definedName name="_712__FDSAUDITLINK__" hidden="1">{"fdsup://directions/FAT Viewer?action=UPDATE&amp;creator=factset&amp;DYN_ARGS=TRUE&amp;DOC_NAME=FAT:FQL_AUDITING_CLIENT_TEMPLATE.FAT&amp;display_string=Audit&amp;VAR:KEY=FETQDEPYLQ&amp;VAR:QUERY=RkZfRUJJVERBX09QRVIoUVRSLDQvMS8yMDEwLDYvMzAvMjAxMCwsLFVTRCk=&amp;WINDOW=FIRST_POPUP&amp;HEIGH","T=450&amp;WIDTH=450&amp;START_MAXIMIZED=FALSE&amp;VAR:CALENDAR=US&amp;VAR:SYMBOL=EBAY&amp;VAR:INDEX=0"}</definedName>
    <definedName name="_713__FDSAUDITLINK__" localSheetId="1" hidden="1">{"fdsup://directions/FAT Viewer?action=UPDATE&amp;creator=factset&amp;DYN_ARGS=TRUE&amp;DOC_NAME=FAT:FQL_AUDITING_CLIENT_TEMPLATE.FAT&amp;display_string=Audit&amp;VAR:KEY=TYROFKTUNE&amp;VAR:QUERY=RkZfRUJJVERBX09QRVIoUVRSLDQvMS8yMDA5LDYvMzAvMjAwOSwsLFVTRCk=&amp;WINDOW=FIRST_POPUP&amp;HEIGH","T=450&amp;WIDTH=450&amp;START_MAXIMIZED=FALSE&amp;VAR:CALENDAR=US&amp;VAR:SYMBOL=DVN&amp;VAR:INDEX=0"}</definedName>
    <definedName name="_713__FDSAUDITLINK__" hidden="1">{"fdsup://directions/FAT Viewer?action=UPDATE&amp;creator=factset&amp;DYN_ARGS=TRUE&amp;DOC_NAME=FAT:FQL_AUDITING_CLIENT_TEMPLATE.FAT&amp;display_string=Audit&amp;VAR:KEY=TYROFKTUNE&amp;VAR:QUERY=RkZfRUJJVERBX09QRVIoUVRSLDQvMS8yMDA5LDYvMzAvMjAwOSwsLFVTRCk=&amp;WINDOW=FIRST_POPUP&amp;HEIGH","T=450&amp;WIDTH=450&amp;START_MAXIMIZED=FALSE&amp;VAR:CALENDAR=US&amp;VAR:SYMBOL=DVN&amp;VAR:INDEX=0"}</definedName>
    <definedName name="_714__FDSAUDITLINK__" localSheetId="1" hidden="1">{"fdsup://directions/FAT Viewer?action=UPDATE&amp;creator=factset&amp;DYN_ARGS=TRUE&amp;DOC_NAME=FAT:FQL_AUDITING_CLIENT_TEMPLATE.FAT&amp;display_string=Audit&amp;VAR:KEY=BOTWVCBMJO&amp;VAR:QUERY=RkZfRUJJVERBX09QRVIoUVRSLDQvMS8yMDEwLDYvMzAvMjAxMCwsLFVTRCk=&amp;WINDOW=FIRST_POPUP&amp;HEIGH","T=450&amp;WIDTH=450&amp;START_MAXIMIZED=FALSE&amp;VAR:CALENDAR=US&amp;VAR:SYMBOL=DVN&amp;VAR:INDEX=0"}</definedName>
    <definedName name="_714__FDSAUDITLINK__" hidden="1">{"fdsup://directions/FAT Viewer?action=UPDATE&amp;creator=factset&amp;DYN_ARGS=TRUE&amp;DOC_NAME=FAT:FQL_AUDITING_CLIENT_TEMPLATE.FAT&amp;display_string=Audit&amp;VAR:KEY=BOTWVCBMJO&amp;VAR:QUERY=RkZfRUJJVERBX09QRVIoUVRSLDQvMS8yMDEwLDYvMzAvMjAxMCwsLFVTRCk=&amp;WINDOW=FIRST_POPUP&amp;HEIGH","T=450&amp;WIDTH=450&amp;START_MAXIMIZED=FALSE&amp;VAR:CALENDAR=US&amp;VAR:SYMBOL=DVN&amp;VAR:INDEX=0"}</definedName>
    <definedName name="_715__FDSAUDITLINK__" localSheetId="1" hidden="1">{"fdsup://directions/FAT Viewer?action=UPDATE&amp;creator=factset&amp;DYN_ARGS=TRUE&amp;DOC_NAME=FAT:FQL_AUDITING_CLIENT_TEMPLATE.FAT&amp;display_string=Audit&amp;VAR:KEY=TEZSBCHMXO&amp;VAR:QUERY=RkZfRUJJVERBX09QRVIoUVRSLDQvMS8yMDA5LDYvMzAvMjAwOSwsLFVTRCk=&amp;WINDOW=FIRST_POPUP&amp;HEIGH","T=450&amp;WIDTH=450&amp;START_MAXIMIZED=FALSE&amp;VAR:CALENDAR=US&amp;VAR:SYMBOL=DVA&amp;VAR:INDEX=0"}</definedName>
    <definedName name="_715__FDSAUDITLINK__" hidden="1">{"fdsup://directions/FAT Viewer?action=UPDATE&amp;creator=factset&amp;DYN_ARGS=TRUE&amp;DOC_NAME=FAT:FQL_AUDITING_CLIENT_TEMPLATE.FAT&amp;display_string=Audit&amp;VAR:KEY=TEZSBCHMXO&amp;VAR:QUERY=RkZfRUJJVERBX09QRVIoUVRSLDQvMS8yMDA5LDYvMzAvMjAwOSwsLFVTRCk=&amp;WINDOW=FIRST_POPUP&amp;HEIGH","T=450&amp;WIDTH=450&amp;START_MAXIMIZED=FALSE&amp;VAR:CALENDAR=US&amp;VAR:SYMBOL=DVA&amp;VAR:INDEX=0"}</definedName>
    <definedName name="_716__FDSAUDITLINK__" localSheetId="1" hidden="1">{"fdsup://directions/FAT Viewer?action=UPDATE&amp;creator=factset&amp;DYN_ARGS=TRUE&amp;DOC_NAME=FAT:FQL_AUDITING_CLIENT_TEMPLATE.FAT&amp;display_string=Audit&amp;VAR:KEY=NWZILMROHM&amp;VAR:QUERY=RkZfRUJJVERBX09QRVIoUVRSLDQvMS8yMDEwLDYvMzAvMjAxMCwsLFVTRCk=&amp;WINDOW=FIRST_POPUP&amp;HEIGH","T=450&amp;WIDTH=450&amp;START_MAXIMIZED=FALSE&amp;VAR:CALENDAR=US&amp;VAR:SYMBOL=DVA&amp;VAR:INDEX=0"}</definedName>
    <definedName name="_716__FDSAUDITLINK__" hidden="1">{"fdsup://directions/FAT Viewer?action=UPDATE&amp;creator=factset&amp;DYN_ARGS=TRUE&amp;DOC_NAME=FAT:FQL_AUDITING_CLIENT_TEMPLATE.FAT&amp;display_string=Audit&amp;VAR:KEY=NWZILMROHM&amp;VAR:QUERY=RkZfRUJJVERBX09QRVIoUVRSLDQvMS8yMDEwLDYvMzAvMjAxMCwsLFVTRCk=&amp;WINDOW=FIRST_POPUP&amp;HEIGH","T=450&amp;WIDTH=450&amp;START_MAXIMIZED=FALSE&amp;VAR:CALENDAR=US&amp;VAR:SYMBOL=DVA&amp;VAR:INDEX=0"}</definedName>
    <definedName name="_717__FDSAUDITLINK__" localSheetId="1" hidden="1">{"fdsup://directions/FAT Viewer?action=UPDATE&amp;creator=factset&amp;DYN_ARGS=TRUE&amp;DOC_NAME=FAT:FQL_AUDITING_CLIENT_TEMPLATE.FAT&amp;display_string=Audit&amp;VAR:KEY=HMDOZKTYRI&amp;VAR:QUERY=RkZfRUJJVERBX09QRVIoUVRSLDQvMS8yMDA5LDYvMzAvMjAwOSwsLFVTRCk=&amp;WINDOW=FIRST_POPUP&amp;HEIGH","T=450&amp;WIDTH=450&amp;START_MAXIMIZED=FALSE&amp;VAR:CALENDAR=US&amp;VAR:SYMBOL=DV&amp;VAR:INDEX=0"}</definedName>
    <definedName name="_717__FDSAUDITLINK__" hidden="1">{"fdsup://directions/FAT Viewer?action=UPDATE&amp;creator=factset&amp;DYN_ARGS=TRUE&amp;DOC_NAME=FAT:FQL_AUDITING_CLIENT_TEMPLATE.FAT&amp;display_string=Audit&amp;VAR:KEY=HMDOZKTYRI&amp;VAR:QUERY=RkZfRUJJVERBX09QRVIoUVRSLDQvMS8yMDA5LDYvMzAvMjAwOSwsLFVTRCk=&amp;WINDOW=FIRST_POPUP&amp;HEIGH","T=450&amp;WIDTH=450&amp;START_MAXIMIZED=FALSE&amp;VAR:CALENDAR=US&amp;VAR:SYMBOL=DV&amp;VAR:INDEX=0"}</definedName>
    <definedName name="_718__FDSAUDITLINK__" localSheetId="1" hidden="1">{"fdsup://directions/FAT Viewer?action=UPDATE&amp;creator=factset&amp;DYN_ARGS=TRUE&amp;DOC_NAME=FAT:FQL_AUDITING_CLIENT_TEMPLATE.FAT&amp;display_string=Audit&amp;VAR:KEY=JMPSPGVOVM&amp;VAR:QUERY=RkZfRUJJVERBX09QRVIoUVRSLDQvMS8yMDEwLDYvMzAvMjAxMCwsLFVTRCk=&amp;WINDOW=FIRST_POPUP&amp;HEIGH","T=450&amp;WIDTH=450&amp;START_MAXIMIZED=FALSE&amp;VAR:CALENDAR=US&amp;VAR:SYMBOL=DV&amp;VAR:INDEX=0"}</definedName>
    <definedName name="_718__FDSAUDITLINK__" hidden="1">{"fdsup://directions/FAT Viewer?action=UPDATE&amp;creator=factset&amp;DYN_ARGS=TRUE&amp;DOC_NAME=FAT:FQL_AUDITING_CLIENT_TEMPLATE.FAT&amp;display_string=Audit&amp;VAR:KEY=JMPSPGVOVM&amp;VAR:QUERY=RkZfRUJJVERBX09QRVIoUVRSLDQvMS8yMDEwLDYvMzAvMjAxMCwsLFVTRCk=&amp;WINDOW=FIRST_POPUP&amp;HEIGH","T=450&amp;WIDTH=450&amp;START_MAXIMIZED=FALSE&amp;VAR:CALENDAR=US&amp;VAR:SYMBOL=DV&amp;VAR:INDEX=0"}</definedName>
    <definedName name="_719__FDSAUDITLINK__" localSheetId="1" hidden="1">{"fdsup://directions/FAT Viewer?action=UPDATE&amp;creator=factset&amp;DYN_ARGS=TRUE&amp;DOC_NAME=FAT:FQL_AUDITING_CLIENT_TEMPLATE.FAT&amp;display_string=Audit&amp;VAR:KEY=LQPIRYZIDY&amp;VAR:QUERY=RkZfRUJJVERBX09QRVIoUVRSLDQvMS8yMDA5LDYvMzAvMjAwOSwsLFVTRCk=&amp;WINDOW=FIRST_POPUP&amp;HEIGH","T=450&amp;WIDTH=450&amp;START_MAXIMIZED=FALSE&amp;VAR:CALENDAR=US&amp;VAR:SYMBOL=DUK&amp;VAR:INDEX=0"}</definedName>
    <definedName name="_719__FDSAUDITLINK__" hidden="1">{"fdsup://directions/FAT Viewer?action=UPDATE&amp;creator=factset&amp;DYN_ARGS=TRUE&amp;DOC_NAME=FAT:FQL_AUDITING_CLIENT_TEMPLATE.FAT&amp;display_string=Audit&amp;VAR:KEY=LQPIRYZIDY&amp;VAR:QUERY=RkZfRUJJVERBX09QRVIoUVRSLDQvMS8yMDA5LDYvMzAvMjAwOSwsLFVTRCk=&amp;WINDOW=FIRST_POPUP&amp;HEIGH","T=450&amp;WIDTH=450&amp;START_MAXIMIZED=FALSE&amp;VAR:CALENDAR=US&amp;VAR:SYMBOL=DUK&amp;VAR:INDEX=0"}</definedName>
    <definedName name="_72__FDSAUDITLINK__" localSheetId="1" hidden="1">{"fdsup://directions/FAT Viewer?action=UPDATE&amp;creator=factset&amp;DYN_ARGS=TRUE&amp;DOC_NAME=FAT:FQL_AUDITING_CLIENT_TEMPLATE.FAT&amp;display_string=Audit&amp;VAR:KEY=JCBWBODWZQ&amp;VAR:QUERY=RkZfRUJJVERBX09QRVIoUVRSLDQvMS8yMDEwLDYvMzAvMjAxMCwsLFVTRCk=&amp;WINDOW=FIRST_POPUP&amp;HEIGH","T=450&amp;WIDTH=450&amp;START_MAXIMIZED=FALSE&amp;VAR:CALENDAR=US&amp;VAR:SYMBOL=VLO&amp;VAR:INDEX=0"}</definedName>
    <definedName name="_72__FDSAUDITLINK__" hidden="1">{"fdsup://directions/FAT Viewer?action=UPDATE&amp;creator=factset&amp;DYN_ARGS=TRUE&amp;DOC_NAME=FAT:FQL_AUDITING_CLIENT_TEMPLATE.FAT&amp;display_string=Audit&amp;VAR:KEY=JCBWBODWZQ&amp;VAR:QUERY=RkZfRUJJVERBX09QRVIoUVRSLDQvMS8yMDEwLDYvMzAvMjAxMCwsLFVTRCk=&amp;WINDOW=FIRST_POPUP&amp;HEIGH","T=450&amp;WIDTH=450&amp;START_MAXIMIZED=FALSE&amp;VAR:CALENDAR=US&amp;VAR:SYMBOL=VLO&amp;VAR:INDEX=0"}</definedName>
    <definedName name="_720__FDSAUDITLINK__" localSheetId="1" hidden="1">{"fdsup://directions/FAT Viewer?action=UPDATE&amp;creator=factset&amp;DYN_ARGS=TRUE&amp;DOC_NAME=FAT:FQL_AUDITING_CLIENT_TEMPLATE.FAT&amp;display_string=Audit&amp;VAR:KEY=PMRAZAJSTQ&amp;VAR:QUERY=RkZfRUJJVERBX09QRVIoUVRSLDQvMS8yMDEwLDYvMzAvMjAxMCwsLFVTRCk=&amp;WINDOW=FIRST_POPUP&amp;HEIGH","T=450&amp;WIDTH=450&amp;START_MAXIMIZED=FALSE&amp;VAR:CALENDAR=US&amp;VAR:SYMBOL=DUK&amp;VAR:INDEX=0"}</definedName>
    <definedName name="_720__FDSAUDITLINK__" hidden="1">{"fdsup://directions/FAT Viewer?action=UPDATE&amp;creator=factset&amp;DYN_ARGS=TRUE&amp;DOC_NAME=FAT:FQL_AUDITING_CLIENT_TEMPLATE.FAT&amp;display_string=Audit&amp;VAR:KEY=PMRAZAJSTQ&amp;VAR:QUERY=RkZfRUJJVERBX09QRVIoUVRSLDQvMS8yMDEwLDYvMzAvMjAxMCwsLFVTRCk=&amp;WINDOW=FIRST_POPUP&amp;HEIGH","T=450&amp;WIDTH=450&amp;START_MAXIMIZED=FALSE&amp;VAR:CALENDAR=US&amp;VAR:SYMBOL=DUK&amp;VAR:INDEX=0"}</definedName>
    <definedName name="_721__FDSAUDITLINK__" localSheetId="1" hidden="1">{"fdsup://directions/FAT Viewer?action=UPDATE&amp;creator=factset&amp;DYN_ARGS=TRUE&amp;DOC_NAME=FAT:FQL_AUDITING_CLIENT_TEMPLATE.FAT&amp;display_string=Audit&amp;VAR:KEY=JKHMXWRURQ&amp;VAR:QUERY=RkZfRUJJVERBX09QRVIoUVRSLDQvMS8yMDA5LDYvMzAvMjAwOSwsLFVTRCk=&amp;WINDOW=FIRST_POPUP&amp;HEIGH","T=450&amp;WIDTH=450&amp;START_MAXIMIZED=FALSE&amp;VAR:CALENDAR=US&amp;VAR:SYMBOL=DTV&amp;VAR:INDEX=0"}</definedName>
    <definedName name="_721__FDSAUDITLINK__" hidden="1">{"fdsup://directions/FAT Viewer?action=UPDATE&amp;creator=factset&amp;DYN_ARGS=TRUE&amp;DOC_NAME=FAT:FQL_AUDITING_CLIENT_TEMPLATE.FAT&amp;display_string=Audit&amp;VAR:KEY=JKHMXWRURQ&amp;VAR:QUERY=RkZfRUJJVERBX09QRVIoUVRSLDQvMS8yMDA5LDYvMzAvMjAwOSwsLFVTRCk=&amp;WINDOW=FIRST_POPUP&amp;HEIGH","T=450&amp;WIDTH=450&amp;START_MAXIMIZED=FALSE&amp;VAR:CALENDAR=US&amp;VAR:SYMBOL=DTV&amp;VAR:INDEX=0"}</definedName>
    <definedName name="_722__FDSAUDITLINK__" localSheetId="1" hidden="1">{"fdsup://directions/FAT Viewer?action=UPDATE&amp;creator=factset&amp;DYN_ARGS=TRUE&amp;DOC_NAME=FAT:FQL_AUDITING_CLIENT_TEMPLATE.FAT&amp;display_string=Audit&amp;VAR:KEY=XOBMVIJQDK&amp;VAR:QUERY=RkZfRUJJVERBX09QRVIoUVRSLDQvMS8yMDEwLDYvMzAvMjAxMCwsLFVTRCk=&amp;WINDOW=FIRST_POPUP&amp;HEIGH","T=450&amp;WIDTH=450&amp;START_MAXIMIZED=FALSE&amp;VAR:CALENDAR=US&amp;VAR:SYMBOL=DTV&amp;VAR:INDEX=0"}</definedName>
    <definedName name="_722__FDSAUDITLINK__" hidden="1">{"fdsup://directions/FAT Viewer?action=UPDATE&amp;creator=factset&amp;DYN_ARGS=TRUE&amp;DOC_NAME=FAT:FQL_AUDITING_CLIENT_TEMPLATE.FAT&amp;display_string=Audit&amp;VAR:KEY=XOBMVIJQDK&amp;VAR:QUERY=RkZfRUJJVERBX09QRVIoUVRSLDQvMS8yMDEwLDYvMzAvMjAxMCwsLFVTRCk=&amp;WINDOW=FIRST_POPUP&amp;HEIGH","T=450&amp;WIDTH=450&amp;START_MAXIMIZED=FALSE&amp;VAR:CALENDAR=US&amp;VAR:SYMBOL=DTV&amp;VAR:INDEX=0"}</definedName>
    <definedName name="_723__FDSAUDITLINK__" localSheetId="1" hidden="1">{"fdsup://directions/FAT Viewer?action=UPDATE&amp;creator=factset&amp;DYN_ARGS=TRUE&amp;DOC_NAME=FAT:FQL_AUDITING_CLIENT_TEMPLATE.FAT&amp;display_string=Audit&amp;VAR:KEY=PAVGXEHORS&amp;VAR:QUERY=RkZfRUJJVERBX09QRVIoUVRSLDQvMS8yMDA5LDYvMzAvMjAwOSwsLFVTRCk=&amp;WINDOW=FIRST_POPUP&amp;HEIGH","T=450&amp;WIDTH=450&amp;START_MAXIMIZED=FALSE&amp;VAR:CALENDAR=US&amp;VAR:SYMBOL=DTE&amp;VAR:INDEX=0"}</definedName>
    <definedName name="_723__FDSAUDITLINK__" hidden="1">{"fdsup://directions/FAT Viewer?action=UPDATE&amp;creator=factset&amp;DYN_ARGS=TRUE&amp;DOC_NAME=FAT:FQL_AUDITING_CLIENT_TEMPLATE.FAT&amp;display_string=Audit&amp;VAR:KEY=PAVGXEHORS&amp;VAR:QUERY=RkZfRUJJVERBX09QRVIoUVRSLDQvMS8yMDA5LDYvMzAvMjAwOSwsLFVTRCk=&amp;WINDOW=FIRST_POPUP&amp;HEIGH","T=450&amp;WIDTH=450&amp;START_MAXIMIZED=FALSE&amp;VAR:CALENDAR=US&amp;VAR:SYMBOL=DTE&amp;VAR:INDEX=0"}</definedName>
    <definedName name="_724__FDSAUDITLINK__" localSheetId="1" hidden="1">{"fdsup://directions/FAT Viewer?action=UPDATE&amp;creator=factset&amp;DYN_ARGS=TRUE&amp;DOC_NAME=FAT:FQL_AUDITING_CLIENT_TEMPLATE.FAT&amp;display_string=Audit&amp;VAR:KEY=BEHGFIXOPA&amp;VAR:QUERY=RkZfRUJJVERBX09QRVIoUVRSLDQvMS8yMDEwLDYvMzAvMjAxMCwsLFVTRCk=&amp;WINDOW=FIRST_POPUP&amp;HEIGH","T=450&amp;WIDTH=450&amp;START_MAXIMIZED=FALSE&amp;VAR:CALENDAR=US&amp;VAR:SYMBOL=DTE&amp;VAR:INDEX=0"}</definedName>
    <definedName name="_724__FDSAUDITLINK__" hidden="1">{"fdsup://directions/FAT Viewer?action=UPDATE&amp;creator=factset&amp;DYN_ARGS=TRUE&amp;DOC_NAME=FAT:FQL_AUDITING_CLIENT_TEMPLATE.FAT&amp;display_string=Audit&amp;VAR:KEY=BEHGFIXOPA&amp;VAR:QUERY=RkZfRUJJVERBX09QRVIoUVRSLDQvMS8yMDEwLDYvMzAvMjAxMCwsLFVTRCk=&amp;WINDOW=FIRST_POPUP&amp;HEIGH","T=450&amp;WIDTH=450&amp;START_MAXIMIZED=FALSE&amp;VAR:CALENDAR=US&amp;VAR:SYMBOL=DTE&amp;VAR:INDEX=0"}</definedName>
    <definedName name="_725__FDSAUDITLINK__" localSheetId="1" hidden="1">{"fdsup://directions/FAT Viewer?action=UPDATE&amp;creator=factset&amp;DYN_ARGS=TRUE&amp;DOC_NAME=FAT:FQL_AUDITING_CLIENT_TEMPLATE.FAT&amp;display_string=Audit&amp;VAR:KEY=HAXCDWREPQ&amp;VAR:QUERY=RkZfRUJJVERBX09QRVIoUVRSLDQvMS8yMDA5LDYvMzAvMjAwOSwsLFVTRCk=&amp;WINDOW=FIRST_POPUP&amp;HEIGH","T=450&amp;WIDTH=450&amp;START_MAXIMIZED=FALSE&amp;VAR:CALENDAR=US&amp;VAR:SYMBOL=DRI&amp;VAR:INDEX=0"}</definedName>
    <definedName name="_725__FDSAUDITLINK__" hidden="1">{"fdsup://directions/FAT Viewer?action=UPDATE&amp;creator=factset&amp;DYN_ARGS=TRUE&amp;DOC_NAME=FAT:FQL_AUDITING_CLIENT_TEMPLATE.FAT&amp;display_string=Audit&amp;VAR:KEY=HAXCDWREPQ&amp;VAR:QUERY=RkZfRUJJVERBX09QRVIoUVRSLDQvMS8yMDA5LDYvMzAvMjAwOSwsLFVTRCk=&amp;WINDOW=FIRST_POPUP&amp;HEIGH","T=450&amp;WIDTH=450&amp;START_MAXIMIZED=FALSE&amp;VAR:CALENDAR=US&amp;VAR:SYMBOL=DRI&amp;VAR:INDEX=0"}</definedName>
    <definedName name="_726__FDSAUDITLINK__" localSheetId="1" hidden="1">{"fdsup://directions/FAT Viewer?action=UPDATE&amp;creator=factset&amp;DYN_ARGS=TRUE&amp;DOC_NAME=FAT:FQL_AUDITING_CLIENT_TEMPLATE.FAT&amp;display_string=Audit&amp;VAR:KEY=PWPIVYLIXQ&amp;VAR:QUERY=RkZfRUJJVERBX09QRVIoUVRSLDQvMS8yMDEwLDYvMzAvMjAxMCwsLFVTRCk=&amp;WINDOW=FIRST_POPUP&amp;HEIGH","T=450&amp;WIDTH=450&amp;START_MAXIMIZED=FALSE&amp;VAR:CALENDAR=US&amp;VAR:SYMBOL=DRI&amp;VAR:INDEX=0"}</definedName>
    <definedName name="_726__FDSAUDITLINK__" hidden="1">{"fdsup://directions/FAT Viewer?action=UPDATE&amp;creator=factset&amp;DYN_ARGS=TRUE&amp;DOC_NAME=FAT:FQL_AUDITING_CLIENT_TEMPLATE.FAT&amp;display_string=Audit&amp;VAR:KEY=PWPIVYLIXQ&amp;VAR:QUERY=RkZfRUJJVERBX09QRVIoUVRSLDQvMS8yMDEwLDYvMzAvMjAxMCwsLFVTRCk=&amp;WINDOW=FIRST_POPUP&amp;HEIGH","T=450&amp;WIDTH=450&amp;START_MAXIMIZED=FALSE&amp;VAR:CALENDAR=US&amp;VAR:SYMBOL=DRI&amp;VAR:INDEX=0"}</definedName>
    <definedName name="_727__FDSAUDITLINK__" localSheetId="1" hidden="1">{"fdsup://directions/FAT Viewer?action=UPDATE&amp;creator=factset&amp;DYN_ARGS=TRUE&amp;DOC_NAME=FAT:FQL_AUDITING_CLIENT_TEMPLATE.FAT&amp;display_string=Audit&amp;VAR:KEY=ZAPYTWJEBA&amp;VAR:QUERY=RkZfRUJJVERBX09QRVIoUVRSLDQvMS8yMDA5LDYvMzAvMjAwOSwsLFVTRCk=&amp;WINDOW=FIRST_POPUP&amp;HEIGH","T=450&amp;WIDTH=450&amp;START_MAXIMIZED=FALSE&amp;VAR:CALENDAR=US&amp;VAR:SYMBOL=DPS&amp;VAR:INDEX=0"}</definedName>
    <definedName name="_727__FDSAUDITLINK__" hidden="1">{"fdsup://directions/FAT Viewer?action=UPDATE&amp;creator=factset&amp;DYN_ARGS=TRUE&amp;DOC_NAME=FAT:FQL_AUDITING_CLIENT_TEMPLATE.FAT&amp;display_string=Audit&amp;VAR:KEY=ZAPYTWJEBA&amp;VAR:QUERY=RkZfRUJJVERBX09QRVIoUVRSLDQvMS8yMDA5LDYvMzAvMjAwOSwsLFVTRCk=&amp;WINDOW=FIRST_POPUP&amp;HEIGH","T=450&amp;WIDTH=450&amp;START_MAXIMIZED=FALSE&amp;VAR:CALENDAR=US&amp;VAR:SYMBOL=DPS&amp;VAR:INDEX=0"}</definedName>
    <definedName name="_728__FDSAUDITLINK__" localSheetId="1" hidden="1">{"fdsup://directions/FAT Viewer?action=UPDATE&amp;creator=factset&amp;DYN_ARGS=TRUE&amp;DOC_NAME=FAT:FQL_AUDITING_CLIENT_TEMPLATE.FAT&amp;display_string=Audit&amp;VAR:KEY=JCDETENKHU&amp;VAR:QUERY=RkZfRUJJVERBX09QRVIoUVRSLDQvMS8yMDEwLDYvMzAvMjAxMCwsLFVTRCk=&amp;WINDOW=FIRST_POPUP&amp;HEIGH","T=450&amp;WIDTH=450&amp;START_MAXIMIZED=FALSE&amp;VAR:CALENDAR=US&amp;VAR:SYMBOL=DPS&amp;VAR:INDEX=0"}</definedName>
    <definedName name="_728__FDSAUDITLINK__" hidden="1">{"fdsup://directions/FAT Viewer?action=UPDATE&amp;creator=factset&amp;DYN_ARGS=TRUE&amp;DOC_NAME=FAT:FQL_AUDITING_CLIENT_TEMPLATE.FAT&amp;display_string=Audit&amp;VAR:KEY=JCDETENKHU&amp;VAR:QUERY=RkZfRUJJVERBX09QRVIoUVRSLDQvMS8yMDEwLDYvMzAvMjAxMCwsLFVTRCk=&amp;WINDOW=FIRST_POPUP&amp;HEIGH","T=450&amp;WIDTH=450&amp;START_MAXIMIZED=FALSE&amp;VAR:CALENDAR=US&amp;VAR:SYMBOL=DPS&amp;VAR:INDEX=0"}</definedName>
    <definedName name="_729__FDSAUDITLINK__" localSheetId="1" hidden="1">{"fdsup://directions/FAT Viewer?action=UPDATE&amp;creator=factset&amp;DYN_ARGS=TRUE&amp;DOC_NAME=FAT:FQL_AUDITING_CLIENT_TEMPLATE.FAT&amp;display_string=Audit&amp;VAR:KEY=TALMVGRMDY&amp;VAR:QUERY=RkZfRUJJVERBX09QRVIoUVRSLDQvMS8yMDA5LDYvMzAvMjAwOSwsLFVTRCk=&amp;WINDOW=FIRST_POPUP&amp;HEIGH","T=450&amp;WIDTH=450&amp;START_MAXIMIZED=FALSE&amp;VAR:CALENDAR=US&amp;VAR:SYMBOL=DOW&amp;VAR:INDEX=0"}</definedName>
    <definedName name="_729__FDSAUDITLINK__" hidden="1">{"fdsup://directions/FAT Viewer?action=UPDATE&amp;creator=factset&amp;DYN_ARGS=TRUE&amp;DOC_NAME=FAT:FQL_AUDITING_CLIENT_TEMPLATE.FAT&amp;display_string=Audit&amp;VAR:KEY=TALMVGRMDY&amp;VAR:QUERY=RkZfRUJJVERBX09QRVIoUVRSLDQvMS8yMDA5LDYvMzAvMjAwOSwsLFVTRCk=&amp;WINDOW=FIRST_POPUP&amp;HEIGH","T=450&amp;WIDTH=450&amp;START_MAXIMIZED=FALSE&amp;VAR:CALENDAR=US&amp;VAR:SYMBOL=DOW&amp;VAR:INDEX=0"}</definedName>
    <definedName name="_73__FDSAUDITLINK__" localSheetId="1" hidden="1">{"fdsup://directions/FAT Viewer?action=UPDATE&amp;creator=factset&amp;DYN_ARGS=TRUE&amp;DOC_NAME=FAT:FQL_AUDITING_CLIENT_TEMPLATE.FAT&amp;display_string=Audit&amp;VAR:KEY=TUPIPKHQXU&amp;VAR:QUERY=RkZfRUJJVERBX09QRVIoUVRSLDQvMS8yMDA5LDYvMzAvMjAwOSwsLFVTRCk=&amp;WINDOW=FIRST_POPUP&amp;HEIGH","T=450&amp;WIDTH=450&amp;START_MAXIMIZED=FALSE&amp;VAR:CALENDAR=US&amp;VAR:SYMBOL=VIA.B&amp;VAR:INDEX=0"}</definedName>
    <definedName name="_73__FDSAUDITLINK__" hidden="1">{"fdsup://directions/FAT Viewer?action=UPDATE&amp;creator=factset&amp;DYN_ARGS=TRUE&amp;DOC_NAME=FAT:FQL_AUDITING_CLIENT_TEMPLATE.FAT&amp;display_string=Audit&amp;VAR:KEY=TUPIPKHQXU&amp;VAR:QUERY=RkZfRUJJVERBX09QRVIoUVRSLDQvMS8yMDA5LDYvMzAvMjAwOSwsLFVTRCk=&amp;WINDOW=FIRST_POPUP&amp;HEIGH","T=450&amp;WIDTH=450&amp;START_MAXIMIZED=FALSE&amp;VAR:CALENDAR=US&amp;VAR:SYMBOL=VIA.B&amp;VAR:INDEX=0"}</definedName>
    <definedName name="_730__FDSAUDITLINK__" localSheetId="1" hidden="1">{"fdsup://directions/FAT Viewer?action=UPDATE&amp;creator=factset&amp;DYN_ARGS=TRUE&amp;DOC_NAME=FAT:FQL_AUDITING_CLIENT_TEMPLATE.FAT&amp;display_string=Audit&amp;VAR:KEY=NUJEPYBODK&amp;VAR:QUERY=RkZfRUJJVERBX09QRVIoUVRSLDQvMS8yMDEwLDYvMzAvMjAxMCwsLFVTRCk=&amp;WINDOW=FIRST_POPUP&amp;HEIGH","T=450&amp;WIDTH=450&amp;START_MAXIMIZED=FALSE&amp;VAR:CALENDAR=US&amp;VAR:SYMBOL=DOW&amp;VAR:INDEX=0"}</definedName>
    <definedName name="_730__FDSAUDITLINK__" hidden="1">{"fdsup://directions/FAT Viewer?action=UPDATE&amp;creator=factset&amp;DYN_ARGS=TRUE&amp;DOC_NAME=FAT:FQL_AUDITING_CLIENT_TEMPLATE.FAT&amp;display_string=Audit&amp;VAR:KEY=NUJEPYBODK&amp;VAR:QUERY=RkZfRUJJVERBX09QRVIoUVRSLDQvMS8yMDEwLDYvMzAvMjAxMCwsLFVTRCk=&amp;WINDOW=FIRST_POPUP&amp;HEIGH","T=450&amp;WIDTH=450&amp;START_MAXIMIZED=FALSE&amp;VAR:CALENDAR=US&amp;VAR:SYMBOL=DOW&amp;VAR:INDEX=0"}</definedName>
    <definedName name="_731__FDSAUDITLINK__" localSheetId="1" hidden="1">{"fdsup://directions/FAT Viewer?action=UPDATE&amp;creator=factset&amp;DYN_ARGS=TRUE&amp;DOC_NAME=FAT:FQL_AUDITING_CLIENT_TEMPLATE.FAT&amp;display_string=Audit&amp;VAR:KEY=ZEVMPYJOZU&amp;VAR:QUERY=RkZfRUJJVERBX09QRVIoUVRSLDQvMS8yMDA5LDYvMzAvMjAwOSwsLFVTRCk=&amp;WINDOW=FIRST_POPUP&amp;HEIGH","T=450&amp;WIDTH=450&amp;START_MAXIMIZED=FALSE&amp;VAR:CALENDAR=US&amp;VAR:SYMBOL=DOV&amp;VAR:INDEX=0"}</definedName>
    <definedName name="_731__FDSAUDITLINK__" hidden="1">{"fdsup://directions/FAT Viewer?action=UPDATE&amp;creator=factset&amp;DYN_ARGS=TRUE&amp;DOC_NAME=FAT:FQL_AUDITING_CLIENT_TEMPLATE.FAT&amp;display_string=Audit&amp;VAR:KEY=ZEVMPYJOZU&amp;VAR:QUERY=RkZfRUJJVERBX09QRVIoUVRSLDQvMS8yMDA5LDYvMzAvMjAwOSwsLFVTRCk=&amp;WINDOW=FIRST_POPUP&amp;HEIGH","T=450&amp;WIDTH=450&amp;START_MAXIMIZED=FALSE&amp;VAR:CALENDAR=US&amp;VAR:SYMBOL=DOV&amp;VAR:INDEX=0"}</definedName>
    <definedName name="_732__FDSAUDITLINK__" localSheetId="1" hidden="1">{"fdsup://directions/FAT Viewer?action=UPDATE&amp;creator=factset&amp;DYN_ARGS=TRUE&amp;DOC_NAME=FAT:FQL_AUDITING_CLIENT_TEMPLATE.FAT&amp;display_string=Audit&amp;VAR:KEY=ZMBWFADSXC&amp;VAR:QUERY=RkZfRUJJVERBX09QRVIoUVRSLDQvMS8yMDEwLDYvMzAvMjAxMCwsLFVTRCk=&amp;WINDOW=FIRST_POPUP&amp;HEIGH","T=450&amp;WIDTH=450&amp;START_MAXIMIZED=FALSE&amp;VAR:CALENDAR=US&amp;VAR:SYMBOL=DOV&amp;VAR:INDEX=0"}</definedName>
    <definedName name="_732__FDSAUDITLINK__" hidden="1">{"fdsup://directions/FAT Viewer?action=UPDATE&amp;creator=factset&amp;DYN_ARGS=TRUE&amp;DOC_NAME=FAT:FQL_AUDITING_CLIENT_TEMPLATE.FAT&amp;display_string=Audit&amp;VAR:KEY=ZMBWFADSXC&amp;VAR:QUERY=RkZfRUJJVERBX09QRVIoUVRSLDQvMS8yMDEwLDYvMzAvMjAxMCwsLFVTRCk=&amp;WINDOW=FIRST_POPUP&amp;HEIGH","T=450&amp;WIDTH=450&amp;START_MAXIMIZED=FALSE&amp;VAR:CALENDAR=US&amp;VAR:SYMBOL=DOV&amp;VAR:INDEX=0"}</definedName>
    <definedName name="_733__FDSAUDITLINK__" localSheetId="1" hidden="1">{"fdsup://directions/FAT Viewer?action=UPDATE&amp;creator=factset&amp;DYN_ARGS=TRUE&amp;DOC_NAME=FAT:FQL_AUDITING_CLIENT_TEMPLATE.FAT&amp;display_string=Audit&amp;VAR:KEY=LEBKJQXMDQ&amp;VAR:QUERY=RkZfRUJJVERBX09QRVIoUVRSLDQvMS8yMDA5LDYvMzAvMjAwOSwsLFVTRCk=&amp;WINDOW=FIRST_POPUP&amp;HEIGH","T=450&amp;WIDTH=450&amp;START_MAXIMIZED=FALSE&amp;VAR:CALENDAR=US&amp;VAR:SYMBOL=DO&amp;VAR:INDEX=0"}</definedName>
    <definedName name="_733__FDSAUDITLINK__" hidden="1">{"fdsup://directions/FAT Viewer?action=UPDATE&amp;creator=factset&amp;DYN_ARGS=TRUE&amp;DOC_NAME=FAT:FQL_AUDITING_CLIENT_TEMPLATE.FAT&amp;display_string=Audit&amp;VAR:KEY=LEBKJQXMDQ&amp;VAR:QUERY=RkZfRUJJVERBX09QRVIoUVRSLDQvMS8yMDA5LDYvMzAvMjAwOSwsLFVTRCk=&amp;WINDOW=FIRST_POPUP&amp;HEIGH","T=450&amp;WIDTH=450&amp;START_MAXIMIZED=FALSE&amp;VAR:CALENDAR=US&amp;VAR:SYMBOL=DO&amp;VAR:INDEX=0"}</definedName>
    <definedName name="_734__FDSAUDITLINK__" localSheetId="1" hidden="1">{"fdsup://directions/FAT Viewer?action=UPDATE&amp;creator=factset&amp;DYN_ARGS=TRUE&amp;DOC_NAME=FAT:FQL_AUDITING_CLIENT_TEMPLATE.FAT&amp;display_string=Audit&amp;VAR:KEY=TIJEFIVORE&amp;VAR:QUERY=RkZfRUJJVERBX09QRVIoUVRSLDQvMS8yMDEwLDYvMzAvMjAxMCwsLFVTRCk=&amp;WINDOW=FIRST_POPUP&amp;HEIGH","T=450&amp;WIDTH=450&amp;START_MAXIMIZED=FALSE&amp;VAR:CALENDAR=US&amp;VAR:SYMBOL=DO&amp;VAR:INDEX=0"}</definedName>
    <definedName name="_734__FDSAUDITLINK__" hidden="1">{"fdsup://directions/FAT Viewer?action=UPDATE&amp;creator=factset&amp;DYN_ARGS=TRUE&amp;DOC_NAME=FAT:FQL_AUDITING_CLIENT_TEMPLATE.FAT&amp;display_string=Audit&amp;VAR:KEY=TIJEFIVORE&amp;VAR:QUERY=RkZfRUJJVERBX09QRVIoUVRSLDQvMS8yMDEwLDYvMzAvMjAxMCwsLFVTRCk=&amp;WINDOW=FIRST_POPUP&amp;HEIGH","T=450&amp;WIDTH=450&amp;START_MAXIMIZED=FALSE&amp;VAR:CALENDAR=US&amp;VAR:SYMBOL=DO&amp;VAR:INDEX=0"}</definedName>
    <definedName name="_735__FDSAUDITLINK__" localSheetId="1" hidden="1">{"fdsup://directions/FAT Viewer?action=UPDATE&amp;creator=factset&amp;DYN_ARGS=TRUE&amp;DOC_NAME=FAT:FQL_AUDITING_CLIENT_TEMPLATE.FAT&amp;display_string=Audit&amp;VAR:KEY=LMZAZYTWVK&amp;VAR:QUERY=RkZfRUJJVERBX09QRVIoUVRSLDQvMS8yMDA5LDYvMzAvMjAwOSwsLFVTRCk=&amp;WINDOW=FIRST_POPUP&amp;HEIGH","T=450&amp;WIDTH=450&amp;START_MAXIMIZED=FALSE&amp;VAR:CALENDAR=US&amp;VAR:SYMBOL=DNR&amp;VAR:INDEX=0"}</definedName>
    <definedName name="_735__FDSAUDITLINK__" hidden="1">{"fdsup://directions/FAT Viewer?action=UPDATE&amp;creator=factset&amp;DYN_ARGS=TRUE&amp;DOC_NAME=FAT:FQL_AUDITING_CLIENT_TEMPLATE.FAT&amp;display_string=Audit&amp;VAR:KEY=LMZAZYTWVK&amp;VAR:QUERY=RkZfRUJJVERBX09QRVIoUVRSLDQvMS8yMDA5LDYvMzAvMjAwOSwsLFVTRCk=&amp;WINDOW=FIRST_POPUP&amp;HEIGH","T=450&amp;WIDTH=450&amp;START_MAXIMIZED=FALSE&amp;VAR:CALENDAR=US&amp;VAR:SYMBOL=DNR&amp;VAR:INDEX=0"}</definedName>
    <definedName name="_736__FDSAUDITLINK__" localSheetId="1" hidden="1">{"fdsup://directions/FAT Viewer?action=UPDATE&amp;creator=factset&amp;DYN_ARGS=TRUE&amp;DOC_NAME=FAT:FQL_AUDITING_CLIENT_TEMPLATE.FAT&amp;display_string=Audit&amp;VAR:KEY=NYVURQHOFM&amp;VAR:QUERY=RkZfRUJJVERBX09QRVIoUVRSLDQvMS8yMDEwLDYvMzAvMjAxMCwsLFVTRCk=&amp;WINDOW=FIRST_POPUP&amp;HEIGH","T=450&amp;WIDTH=450&amp;START_MAXIMIZED=FALSE&amp;VAR:CALENDAR=US&amp;VAR:SYMBOL=DNR&amp;VAR:INDEX=0"}</definedName>
    <definedName name="_736__FDSAUDITLINK__" hidden="1">{"fdsup://directions/FAT Viewer?action=UPDATE&amp;creator=factset&amp;DYN_ARGS=TRUE&amp;DOC_NAME=FAT:FQL_AUDITING_CLIENT_TEMPLATE.FAT&amp;display_string=Audit&amp;VAR:KEY=NYVURQHOFM&amp;VAR:QUERY=RkZfRUJJVERBX09QRVIoUVRSLDQvMS8yMDEwLDYvMzAvMjAxMCwsLFVTRCk=&amp;WINDOW=FIRST_POPUP&amp;HEIGH","T=450&amp;WIDTH=450&amp;START_MAXIMIZED=FALSE&amp;VAR:CALENDAR=US&amp;VAR:SYMBOL=DNR&amp;VAR:INDEX=0"}</definedName>
    <definedName name="_737__FDSAUDITLINK__" localSheetId="1" hidden="1">{"fdsup://directions/FAT Viewer?action=UPDATE&amp;creator=factset&amp;DYN_ARGS=TRUE&amp;DOC_NAME=FAT:FQL_AUDITING_CLIENT_TEMPLATE.FAT&amp;display_string=Audit&amp;VAR:KEY=NEXCJWDMVQ&amp;VAR:QUERY=RkZfRUJJVERBX09QRVIoUVRSLDQvMS8yMDA5LDYvMzAvMjAwOSwsLFVTRCk=&amp;WINDOW=FIRST_POPUP&amp;HEIGH","T=450&amp;WIDTH=450&amp;START_MAXIMIZED=FALSE&amp;VAR:CALENDAR=US&amp;VAR:SYMBOL=DNB&amp;VAR:INDEX=0"}</definedName>
    <definedName name="_737__FDSAUDITLINK__" hidden="1">{"fdsup://directions/FAT Viewer?action=UPDATE&amp;creator=factset&amp;DYN_ARGS=TRUE&amp;DOC_NAME=FAT:FQL_AUDITING_CLIENT_TEMPLATE.FAT&amp;display_string=Audit&amp;VAR:KEY=NEXCJWDMVQ&amp;VAR:QUERY=RkZfRUJJVERBX09QRVIoUVRSLDQvMS8yMDA5LDYvMzAvMjAwOSwsLFVTRCk=&amp;WINDOW=FIRST_POPUP&amp;HEIGH","T=450&amp;WIDTH=450&amp;START_MAXIMIZED=FALSE&amp;VAR:CALENDAR=US&amp;VAR:SYMBOL=DNB&amp;VAR:INDEX=0"}</definedName>
    <definedName name="_738__FDSAUDITLINK__" localSheetId="1" hidden="1">{"fdsup://directions/FAT Viewer?action=UPDATE&amp;creator=factset&amp;DYN_ARGS=TRUE&amp;DOC_NAME=FAT:FQL_AUDITING_CLIENT_TEMPLATE.FAT&amp;display_string=Audit&amp;VAR:KEY=HYTMFKDGDA&amp;VAR:QUERY=RkZfRUJJVERBX09QRVIoUVRSLDQvMS8yMDEwLDYvMzAvMjAxMCwsLFVTRCk=&amp;WINDOW=FIRST_POPUP&amp;HEIGH","T=450&amp;WIDTH=450&amp;START_MAXIMIZED=FALSE&amp;VAR:CALENDAR=US&amp;VAR:SYMBOL=DNB&amp;VAR:INDEX=0"}</definedName>
    <definedName name="_738__FDSAUDITLINK__" hidden="1">{"fdsup://directions/FAT Viewer?action=UPDATE&amp;creator=factset&amp;DYN_ARGS=TRUE&amp;DOC_NAME=FAT:FQL_AUDITING_CLIENT_TEMPLATE.FAT&amp;display_string=Audit&amp;VAR:KEY=HYTMFKDGDA&amp;VAR:QUERY=RkZfRUJJVERBX09QRVIoUVRSLDQvMS8yMDEwLDYvMzAvMjAxMCwsLFVTRCk=&amp;WINDOW=FIRST_POPUP&amp;HEIGH","T=450&amp;WIDTH=450&amp;START_MAXIMIZED=FALSE&amp;VAR:CALENDAR=US&amp;VAR:SYMBOL=DNB&amp;VAR:INDEX=0"}</definedName>
    <definedName name="_739__FDSAUDITLINK__" localSheetId="1" hidden="1">{"fdsup://directions/FAT Viewer?action=UPDATE&amp;creator=factset&amp;DYN_ARGS=TRUE&amp;DOC_NAME=FAT:FQL_AUDITING_CLIENT_TEMPLATE.FAT&amp;display_string=Audit&amp;VAR:KEY=FYFSNIJOJQ&amp;VAR:QUERY=RkZfRUJJVERBX09QRVIoUVRSLDQvMS8yMDA5LDYvMzAvMjAwOSwsLFVTRCk=&amp;WINDOW=FIRST_POPUP&amp;HEIGH","T=450&amp;WIDTH=450&amp;START_MAXIMIZED=FALSE&amp;VAR:CALENDAR=US&amp;VAR:SYMBOL=DISCA&amp;VAR:INDEX=0"}</definedName>
    <definedName name="_739__FDSAUDITLINK__" hidden="1">{"fdsup://directions/FAT Viewer?action=UPDATE&amp;creator=factset&amp;DYN_ARGS=TRUE&amp;DOC_NAME=FAT:FQL_AUDITING_CLIENT_TEMPLATE.FAT&amp;display_string=Audit&amp;VAR:KEY=FYFSNIJOJQ&amp;VAR:QUERY=RkZfRUJJVERBX09QRVIoUVRSLDQvMS8yMDA5LDYvMzAvMjAwOSwsLFVTRCk=&amp;WINDOW=FIRST_POPUP&amp;HEIGH","T=450&amp;WIDTH=450&amp;START_MAXIMIZED=FALSE&amp;VAR:CALENDAR=US&amp;VAR:SYMBOL=DISCA&amp;VAR:INDEX=0"}</definedName>
    <definedName name="_74__FDSAUDITLINK__" localSheetId="1" hidden="1">{"fdsup://directions/FAT Viewer?action=UPDATE&amp;creator=factset&amp;DYN_ARGS=TRUE&amp;DOC_NAME=FAT:FQL_AUDITING_CLIENT_TEMPLATE.FAT&amp;display_string=Audit&amp;VAR:KEY=VQVMVYVQZI&amp;VAR:QUERY=RkZfRUJJVERBX09QRVIoUVRSLDQvMS8yMDEwLDYvMzAvMjAxMCwsLFVTRCk=&amp;WINDOW=FIRST_POPUP&amp;HEIGH","T=450&amp;WIDTH=450&amp;START_MAXIMIZED=FALSE&amp;VAR:CALENDAR=US&amp;VAR:SYMBOL=VIA.B&amp;VAR:INDEX=0"}</definedName>
    <definedName name="_74__FDSAUDITLINK__" hidden="1">{"fdsup://directions/FAT Viewer?action=UPDATE&amp;creator=factset&amp;DYN_ARGS=TRUE&amp;DOC_NAME=FAT:FQL_AUDITING_CLIENT_TEMPLATE.FAT&amp;display_string=Audit&amp;VAR:KEY=VQVMVYVQZI&amp;VAR:QUERY=RkZfRUJJVERBX09QRVIoUVRSLDQvMS8yMDEwLDYvMzAvMjAxMCwsLFVTRCk=&amp;WINDOW=FIRST_POPUP&amp;HEIGH","T=450&amp;WIDTH=450&amp;START_MAXIMIZED=FALSE&amp;VAR:CALENDAR=US&amp;VAR:SYMBOL=VIA.B&amp;VAR:INDEX=0"}</definedName>
    <definedName name="_740__FDSAUDITLINK__" localSheetId="1" hidden="1">{"fdsup://directions/FAT Viewer?action=UPDATE&amp;creator=factset&amp;DYN_ARGS=TRUE&amp;DOC_NAME=FAT:FQL_AUDITING_CLIENT_TEMPLATE.FAT&amp;display_string=Audit&amp;VAR:KEY=FCNKRSFIHM&amp;VAR:QUERY=RkZfRUJJVERBX09QRVIoUVRSLDQvMS8yMDEwLDYvMzAvMjAxMCwsLFVTRCk=&amp;WINDOW=FIRST_POPUP&amp;HEIGH","T=450&amp;WIDTH=450&amp;START_MAXIMIZED=FALSE&amp;VAR:CALENDAR=US&amp;VAR:SYMBOL=DISCA&amp;VAR:INDEX=0"}</definedName>
    <definedName name="_740__FDSAUDITLINK__" hidden="1">{"fdsup://directions/FAT Viewer?action=UPDATE&amp;creator=factset&amp;DYN_ARGS=TRUE&amp;DOC_NAME=FAT:FQL_AUDITING_CLIENT_TEMPLATE.FAT&amp;display_string=Audit&amp;VAR:KEY=FCNKRSFIHM&amp;VAR:QUERY=RkZfRUJJVERBX09QRVIoUVRSLDQvMS8yMDEwLDYvMzAvMjAxMCwsLFVTRCk=&amp;WINDOW=FIRST_POPUP&amp;HEIGH","T=450&amp;WIDTH=450&amp;START_MAXIMIZED=FALSE&amp;VAR:CALENDAR=US&amp;VAR:SYMBOL=DISCA&amp;VAR:INDEX=0"}</definedName>
    <definedName name="_741__FDSAUDITLINK__" localSheetId="1" hidden="1">{"fdsup://directions/FAT Viewer?action=UPDATE&amp;creator=factset&amp;DYN_ARGS=TRUE&amp;DOC_NAME=FAT:FQL_AUDITING_CLIENT_TEMPLATE.FAT&amp;display_string=Audit&amp;VAR:KEY=PAZODUFYBE&amp;VAR:QUERY=RkZfRUJJVERBX09QRVIoUVRSLDQvMS8yMDA5LDYvMzAvMjAwOSwsLFVTRCk=&amp;WINDOW=FIRST_POPUP&amp;HEIGH","T=450&amp;WIDTH=450&amp;START_MAXIMIZED=FALSE&amp;VAR:CALENDAR=US&amp;VAR:SYMBOL=DIS&amp;VAR:INDEX=0"}</definedName>
    <definedName name="_741__FDSAUDITLINK__" hidden="1">{"fdsup://directions/FAT Viewer?action=UPDATE&amp;creator=factset&amp;DYN_ARGS=TRUE&amp;DOC_NAME=FAT:FQL_AUDITING_CLIENT_TEMPLATE.FAT&amp;display_string=Audit&amp;VAR:KEY=PAZODUFYBE&amp;VAR:QUERY=RkZfRUJJVERBX09QRVIoUVRSLDQvMS8yMDA5LDYvMzAvMjAwOSwsLFVTRCk=&amp;WINDOW=FIRST_POPUP&amp;HEIGH","T=450&amp;WIDTH=450&amp;START_MAXIMIZED=FALSE&amp;VAR:CALENDAR=US&amp;VAR:SYMBOL=DIS&amp;VAR:INDEX=0"}</definedName>
    <definedName name="_742__FDSAUDITLINK__" localSheetId="1" hidden="1">{"fdsup://directions/FAT Viewer?action=UPDATE&amp;creator=factset&amp;DYN_ARGS=TRUE&amp;DOC_NAME=FAT:FQL_AUDITING_CLIENT_TEMPLATE.FAT&amp;display_string=Audit&amp;VAR:KEY=LARUVKLSRK&amp;VAR:QUERY=RkZfRUJJVERBX09QRVIoUVRSLDQvMS8yMDEwLDYvMzAvMjAxMCwsLFVTRCk=&amp;WINDOW=FIRST_POPUP&amp;HEIGH","T=450&amp;WIDTH=450&amp;START_MAXIMIZED=FALSE&amp;VAR:CALENDAR=US&amp;VAR:SYMBOL=DIS&amp;VAR:INDEX=0"}</definedName>
    <definedName name="_742__FDSAUDITLINK__" hidden="1">{"fdsup://directions/FAT Viewer?action=UPDATE&amp;creator=factset&amp;DYN_ARGS=TRUE&amp;DOC_NAME=FAT:FQL_AUDITING_CLIENT_TEMPLATE.FAT&amp;display_string=Audit&amp;VAR:KEY=LARUVKLSRK&amp;VAR:QUERY=RkZfRUJJVERBX09QRVIoUVRSLDQvMS8yMDEwLDYvMzAvMjAxMCwsLFVTRCk=&amp;WINDOW=FIRST_POPUP&amp;HEIGH","T=450&amp;WIDTH=450&amp;START_MAXIMIZED=FALSE&amp;VAR:CALENDAR=US&amp;VAR:SYMBOL=DIS&amp;VAR:INDEX=0"}</definedName>
    <definedName name="_743__FDSAUDITLINK__" localSheetId="1" hidden="1">{"fdsup://directions/FAT Viewer?action=UPDATE&amp;creator=factset&amp;DYN_ARGS=TRUE&amp;DOC_NAME=FAT:FQL_AUDITING_CLIENT_TEMPLATE.FAT&amp;display_string=Audit&amp;VAR:KEY=NKVQPKFSPM&amp;VAR:QUERY=RkZfRUJJVERBX09QRVIoUVRSLDQvMS8yMDA5LDYvMzAvMjAwOSwsLFVTRCk=&amp;WINDOW=FIRST_POPUP&amp;HEIGH","T=450&amp;WIDTH=450&amp;START_MAXIMIZED=FALSE&amp;VAR:CALENDAR=US&amp;VAR:SYMBOL=DHR&amp;VAR:INDEX=0"}</definedName>
    <definedName name="_743__FDSAUDITLINK__" hidden="1">{"fdsup://directions/FAT Viewer?action=UPDATE&amp;creator=factset&amp;DYN_ARGS=TRUE&amp;DOC_NAME=FAT:FQL_AUDITING_CLIENT_TEMPLATE.FAT&amp;display_string=Audit&amp;VAR:KEY=NKVQPKFSPM&amp;VAR:QUERY=RkZfRUJJVERBX09QRVIoUVRSLDQvMS8yMDA5LDYvMzAvMjAwOSwsLFVTRCk=&amp;WINDOW=FIRST_POPUP&amp;HEIGH","T=450&amp;WIDTH=450&amp;START_MAXIMIZED=FALSE&amp;VAR:CALENDAR=US&amp;VAR:SYMBOL=DHR&amp;VAR:INDEX=0"}</definedName>
    <definedName name="_744__FDSAUDITLINK__" localSheetId="1" hidden="1">{"fdsup://directions/FAT Viewer?action=UPDATE&amp;creator=factset&amp;DYN_ARGS=TRUE&amp;DOC_NAME=FAT:FQL_AUDITING_CLIENT_TEMPLATE.FAT&amp;display_string=Audit&amp;VAR:KEY=FWRQZAPAVI&amp;VAR:QUERY=RkZfRUJJVERBX09QRVIoUVRSLDQvMS8yMDEwLDYvMzAvMjAxMCwsLFVTRCk=&amp;WINDOW=FIRST_POPUP&amp;HEIGH","T=450&amp;WIDTH=450&amp;START_MAXIMIZED=FALSE&amp;VAR:CALENDAR=US&amp;VAR:SYMBOL=DHR&amp;VAR:INDEX=0"}</definedName>
    <definedName name="_744__FDSAUDITLINK__" hidden="1">{"fdsup://directions/FAT Viewer?action=UPDATE&amp;creator=factset&amp;DYN_ARGS=TRUE&amp;DOC_NAME=FAT:FQL_AUDITING_CLIENT_TEMPLATE.FAT&amp;display_string=Audit&amp;VAR:KEY=FWRQZAPAVI&amp;VAR:QUERY=RkZfRUJJVERBX09QRVIoUVRSLDQvMS8yMDEwLDYvMzAvMjAxMCwsLFVTRCk=&amp;WINDOW=FIRST_POPUP&amp;HEIGH","T=450&amp;WIDTH=450&amp;START_MAXIMIZED=FALSE&amp;VAR:CALENDAR=US&amp;VAR:SYMBOL=DHR&amp;VAR:INDEX=0"}</definedName>
    <definedName name="_745__FDSAUDITLINK__" localSheetId="1" hidden="1">{"fdsup://directions/FAT Viewer?action=UPDATE&amp;creator=factset&amp;DYN_ARGS=TRUE&amp;DOC_NAME=FAT:FQL_AUDITING_CLIENT_TEMPLATE.FAT&amp;display_string=Audit&amp;VAR:KEY=RQHYZOTQJE&amp;VAR:QUERY=RkZfRUJJVERBX09QRVIoUVRSLDQvMS8yMDA5LDYvMzAvMjAwOSwsLFVTRCk=&amp;WINDOW=FIRST_POPUP&amp;HEIGH","T=450&amp;WIDTH=450&amp;START_MAXIMIZED=FALSE&amp;VAR:CALENDAR=US&amp;VAR:SYMBOL=DHI&amp;VAR:INDEX=0"}</definedName>
    <definedName name="_745__FDSAUDITLINK__" hidden="1">{"fdsup://directions/FAT Viewer?action=UPDATE&amp;creator=factset&amp;DYN_ARGS=TRUE&amp;DOC_NAME=FAT:FQL_AUDITING_CLIENT_TEMPLATE.FAT&amp;display_string=Audit&amp;VAR:KEY=RQHYZOTQJE&amp;VAR:QUERY=RkZfRUJJVERBX09QRVIoUVRSLDQvMS8yMDA5LDYvMzAvMjAwOSwsLFVTRCk=&amp;WINDOW=FIRST_POPUP&amp;HEIGH","T=450&amp;WIDTH=450&amp;START_MAXIMIZED=FALSE&amp;VAR:CALENDAR=US&amp;VAR:SYMBOL=DHI&amp;VAR:INDEX=0"}</definedName>
    <definedName name="_746__FDSAUDITLINK__" localSheetId="1" hidden="1">{"fdsup://directions/FAT Viewer?action=UPDATE&amp;creator=factset&amp;DYN_ARGS=TRUE&amp;DOC_NAME=FAT:FQL_AUDITING_CLIENT_TEMPLATE.FAT&amp;display_string=Audit&amp;VAR:KEY=DAJUDMJSZW&amp;VAR:QUERY=RkZfRUJJVERBX09QRVIoUVRSLDQvMS8yMDEwLDYvMzAvMjAxMCwsLFVTRCk=&amp;WINDOW=FIRST_POPUP&amp;HEIGH","T=450&amp;WIDTH=450&amp;START_MAXIMIZED=FALSE&amp;VAR:CALENDAR=US&amp;VAR:SYMBOL=DHI&amp;VAR:INDEX=0"}</definedName>
    <definedName name="_746__FDSAUDITLINK__" hidden="1">{"fdsup://directions/FAT Viewer?action=UPDATE&amp;creator=factset&amp;DYN_ARGS=TRUE&amp;DOC_NAME=FAT:FQL_AUDITING_CLIENT_TEMPLATE.FAT&amp;display_string=Audit&amp;VAR:KEY=DAJUDMJSZW&amp;VAR:QUERY=RkZfRUJJVERBX09QRVIoUVRSLDQvMS8yMDEwLDYvMzAvMjAxMCwsLFVTRCk=&amp;WINDOW=FIRST_POPUP&amp;HEIGH","T=450&amp;WIDTH=450&amp;START_MAXIMIZED=FALSE&amp;VAR:CALENDAR=US&amp;VAR:SYMBOL=DHI&amp;VAR:INDEX=0"}</definedName>
    <definedName name="_747__FDSAUDITLINK__" localSheetId="1" hidden="1">{"fdsup://directions/FAT Viewer?action=UPDATE&amp;creator=factset&amp;DYN_ARGS=TRUE&amp;DOC_NAME=FAT:FQL_AUDITING_CLIENT_TEMPLATE.FAT&amp;display_string=Audit&amp;VAR:KEY=RSBIDIHEXA&amp;VAR:QUERY=RkZfRUJJVERBX09QRVIoUVRSLDQvMS8yMDA5LDYvMzAvMjAwOSwsLFVTRCk=&amp;WINDOW=FIRST_POPUP&amp;HEIGH","T=450&amp;WIDTH=450&amp;START_MAXIMIZED=FALSE&amp;VAR:CALENDAR=US&amp;VAR:SYMBOL=DGX&amp;VAR:INDEX=0"}</definedName>
    <definedName name="_747__FDSAUDITLINK__" hidden="1">{"fdsup://directions/FAT Viewer?action=UPDATE&amp;creator=factset&amp;DYN_ARGS=TRUE&amp;DOC_NAME=FAT:FQL_AUDITING_CLIENT_TEMPLATE.FAT&amp;display_string=Audit&amp;VAR:KEY=RSBIDIHEXA&amp;VAR:QUERY=RkZfRUJJVERBX09QRVIoUVRSLDQvMS8yMDA5LDYvMzAvMjAwOSwsLFVTRCk=&amp;WINDOW=FIRST_POPUP&amp;HEIGH","T=450&amp;WIDTH=450&amp;START_MAXIMIZED=FALSE&amp;VAR:CALENDAR=US&amp;VAR:SYMBOL=DGX&amp;VAR:INDEX=0"}</definedName>
    <definedName name="_748__FDSAUDITLINK__" localSheetId="1" hidden="1">{"fdsup://directions/FAT Viewer?action=UPDATE&amp;creator=factset&amp;DYN_ARGS=TRUE&amp;DOC_NAME=FAT:FQL_AUDITING_CLIENT_TEMPLATE.FAT&amp;display_string=Audit&amp;VAR:KEY=RANILQRQFU&amp;VAR:QUERY=RkZfRUJJVERBX09QRVIoUVRSLDQvMS8yMDEwLDYvMzAvMjAxMCwsLFVTRCk=&amp;WINDOW=FIRST_POPUP&amp;HEIGH","T=450&amp;WIDTH=450&amp;START_MAXIMIZED=FALSE&amp;VAR:CALENDAR=US&amp;VAR:SYMBOL=DGX&amp;VAR:INDEX=0"}</definedName>
    <definedName name="_748__FDSAUDITLINK__" hidden="1">{"fdsup://directions/FAT Viewer?action=UPDATE&amp;creator=factset&amp;DYN_ARGS=TRUE&amp;DOC_NAME=FAT:FQL_AUDITING_CLIENT_TEMPLATE.FAT&amp;display_string=Audit&amp;VAR:KEY=RANILQRQFU&amp;VAR:QUERY=RkZfRUJJVERBX09QRVIoUVRSLDQvMS8yMDEwLDYvMzAvMjAxMCwsLFVTRCk=&amp;WINDOW=FIRST_POPUP&amp;HEIGH","T=450&amp;WIDTH=450&amp;START_MAXIMIZED=FALSE&amp;VAR:CALENDAR=US&amp;VAR:SYMBOL=DGX&amp;VAR:INDEX=0"}</definedName>
    <definedName name="_749__FDSAUDITLINK__" localSheetId="1" hidden="1">{"fdsup://directions/FAT Viewer?action=UPDATE&amp;creator=factset&amp;DYN_ARGS=TRUE&amp;DOC_NAME=FAT:FQL_AUDITING_CLIENT_TEMPLATE.FAT&amp;display_string=Audit&amp;VAR:KEY=FEPQFUJWZK&amp;VAR:QUERY=RkZfRUJJVERBX09QRVIoUVRSLDQvMS8yMDA5LDYvMzAvMjAwOSwsLFVTRCk=&amp;WINDOW=FIRST_POPUP&amp;HEIGH","T=450&amp;WIDTH=450&amp;START_MAXIMIZED=FALSE&amp;VAR:CALENDAR=US&amp;VAR:SYMBOL=DFS&amp;VAR:INDEX=0"}</definedName>
    <definedName name="_749__FDSAUDITLINK__" hidden="1">{"fdsup://directions/FAT Viewer?action=UPDATE&amp;creator=factset&amp;DYN_ARGS=TRUE&amp;DOC_NAME=FAT:FQL_AUDITING_CLIENT_TEMPLATE.FAT&amp;display_string=Audit&amp;VAR:KEY=FEPQFUJWZK&amp;VAR:QUERY=RkZfRUJJVERBX09QRVIoUVRSLDQvMS8yMDA5LDYvMzAvMjAwOSwsLFVTRCk=&amp;WINDOW=FIRST_POPUP&amp;HEIGH","T=450&amp;WIDTH=450&amp;START_MAXIMIZED=FALSE&amp;VAR:CALENDAR=US&amp;VAR:SYMBOL=DFS&amp;VAR:INDEX=0"}</definedName>
    <definedName name="_75__FDSAUDITLINK__" localSheetId="1" hidden="1">{"fdsup://directions/FAT Viewer?action=UPDATE&amp;creator=factset&amp;DYN_ARGS=TRUE&amp;DOC_NAME=FAT:FQL_AUDITING_CLIENT_TEMPLATE.FAT&amp;display_string=Audit&amp;VAR:KEY=FEXMLEDMJQ&amp;VAR:QUERY=RkZfRUJJVERBX09QRVIoUVRSLDQvMS8yMDA5LDYvMzAvMjAwOSwsLFVTRCk=&amp;WINDOW=FIRST_POPUP&amp;HEIGH","T=450&amp;WIDTH=450&amp;START_MAXIMIZED=FALSE&amp;VAR:CALENDAR=US&amp;VAR:SYMBOL=VFC&amp;VAR:INDEX=0"}</definedName>
    <definedName name="_75__FDSAUDITLINK__" hidden="1">{"fdsup://directions/FAT Viewer?action=UPDATE&amp;creator=factset&amp;DYN_ARGS=TRUE&amp;DOC_NAME=FAT:FQL_AUDITING_CLIENT_TEMPLATE.FAT&amp;display_string=Audit&amp;VAR:KEY=FEXMLEDMJQ&amp;VAR:QUERY=RkZfRUJJVERBX09QRVIoUVRSLDQvMS8yMDA5LDYvMzAvMjAwOSwsLFVTRCk=&amp;WINDOW=FIRST_POPUP&amp;HEIGH","T=450&amp;WIDTH=450&amp;START_MAXIMIZED=FALSE&amp;VAR:CALENDAR=US&amp;VAR:SYMBOL=VFC&amp;VAR:INDEX=0"}</definedName>
    <definedName name="_750__FDSAUDITLINK__" localSheetId="1" hidden="1">{"fdsup://directions/FAT Viewer?action=UPDATE&amp;creator=factset&amp;DYN_ARGS=TRUE&amp;DOC_NAME=FAT:FQL_AUDITING_CLIENT_TEMPLATE.FAT&amp;display_string=Audit&amp;VAR:KEY=LORGXGTOTG&amp;VAR:QUERY=RkZfRUJJVERBX09QRVIoUVRSLDQvMS8yMDEwLDYvMzAvMjAxMCwsLFVTRCk=&amp;WINDOW=FIRST_POPUP&amp;HEIGH","T=450&amp;WIDTH=450&amp;START_MAXIMIZED=FALSE&amp;VAR:CALENDAR=US&amp;VAR:SYMBOL=DFS&amp;VAR:INDEX=0"}</definedName>
    <definedName name="_750__FDSAUDITLINK__" hidden="1">{"fdsup://directions/FAT Viewer?action=UPDATE&amp;creator=factset&amp;DYN_ARGS=TRUE&amp;DOC_NAME=FAT:FQL_AUDITING_CLIENT_TEMPLATE.FAT&amp;display_string=Audit&amp;VAR:KEY=LORGXGTOTG&amp;VAR:QUERY=RkZfRUJJVERBX09QRVIoUVRSLDQvMS8yMDEwLDYvMzAvMjAxMCwsLFVTRCk=&amp;WINDOW=FIRST_POPUP&amp;HEIGH","T=450&amp;WIDTH=450&amp;START_MAXIMIZED=FALSE&amp;VAR:CALENDAR=US&amp;VAR:SYMBOL=DFS&amp;VAR:INDEX=0"}</definedName>
    <definedName name="_751__FDSAUDITLINK__" localSheetId="1" hidden="1">{"fdsup://directions/FAT Viewer?action=UPDATE&amp;creator=factset&amp;DYN_ARGS=TRUE&amp;DOC_NAME=FAT:FQL_AUDITING_CLIENT_TEMPLATE.FAT&amp;display_string=Audit&amp;VAR:KEY=FAJQPINOBW&amp;VAR:QUERY=RkZfRUJJVERBX09QRVIoUVRSLDQvMS8yMDA5LDYvMzAvMjAwOSwsLFVTRCk=&amp;WINDOW=FIRST_POPUP&amp;HEIGH","T=450&amp;WIDTH=450&amp;START_MAXIMIZED=FALSE&amp;VAR:CALENDAR=US&amp;VAR:SYMBOL=DF&amp;VAR:INDEX=0"}</definedName>
    <definedName name="_751__FDSAUDITLINK__" hidden="1">{"fdsup://directions/FAT Viewer?action=UPDATE&amp;creator=factset&amp;DYN_ARGS=TRUE&amp;DOC_NAME=FAT:FQL_AUDITING_CLIENT_TEMPLATE.FAT&amp;display_string=Audit&amp;VAR:KEY=FAJQPINOBW&amp;VAR:QUERY=RkZfRUJJVERBX09QRVIoUVRSLDQvMS8yMDA5LDYvMzAvMjAwOSwsLFVTRCk=&amp;WINDOW=FIRST_POPUP&amp;HEIGH","T=450&amp;WIDTH=450&amp;START_MAXIMIZED=FALSE&amp;VAR:CALENDAR=US&amp;VAR:SYMBOL=DF&amp;VAR:INDEX=0"}</definedName>
    <definedName name="_752__FDSAUDITLINK__" localSheetId="1" hidden="1">{"fdsup://directions/FAT Viewer?action=UPDATE&amp;creator=factset&amp;DYN_ARGS=TRUE&amp;DOC_NAME=FAT:FQL_AUDITING_CLIENT_TEMPLATE.FAT&amp;display_string=Audit&amp;VAR:KEY=JSLITUHEJQ&amp;VAR:QUERY=RkZfRUJJVERBX09QRVIoUVRSLDQvMS8yMDEwLDYvMzAvMjAxMCwsLFVTRCk=&amp;WINDOW=FIRST_POPUP&amp;HEIGH","T=450&amp;WIDTH=450&amp;START_MAXIMIZED=FALSE&amp;VAR:CALENDAR=US&amp;VAR:SYMBOL=DF&amp;VAR:INDEX=0"}</definedName>
    <definedName name="_752__FDSAUDITLINK__" hidden="1">{"fdsup://directions/FAT Viewer?action=UPDATE&amp;creator=factset&amp;DYN_ARGS=TRUE&amp;DOC_NAME=FAT:FQL_AUDITING_CLIENT_TEMPLATE.FAT&amp;display_string=Audit&amp;VAR:KEY=JSLITUHEJQ&amp;VAR:QUERY=RkZfRUJJVERBX09QRVIoUVRSLDQvMS8yMDEwLDYvMzAvMjAxMCwsLFVTRCk=&amp;WINDOW=FIRST_POPUP&amp;HEIGH","T=450&amp;WIDTH=450&amp;START_MAXIMIZED=FALSE&amp;VAR:CALENDAR=US&amp;VAR:SYMBOL=DF&amp;VAR:INDEX=0"}</definedName>
    <definedName name="_753__FDSAUDITLINK__" localSheetId="1" hidden="1">{"fdsup://directions/FAT Viewer?action=UPDATE&amp;creator=factset&amp;DYN_ARGS=TRUE&amp;DOC_NAME=FAT:FQL_AUDITING_CLIENT_TEMPLATE.FAT&amp;display_string=Audit&amp;VAR:KEY=DEVKBYLEPM&amp;VAR:QUERY=RkZfRUJJVERBX09QRVIoUVRSLDQvMS8yMDA5LDYvMzAvMjAwOSwsLFVTRCk=&amp;WINDOW=FIRST_POPUP&amp;HEIGH","T=450&amp;WIDTH=450&amp;START_MAXIMIZED=FALSE&amp;VAR:CALENDAR=US&amp;VAR:SYMBOL=DELL&amp;VAR:INDEX=0"}</definedName>
    <definedName name="_753__FDSAUDITLINK__" hidden="1">{"fdsup://directions/FAT Viewer?action=UPDATE&amp;creator=factset&amp;DYN_ARGS=TRUE&amp;DOC_NAME=FAT:FQL_AUDITING_CLIENT_TEMPLATE.FAT&amp;display_string=Audit&amp;VAR:KEY=DEVKBYLEPM&amp;VAR:QUERY=RkZfRUJJVERBX09QRVIoUVRSLDQvMS8yMDA5LDYvMzAvMjAwOSwsLFVTRCk=&amp;WINDOW=FIRST_POPUP&amp;HEIGH","T=450&amp;WIDTH=450&amp;START_MAXIMIZED=FALSE&amp;VAR:CALENDAR=US&amp;VAR:SYMBOL=DELL&amp;VAR:INDEX=0"}</definedName>
    <definedName name="_754__FDSAUDITLINK__" localSheetId="1" hidden="1">{"fdsup://directions/FAT Viewer?action=UPDATE&amp;creator=factset&amp;DYN_ARGS=TRUE&amp;DOC_NAME=FAT:FQL_AUDITING_CLIENT_TEMPLATE.FAT&amp;display_string=Audit&amp;VAR:KEY=NWXKPKBORQ&amp;VAR:QUERY=RkZfRUJJVERBX09QRVIoUVRSLDQvMS8yMDEwLDYvMzAvMjAxMCwsLFVTRCk=&amp;WINDOW=FIRST_POPUP&amp;HEIGH","T=450&amp;WIDTH=450&amp;START_MAXIMIZED=FALSE&amp;VAR:CALENDAR=US&amp;VAR:SYMBOL=DELL&amp;VAR:INDEX=0"}</definedName>
    <definedName name="_754__FDSAUDITLINK__" hidden="1">{"fdsup://directions/FAT Viewer?action=UPDATE&amp;creator=factset&amp;DYN_ARGS=TRUE&amp;DOC_NAME=FAT:FQL_AUDITING_CLIENT_TEMPLATE.FAT&amp;display_string=Audit&amp;VAR:KEY=NWXKPKBORQ&amp;VAR:QUERY=RkZfRUJJVERBX09QRVIoUVRSLDQvMS8yMDEwLDYvMzAvMjAxMCwsLFVTRCk=&amp;WINDOW=FIRST_POPUP&amp;HEIGH","T=450&amp;WIDTH=450&amp;START_MAXIMIZED=FALSE&amp;VAR:CALENDAR=US&amp;VAR:SYMBOL=DELL&amp;VAR:INDEX=0"}</definedName>
    <definedName name="_755__FDSAUDITLINK__" localSheetId="1" hidden="1">{"fdsup://directions/FAT Viewer?action=UPDATE&amp;creator=factset&amp;DYN_ARGS=TRUE&amp;DOC_NAME=FAT:FQL_AUDITING_CLIENT_TEMPLATE.FAT&amp;display_string=Audit&amp;VAR:KEY=XADCRYTIPA&amp;VAR:QUERY=RkZfRUJJVERBX09QRVIoUVRSLDQvMS8yMDA5LDYvMzAvMjAwOSwsLFVTRCk=&amp;WINDOW=FIRST_POPUP&amp;HEIGH","T=450&amp;WIDTH=450&amp;START_MAXIMIZED=FALSE&amp;VAR:CALENDAR=US&amp;VAR:SYMBOL=DE&amp;VAR:INDEX=0"}</definedName>
    <definedName name="_755__FDSAUDITLINK__" hidden="1">{"fdsup://directions/FAT Viewer?action=UPDATE&amp;creator=factset&amp;DYN_ARGS=TRUE&amp;DOC_NAME=FAT:FQL_AUDITING_CLIENT_TEMPLATE.FAT&amp;display_string=Audit&amp;VAR:KEY=XADCRYTIPA&amp;VAR:QUERY=RkZfRUJJVERBX09QRVIoUVRSLDQvMS8yMDA5LDYvMzAvMjAwOSwsLFVTRCk=&amp;WINDOW=FIRST_POPUP&amp;HEIGH","T=450&amp;WIDTH=450&amp;START_MAXIMIZED=FALSE&amp;VAR:CALENDAR=US&amp;VAR:SYMBOL=DE&amp;VAR:INDEX=0"}</definedName>
    <definedName name="_756__FDSAUDITLINK__" localSheetId="1" hidden="1">{"fdsup://directions/FAT Viewer?action=UPDATE&amp;creator=factset&amp;DYN_ARGS=TRUE&amp;DOC_NAME=FAT:FQL_AUDITING_CLIENT_TEMPLATE.FAT&amp;display_string=Audit&amp;VAR:KEY=HIPQZIHUHU&amp;VAR:QUERY=RkZfRUJJVERBX09QRVIoUVRSLDQvMS8yMDEwLDYvMzAvMjAxMCwsLFVTRCk=&amp;WINDOW=FIRST_POPUP&amp;HEIGH","T=450&amp;WIDTH=450&amp;START_MAXIMIZED=FALSE&amp;VAR:CALENDAR=US&amp;VAR:SYMBOL=DE&amp;VAR:INDEX=0"}</definedName>
    <definedName name="_756__FDSAUDITLINK__" hidden="1">{"fdsup://directions/FAT Viewer?action=UPDATE&amp;creator=factset&amp;DYN_ARGS=TRUE&amp;DOC_NAME=FAT:FQL_AUDITING_CLIENT_TEMPLATE.FAT&amp;display_string=Audit&amp;VAR:KEY=HIPQZIHUHU&amp;VAR:QUERY=RkZfRUJJVERBX09QRVIoUVRSLDQvMS8yMDEwLDYvMzAvMjAxMCwsLFVTRCk=&amp;WINDOW=FIRST_POPUP&amp;HEIGH","T=450&amp;WIDTH=450&amp;START_MAXIMIZED=FALSE&amp;VAR:CALENDAR=US&amp;VAR:SYMBOL=DE&amp;VAR:INDEX=0"}</definedName>
    <definedName name="_757__FDSAUDITLINK__" localSheetId="1" hidden="1">{"fdsup://directions/FAT Viewer?action=UPDATE&amp;creator=factset&amp;DYN_ARGS=TRUE&amp;DOC_NAME=FAT:FQL_AUDITING_CLIENT_TEMPLATE.FAT&amp;display_string=Audit&amp;VAR:KEY=XUXMRCDMZG&amp;VAR:QUERY=RkZfRUJJVERBX09QRVIoUVRSLDQvMS8yMDA5LDYvMzAvMjAwOSwsLFVTRCk=&amp;WINDOW=FIRST_POPUP&amp;HEIGH","T=450&amp;WIDTH=450&amp;START_MAXIMIZED=FALSE&amp;VAR:CALENDAR=US&amp;VAR:SYMBOL=DD&amp;VAR:INDEX=0"}</definedName>
    <definedName name="_757__FDSAUDITLINK__" hidden="1">{"fdsup://directions/FAT Viewer?action=UPDATE&amp;creator=factset&amp;DYN_ARGS=TRUE&amp;DOC_NAME=FAT:FQL_AUDITING_CLIENT_TEMPLATE.FAT&amp;display_string=Audit&amp;VAR:KEY=XUXMRCDMZG&amp;VAR:QUERY=RkZfRUJJVERBX09QRVIoUVRSLDQvMS8yMDA5LDYvMzAvMjAwOSwsLFVTRCk=&amp;WINDOW=FIRST_POPUP&amp;HEIGH","T=450&amp;WIDTH=450&amp;START_MAXIMIZED=FALSE&amp;VAR:CALENDAR=US&amp;VAR:SYMBOL=DD&amp;VAR:INDEX=0"}</definedName>
    <definedName name="_758__FDSAUDITLINK__" localSheetId="1" hidden="1">{"fdsup://directions/FAT Viewer?action=UPDATE&amp;creator=factset&amp;DYN_ARGS=TRUE&amp;DOC_NAME=FAT:FQL_AUDITING_CLIENT_TEMPLATE.FAT&amp;display_string=Audit&amp;VAR:KEY=TKDUBQTYBI&amp;VAR:QUERY=RkZfRUJJVERBX09QRVIoUVRSLDQvMS8yMDEwLDYvMzAvMjAxMCwsLFVTRCk=&amp;WINDOW=FIRST_POPUP&amp;HEIGH","T=450&amp;WIDTH=450&amp;START_MAXIMIZED=FALSE&amp;VAR:CALENDAR=US&amp;VAR:SYMBOL=DD&amp;VAR:INDEX=0"}</definedName>
    <definedName name="_758__FDSAUDITLINK__" hidden="1">{"fdsup://directions/FAT Viewer?action=UPDATE&amp;creator=factset&amp;DYN_ARGS=TRUE&amp;DOC_NAME=FAT:FQL_AUDITING_CLIENT_TEMPLATE.FAT&amp;display_string=Audit&amp;VAR:KEY=TKDUBQTYBI&amp;VAR:QUERY=RkZfRUJJVERBX09QRVIoUVRSLDQvMS8yMDEwLDYvMzAvMjAxMCwsLFVTRCk=&amp;WINDOW=FIRST_POPUP&amp;HEIGH","T=450&amp;WIDTH=450&amp;START_MAXIMIZED=FALSE&amp;VAR:CALENDAR=US&amp;VAR:SYMBOL=DD&amp;VAR:INDEX=0"}</definedName>
    <definedName name="_759__FDSAUDITLINK__" localSheetId="1" hidden="1">{"fdsup://directions/FAT Viewer?action=UPDATE&amp;creator=factset&amp;DYN_ARGS=TRUE&amp;DOC_NAME=FAT:FQL_AUDITING_CLIENT_TEMPLATE.FAT&amp;display_string=Audit&amp;VAR:KEY=TYNMLAXMFA&amp;VAR:QUERY=RkZfRUJJVERBX09QRVIoUVRSLDQvMS8yMDA5LDYvMzAvMjAwOSwsLFVTRCk=&amp;WINDOW=FIRST_POPUP&amp;HEIGH","T=450&amp;WIDTH=450&amp;START_MAXIMIZED=FALSE&amp;VAR:CALENDAR=US&amp;VAR:SYMBOL=D&amp;VAR:INDEX=0"}</definedName>
    <definedName name="_759__FDSAUDITLINK__" hidden="1">{"fdsup://directions/FAT Viewer?action=UPDATE&amp;creator=factset&amp;DYN_ARGS=TRUE&amp;DOC_NAME=FAT:FQL_AUDITING_CLIENT_TEMPLATE.FAT&amp;display_string=Audit&amp;VAR:KEY=TYNMLAXMFA&amp;VAR:QUERY=RkZfRUJJVERBX09QRVIoUVRSLDQvMS8yMDA5LDYvMzAvMjAwOSwsLFVTRCk=&amp;WINDOW=FIRST_POPUP&amp;HEIGH","T=450&amp;WIDTH=450&amp;START_MAXIMIZED=FALSE&amp;VAR:CALENDAR=US&amp;VAR:SYMBOL=D&amp;VAR:INDEX=0"}</definedName>
    <definedName name="_76__FDSAUDITLINK__" localSheetId="1" hidden="1">{"fdsup://directions/FAT Viewer?action=UPDATE&amp;creator=factset&amp;DYN_ARGS=TRUE&amp;DOC_NAME=FAT:FQL_AUDITING_CLIENT_TEMPLATE.FAT&amp;display_string=Audit&amp;VAR:KEY=JYVQLEHUVK&amp;VAR:QUERY=RkZfRUJJVERBX09QRVIoUVRSLDQvMS8yMDEwLDYvMzAvMjAxMCwsLFVTRCk=&amp;WINDOW=FIRST_POPUP&amp;HEIGH","T=450&amp;WIDTH=450&amp;START_MAXIMIZED=FALSE&amp;VAR:CALENDAR=US&amp;VAR:SYMBOL=VFC&amp;VAR:INDEX=0"}</definedName>
    <definedName name="_76__FDSAUDITLINK__" hidden="1">{"fdsup://directions/FAT Viewer?action=UPDATE&amp;creator=factset&amp;DYN_ARGS=TRUE&amp;DOC_NAME=FAT:FQL_AUDITING_CLIENT_TEMPLATE.FAT&amp;display_string=Audit&amp;VAR:KEY=JYVQLEHUVK&amp;VAR:QUERY=RkZfRUJJVERBX09QRVIoUVRSLDQvMS8yMDEwLDYvMzAvMjAxMCwsLFVTRCk=&amp;WINDOW=FIRST_POPUP&amp;HEIGH","T=450&amp;WIDTH=450&amp;START_MAXIMIZED=FALSE&amp;VAR:CALENDAR=US&amp;VAR:SYMBOL=VFC&amp;VAR:INDEX=0"}</definedName>
    <definedName name="_760__FDSAUDITLINK__" localSheetId="1" hidden="1">{"fdsup://directions/FAT Viewer?action=UPDATE&amp;creator=factset&amp;DYN_ARGS=TRUE&amp;DOC_NAME=FAT:FQL_AUDITING_CLIENT_TEMPLATE.FAT&amp;display_string=Audit&amp;VAR:KEY=RGVIXUVMZQ&amp;VAR:QUERY=RkZfRUJJVERBX09QRVIoUVRSLDQvMS8yMDEwLDYvMzAvMjAxMCwsLFVTRCk=&amp;WINDOW=FIRST_POPUP&amp;HEIGH","T=450&amp;WIDTH=450&amp;START_MAXIMIZED=FALSE&amp;VAR:CALENDAR=US&amp;VAR:SYMBOL=D&amp;VAR:INDEX=0"}</definedName>
    <definedName name="_760__FDSAUDITLINK__" hidden="1">{"fdsup://directions/FAT Viewer?action=UPDATE&amp;creator=factset&amp;DYN_ARGS=TRUE&amp;DOC_NAME=FAT:FQL_AUDITING_CLIENT_TEMPLATE.FAT&amp;display_string=Audit&amp;VAR:KEY=RGVIXUVMZQ&amp;VAR:QUERY=RkZfRUJJVERBX09QRVIoUVRSLDQvMS8yMDEwLDYvMzAvMjAxMCwsLFVTRCk=&amp;WINDOW=FIRST_POPUP&amp;HEIGH","T=450&amp;WIDTH=450&amp;START_MAXIMIZED=FALSE&amp;VAR:CALENDAR=US&amp;VAR:SYMBOL=D&amp;VAR:INDEX=0"}</definedName>
    <definedName name="_761__FDSAUDITLINK__" localSheetId="1" hidden="1">{"fdsup://directions/FAT Viewer?action=UPDATE&amp;creator=factset&amp;DYN_ARGS=TRUE&amp;DOC_NAME=FAT:FQL_AUDITING_CLIENT_TEMPLATE.FAT&amp;display_string=Audit&amp;VAR:KEY=JQHWVAHYTY&amp;VAR:QUERY=RkZfRUJJVERBX09QRVIoUVRSLDQvMS8yMDA5LDYvMzAvMjAwOSwsLFVTRCk=&amp;WINDOW=FIRST_POPUP&amp;HEIGH","T=450&amp;WIDTH=450&amp;START_MAXIMIZED=FALSE&amp;VAR:CALENDAR=US&amp;VAR:SYMBOL=CVX&amp;VAR:INDEX=0"}</definedName>
    <definedName name="_761__FDSAUDITLINK__" hidden="1">{"fdsup://directions/FAT Viewer?action=UPDATE&amp;creator=factset&amp;DYN_ARGS=TRUE&amp;DOC_NAME=FAT:FQL_AUDITING_CLIENT_TEMPLATE.FAT&amp;display_string=Audit&amp;VAR:KEY=JQHWVAHYTY&amp;VAR:QUERY=RkZfRUJJVERBX09QRVIoUVRSLDQvMS8yMDA5LDYvMzAvMjAwOSwsLFVTRCk=&amp;WINDOW=FIRST_POPUP&amp;HEIGH","T=450&amp;WIDTH=450&amp;START_MAXIMIZED=FALSE&amp;VAR:CALENDAR=US&amp;VAR:SYMBOL=CVX&amp;VAR:INDEX=0"}</definedName>
    <definedName name="_762__FDSAUDITLINK__" localSheetId="1" hidden="1">{"fdsup://directions/FAT Viewer?action=UPDATE&amp;creator=factset&amp;DYN_ARGS=TRUE&amp;DOC_NAME=FAT:FQL_AUDITING_CLIENT_TEMPLATE.FAT&amp;display_string=Audit&amp;VAR:KEY=XWZIDQFKBE&amp;VAR:QUERY=RkZfRUJJVERBX09QRVIoUVRSLDQvMS8yMDEwLDYvMzAvMjAxMCwsLFVTRCk=&amp;WINDOW=FIRST_POPUP&amp;HEIGH","T=450&amp;WIDTH=450&amp;START_MAXIMIZED=FALSE&amp;VAR:CALENDAR=US&amp;VAR:SYMBOL=CVX&amp;VAR:INDEX=0"}</definedName>
    <definedName name="_762__FDSAUDITLINK__" hidden="1">{"fdsup://directions/FAT Viewer?action=UPDATE&amp;creator=factset&amp;DYN_ARGS=TRUE&amp;DOC_NAME=FAT:FQL_AUDITING_CLIENT_TEMPLATE.FAT&amp;display_string=Audit&amp;VAR:KEY=XWZIDQFKBE&amp;VAR:QUERY=RkZfRUJJVERBX09QRVIoUVRSLDQvMS8yMDEwLDYvMzAvMjAxMCwsLFVTRCk=&amp;WINDOW=FIRST_POPUP&amp;HEIGH","T=450&amp;WIDTH=450&amp;START_MAXIMIZED=FALSE&amp;VAR:CALENDAR=US&amp;VAR:SYMBOL=CVX&amp;VAR:INDEX=0"}</definedName>
    <definedName name="_763__FDSAUDITLINK__" localSheetId="1" hidden="1">{"fdsup://directions/FAT Viewer?action=UPDATE&amp;creator=factset&amp;DYN_ARGS=TRUE&amp;DOC_NAME=FAT:FQL_AUDITING_CLIENT_TEMPLATE.FAT&amp;display_string=Audit&amp;VAR:KEY=FKVOJGJGVE&amp;VAR:QUERY=RkZfRUJJVERBX09QRVIoUVRSLDQvMS8yMDA5LDYvMzAvMjAwOSwsLFVTRCk=&amp;WINDOW=FIRST_POPUP&amp;HEIGH","T=450&amp;WIDTH=450&amp;START_MAXIMIZED=FALSE&amp;VAR:CALENDAR=US&amp;VAR:SYMBOL=CVS&amp;VAR:INDEX=0"}</definedName>
    <definedName name="_763__FDSAUDITLINK__" hidden="1">{"fdsup://directions/FAT Viewer?action=UPDATE&amp;creator=factset&amp;DYN_ARGS=TRUE&amp;DOC_NAME=FAT:FQL_AUDITING_CLIENT_TEMPLATE.FAT&amp;display_string=Audit&amp;VAR:KEY=FKVOJGJGVE&amp;VAR:QUERY=RkZfRUJJVERBX09QRVIoUVRSLDQvMS8yMDA5LDYvMzAvMjAwOSwsLFVTRCk=&amp;WINDOW=FIRST_POPUP&amp;HEIGH","T=450&amp;WIDTH=450&amp;START_MAXIMIZED=FALSE&amp;VAR:CALENDAR=US&amp;VAR:SYMBOL=CVS&amp;VAR:INDEX=0"}</definedName>
    <definedName name="_764__FDSAUDITLINK__" localSheetId="1" hidden="1">{"fdsup://directions/FAT Viewer?action=UPDATE&amp;creator=factset&amp;DYN_ARGS=TRUE&amp;DOC_NAME=FAT:FQL_AUDITING_CLIENT_TEMPLATE.FAT&amp;display_string=Audit&amp;VAR:KEY=ZURIFYPILM&amp;VAR:QUERY=RkZfRUJJVERBX09QRVIoUVRSLDQvMS8yMDEwLDYvMzAvMjAxMCwsLFVTRCk=&amp;WINDOW=FIRST_POPUP&amp;HEIGH","T=450&amp;WIDTH=450&amp;START_MAXIMIZED=FALSE&amp;VAR:CALENDAR=US&amp;VAR:SYMBOL=CVS&amp;VAR:INDEX=0"}</definedName>
    <definedName name="_764__FDSAUDITLINK__" hidden="1">{"fdsup://directions/FAT Viewer?action=UPDATE&amp;creator=factset&amp;DYN_ARGS=TRUE&amp;DOC_NAME=FAT:FQL_AUDITING_CLIENT_TEMPLATE.FAT&amp;display_string=Audit&amp;VAR:KEY=ZURIFYPILM&amp;VAR:QUERY=RkZfRUJJVERBX09QRVIoUVRSLDQvMS8yMDEwLDYvMzAvMjAxMCwsLFVTRCk=&amp;WINDOW=FIRST_POPUP&amp;HEIGH","T=450&amp;WIDTH=450&amp;START_MAXIMIZED=FALSE&amp;VAR:CALENDAR=US&amp;VAR:SYMBOL=CVS&amp;VAR:INDEX=0"}</definedName>
    <definedName name="_765__FDSAUDITLINK__" localSheetId="1" hidden="1">{"fdsup://directions/FAT Viewer?action=UPDATE&amp;creator=factset&amp;DYN_ARGS=TRUE&amp;DOC_NAME=FAT:FQL_AUDITING_CLIENT_TEMPLATE.FAT&amp;display_string=Audit&amp;VAR:KEY=RQRQHYXEPS&amp;VAR:QUERY=RkZfRUJJVERBX09QRVIoUVRSLDQvMS8yMDA5LDYvMzAvMjAwOSwsLFVTRCk=&amp;WINDOW=FIRST_POPUP&amp;HEIGH","T=450&amp;WIDTH=450&amp;START_MAXIMIZED=FALSE&amp;VAR:CALENDAR=US&amp;VAR:SYMBOL=CVH&amp;VAR:INDEX=0"}</definedName>
    <definedName name="_765__FDSAUDITLINK__" hidden="1">{"fdsup://directions/FAT Viewer?action=UPDATE&amp;creator=factset&amp;DYN_ARGS=TRUE&amp;DOC_NAME=FAT:FQL_AUDITING_CLIENT_TEMPLATE.FAT&amp;display_string=Audit&amp;VAR:KEY=RQRQHYXEPS&amp;VAR:QUERY=RkZfRUJJVERBX09QRVIoUVRSLDQvMS8yMDA5LDYvMzAvMjAwOSwsLFVTRCk=&amp;WINDOW=FIRST_POPUP&amp;HEIGH","T=450&amp;WIDTH=450&amp;START_MAXIMIZED=FALSE&amp;VAR:CALENDAR=US&amp;VAR:SYMBOL=CVH&amp;VAR:INDEX=0"}</definedName>
    <definedName name="_766__FDSAUDITLINK__" localSheetId="1" hidden="1">{"fdsup://directions/FAT Viewer?action=UPDATE&amp;creator=factset&amp;DYN_ARGS=TRUE&amp;DOC_NAME=FAT:FQL_AUDITING_CLIENT_TEMPLATE.FAT&amp;display_string=Audit&amp;VAR:KEY=JIDWXKNCBI&amp;VAR:QUERY=RkZfRUJJVERBX09QRVIoUVRSLDQvMS8yMDEwLDYvMzAvMjAxMCwsLFVTRCk=&amp;WINDOW=FIRST_POPUP&amp;HEIGH","T=450&amp;WIDTH=450&amp;START_MAXIMIZED=FALSE&amp;VAR:CALENDAR=US&amp;VAR:SYMBOL=CVH&amp;VAR:INDEX=0"}</definedName>
    <definedName name="_766__FDSAUDITLINK__" hidden="1">{"fdsup://directions/FAT Viewer?action=UPDATE&amp;creator=factset&amp;DYN_ARGS=TRUE&amp;DOC_NAME=FAT:FQL_AUDITING_CLIENT_TEMPLATE.FAT&amp;display_string=Audit&amp;VAR:KEY=JIDWXKNCBI&amp;VAR:QUERY=RkZfRUJJVERBX09QRVIoUVRSLDQvMS8yMDEwLDYvMzAvMjAxMCwsLFVTRCk=&amp;WINDOW=FIRST_POPUP&amp;HEIGH","T=450&amp;WIDTH=450&amp;START_MAXIMIZED=FALSE&amp;VAR:CALENDAR=US&amp;VAR:SYMBOL=CVH&amp;VAR:INDEX=0"}</definedName>
    <definedName name="_767__FDSAUDITLINK__" localSheetId="1" hidden="1">{"fdsup://directions/FAT Viewer?action=UPDATE&amp;creator=factset&amp;DYN_ARGS=TRUE&amp;DOC_NAME=FAT:FQL_AUDITING_CLIENT_TEMPLATE.FAT&amp;display_string=Audit&amp;VAR:KEY=PIHYBIDSJE&amp;VAR:QUERY=RkZfRUJJVERBX09QRVIoUVRSLDQvMS8yMDA5LDYvMzAvMjAwOSwsLFVTRCk=&amp;WINDOW=FIRST_POPUP&amp;HEIGH","T=450&amp;WIDTH=450&amp;START_MAXIMIZED=FALSE&amp;VAR:CALENDAR=US&amp;VAR:SYMBOL=CTXS&amp;VAR:INDEX=0"}</definedName>
    <definedName name="_767__FDSAUDITLINK__" hidden="1">{"fdsup://directions/FAT Viewer?action=UPDATE&amp;creator=factset&amp;DYN_ARGS=TRUE&amp;DOC_NAME=FAT:FQL_AUDITING_CLIENT_TEMPLATE.FAT&amp;display_string=Audit&amp;VAR:KEY=PIHYBIDSJE&amp;VAR:QUERY=RkZfRUJJVERBX09QRVIoUVRSLDQvMS8yMDA5LDYvMzAvMjAwOSwsLFVTRCk=&amp;WINDOW=FIRST_POPUP&amp;HEIGH","T=450&amp;WIDTH=450&amp;START_MAXIMIZED=FALSE&amp;VAR:CALENDAR=US&amp;VAR:SYMBOL=CTXS&amp;VAR:INDEX=0"}</definedName>
    <definedName name="_768__FDSAUDITLINK__" localSheetId="1" hidden="1">{"fdsup://directions/FAT Viewer?action=UPDATE&amp;creator=factset&amp;DYN_ARGS=TRUE&amp;DOC_NAME=FAT:FQL_AUDITING_CLIENT_TEMPLATE.FAT&amp;display_string=Audit&amp;VAR:KEY=FWVMZMFMRC&amp;VAR:QUERY=RkZfRUJJVERBX09QRVIoUVRSLDQvMS8yMDEwLDYvMzAvMjAxMCwsLFVTRCk=&amp;WINDOW=FIRST_POPUP&amp;HEIGH","T=450&amp;WIDTH=450&amp;START_MAXIMIZED=FALSE&amp;VAR:CALENDAR=US&amp;VAR:SYMBOL=CTXS&amp;VAR:INDEX=0"}</definedName>
    <definedName name="_768__FDSAUDITLINK__" hidden="1">{"fdsup://directions/FAT Viewer?action=UPDATE&amp;creator=factset&amp;DYN_ARGS=TRUE&amp;DOC_NAME=FAT:FQL_AUDITING_CLIENT_TEMPLATE.FAT&amp;display_string=Audit&amp;VAR:KEY=FWVMZMFMRC&amp;VAR:QUERY=RkZfRUJJVERBX09QRVIoUVRSLDQvMS8yMDEwLDYvMzAvMjAxMCwsLFVTRCk=&amp;WINDOW=FIRST_POPUP&amp;HEIGH","T=450&amp;WIDTH=450&amp;START_MAXIMIZED=FALSE&amp;VAR:CALENDAR=US&amp;VAR:SYMBOL=CTXS&amp;VAR:INDEX=0"}</definedName>
    <definedName name="_769__FDSAUDITLINK__" localSheetId="1" hidden="1">{"fdsup://directions/FAT Viewer?action=UPDATE&amp;creator=factset&amp;DYN_ARGS=TRUE&amp;DOC_NAME=FAT:FQL_AUDITING_CLIENT_TEMPLATE.FAT&amp;display_string=Audit&amp;VAR:KEY=HSVEPENCXI&amp;VAR:QUERY=RkZfRUJJVERBX09QRVIoUVRSLDQvMS8yMDA5LDYvMzAvMjAwOSwsLFVTRCk=&amp;WINDOW=FIRST_POPUP&amp;HEIGH","T=450&amp;WIDTH=450&amp;START_MAXIMIZED=FALSE&amp;VAR:CALENDAR=US&amp;VAR:SYMBOL=CTSH&amp;VAR:INDEX=0"}</definedName>
    <definedName name="_769__FDSAUDITLINK__" hidden="1">{"fdsup://directions/FAT Viewer?action=UPDATE&amp;creator=factset&amp;DYN_ARGS=TRUE&amp;DOC_NAME=FAT:FQL_AUDITING_CLIENT_TEMPLATE.FAT&amp;display_string=Audit&amp;VAR:KEY=HSVEPENCXI&amp;VAR:QUERY=RkZfRUJJVERBX09QRVIoUVRSLDQvMS8yMDA5LDYvMzAvMjAwOSwsLFVTRCk=&amp;WINDOW=FIRST_POPUP&amp;HEIGH","T=450&amp;WIDTH=450&amp;START_MAXIMIZED=FALSE&amp;VAR:CALENDAR=US&amp;VAR:SYMBOL=CTSH&amp;VAR:INDEX=0"}</definedName>
    <definedName name="_77__FDSAUDITLINK__" localSheetId="1" hidden="1">{"fdsup://directions/FAT Viewer?action=UPDATE&amp;creator=factset&amp;DYN_ARGS=TRUE&amp;DOC_NAME=FAT:FQL_AUDITING_CLIENT_TEMPLATE.FAT&amp;display_string=Audit&amp;VAR:KEY=JSZGHMTQLY&amp;VAR:QUERY=RkZfRUJJVERBX09QRVIoUVRSLDQvMS8yMDA5LDYvMzAvMjAwOSwsLFVTRCk=&amp;WINDOW=FIRST_POPUP&amp;HEIGH","T=450&amp;WIDTH=450&amp;START_MAXIMIZED=FALSE&amp;VAR:CALENDAR=US&amp;VAR:SYMBOL=VAR&amp;VAR:INDEX=0"}</definedName>
    <definedName name="_77__FDSAUDITLINK__" hidden="1">{"fdsup://directions/FAT Viewer?action=UPDATE&amp;creator=factset&amp;DYN_ARGS=TRUE&amp;DOC_NAME=FAT:FQL_AUDITING_CLIENT_TEMPLATE.FAT&amp;display_string=Audit&amp;VAR:KEY=JSZGHMTQLY&amp;VAR:QUERY=RkZfRUJJVERBX09QRVIoUVRSLDQvMS8yMDA5LDYvMzAvMjAwOSwsLFVTRCk=&amp;WINDOW=FIRST_POPUP&amp;HEIGH","T=450&amp;WIDTH=450&amp;START_MAXIMIZED=FALSE&amp;VAR:CALENDAR=US&amp;VAR:SYMBOL=VAR&amp;VAR:INDEX=0"}</definedName>
    <definedName name="_770__FDSAUDITLINK__" localSheetId="1" hidden="1">{"fdsup://directions/FAT Viewer?action=UPDATE&amp;creator=factset&amp;DYN_ARGS=TRUE&amp;DOC_NAME=FAT:FQL_AUDITING_CLIENT_TEMPLATE.FAT&amp;display_string=Audit&amp;VAR:KEY=HWLELUTEFW&amp;VAR:QUERY=RkZfRUJJVERBX09QRVIoUVRSLDQvMS8yMDEwLDYvMzAvMjAxMCwsLFVTRCk=&amp;WINDOW=FIRST_POPUP&amp;HEIGH","T=450&amp;WIDTH=450&amp;START_MAXIMIZED=FALSE&amp;VAR:CALENDAR=US&amp;VAR:SYMBOL=CTSH&amp;VAR:INDEX=0"}</definedName>
    <definedName name="_770__FDSAUDITLINK__" hidden="1">{"fdsup://directions/FAT Viewer?action=UPDATE&amp;creator=factset&amp;DYN_ARGS=TRUE&amp;DOC_NAME=FAT:FQL_AUDITING_CLIENT_TEMPLATE.FAT&amp;display_string=Audit&amp;VAR:KEY=HWLELUTEFW&amp;VAR:QUERY=RkZfRUJJVERBX09QRVIoUVRSLDQvMS8yMDEwLDYvMzAvMjAxMCwsLFVTRCk=&amp;WINDOW=FIRST_POPUP&amp;HEIGH","T=450&amp;WIDTH=450&amp;START_MAXIMIZED=FALSE&amp;VAR:CALENDAR=US&amp;VAR:SYMBOL=CTSH&amp;VAR:INDEX=0"}</definedName>
    <definedName name="_771__FDSAUDITLINK__" localSheetId="1" hidden="1">{"fdsup://directions/FAT Viewer?action=UPDATE&amp;creator=factset&amp;DYN_ARGS=TRUE&amp;DOC_NAME=FAT:FQL_AUDITING_CLIENT_TEMPLATE.FAT&amp;display_string=Audit&amp;VAR:KEY=VIDIPCBETK&amp;VAR:QUERY=RkZfRUJJVERBX09QRVIoUVRSLDQvMS8yMDA5LDYvMzAvMjAwOSwsLFVTRCk=&amp;WINDOW=FIRST_POPUP&amp;HEIGH","T=450&amp;WIDTH=450&amp;START_MAXIMIZED=FALSE&amp;VAR:CALENDAR=US&amp;VAR:SYMBOL=CTL&amp;VAR:INDEX=0"}</definedName>
    <definedName name="_771__FDSAUDITLINK__" hidden="1">{"fdsup://directions/FAT Viewer?action=UPDATE&amp;creator=factset&amp;DYN_ARGS=TRUE&amp;DOC_NAME=FAT:FQL_AUDITING_CLIENT_TEMPLATE.FAT&amp;display_string=Audit&amp;VAR:KEY=VIDIPCBETK&amp;VAR:QUERY=RkZfRUJJVERBX09QRVIoUVRSLDQvMS8yMDA5LDYvMzAvMjAwOSwsLFVTRCk=&amp;WINDOW=FIRST_POPUP&amp;HEIGH","T=450&amp;WIDTH=450&amp;START_MAXIMIZED=FALSE&amp;VAR:CALENDAR=US&amp;VAR:SYMBOL=CTL&amp;VAR:INDEX=0"}</definedName>
    <definedName name="_772__FDSAUDITLINK__" localSheetId="1" hidden="1">{"fdsup://directions/FAT Viewer?action=UPDATE&amp;creator=factset&amp;DYN_ARGS=TRUE&amp;DOC_NAME=FAT:FQL_AUDITING_CLIENT_TEMPLATE.FAT&amp;display_string=Audit&amp;VAR:KEY=LYHQNEVODW&amp;VAR:QUERY=RkZfRUJJVERBX09QRVIoUVRSLDQvMS8yMDEwLDYvMzAvMjAxMCwsLFVTRCk=&amp;WINDOW=FIRST_POPUP&amp;HEIGH","T=450&amp;WIDTH=450&amp;START_MAXIMIZED=FALSE&amp;VAR:CALENDAR=US&amp;VAR:SYMBOL=CTL&amp;VAR:INDEX=0"}</definedName>
    <definedName name="_772__FDSAUDITLINK__" hidden="1">{"fdsup://directions/FAT Viewer?action=UPDATE&amp;creator=factset&amp;DYN_ARGS=TRUE&amp;DOC_NAME=FAT:FQL_AUDITING_CLIENT_TEMPLATE.FAT&amp;display_string=Audit&amp;VAR:KEY=LYHQNEVODW&amp;VAR:QUERY=RkZfRUJJVERBX09QRVIoUVRSLDQvMS8yMDEwLDYvMzAvMjAxMCwsLFVTRCk=&amp;WINDOW=FIRST_POPUP&amp;HEIGH","T=450&amp;WIDTH=450&amp;START_MAXIMIZED=FALSE&amp;VAR:CALENDAR=US&amp;VAR:SYMBOL=CTL&amp;VAR:INDEX=0"}</definedName>
    <definedName name="_773__FDSAUDITLINK__" localSheetId="1" hidden="1">{"fdsup://directions/FAT Viewer?action=UPDATE&amp;creator=factset&amp;DYN_ARGS=TRUE&amp;DOC_NAME=FAT:FQL_AUDITING_CLIENT_TEMPLATE.FAT&amp;display_string=Audit&amp;VAR:KEY=PODOJMDAPM&amp;VAR:QUERY=RkZfRUJJVERBX09QRVIoUVRSLDQvMS8yMDA5LDYvMzAvMjAwOSwsLFVTRCk=&amp;WINDOW=FIRST_POPUP&amp;HEIGH","T=450&amp;WIDTH=450&amp;START_MAXIMIZED=FALSE&amp;VAR:CALENDAR=US&amp;VAR:SYMBOL=CTAS&amp;VAR:INDEX=0"}</definedName>
    <definedName name="_773__FDSAUDITLINK__" hidden="1">{"fdsup://directions/FAT Viewer?action=UPDATE&amp;creator=factset&amp;DYN_ARGS=TRUE&amp;DOC_NAME=FAT:FQL_AUDITING_CLIENT_TEMPLATE.FAT&amp;display_string=Audit&amp;VAR:KEY=PODOJMDAPM&amp;VAR:QUERY=RkZfRUJJVERBX09QRVIoUVRSLDQvMS8yMDA5LDYvMzAvMjAwOSwsLFVTRCk=&amp;WINDOW=FIRST_POPUP&amp;HEIGH","T=450&amp;WIDTH=450&amp;START_MAXIMIZED=FALSE&amp;VAR:CALENDAR=US&amp;VAR:SYMBOL=CTAS&amp;VAR:INDEX=0"}</definedName>
    <definedName name="_774__FDSAUDITLINK__" localSheetId="1" hidden="1">{"fdsup://directions/FAT Viewer?action=UPDATE&amp;creator=factset&amp;DYN_ARGS=TRUE&amp;DOC_NAME=FAT:FQL_AUDITING_CLIENT_TEMPLATE.FAT&amp;display_string=Audit&amp;VAR:KEY=ZSZAXIHEZS&amp;VAR:QUERY=RkZfRUJJVERBX09QRVIoUVRSLDQvMS8yMDEwLDYvMzAvMjAxMCwsLFVTRCk=&amp;WINDOW=FIRST_POPUP&amp;HEIGH","T=450&amp;WIDTH=450&amp;START_MAXIMIZED=FALSE&amp;VAR:CALENDAR=US&amp;VAR:SYMBOL=CTAS&amp;VAR:INDEX=0"}</definedName>
    <definedName name="_774__FDSAUDITLINK__" hidden="1">{"fdsup://directions/FAT Viewer?action=UPDATE&amp;creator=factset&amp;DYN_ARGS=TRUE&amp;DOC_NAME=FAT:FQL_AUDITING_CLIENT_TEMPLATE.FAT&amp;display_string=Audit&amp;VAR:KEY=ZSZAXIHEZS&amp;VAR:QUERY=RkZfRUJJVERBX09QRVIoUVRSLDQvMS8yMDEwLDYvMzAvMjAxMCwsLFVTRCk=&amp;WINDOW=FIRST_POPUP&amp;HEIGH","T=450&amp;WIDTH=450&amp;START_MAXIMIZED=FALSE&amp;VAR:CALENDAR=US&amp;VAR:SYMBOL=CTAS&amp;VAR:INDEX=0"}</definedName>
    <definedName name="_775__FDSAUDITLINK__" localSheetId="1" hidden="1">{"fdsup://directions/FAT Viewer?action=UPDATE&amp;creator=factset&amp;DYN_ARGS=TRUE&amp;DOC_NAME=FAT:FQL_AUDITING_CLIENT_TEMPLATE.FAT&amp;display_string=Audit&amp;VAR:KEY=XMFEVIFMXO&amp;VAR:QUERY=RkZfRUJJVERBX09QRVIoUVRSLDQvMS8yMDA5LDYvMzAvMjAwOSwsLFVTRCk=&amp;WINDOW=FIRST_POPUP&amp;HEIGH","T=450&amp;WIDTH=450&amp;START_MAXIMIZED=FALSE&amp;VAR:CALENDAR=US&amp;VAR:SYMBOL=CSX&amp;VAR:INDEX=0"}</definedName>
    <definedName name="_775__FDSAUDITLINK__" hidden="1">{"fdsup://directions/FAT Viewer?action=UPDATE&amp;creator=factset&amp;DYN_ARGS=TRUE&amp;DOC_NAME=FAT:FQL_AUDITING_CLIENT_TEMPLATE.FAT&amp;display_string=Audit&amp;VAR:KEY=XMFEVIFMXO&amp;VAR:QUERY=RkZfRUJJVERBX09QRVIoUVRSLDQvMS8yMDA5LDYvMzAvMjAwOSwsLFVTRCk=&amp;WINDOW=FIRST_POPUP&amp;HEIGH","T=450&amp;WIDTH=450&amp;START_MAXIMIZED=FALSE&amp;VAR:CALENDAR=US&amp;VAR:SYMBOL=CSX&amp;VAR:INDEX=0"}</definedName>
    <definedName name="_776__FDSAUDITLINK__" localSheetId="1" hidden="1">{"fdsup://directions/FAT Viewer?action=UPDATE&amp;creator=factset&amp;DYN_ARGS=TRUE&amp;DOC_NAME=FAT:FQL_AUDITING_CLIENT_TEMPLATE.FAT&amp;display_string=Audit&amp;VAR:KEY=TKPKDMPYVK&amp;VAR:QUERY=RkZfRUJJVERBX09QRVIoUVRSLDQvMS8yMDEwLDYvMzAvMjAxMCwsLFVTRCk=&amp;WINDOW=FIRST_POPUP&amp;HEIGH","T=450&amp;WIDTH=450&amp;START_MAXIMIZED=FALSE&amp;VAR:CALENDAR=US&amp;VAR:SYMBOL=CSX&amp;VAR:INDEX=0"}</definedName>
    <definedName name="_776__FDSAUDITLINK__" hidden="1">{"fdsup://directions/FAT Viewer?action=UPDATE&amp;creator=factset&amp;DYN_ARGS=TRUE&amp;DOC_NAME=FAT:FQL_AUDITING_CLIENT_TEMPLATE.FAT&amp;display_string=Audit&amp;VAR:KEY=TKPKDMPYVK&amp;VAR:QUERY=RkZfRUJJVERBX09QRVIoUVRSLDQvMS8yMDEwLDYvMzAvMjAxMCwsLFVTRCk=&amp;WINDOW=FIRST_POPUP&amp;HEIGH","T=450&amp;WIDTH=450&amp;START_MAXIMIZED=FALSE&amp;VAR:CALENDAR=US&amp;VAR:SYMBOL=CSX&amp;VAR:INDEX=0"}</definedName>
    <definedName name="_777__FDSAUDITLINK__" localSheetId="1" hidden="1">{"fdsup://directions/FAT Viewer?action=UPDATE&amp;creator=factset&amp;DYN_ARGS=TRUE&amp;DOC_NAME=FAT:FQL_AUDITING_CLIENT_TEMPLATE.FAT&amp;display_string=Audit&amp;VAR:KEY=XWZWZWXENK&amp;VAR:QUERY=RkZfRUJJVERBX09QRVIoUVRSLDQvMS8yMDA5LDYvMzAvMjAwOSwsLFVTRCk=&amp;WINDOW=FIRST_POPUP&amp;HEIGH","T=450&amp;WIDTH=450&amp;START_MAXIMIZED=FALSE&amp;VAR:CALENDAR=US&amp;VAR:SYMBOL=CSCO&amp;VAR:INDEX=0"}</definedName>
    <definedName name="_777__FDSAUDITLINK__" hidden="1">{"fdsup://directions/FAT Viewer?action=UPDATE&amp;creator=factset&amp;DYN_ARGS=TRUE&amp;DOC_NAME=FAT:FQL_AUDITING_CLIENT_TEMPLATE.FAT&amp;display_string=Audit&amp;VAR:KEY=XWZWZWXENK&amp;VAR:QUERY=RkZfRUJJVERBX09QRVIoUVRSLDQvMS8yMDA5LDYvMzAvMjAwOSwsLFVTRCk=&amp;WINDOW=FIRST_POPUP&amp;HEIGH","T=450&amp;WIDTH=450&amp;START_MAXIMIZED=FALSE&amp;VAR:CALENDAR=US&amp;VAR:SYMBOL=CSCO&amp;VAR:INDEX=0"}</definedName>
    <definedName name="_778__FDSAUDITLINK__" localSheetId="1" hidden="1">{"fdsup://directions/FAT Viewer?action=UPDATE&amp;creator=factset&amp;DYN_ARGS=TRUE&amp;DOC_NAME=FAT:FQL_AUDITING_CLIENT_TEMPLATE.FAT&amp;display_string=Audit&amp;VAR:KEY=HUVCLOLILA&amp;VAR:QUERY=RkZfRUJJVERBX09QRVIoUVRSLDQvMS8yMDEwLDYvMzAvMjAxMCwsLFVTRCk=&amp;WINDOW=FIRST_POPUP&amp;HEIGH","T=450&amp;WIDTH=450&amp;START_MAXIMIZED=FALSE&amp;VAR:CALENDAR=US&amp;VAR:SYMBOL=CSCO&amp;VAR:INDEX=0"}</definedName>
    <definedName name="_778__FDSAUDITLINK__" hidden="1">{"fdsup://directions/FAT Viewer?action=UPDATE&amp;creator=factset&amp;DYN_ARGS=TRUE&amp;DOC_NAME=FAT:FQL_AUDITING_CLIENT_TEMPLATE.FAT&amp;display_string=Audit&amp;VAR:KEY=HUVCLOLILA&amp;VAR:QUERY=RkZfRUJJVERBX09QRVIoUVRSLDQvMS8yMDEwLDYvMzAvMjAxMCwsLFVTRCk=&amp;WINDOW=FIRST_POPUP&amp;HEIGH","T=450&amp;WIDTH=450&amp;START_MAXIMIZED=FALSE&amp;VAR:CALENDAR=US&amp;VAR:SYMBOL=CSCO&amp;VAR:INDEX=0"}</definedName>
    <definedName name="_779__FDSAUDITLINK__" localSheetId="1" hidden="1">{"fdsup://directions/FAT Viewer?action=UPDATE&amp;creator=factset&amp;DYN_ARGS=TRUE&amp;DOC_NAME=FAT:FQL_AUDITING_CLIENT_TEMPLATE.FAT&amp;display_string=Audit&amp;VAR:KEY=NSJQVWLINS&amp;VAR:QUERY=RkZfRUJJVERBX09QRVIoUVRSLDQvMS8yMDA5LDYvMzAvMjAwOSwsLFVTRCk=&amp;WINDOW=FIRST_POPUP&amp;HEIGH","T=450&amp;WIDTH=450&amp;START_MAXIMIZED=FALSE&amp;VAR:CALENDAR=US&amp;VAR:SYMBOL=CSC&amp;VAR:INDEX=0"}</definedName>
    <definedName name="_779__FDSAUDITLINK__" hidden="1">{"fdsup://directions/FAT Viewer?action=UPDATE&amp;creator=factset&amp;DYN_ARGS=TRUE&amp;DOC_NAME=FAT:FQL_AUDITING_CLIENT_TEMPLATE.FAT&amp;display_string=Audit&amp;VAR:KEY=NSJQVWLINS&amp;VAR:QUERY=RkZfRUJJVERBX09QRVIoUVRSLDQvMS8yMDA5LDYvMzAvMjAwOSwsLFVTRCk=&amp;WINDOW=FIRST_POPUP&amp;HEIGH","T=450&amp;WIDTH=450&amp;START_MAXIMIZED=FALSE&amp;VAR:CALENDAR=US&amp;VAR:SYMBOL=CSC&amp;VAR:INDEX=0"}</definedName>
    <definedName name="_78__FDSAUDITLINK__" localSheetId="1" hidden="1">{"fdsup://directions/FAT Viewer?action=UPDATE&amp;creator=factset&amp;DYN_ARGS=TRUE&amp;DOC_NAME=FAT:FQL_AUDITING_CLIENT_TEMPLATE.FAT&amp;display_string=Audit&amp;VAR:KEY=RSTQZMXMLG&amp;VAR:QUERY=RkZfRUJJVERBX09QRVIoUVRSLDQvMS8yMDEwLDYvMzAvMjAxMCwsLFVTRCk=&amp;WINDOW=FIRST_POPUP&amp;HEIGH","T=450&amp;WIDTH=450&amp;START_MAXIMIZED=FALSE&amp;VAR:CALENDAR=US&amp;VAR:SYMBOL=VAR&amp;VAR:INDEX=0"}</definedName>
    <definedName name="_78__FDSAUDITLINK__" hidden="1">{"fdsup://directions/FAT Viewer?action=UPDATE&amp;creator=factset&amp;DYN_ARGS=TRUE&amp;DOC_NAME=FAT:FQL_AUDITING_CLIENT_TEMPLATE.FAT&amp;display_string=Audit&amp;VAR:KEY=RSTQZMXMLG&amp;VAR:QUERY=RkZfRUJJVERBX09QRVIoUVRSLDQvMS8yMDEwLDYvMzAvMjAxMCwsLFVTRCk=&amp;WINDOW=FIRST_POPUP&amp;HEIGH","T=450&amp;WIDTH=450&amp;START_MAXIMIZED=FALSE&amp;VAR:CALENDAR=US&amp;VAR:SYMBOL=VAR&amp;VAR:INDEX=0"}</definedName>
    <definedName name="_780__FDSAUDITLINK__" localSheetId="1" hidden="1">{"fdsup://directions/FAT Viewer?action=UPDATE&amp;creator=factset&amp;DYN_ARGS=TRUE&amp;DOC_NAME=FAT:FQL_AUDITING_CLIENT_TEMPLATE.FAT&amp;display_string=Audit&amp;VAR:KEY=TSZOJOVCDE&amp;VAR:QUERY=RkZfRUJJVERBX09QRVIoUVRSLDQvMS8yMDEwLDYvMzAvMjAxMCwsLFVTRCk=&amp;WINDOW=FIRST_POPUP&amp;HEIGH","T=450&amp;WIDTH=450&amp;START_MAXIMIZED=FALSE&amp;VAR:CALENDAR=US&amp;VAR:SYMBOL=CSC&amp;VAR:INDEX=0"}</definedName>
    <definedName name="_780__FDSAUDITLINK__" hidden="1">{"fdsup://directions/FAT Viewer?action=UPDATE&amp;creator=factset&amp;DYN_ARGS=TRUE&amp;DOC_NAME=FAT:FQL_AUDITING_CLIENT_TEMPLATE.FAT&amp;display_string=Audit&amp;VAR:KEY=TSZOJOVCDE&amp;VAR:QUERY=RkZfRUJJVERBX09QRVIoUVRSLDQvMS8yMDEwLDYvMzAvMjAxMCwsLFVTRCk=&amp;WINDOW=FIRST_POPUP&amp;HEIGH","T=450&amp;WIDTH=450&amp;START_MAXIMIZED=FALSE&amp;VAR:CALENDAR=US&amp;VAR:SYMBOL=CSC&amp;VAR:INDEX=0"}</definedName>
    <definedName name="_781__FDSAUDITLINK__" localSheetId="1" hidden="1">{"fdsup://directions/FAT Viewer?action=UPDATE&amp;creator=factset&amp;DYN_ARGS=TRUE&amp;DOC_NAME=FAT:FQL_AUDITING_CLIENT_TEMPLATE.FAT&amp;display_string=Audit&amp;VAR:KEY=TSZSNMJUBW&amp;VAR:QUERY=RkZfRUJJVERBX09QRVIoUVRSLDQvMS8yMDA5LDYvMzAvMjAwOSwsLFVTRCk=&amp;WINDOW=FIRST_POPUP&amp;HEIGH","T=450&amp;WIDTH=450&amp;START_MAXIMIZED=FALSE&amp;VAR:CALENDAR=US&amp;VAR:SYMBOL=CRM&amp;VAR:INDEX=0"}</definedName>
    <definedName name="_781__FDSAUDITLINK__" hidden="1">{"fdsup://directions/FAT Viewer?action=UPDATE&amp;creator=factset&amp;DYN_ARGS=TRUE&amp;DOC_NAME=FAT:FQL_AUDITING_CLIENT_TEMPLATE.FAT&amp;display_string=Audit&amp;VAR:KEY=TSZSNMJUBW&amp;VAR:QUERY=RkZfRUJJVERBX09QRVIoUVRSLDQvMS8yMDA5LDYvMzAvMjAwOSwsLFVTRCk=&amp;WINDOW=FIRST_POPUP&amp;HEIGH","T=450&amp;WIDTH=450&amp;START_MAXIMIZED=FALSE&amp;VAR:CALENDAR=US&amp;VAR:SYMBOL=CRM&amp;VAR:INDEX=0"}</definedName>
    <definedName name="_782__FDSAUDITLINK__" localSheetId="1" hidden="1">{"fdsup://directions/FAT Viewer?action=UPDATE&amp;creator=factset&amp;DYN_ARGS=TRUE&amp;DOC_NAME=FAT:FQL_AUDITING_CLIENT_TEMPLATE.FAT&amp;display_string=Audit&amp;VAR:KEY=ZUZQJGZAHO&amp;VAR:QUERY=RkZfRUJJVERBX09QRVIoUVRSLDQvMS8yMDEwLDYvMzAvMjAxMCwsLFVTRCk=&amp;WINDOW=FIRST_POPUP&amp;HEIGH","T=450&amp;WIDTH=450&amp;START_MAXIMIZED=FALSE&amp;VAR:CALENDAR=US&amp;VAR:SYMBOL=CRM&amp;VAR:INDEX=0"}</definedName>
    <definedName name="_782__FDSAUDITLINK__" hidden="1">{"fdsup://directions/FAT Viewer?action=UPDATE&amp;creator=factset&amp;DYN_ARGS=TRUE&amp;DOC_NAME=FAT:FQL_AUDITING_CLIENT_TEMPLATE.FAT&amp;display_string=Audit&amp;VAR:KEY=ZUZQJGZAHO&amp;VAR:QUERY=RkZfRUJJVERBX09QRVIoUVRSLDQvMS8yMDEwLDYvMzAvMjAxMCwsLFVTRCk=&amp;WINDOW=FIRST_POPUP&amp;HEIGH","T=450&amp;WIDTH=450&amp;START_MAXIMIZED=FALSE&amp;VAR:CALENDAR=US&amp;VAR:SYMBOL=CRM&amp;VAR:INDEX=0"}</definedName>
    <definedName name="_783__FDSAUDITLINK__" localSheetId="1" hidden="1">{"fdsup://directions/FAT Viewer?action=UPDATE&amp;creator=factset&amp;DYN_ARGS=TRUE&amp;DOC_NAME=FAT:FQL_AUDITING_CLIENT_TEMPLATE.FAT&amp;display_string=Audit&amp;VAR:KEY=XWLSXEJCNU&amp;VAR:QUERY=RkZfRUJJVERBX09QRVIoUVRSLDQvMS8yMDA5LDYvMzAvMjAwOSwsLFVTRCk=&amp;WINDOW=FIRST_POPUP&amp;HEIGH","T=450&amp;WIDTH=450&amp;START_MAXIMIZED=FALSE&amp;VAR:CALENDAR=US&amp;VAR:SYMBOL=CPWR&amp;VAR:INDEX=0"}</definedName>
    <definedName name="_783__FDSAUDITLINK__" hidden="1">{"fdsup://directions/FAT Viewer?action=UPDATE&amp;creator=factset&amp;DYN_ARGS=TRUE&amp;DOC_NAME=FAT:FQL_AUDITING_CLIENT_TEMPLATE.FAT&amp;display_string=Audit&amp;VAR:KEY=XWLSXEJCNU&amp;VAR:QUERY=RkZfRUJJVERBX09QRVIoUVRSLDQvMS8yMDA5LDYvMzAvMjAwOSwsLFVTRCk=&amp;WINDOW=FIRST_POPUP&amp;HEIGH","T=450&amp;WIDTH=450&amp;START_MAXIMIZED=FALSE&amp;VAR:CALENDAR=US&amp;VAR:SYMBOL=CPWR&amp;VAR:INDEX=0"}</definedName>
    <definedName name="_784__FDSAUDITLINK__" localSheetId="1" hidden="1">{"fdsup://directions/FAT Viewer?action=UPDATE&amp;creator=factset&amp;DYN_ARGS=TRUE&amp;DOC_NAME=FAT:FQL_AUDITING_CLIENT_TEMPLATE.FAT&amp;display_string=Audit&amp;VAR:KEY=BKDAZMXARE&amp;VAR:QUERY=RkZfRUJJVERBX09QRVIoUVRSLDQvMS8yMDEwLDYvMzAvMjAxMCwsLFVTRCk=&amp;WINDOW=FIRST_POPUP&amp;HEIGH","T=450&amp;WIDTH=450&amp;START_MAXIMIZED=FALSE&amp;VAR:CALENDAR=US&amp;VAR:SYMBOL=CPWR&amp;VAR:INDEX=0"}</definedName>
    <definedName name="_784__FDSAUDITLINK__" hidden="1">{"fdsup://directions/FAT Viewer?action=UPDATE&amp;creator=factset&amp;DYN_ARGS=TRUE&amp;DOC_NAME=FAT:FQL_AUDITING_CLIENT_TEMPLATE.FAT&amp;display_string=Audit&amp;VAR:KEY=BKDAZMXARE&amp;VAR:QUERY=RkZfRUJJVERBX09QRVIoUVRSLDQvMS8yMDEwLDYvMzAvMjAxMCwsLFVTRCk=&amp;WINDOW=FIRST_POPUP&amp;HEIGH","T=450&amp;WIDTH=450&amp;START_MAXIMIZED=FALSE&amp;VAR:CALENDAR=US&amp;VAR:SYMBOL=CPWR&amp;VAR:INDEX=0"}</definedName>
    <definedName name="_785__FDSAUDITLINK__" localSheetId="1" hidden="1">{"fdsup://directions/FAT Viewer?action=UPDATE&amp;creator=factset&amp;DYN_ARGS=TRUE&amp;DOC_NAME=FAT:FQL_AUDITING_CLIENT_TEMPLATE.FAT&amp;display_string=Audit&amp;VAR:KEY=RCHWHWHULG&amp;VAR:QUERY=RkZfRUJJVERBX09QRVIoUVRSLDQvMS8yMDA5LDYvMzAvMjAwOSwsLFVTRCk=&amp;WINDOW=FIRST_POPUP&amp;HEIGH","T=450&amp;WIDTH=450&amp;START_MAXIMIZED=FALSE&amp;VAR:CALENDAR=US&amp;VAR:SYMBOL=CPB&amp;VAR:INDEX=0"}</definedName>
    <definedName name="_785__FDSAUDITLINK__" hidden="1">{"fdsup://directions/FAT Viewer?action=UPDATE&amp;creator=factset&amp;DYN_ARGS=TRUE&amp;DOC_NAME=FAT:FQL_AUDITING_CLIENT_TEMPLATE.FAT&amp;display_string=Audit&amp;VAR:KEY=RCHWHWHULG&amp;VAR:QUERY=RkZfRUJJVERBX09QRVIoUVRSLDQvMS8yMDA5LDYvMzAvMjAwOSwsLFVTRCk=&amp;WINDOW=FIRST_POPUP&amp;HEIGH","T=450&amp;WIDTH=450&amp;START_MAXIMIZED=FALSE&amp;VAR:CALENDAR=US&amp;VAR:SYMBOL=CPB&amp;VAR:INDEX=0"}</definedName>
    <definedName name="_786__FDSAUDITLINK__" localSheetId="1" hidden="1">{"fdsup://directions/FAT Viewer?action=UPDATE&amp;creator=factset&amp;DYN_ARGS=TRUE&amp;DOC_NAME=FAT:FQL_AUDITING_CLIENT_TEMPLATE.FAT&amp;display_string=Audit&amp;VAR:KEY=XCTKBKPQZS&amp;VAR:QUERY=RkZfRUJJVERBX09QRVIoUVRSLDQvMS8yMDEwLDYvMzAvMjAxMCwsLFVTRCk=&amp;WINDOW=FIRST_POPUP&amp;HEIGH","T=450&amp;WIDTH=450&amp;START_MAXIMIZED=FALSE&amp;VAR:CALENDAR=US&amp;VAR:SYMBOL=CPB&amp;VAR:INDEX=0"}</definedName>
    <definedName name="_786__FDSAUDITLINK__" hidden="1">{"fdsup://directions/FAT Viewer?action=UPDATE&amp;creator=factset&amp;DYN_ARGS=TRUE&amp;DOC_NAME=FAT:FQL_AUDITING_CLIENT_TEMPLATE.FAT&amp;display_string=Audit&amp;VAR:KEY=XCTKBKPQZS&amp;VAR:QUERY=RkZfRUJJVERBX09QRVIoUVRSLDQvMS8yMDEwLDYvMzAvMjAxMCwsLFVTRCk=&amp;WINDOW=FIRST_POPUP&amp;HEIGH","T=450&amp;WIDTH=450&amp;START_MAXIMIZED=FALSE&amp;VAR:CALENDAR=US&amp;VAR:SYMBOL=CPB&amp;VAR:INDEX=0"}</definedName>
    <definedName name="_787__FDSAUDITLINK__" localSheetId="1" hidden="1">{"fdsup://directions/FAT Viewer?action=UPDATE&amp;creator=factset&amp;DYN_ARGS=TRUE&amp;DOC_NAME=FAT:FQL_AUDITING_CLIENT_TEMPLATE.FAT&amp;display_string=Audit&amp;VAR:KEY=LGFMLUJYVC&amp;VAR:QUERY=RkZfRUJJVERBX09QRVIoUVRSLDQvMS8yMDA5LDYvMzAvMjAwOSwsLFVTRCk=&amp;WINDOW=FIRST_POPUP&amp;HEIGH","T=450&amp;WIDTH=450&amp;START_MAXIMIZED=FALSE&amp;VAR:CALENDAR=US&amp;VAR:SYMBOL=COST&amp;VAR:INDEX=0"}</definedName>
    <definedName name="_787__FDSAUDITLINK__" hidden="1">{"fdsup://directions/FAT Viewer?action=UPDATE&amp;creator=factset&amp;DYN_ARGS=TRUE&amp;DOC_NAME=FAT:FQL_AUDITING_CLIENT_TEMPLATE.FAT&amp;display_string=Audit&amp;VAR:KEY=LGFMLUJYVC&amp;VAR:QUERY=RkZfRUJJVERBX09QRVIoUVRSLDQvMS8yMDA5LDYvMzAvMjAwOSwsLFVTRCk=&amp;WINDOW=FIRST_POPUP&amp;HEIGH","T=450&amp;WIDTH=450&amp;START_MAXIMIZED=FALSE&amp;VAR:CALENDAR=US&amp;VAR:SYMBOL=COST&amp;VAR:INDEX=0"}</definedName>
    <definedName name="_788__FDSAUDITLINK__" localSheetId="1" hidden="1">{"fdsup://directions/FAT Viewer?action=UPDATE&amp;creator=factset&amp;DYN_ARGS=TRUE&amp;DOC_NAME=FAT:FQL_AUDITING_CLIENT_TEMPLATE.FAT&amp;display_string=Audit&amp;VAR:KEY=VKLAJAVWJY&amp;VAR:QUERY=RkZfRUJJVERBX09QRVIoUVRSLDQvMS8yMDEwLDYvMzAvMjAxMCwsLFVTRCk=&amp;WINDOW=FIRST_POPUP&amp;HEIGH","T=450&amp;WIDTH=450&amp;START_MAXIMIZED=FALSE&amp;VAR:CALENDAR=US&amp;VAR:SYMBOL=COST&amp;VAR:INDEX=0"}</definedName>
    <definedName name="_788__FDSAUDITLINK__" hidden="1">{"fdsup://directions/FAT Viewer?action=UPDATE&amp;creator=factset&amp;DYN_ARGS=TRUE&amp;DOC_NAME=FAT:FQL_AUDITING_CLIENT_TEMPLATE.FAT&amp;display_string=Audit&amp;VAR:KEY=VKLAJAVWJY&amp;VAR:QUERY=RkZfRUJJVERBX09QRVIoUVRSLDQvMS8yMDEwLDYvMzAvMjAxMCwsLFVTRCk=&amp;WINDOW=FIRST_POPUP&amp;HEIGH","T=450&amp;WIDTH=450&amp;START_MAXIMIZED=FALSE&amp;VAR:CALENDAR=US&amp;VAR:SYMBOL=COST&amp;VAR:INDEX=0"}</definedName>
    <definedName name="_789__FDSAUDITLINK__" localSheetId="1" hidden="1">{"fdsup://directions/FAT Viewer?action=UPDATE&amp;creator=factset&amp;DYN_ARGS=TRUE&amp;DOC_NAME=FAT:FQL_AUDITING_CLIENT_TEMPLATE.FAT&amp;display_string=Audit&amp;VAR:KEY=BKLILEDWZO&amp;VAR:QUERY=RkZfRUJJVERBX09QRVIoUVRSLDQvMS8yMDA5LDYvMzAvMjAwOSwsLFVTRCk=&amp;WINDOW=FIRST_POPUP&amp;HEIGH","T=450&amp;WIDTH=450&amp;START_MAXIMIZED=FALSE&amp;VAR:CALENDAR=US&amp;VAR:SYMBOL=COP&amp;VAR:INDEX=0"}</definedName>
    <definedName name="_789__FDSAUDITLINK__" hidden="1">{"fdsup://directions/FAT Viewer?action=UPDATE&amp;creator=factset&amp;DYN_ARGS=TRUE&amp;DOC_NAME=FAT:FQL_AUDITING_CLIENT_TEMPLATE.FAT&amp;display_string=Audit&amp;VAR:KEY=BKLILEDWZO&amp;VAR:QUERY=RkZfRUJJVERBX09QRVIoUVRSLDQvMS8yMDA5LDYvMzAvMjAwOSwsLFVTRCk=&amp;WINDOW=FIRST_POPUP&amp;HEIGH","T=450&amp;WIDTH=450&amp;START_MAXIMIZED=FALSE&amp;VAR:CALENDAR=US&amp;VAR:SYMBOL=COP&amp;VAR:INDEX=0"}</definedName>
    <definedName name="_79__FDSAUDITLINK__" localSheetId="1" hidden="1">{"fdsup://directions/FAT Viewer?action=UPDATE&amp;creator=factset&amp;DYN_ARGS=TRUE&amp;DOC_NAME=FAT:FQL_AUDITING_CLIENT_TEMPLATE.FAT&amp;display_string=Audit&amp;VAR:KEY=RKPQPKPWJQ&amp;VAR:QUERY=RkZfRUJJVERBX09QRVIoUVRSLDQvMS8yMDA5LDYvMzAvMjAwOSwsLFVTRCk=&amp;WINDOW=FIRST_POPUP&amp;HEIGH","T=450&amp;WIDTH=450&amp;START_MAXIMIZED=FALSE&amp;VAR:CALENDAR=US&amp;VAR:SYMBOL=V&amp;VAR:INDEX=0"}</definedName>
    <definedName name="_79__FDSAUDITLINK__" hidden="1">{"fdsup://directions/FAT Viewer?action=UPDATE&amp;creator=factset&amp;DYN_ARGS=TRUE&amp;DOC_NAME=FAT:FQL_AUDITING_CLIENT_TEMPLATE.FAT&amp;display_string=Audit&amp;VAR:KEY=RKPQPKPWJQ&amp;VAR:QUERY=RkZfRUJJVERBX09QRVIoUVRSLDQvMS8yMDA5LDYvMzAvMjAwOSwsLFVTRCk=&amp;WINDOW=FIRST_POPUP&amp;HEIGH","T=450&amp;WIDTH=450&amp;START_MAXIMIZED=FALSE&amp;VAR:CALENDAR=US&amp;VAR:SYMBOL=V&amp;VAR:INDEX=0"}</definedName>
    <definedName name="_790__FDSAUDITLINK__" localSheetId="1" hidden="1">{"fdsup://directions/FAT Viewer?action=UPDATE&amp;creator=factset&amp;DYN_ARGS=TRUE&amp;DOC_NAME=FAT:FQL_AUDITING_CLIENT_TEMPLATE.FAT&amp;display_string=Audit&amp;VAR:KEY=TGNUNYRMXM&amp;VAR:QUERY=RkZfRUJJVERBX09QRVIoUVRSLDQvMS8yMDEwLDYvMzAvMjAxMCwsLFVTRCk=&amp;WINDOW=FIRST_POPUP&amp;HEIGH","T=450&amp;WIDTH=450&amp;START_MAXIMIZED=FALSE&amp;VAR:CALENDAR=US&amp;VAR:SYMBOL=COP&amp;VAR:INDEX=0"}</definedName>
    <definedName name="_790__FDSAUDITLINK__" hidden="1">{"fdsup://directions/FAT Viewer?action=UPDATE&amp;creator=factset&amp;DYN_ARGS=TRUE&amp;DOC_NAME=FAT:FQL_AUDITING_CLIENT_TEMPLATE.FAT&amp;display_string=Audit&amp;VAR:KEY=TGNUNYRMXM&amp;VAR:QUERY=RkZfRUJJVERBX09QRVIoUVRSLDQvMS8yMDEwLDYvMzAvMjAxMCwsLFVTRCk=&amp;WINDOW=FIRST_POPUP&amp;HEIGH","T=450&amp;WIDTH=450&amp;START_MAXIMIZED=FALSE&amp;VAR:CALENDAR=US&amp;VAR:SYMBOL=COP&amp;VAR:INDEX=0"}</definedName>
    <definedName name="_791__FDSAUDITLINK__" localSheetId="1" hidden="1">{"fdsup://directions/FAT Viewer?action=UPDATE&amp;creator=factset&amp;DYN_ARGS=TRUE&amp;DOC_NAME=FAT:FQL_AUDITING_CLIENT_TEMPLATE.FAT&amp;display_string=Audit&amp;VAR:KEY=HEPUBCPOJW&amp;VAR:QUERY=RkZfRUJJVERBX09QRVIoUVRSLDQvMS8yMDA5LDYvMzAvMjAwOSwsLFVTRCk=&amp;WINDOW=FIRST_POPUP&amp;HEIGH","T=450&amp;WIDTH=450&amp;START_MAXIMIZED=FALSE&amp;VAR:CALENDAR=US&amp;VAR:SYMBOL=COL&amp;VAR:INDEX=0"}</definedName>
    <definedName name="_791__FDSAUDITLINK__" hidden="1">{"fdsup://directions/FAT Viewer?action=UPDATE&amp;creator=factset&amp;DYN_ARGS=TRUE&amp;DOC_NAME=FAT:FQL_AUDITING_CLIENT_TEMPLATE.FAT&amp;display_string=Audit&amp;VAR:KEY=HEPUBCPOJW&amp;VAR:QUERY=RkZfRUJJVERBX09QRVIoUVRSLDQvMS8yMDA5LDYvMzAvMjAwOSwsLFVTRCk=&amp;WINDOW=FIRST_POPUP&amp;HEIGH","T=450&amp;WIDTH=450&amp;START_MAXIMIZED=FALSE&amp;VAR:CALENDAR=US&amp;VAR:SYMBOL=COL&amp;VAR:INDEX=0"}</definedName>
    <definedName name="_792__FDSAUDITLINK__" localSheetId="1" hidden="1">{"fdsup://directions/FAT Viewer?action=UPDATE&amp;creator=factset&amp;DYN_ARGS=TRUE&amp;DOC_NAME=FAT:FQL_AUDITING_CLIENT_TEMPLATE.FAT&amp;display_string=Audit&amp;VAR:KEY=NOFIDMRALI&amp;VAR:QUERY=RkZfRUJJVERBX09QRVIoUVRSLDQvMS8yMDEwLDYvMzAvMjAxMCwsLFVTRCk=&amp;WINDOW=FIRST_POPUP&amp;HEIGH","T=450&amp;WIDTH=450&amp;START_MAXIMIZED=FALSE&amp;VAR:CALENDAR=US&amp;VAR:SYMBOL=COL&amp;VAR:INDEX=0"}</definedName>
    <definedName name="_792__FDSAUDITLINK__" hidden="1">{"fdsup://directions/FAT Viewer?action=UPDATE&amp;creator=factset&amp;DYN_ARGS=TRUE&amp;DOC_NAME=FAT:FQL_AUDITING_CLIENT_TEMPLATE.FAT&amp;display_string=Audit&amp;VAR:KEY=NOFIDMRALI&amp;VAR:QUERY=RkZfRUJJVERBX09QRVIoUVRSLDQvMS8yMDEwLDYvMzAvMjAxMCwsLFVTRCk=&amp;WINDOW=FIRST_POPUP&amp;HEIGH","T=450&amp;WIDTH=450&amp;START_MAXIMIZED=FALSE&amp;VAR:CALENDAR=US&amp;VAR:SYMBOL=COL&amp;VAR:INDEX=0"}</definedName>
    <definedName name="_793__FDSAUDITLINK__" localSheetId="1" hidden="1">{"fdsup://directions/FAT Viewer?action=UPDATE&amp;creator=factset&amp;DYN_ARGS=TRUE&amp;DOC_NAME=FAT:FQL_AUDITING_CLIENT_TEMPLATE.FAT&amp;display_string=Audit&amp;VAR:KEY=XANIFSXOVO&amp;VAR:QUERY=RkZfRUJJVERBX09QRVIoUVRSLDQvMS8yMDA5LDYvMzAvMjAwOSwsLFVTRCk=&amp;WINDOW=FIRST_POPUP&amp;HEIGH","T=450&amp;WIDTH=450&amp;START_MAXIMIZED=FALSE&amp;VAR:CALENDAR=US&amp;VAR:SYMBOL=COH&amp;VAR:INDEX=0"}</definedName>
    <definedName name="_793__FDSAUDITLINK__" hidden="1">{"fdsup://directions/FAT Viewer?action=UPDATE&amp;creator=factset&amp;DYN_ARGS=TRUE&amp;DOC_NAME=FAT:FQL_AUDITING_CLIENT_TEMPLATE.FAT&amp;display_string=Audit&amp;VAR:KEY=XANIFSXOVO&amp;VAR:QUERY=RkZfRUJJVERBX09QRVIoUVRSLDQvMS8yMDA5LDYvMzAvMjAwOSwsLFVTRCk=&amp;WINDOW=FIRST_POPUP&amp;HEIGH","T=450&amp;WIDTH=450&amp;START_MAXIMIZED=FALSE&amp;VAR:CALENDAR=US&amp;VAR:SYMBOL=COH&amp;VAR:INDEX=0"}</definedName>
    <definedName name="_794__FDSAUDITLINK__" localSheetId="1" hidden="1">{"fdsup://directions/FAT Viewer?action=UPDATE&amp;creator=factset&amp;DYN_ARGS=TRUE&amp;DOC_NAME=FAT:FQL_AUDITING_CLIENT_TEMPLATE.FAT&amp;display_string=Audit&amp;VAR:KEY=LYBSBSZALE&amp;VAR:QUERY=RkZfRUJJVERBX09QRVIoUVRSLDQvMS8yMDEwLDYvMzAvMjAxMCwsLFVTRCk=&amp;WINDOW=FIRST_POPUP&amp;HEIGH","T=450&amp;WIDTH=450&amp;START_MAXIMIZED=FALSE&amp;VAR:CALENDAR=US&amp;VAR:SYMBOL=COH&amp;VAR:INDEX=0"}</definedName>
    <definedName name="_794__FDSAUDITLINK__" hidden="1">{"fdsup://directions/FAT Viewer?action=UPDATE&amp;creator=factset&amp;DYN_ARGS=TRUE&amp;DOC_NAME=FAT:FQL_AUDITING_CLIENT_TEMPLATE.FAT&amp;display_string=Audit&amp;VAR:KEY=LYBSBSZALE&amp;VAR:QUERY=RkZfRUJJVERBX09QRVIoUVRSLDQvMS8yMDEwLDYvMzAvMjAxMCwsLFVTRCk=&amp;WINDOW=FIRST_POPUP&amp;HEIGH","T=450&amp;WIDTH=450&amp;START_MAXIMIZED=FALSE&amp;VAR:CALENDAR=US&amp;VAR:SYMBOL=COH&amp;VAR:INDEX=0"}</definedName>
    <definedName name="_795__FDSAUDITLINK__" localSheetId="1" hidden="1">{"fdsup://directions/FAT Viewer?action=UPDATE&amp;creator=factset&amp;DYN_ARGS=TRUE&amp;DOC_NAME=FAT:FQL_AUDITING_CLIENT_TEMPLATE.FAT&amp;display_string=Audit&amp;VAR:KEY=PEDEFIXWZM&amp;VAR:QUERY=RkZfRUJJVERBX09QRVIoUVRSLDQvMS8yMDA5LDYvMzAvMjAwOSwsLFVTRCk=&amp;WINDOW=FIRST_POPUP&amp;HEIGH","T=450&amp;WIDTH=450&amp;START_MAXIMIZED=FALSE&amp;VAR:CALENDAR=US&amp;VAR:SYMBOL=COG&amp;VAR:INDEX=0"}</definedName>
    <definedName name="_795__FDSAUDITLINK__" hidden="1">{"fdsup://directions/FAT Viewer?action=UPDATE&amp;creator=factset&amp;DYN_ARGS=TRUE&amp;DOC_NAME=FAT:FQL_AUDITING_CLIENT_TEMPLATE.FAT&amp;display_string=Audit&amp;VAR:KEY=PEDEFIXWZM&amp;VAR:QUERY=RkZfRUJJVERBX09QRVIoUVRSLDQvMS8yMDA5LDYvMzAvMjAwOSwsLFVTRCk=&amp;WINDOW=FIRST_POPUP&amp;HEIGH","T=450&amp;WIDTH=450&amp;START_MAXIMIZED=FALSE&amp;VAR:CALENDAR=US&amp;VAR:SYMBOL=COG&amp;VAR:INDEX=0"}</definedName>
    <definedName name="_796__FDSAUDITLINK__" localSheetId="1" hidden="1">{"fdsup://directions/FAT Viewer?action=UPDATE&amp;creator=factset&amp;DYN_ARGS=TRUE&amp;DOC_NAME=FAT:FQL_AUDITING_CLIENT_TEMPLATE.FAT&amp;display_string=Audit&amp;VAR:KEY=PQLOBKLWTC&amp;VAR:QUERY=RkZfRUJJVERBX09QRVIoUVRSLDQvMS8yMDEwLDYvMzAvMjAxMCwsLFVTRCk=&amp;WINDOW=FIRST_POPUP&amp;HEIGH","T=450&amp;WIDTH=450&amp;START_MAXIMIZED=FALSE&amp;VAR:CALENDAR=US&amp;VAR:SYMBOL=COG&amp;VAR:INDEX=0"}</definedName>
    <definedName name="_796__FDSAUDITLINK__" hidden="1">{"fdsup://directions/FAT Viewer?action=UPDATE&amp;creator=factset&amp;DYN_ARGS=TRUE&amp;DOC_NAME=FAT:FQL_AUDITING_CLIENT_TEMPLATE.FAT&amp;display_string=Audit&amp;VAR:KEY=PQLOBKLWTC&amp;VAR:QUERY=RkZfRUJJVERBX09QRVIoUVRSLDQvMS8yMDEwLDYvMzAvMjAxMCwsLFVTRCk=&amp;WINDOW=FIRST_POPUP&amp;HEIGH","T=450&amp;WIDTH=450&amp;START_MAXIMIZED=FALSE&amp;VAR:CALENDAR=US&amp;VAR:SYMBOL=COG&amp;VAR:INDEX=0"}</definedName>
    <definedName name="_797__FDSAUDITLINK__" localSheetId="1" hidden="1">{"fdsup://directions/FAT Viewer?action=UPDATE&amp;creator=factset&amp;DYN_ARGS=TRUE&amp;DOC_NAME=FAT:FQL_AUDITING_CLIENT_TEMPLATE.FAT&amp;display_string=Audit&amp;VAR:KEY=HQTSFGTEJW&amp;VAR:QUERY=RkZfRUJJVERBX09QRVIoUVRSLDQvMS8yMDA5LDYvMzAvMjAwOSwsLFVTRCk=&amp;WINDOW=FIRST_POPUP&amp;HEIGH","T=450&amp;WIDTH=450&amp;START_MAXIMIZED=FALSE&amp;VAR:CALENDAR=US&amp;VAR:SYMBOL=COF&amp;VAR:INDEX=0"}</definedName>
    <definedName name="_797__FDSAUDITLINK__" hidden="1">{"fdsup://directions/FAT Viewer?action=UPDATE&amp;creator=factset&amp;DYN_ARGS=TRUE&amp;DOC_NAME=FAT:FQL_AUDITING_CLIENT_TEMPLATE.FAT&amp;display_string=Audit&amp;VAR:KEY=HQTSFGTEJW&amp;VAR:QUERY=RkZfRUJJVERBX09QRVIoUVRSLDQvMS8yMDA5LDYvMzAvMjAwOSwsLFVTRCk=&amp;WINDOW=FIRST_POPUP&amp;HEIGH","T=450&amp;WIDTH=450&amp;START_MAXIMIZED=FALSE&amp;VAR:CALENDAR=US&amp;VAR:SYMBOL=COF&amp;VAR:INDEX=0"}</definedName>
    <definedName name="_798__FDSAUDITLINK__" localSheetId="1" hidden="1">{"fdsup://directions/FAT Viewer?action=UPDATE&amp;creator=factset&amp;DYN_ARGS=TRUE&amp;DOC_NAME=FAT:FQL_AUDITING_CLIENT_TEMPLATE.FAT&amp;display_string=Audit&amp;VAR:KEY=PMRKVSVYRQ&amp;VAR:QUERY=RkZfRUJJVERBX09QRVIoUVRSLDQvMS8yMDEwLDYvMzAvMjAxMCwsLFVTRCk=&amp;WINDOW=FIRST_POPUP&amp;HEIGH","T=450&amp;WIDTH=450&amp;START_MAXIMIZED=FALSE&amp;VAR:CALENDAR=US&amp;VAR:SYMBOL=COF&amp;VAR:INDEX=0"}</definedName>
    <definedName name="_798__FDSAUDITLINK__" hidden="1">{"fdsup://directions/FAT Viewer?action=UPDATE&amp;creator=factset&amp;DYN_ARGS=TRUE&amp;DOC_NAME=FAT:FQL_AUDITING_CLIENT_TEMPLATE.FAT&amp;display_string=Audit&amp;VAR:KEY=PMRKVSVYRQ&amp;VAR:QUERY=RkZfRUJJVERBX09QRVIoUVRSLDQvMS8yMDEwLDYvMzAvMjAxMCwsLFVTRCk=&amp;WINDOW=FIRST_POPUP&amp;HEIGH","T=450&amp;WIDTH=450&amp;START_MAXIMIZED=FALSE&amp;VAR:CALENDAR=US&amp;VAR:SYMBOL=COF&amp;VAR:INDEX=0"}</definedName>
    <definedName name="_799__FDSAUDITLINK__" localSheetId="1" hidden="1">{"fdsup://directions/FAT Viewer?action=UPDATE&amp;creator=factset&amp;DYN_ARGS=TRUE&amp;DOC_NAME=FAT:FQL_AUDITING_CLIENT_TEMPLATE.FAT&amp;display_string=Audit&amp;VAR:KEY=TSRANCFMVK&amp;VAR:QUERY=RkZfRUJJVERBX09QRVIoUVRSLDQvMS8yMDA5LDYvMzAvMjAwOSwsLFVTRCk=&amp;WINDOW=FIRST_POPUP&amp;HEIGH","T=450&amp;WIDTH=450&amp;START_MAXIMIZED=FALSE&amp;VAR:CALENDAR=US&amp;VAR:SYMBOL=CNX&amp;VAR:INDEX=0"}</definedName>
    <definedName name="_799__FDSAUDITLINK__" hidden="1">{"fdsup://directions/FAT Viewer?action=UPDATE&amp;creator=factset&amp;DYN_ARGS=TRUE&amp;DOC_NAME=FAT:FQL_AUDITING_CLIENT_TEMPLATE.FAT&amp;display_string=Audit&amp;VAR:KEY=TSRANCFMVK&amp;VAR:QUERY=RkZfRUJJVERBX09QRVIoUVRSLDQvMS8yMDA5LDYvMzAvMjAwOSwsLFVTRCk=&amp;WINDOW=FIRST_POPUP&amp;HEIGH","T=450&amp;WIDTH=450&amp;START_MAXIMIZED=FALSE&amp;VAR:CALENDAR=US&amp;VAR:SYMBOL=CNX&amp;VAR:INDEX=0"}</definedName>
    <definedName name="_8__FDSAUDITLINK__" localSheetId="1" hidden="1">{"fdsup://directions/FAT Viewer?action=UPDATE&amp;creator=factset&amp;DYN_ARGS=TRUE&amp;DOC_NAME=FAT:FQL_AUDITING_CLIENT_TEMPLATE.FAT&amp;display_string=Audit&amp;VAR:KEY=DEVGLUJEBU&amp;VAR:QUERY=RkZfRUJJVERBX09QRVIoUVRSLDQvMS8yMDEwLDYvMzAvMjAxMCwsLFVTRCk=&amp;WINDOW=FIRST_POPUP&amp;HEIGH","T=450&amp;WIDTH=450&amp;START_MAXIMIZED=FALSE&amp;VAR:CALENDAR=US&amp;VAR:SYMBOL=YHOO&amp;VAR:INDEX=0"}</definedName>
    <definedName name="_8__FDSAUDITLINK__" hidden="1">{"fdsup://Directions/FactSet Auditing Viewer?action=AUDIT_VALUE&amp;DB=129&amp;ID1=11132010&amp;VALUEID=02001&amp;SDATE=200903&amp;PERIODTYPE=QTR_STD&amp;window=popup_no_bar&amp;width=385&amp;height=120&amp;START_MAXIMIZED=FALSE&amp;creator=factset&amp;display_string=Audit"}</definedName>
    <definedName name="_80__FDSAUDITLINK__" localSheetId="1" hidden="1">{"fdsup://directions/FAT Viewer?action=UPDATE&amp;creator=factset&amp;DYN_ARGS=TRUE&amp;DOC_NAME=FAT:FQL_AUDITING_CLIENT_TEMPLATE.FAT&amp;display_string=Audit&amp;VAR:KEY=LSDCPMXGRI&amp;VAR:QUERY=RkZfRUJJVERBX09QRVIoUVRSLDQvMS8yMDEwLDYvMzAvMjAxMCwsLFVTRCk=&amp;WINDOW=FIRST_POPUP&amp;HEIGH","T=450&amp;WIDTH=450&amp;START_MAXIMIZED=FALSE&amp;VAR:CALENDAR=US&amp;VAR:SYMBOL=V&amp;VAR:INDEX=0"}</definedName>
    <definedName name="_80__FDSAUDITLINK__" hidden="1">{"fdsup://directions/FAT Viewer?action=UPDATE&amp;creator=factset&amp;DYN_ARGS=TRUE&amp;DOC_NAME=FAT:FQL_AUDITING_CLIENT_TEMPLATE.FAT&amp;display_string=Audit&amp;VAR:KEY=LSDCPMXGRI&amp;VAR:QUERY=RkZfRUJJVERBX09QRVIoUVRSLDQvMS8yMDEwLDYvMzAvMjAxMCwsLFVTRCk=&amp;WINDOW=FIRST_POPUP&amp;HEIGH","T=450&amp;WIDTH=450&amp;START_MAXIMIZED=FALSE&amp;VAR:CALENDAR=US&amp;VAR:SYMBOL=V&amp;VAR:INDEX=0"}</definedName>
    <definedName name="_800__FDSAUDITLINK__" localSheetId="1" hidden="1">{"fdsup://directions/FAT Viewer?action=UPDATE&amp;creator=factset&amp;DYN_ARGS=TRUE&amp;DOC_NAME=FAT:FQL_AUDITING_CLIENT_TEMPLATE.FAT&amp;display_string=Audit&amp;VAR:KEY=DUHOREVOBC&amp;VAR:QUERY=RkZfRUJJVERBX09QRVIoUVRSLDQvMS8yMDEwLDYvMzAvMjAxMCwsLFVTRCk=&amp;WINDOW=FIRST_POPUP&amp;HEIGH","T=450&amp;WIDTH=450&amp;START_MAXIMIZED=FALSE&amp;VAR:CALENDAR=US&amp;VAR:SYMBOL=CNX&amp;VAR:INDEX=0"}</definedName>
    <definedName name="_800__FDSAUDITLINK__" hidden="1">{"fdsup://directions/FAT Viewer?action=UPDATE&amp;creator=factset&amp;DYN_ARGS=TRUE&amp;DOC_NAME=FAT:FQL_AUDITING_CLIENT_TEMPLATE.FAT&amp;display_string=Audit&amp;VAR:KEY=DUHOREVOBC&amp;VAR:QUERY=RkZfRUJJVERBX09QRVIoUVRSLDQvMS8yMDEwLDYvMzAvMjAxMCwsLFVTRCk=&amp;WINDOW=FIRST_POPUP&amp;HEIGH","T=450&amp;WIDTH=450&amp;START_MAXIMIZED=FALSE&amp;VAR:CALENDAR=US&amp;VAR:SYMBOL=CNX&amp;VAR:INDEX=0"}</definedName>
    <definedName name="_801__FDSAUDITLINK__" localSheetId="1" hidden="1">{"fdsup://directions/FAT Viewer?action=UPDATE&amp;creator=factset&amp;DYN_ARGS=TRUE&amp;DOC_NAME=FAT:FQL_AUDITING_CLIENT_TEMPLATE.FAT&amp;display_string=Audit&amp;VAR:KEY=ZOFSRAVYXC&amp;VAR:QUERY=RkZfRUJJVERBX09QRVIoUVRSLDQvMS8yMDA5LDYvMzAvMjAwOSwsLFVTRCk=&amp;WINDOW=FIRST_POPUP&amp;HEIGH","T=450&amp;WIDTH=450&amp;START_MAXIMIZED=FALSE&amp;VAR:CALENDAR=US&amp;VAR:SYMBOL=CNP&amp;VAR:INDEX=0"}</definedName>
    <definedName name="_801__FDSAUDITLINK__" hidden="1">{"fdsup://directions/FAT Viewer?action=UPDATE&amp;creator=factset&amp;DYN_ARGS=TRUE&amp;DOC_NAME=FAT:FQL_AUDITING_CLIENT_TEMPLATE.FAT&amp;display_string=Audit&amp;VAR:KEY=ZOFSRAVYXC&amp;VAR:QUERY=RkZfRUJJVERBX09QRVIoUVRSLDQvMS8yMDA5LDYvMzAvMjAwOSwsLFVTRCk=&amp;WINDOW=FIRST_POPUP&amp;HEIGH","T=450&amp;WIDTH=450&amp;START_MAXIMIZED=FALSE&amp;VAR:CALENDAR=US&amp;VAR:SYMBOL=CNP&amp;VAR:INDEX=0"}</definedName>
    <definedName name="_802__FDSAUDITLINK__" localSheetId="1" hidden="1">{"fdsup://directions/FAT Viewer?action=UPDATE&amp;creator=factset&amp;DYN_ARGS=TRUE&amp;DOC_NAME=FAT:FQL_AUDITING_CLIENT_TEMPLATE.FAT&amp;display_string=Audit&amp;VAR:KEY=HSLWBGVKXG&amp;VAR:QUERY=RkZfRUJJVERBX09QRVIoUVRSLDQvMS8yMDEwLDYvMzAvMjAxMCwsLFVTRCk=&amp;WINDOW=FIRST_POPUP&amp;HEIGH","T=450&amp;WIDTH=450&amp;START_MAXIMIZED=FALSE&amp;VAR:CALENDAR=US&amp;VAR:SYMBOL=CNP&amp;VAR:INDEX=0"}</definedName>
    <definedName name="_802__FDSAUDITLINK__" hidden="1">{"fdsup://directions/FAT Viewer?action=UPDATE&amp;creator=factset&amp;DYN_ARGS=TRUE&amp;DOC_NAME=FAT:FQL_AUDITING_CLIENT_TEMPLATE.FAT&amp;display_string=Audit&amp;VAR:KEY=HSLWBGVKXG&amp;VAR:QUERY=RkZfRUJJVERBX09QRVIoUVRSLDQvMS8yMDEwLDYvMzAvMjAxMCwsLFVTRCk=&amp;WINDOW=FIRST_POPUP&amp;HEIGH","T=450&amp;WIDTH=450&amp;START_MAXIMIZED=FALSE&amp;VAR:CALENDAR=US&amp;VAR:SYMBOL=CNP&amp;VAR:INDEX=0"}</definedName>
    <definedName name="_803__FDSAUDITLINK__" localSheetId="1" hidden="1">{"fdsup://directions/FAT Viewer?action=UPDATE&amp;creator=factset&amp;DYN_ARGS=TRUE&amp;DOC_NAME=FAT:FQL_AUDITING_CLIENT_TEMPLATE.FAT&amp;display_string=Audit&amp;VAR:KEY=RWDSZGHMVQ&amp;VAR:QUERY=RkZfRUJJVERBX09QRVIoUVRSLDQvMS8yMDA5LDYvMzAvMjAwOSwsLFVTRCk=&amp;WINDOW=FIRST_POPUP&amp;HEIGH","T=450&amp;WIDTH=450&amp;START_MAXIMIZED=FALSE&amp;VAR:CALENDAR=US&amp;VAR:SYMBOL=CMS&amp;VAR:INDEX=0"}</definedName>
    <definedName name="_803__FDSAUDITLINK__" hidden="1">{"fdsup://directions/FAT Viewer?action=UPDATE&amp;creator=factset&amp;DYN_ARGS=TRUE&amp;DOC_NAME=FAT:FQL_AUDITING_CLIENT_TEMPLATE.FAT&amp;display_string=Audit&amp;VAR:KEY=RWDSZGHMVQ&amp;VAR:QUERY=RkZfRUJJVERBX09QRVIoUVRSLDQvMS8yMDA5LDYvMzAvMjAwOSwsLFVTRCk=&amp;WINDOW=FIRST_POPUP&amp;HEIGH","T=450&amp;WIDTH=450&amp;START_MAXIMIZED=FALSE&amp;VAR:CALENDAR=US&amp;VAR:SYMBOL=CMS&amp;VAR:INDEX=0"}</definedName>
    <definedName name="_804__FDSAUDITLINK__" localSheetId="1" hidden="1">{"fdsup://directions/FAT Viewer?action=UPDATE&amp;creator=factset&amp;DYN_ARGS=TRUE&amp;DOC_NAME=FAT:FQL_AUDITING_CLIENT_TEMPLATE.FAT&amp;display_string=Audit&amp;VAR:KEY=TENKZKPGJK&amp;VAR:QUERY=RkZfRUJJVERBX09QRVIoUVRSLDQvMS8yMDEwLDYvMzAvMjAxMCwsLFVTRCk=&amp;WINDOW=FIRST_POPUP&amp;HEIGH","T=450&amp;WIDTH=450&amp;START_MAXIMIZED=FALSE&amp;VAR:CALENDAR=US&amp;VAR:SYMBOL=CMS&amp;VAR:INDEX=0"}</definedName>
    <definedName name="_804__FDSAUDITLINK__" hidden="1">{"fdsup://directions/FAT Viewer?action=UPDATE&amp;creator=factset&amp;DYN_ARGS=TRUE&amp;DOC_NAME=FAT:FQL_AUDITING_CLIENT_TEMPLATE.FAT&amp;display_string=Audit&amp;VAR:KEY=TENKZKPGJK&amp;VAR:QUERY=RkZfRUJJVERBX09QRVIoUVRSLDQvMS8yMDEwLDYvMzAvMjAxMCwsLFVTRCk=&amp;WINDOW=FIRST_POPUP&amp;HEIGH","T=450&amp;WIDTH=450&amp;START_MAXIMIZED=FALSE&amp;VAR:CALENDAR=US&amp;VAR:SYMBOL=CMS&amp;VAR:INDEX=0"}</definedName>
    <definedName name="_805__FDSAUDITLINK__" localSheetId="1" hidden="1">{"fdsup://directions/FAT Viewer?action=UPDATE&amp;creator=factset&amp;DYN_ARGS=TRUE&amp;DOC_NAME=FAT:FQL_AUDITING_CLIENT_TEMPLATE.FAT&amp;display_string=Audit&amp;VAR:KEY=PMLGLSDUBC&amp;VAR:QUERY=RkZfRUJJVERBX09QRVIoUVRSLDQvMS8yMDA5LDYvMzAvMjAwOSwsLFVTRCk=&amp;WINDOW=FIRST_POPUP&amp;HEIGH","T=450&amp;WIDTH=450&amp;START_MAXIMIZED=FALSE&amp;VAR:CALENDAR=US&amp;VAR:SYMBOL=CMI&amp;VAR:INDEX=0"}</definedName>
    <definedName name="_805__FDSAUDITLINK__" hidden="1">{"fdsup://directions/FAT Viewer?action=UPDATE&amp;creator=factset&amp;DYN_ARGS=TRUE&amp;DOC_NAME=FAT:FQL_AUDITING_CLIENT_TEMPLATE.FAT&amp;display_string=Audit&amp;VAR:KEY=PMLGLSDUBC&amp;VAR:QUERY=RkZfRUJJVERBX09QRVIoUVRSLDQvMS8yMDA5LDYvMzAvMjAwOSwsLFVTRCk=&amp;WINDOW=FIRST_POPUP&amp;HEIGH","T=450&amp;WIDTH=450&amp;START_MAXIMIZED=FALSE&amp;VAR:CALENDAR=US&amp;VAR:SYMBOL=CMI&amp;VAR:INDEX=0"}</definedName>
    <definedName name="_806__FDSAUDITLINK__" localSheetId="1" hidden="1">{"fdsup://directions/FAT Viewer?action=UPDATE&amp;creator=factset&amp;DYN_ARGS=TRUE&amp;DOC_NAME=FAT:FQL_AUDITING_CLIENT_TEMPLATE.FAT&amp;display_string=Audit&amp;VAR:KEY=NAJUJOREVM&amp;VAR:QUERY=RkZfRUJJVERBX09QRVIoUVRSLDQvMS8yMDEwLDYvMzAvMjAxMCwsLFVTRCk=&amp;WINDOW=FIRST_POPUP&amp;HEIGH","T=450&amp;WIDTH=450&amp;START_MAXIMIZED=FALSE&amp;VAR:CALENDAR=US&amp;VAR:SYMBOL=CMI&amp;VAR:INDEX=0"}</definedName>
    <definedName name="_806__FDSAUDITLINK__" hidden="1">{"fdsup://directions/FAT Viewer?action=UPDATE&amp;creator=factset&amp;DYN_ARGS=TRUE&amp;DOC_NAME=FAT:FQL_AUDITING_CLIENT_TEMPLATE.FAT&amp;display_string=Audit&amp;VAR:KEY=NAJUJOREVM&amp;VAR:QUERY=RkZfRUJJVERBX09QRVIoUVRSLDQvMS8yMDEwLDYvMzAvMjAxMCwsLFVTRCk=&amp;WINDOW=FIRST_POPUP&amp;HEIGH","T=450&amp;WIDTH=450&amp;START_MAXIMIZED=FALSE&amp;VAR:CALENDAR=US&amp;VAR:SYMBOL=CMI&amp;VAR:INDEX=0"}</definedName>
    <definedName name="_807__FDSAUDITLINK__" localSheetId="1" hidden="1">{"fdsup://directions/FAT Viewer?action=UPDATE&amp;creator=factset&amp;DYN_ARGS=TRUE&amp;DOC_NAME=FAT:FQL_AUDITING_CLIENT_TEMPLATE.FAT&amp;display_string=Audit&amp;VAR:KEY=VUPONAXELA&amp;VAR:QUERY=RkZfRUJJVERBX09QRVIoUVRSLDQvMS8yMDA5LDYvMzAvMjAwOSwsLFVTRCk=&amp;WINDOW=FIRST_POPUP&amp;HEIGH","T=450&amp;WIDTH=450&amp;START_MAXIMIZED=FALSE&amp;VAR:CALENDAR=US&amp;VAR:SYMBOL=CME&amp;VAR:INDEX=0"}</definedName>
    <definedName name="_807__FDSAUDITLINK__" hidden="1">{"fdsup://directions/FAT Viewer?action=UPDATE&amp;creator=factset&amp;DYN_ARGS=TRUE&amp;DOC_NAME=FAT:FQL_AUDITING_CLIENT_TEMPLATE.FAT&amp;display_string=Audit&amp;VAR:KEY=VUPONAXELA&amp;VAR:QUERY=RkZfRUJJVERBX09QRVIoUVRSLDQvMS8yMDA5LDYvMzAvMjAwOSwsLFVTRCk=&amp;WINDOW=FIRST_POPUP&amp;HEIGH","T=450&amp;WIDTH=450&amp;START_MAXIMIZED=FALSE&amp;VAR:CALENDAR=US&amp;VAR:SYMBOL=CME&amp;VAR:INDEX=0"}</definedName>
    <definedName name="_808__FDSAUDITLINK__" localSheetId="1" hidden="1">{"fdsup://directions/FAT Viewer?action=UPDATE&amp;creator=factset&amp;DYN_ARGS=TRUE&amp;DOC_NAME=FAT:FQL_AUDITING_CLIENT_TEMPLATE.FAT&amp;display_string=Audit&amp;VAR:KEY=HCLCPEZWDO&amp;VAR:QUERY=RkZfRUJJVERBX09QRVIoUVRSLDQvMS8yMDEwLDYvMzAvMjAxMCwsLFVTRCk=&amp;WINDOW=FIRST_POPUP&amp;HEIGH","T=450&amp;WIDTH=450&amp;START_MAXIMIZED=FALSE&amp;VAR:CALENDAR=US&amp;VAR:SYMBOL=CME&amp;VAR:INDEX=0"}</definedName>
    <definedName name="_808__FDSAUDITLINK__" hidden="1">{"fdsup://directions/FAT Viewer?action=UPDATE&amp;creator=factset&amp;DYN_ARGS=TRUE&amp;DOC_NAME=FAT:FQL_AUDITING_CLIENT_TEMPLATE.FAT&amp;display_string=Audit&amp;VAR:KEY=HCLCPEZWDO&amp;VAR:QUERY=RkZfRUJJVERBX09QRVIoUVRSLDQvMS8yMDEwLDYvMzAvMjAxMCwsLFVTRCk=&amp;WINDOW=FIRST_POPUP&amp;HEIGH","T=450&amp;WIDTH=450&amp;START_MAXIMIZED=FALSE&amp;VAR:CALENDAR=US&amp;VAR:SYMBOL=CME&amp;VAR:INDEX=0"}</definedName>
    <definedName name="_809__FDSAUDITLINK__" localSheetId="1" hidden="1">{"fdsup://directions/FAT Viewer?action=UPDATE&amp;creator=factset&amp;DYN_ARGS=TRUE&amp;DOC_NAME=FAT:FQL_AUDITING_CLIENT_TEMPLATE.FAT&amp;display_string=Audit&amp;VAR:KEY=XWVIRUDITI&amp;VAR:QUERY=RkZfRUJJVERBX09QRVIoUVRSLDQvMS8yMDA5LDYvMzAvMjAwOSwsLFVTRCk=&amp;WINDOW=FIRST_POPUP&amp;HEIGH","T=450&amp;WIDTH=450&amp;START_MAXIMIZED=FALSE&amp;VAR:CALENDAR=US&amp;VAR:SYMBOL=CMCSA&amp;VAR:INDEX=0"}</definedName>
    <definedName name="_809__FDSAUDITLINK__" hidden="1">{"fdsup://directions/FAT Viewer?action=UPDATE&amp;creator=factset&amp;DYN_ARGS=TRUE&amp;DOC_NAME=FAT:FQL_AUDITING_CLIENT_TEMPLATE.FAT&amp;display_string=Audit&amp;VAR:KEY=XWVIRUDITI&amp;VAR:QUERY=RkZfRUJJVERBX09QRVIoUVRSLDQvMS8yMDA5LDYvMzAvMjAwOSwsLFVTRCk=&amp;WINDOW=FIRST_POPUP&amp;HEIGH","T=450&amp;WIDTH=450&amp;START_MAXIMIZED=FALSE&amp;VAR:CALENDAR=US&amp;VAR:SYMBOL=CMCSA&amp;VAR:INDEX=0"}</definedName>
    <definedName name="_81__FDSAUDITLINK__" localSheetId="1" hidden="1">{"fdsup://directions/FAT Viewer?action=UPDATE&amp;creator=factset&amp;DYN_ARGS=TRUE&amp;DOC_NAME=FAT:FQL_AUDITING_CLIENT_TEMPLATE.FAT&amp;display_string=Audit&amp;VAR:KEY=BMXWHOXUPE&amp;VAR:QUERY=RkZfRUJJVERBX09QRVIoUVRSLDQvMS8yMDA5LDYvMzAvMjAwOSwsLFVTRCk=&amp;WINDOW=FIRST_POPUP&amp;HEIGH","T=450&amp;WIDTH=450&amp;START_MAXIMIZED=FALSE&amp;VAR:CALENDAR=US&amp;VAR:SYMBOL=UTX&amp;VAR:INDEX=0"}</definedName>
    <definedName name="_81__FDSAUDITLINK__" hidden="1">{"fdsup://directions/FAT Viewer?action=UPDATE&amp;creator=factset&amp;DYN_ARGS=TRUE&amp;DOC_NAME=FAT:FQL_AUDITING_CLIENT_TEMPLATE.FAT&amp;display_string=Audit&amp;VAR:KEY=BMXWHOXUPE&amp;VAR:QUERY=RkZfRUJJVERBX09QRVIoUVRSLDQvMS8yMDA5LDYvMzAvMjAwOSwsLFVTRCk=&amp;WINDOW=FIRST_POPUP&amp;HEIGH","T=450&amp;WIDTH=450&amp;START_MAXIMIZED=FALSE&amp;VAR:CALENDAR=US&amp;VAR:SYMBOL=UTX&amp;VAR:INDEX=0"}</definedName>
    <definedName name="_810__FDSAUDITLINK__" localSheetId="1" hidden="1">{"fdsup://directions/FAT Viewer?action=UPDATE&amp;creator=factset&amp;DYN_ARGS=TRUE&amp;DOC_NAME=FAT:FQL_AUDITING_CLIENT_TEMPLATE.FAT&amp;display_string=Audit&amp;VAR:KEY=ZEVMBOLWJU&amp;VAR:QUERY=RkZfRUJJVERBX09QRVIoUVRSLDQvMS8yMDEwLDYvMzAvMjAxMCwsLFVTRCk=&amp;WINDOW=FIRST_POPUP&amp;HEIGH","T=450&amp;WIDTH=450&amp;START_MAXIMIZED=FALSE&amp;VAR:CALENDAR=US&amp;VAR:SYMBOL=CMCSA&amp;VAR:INDEX=0"}</definedName>
    <definedName name="_810__FDSAUDITLINK__" hidden="1">{"fdsup://directions/FAT Viewer?action=UPDATE&amp;creator=factset&amp;DYN_ARGS=TRUE&amp;DOC_NAME=FAT:FQL_AUDITING_CLIENT_TEMPLATE.FAT&amp;display_string=Audit&amp;VAR:KEY=ZEVMBOLWJU&amp;VAR:QUERY=RkZfRUJJVERBX09QRVIoUVRSLDQvMS8yMDEwLDYvMzAvMjAxMCwsLFVTRCk=&amp;WINDOW=FIRST_POPUP&amp;HEIGH","T=450&amp;WIDTH=450&amp;START_MAXIMIZED=FALSE&amp;VAR:CALENDAR=US&amp;VAR:SYMBOL=CMCSA&amp;VAR:INDEX=0"}</definedName>
    <definedName name="_811__FDSAUDITLINK__" localSheetId="1" hidden="1">{"fdsup://directions/FAT Viewer?action=UPDATE&amp;creator=factset&amp;DYN_ARGS=TRUE&amp;DOC_NAME=FAT:FQL_AUDITING_CLIENT_TEMPLATE.FAT&amp;display_string=Audit&amp;VAR:KEY=ZCNCRQRUNU&amp;VAR:QUERY=RkZfRUJJVERBX09QRVIoUVRSLDQvMS8yMDA5LDYvMzAvMjAwOSwsLFVTRCk=&amp;WINDOW=FIRST_POPUP&amp;HEIGH","T=450&amp;WIDTH=450&amp;START_MAXIMIZED=FALSE&amp;VAR:CALENDAR=US&amp;VAR:SYMBOL=CMA&amp;VAR:INDEX=0"}</definedName>
    <definedName name="_811__FDSAUDITLINK__" hidden="1">{"fdsup://directions/FAT Viewer?action=UPDATE&amp;creator=factset&amp;DYN_ARGS=TRUE&amp;DOC_NAME=FAT:FQL_AUDITING_CLIENT_TEMPLATE.FAT&amp;display_string=Audit&amp;VAR:KEY=ZCNCRQRUNU&amp;VAR:QUERY=RkZfRUJJVERBX09QRVIoUVRSLDQvMS8yMDA5LDYvMzAvMjAwOSwsLFVTRCk=&amp;WINDOW=FIRST_POPUP&amp;HEIGH","T=450&amp;WIDTH=450&amp;START_MAXIMIZED=FALSE&amp;VAR:CALENDAR=US&amp;VAR:SYMBOL=CMA&amp;VAR:INDEX=0"}</definedName>
    <definedName name="_812__FDSAUDITLINK__" localSheetId="1" hidden="1">{"fdsup://directions/FAT Viewer?action=UPDATE&amp;creator=factset&amp;DYN_ARGS=TRUE&amp;DOC_NAME=FAT:FQL_AUDITING_CLIENT_TEMPLATE.FAT&amp;display_string=Audit&amp;VAR:KEY=NSBAHKZAZS&amp;VAR:QUERY=RkZfRUJJVERBX09QRVIoUVRSLDQvMS8yMDEwLDYvMzAvMjAxMCwsLFVTRCk=&amp;WINDOW=FIRST_POPUP&amp;HEIGH","T=450&amp;WIDTH=450&amp;START_MAXIMIZED=FALSE&amp;VAR:CALENDAR=US&amp;VAR:SYMBOL=CMA&amp;VAR:INDEX=0"}</definedName>
    <definedName name="_812__FDSAUDITLINK__" hidden="1">{"fdsup://directions/FAT Viewer?action=UPDATE&amp;creator=factset&amp;DYN_ARGS=TRUE&amp;DOC_NAME=FAT:FQL_AUDITING_CLIENT_TEMPLATE.FAT&amp;display_string=Audit&amp;VAR:KEY=NSBAHKZAZS&amp;VAR:QUERY=RkZfRUJJVERBX09QRVIoUVRSLDQvMS8yMDEwLDYvMzAvMjAxMCwsLFVTRCk=&amp;WINDOW=FIRST_POPUP&amp;HEIGH","T=450&amp;WIDTH=450&amp;START_MAXIMIZED=FALSE&amp;VAR:CALENDAR=US&amp;VAR:SYMBOL=CMA&amp;VAR:INDEX=0"}</definedName>
    <definedName name="_813__FDSAUDITLINK__" localSheetId="1" hidden="1">{"fdsup://directions/FAT Viewer?action=UPDATE&amp;creator=factset&amp;DYN_ARGS=TRUE&amp;DOC_NAME=FAT:FQL_AUDITING_CLIENT_TEMPLATE.FAT&amp;display_string=Audit&amp;VAR:KEY=VMVGZSBELW&amp;VAR:QUERY=RkZfRUJJVERBX09QRVIoUVRSLDQvMS8yMDA5LDYvMzAvMjAwOSwsLFVTRCk=&amp;WINDOW=FIRST_POPUP&amp;HEIGH","T=450&amp;WIDTH=450&amp;START_MAXIMIZED=FALSE&amp;VAR:CALENDAR=US&amp;VAR:SYMBOL=CLX&amp;VAR:INDEX=0"}</definedName>
    <definedName name="_813__FDSAUDITLINK__" hidden="1">{"fdsup://directions/FAT Viewer?action=UPDATE&amp;creator=factset&amp;DYN_ARGS=TRUE&amp;DOC_NAME=FAT:FQL_AUDITING_CLIENT_TEMPLATE.FAT&amp;display_string=Audit&amp;VAR:KEY=VMVGZSBELW&amp;VAR:QUERY=RkZfRUJJVERBX09QRVIoUVRSLDQvMS8yMDA5LDYvMzAvMjAwOSwsLFVTRCk=&amp;WINDOW=FIRST_POPUP&amp;HEIGH","T=450&amp;WIDTH=450&amp;START_MAXIMIZED=FALSE&amp;VAR:CALENDAR=US&amp;VAR:SYMBOL=CLX&amp;VAR:INDEX=0"}</definedName>
    <definedName name="_814__FDSAUDITLINK__" localSheetId="1" hidden="1">{"fdsup://directions/FAT Viewer?action=UPDATE&amp;creator=factset&amp;DYN_ARGS=TRUE&amp;DOC_NAME=FAT:FQL_AUDITING_CLIENT_TEMPLATE.FAT&amp;display_string=Audit&amp;VAR:KEY=RWZQNUNMDK&amp;VAR:QUERY=RkZfRUJJVERBX09QRVIoUVRSLDQvMS8yMDEwLDYvMzAvMjAxMCwsLFVTRCk=&amp;WINDOW=FIRST_POPUP&amp;HEIGH","T=450&amp;WIDTH=450&amp;START_MAXIMIZED=FALSE&amp;VAR:CALENDAR=US&amp;VAR:SYMBOL=CLX&amp;VAR:INDEX=0"}</definedName>
    <definedName name="_814__FDSAUDITLINK__" hidden="1">{"fdsup://directions/FAT Viewer?action=UPDATE&amp;creator=factset&amp;DYN_ARGS=TRUE&amp;DOC_NAME=FAT:FQL_AUDITING_CLIENT_TEMPLATE.FAT&amp;display_string=Audit&amp;VAR:KEY=RWZQNUNMDK&amp;VAR:QUERY=RkZfRUJJVERBX09QRVIoUVRSLDQvMS8yMDEwLDYvMzAvMjAxMCwsLFVTRCk=&amp;WINDOW=FIRST_POPUP&amp;HEIGH","T=450&amp;WIDTH=450&amp;START_MAXIMIZED=FALSE&amp;VAR:CALENDAR=US&amp;VAR:SYMBOL=CLX&amp;VAR:INDEX=0"}</definedName>
    <definedName name="_815__FDSAUDITLINK__" localSheetId="1" hidden="1">{"fdsup://directions/FAT Viewer?action=UPDATE&amp;creator=factset&amp;DYN_ARGS=TRUE&amp;DOC_NAME=FAT:FQL_AUDITING_CLIENT_TEMPLATE.FAT&amp;display_string=Audit&amp;VAR:KEY=BGRIXGNGTM&amp;VAR:QUERY=RkZfRUJJVERBX09QRVIoUVRSLDQvMS8yMDA5LDYvMzAvMjAwOSwsLFVTRCk=&amp;WINDOW=FIRST_POPUP&amp;HEIGH","T=450&amp;WIDTH=450&amp;START_MAXIMIZED=FALSE&amp;VAR:CALENDAR=US&amp;VAR:SYMBOL=CLF&amp;VAR:INDEX=0"}</definedName>
    <definedName name="_815__FDSAUDITLINK__" hidden="1">{"fdsup://directions/FAT Viewer?action=UPDATE&amp;creator=factset&amp;DYN_ARGS=TRUE&amp;DOC_NAME=FAT:FQL_AUDITING_CLIENT_TEMPLATE.FAT&amp;display_string=Audit&amp;VAR:KEY=BGRIXGNGTM&amp;VAR:QUERY=RkZfRUJJVERBX09QRVIoUVRSLDQvMS8yMDA5LDYvMzAvMjAwOSwsLFVTRCk=&amp;WINDOW=FIRST_POPUP&amp;HEIGH","T=450&amp;WIDTH=450&amp;START_MAXIMIZED=FALSE&amp;VAR:CALENDAR=US&amp;VAR:SYMBOL=CLF&amp;VAR:INDEX=0"}</definedName>
    <definedName name="_816__FDSAUDITLINK__" localSheetId="1" hidden="1">{"fdsup://directions/FAT Viewer?action=UPDATE&amp;creator=factset&amp;DYN_ARGS=TRUE&amp;DOC_NAME=FAT:FQL_AUDITING_CLIENT_TEMPLATE.FAT&amp;display_string=Audit&amp;VAR:KEY=RODYXSRMRS&amp;VAR:QUERY=RkZfRUJJVERBX09QRVIoUVRSLDQvMS8yMDEwLDYvMzAvMjAxMCwsLFVTRCk=&amp;WINDOW=FIRST_POPUP&amp;HEIGH","T=450&amp;WIDTH=450&amp;START_MAXIMIZED=FALSE&amp;VAR:CALENDAR=US&amp;VAR:SYMBOL=CLF&amp;VAR:INDEX=0"}</definedName>
    <definedName name="_816__FDSAUDITLINK__" hidden="1">{"fdsup://directions/FAT Viewer?action=UPDATE&amp;creator=factset&amp;DYN_ARGS=TRUE&amp;DOC_NAME=FAT:FQL_AUDITING_CLIENT_TEMPLATE.FAT&amp;display_string=Audit&amp;VAR:KEY=RODYXSRMRS&amp;VAR:QUERY=RkZfRUJJVERBX09QRVIoUVRSLDQvMS8yMDEwLDYvMzAvMjAxMCwsLFVTRCk=&amp;WINDOW=FIRST_POPUP&amp;HEIGH","T=450&amp;WIDTH=450&amp;START_MAXIMIZED=FALSE&amp;VAR:CALENDAR=US&amp;VAR:SYMBOL=CLF&amp;VAR:INDEX=0"}</definedName>
    <definedName name="_817__FDSAUDITLINK__" localSheetId="1" hidden="1">{"fdsup://directions/FAT Viewer?action=UPDATE&amp;creator=factset&amp;DYN_ARGS=TRUE&amp;DOC_NAME=FAT:FQL_AUDITING_CLIENT_TEMPLATE.FAT&amp;display_string=Audit&amp;VAR:KEY=PIFQNYLMPA&amp;VAR:QUERY=RkZfRUJJVERBX09QRVIoUVRSLDQvMS8yMDA5LDYvMzAvMjAwOSwsLFVTRCk=&amp;WINDOW=FIRST_POPUP&amp;HEIGH","T=450&amp;WIDTH=450&amp;START_MAXIMIZED=FALSE&amp;VAR:CALENDAR=US&amp;VAR:SYMBOL=CL&amp;VAR:INDEX=0"}</definedName>
    <definedName name="_817__FDSAUDITLINK__" hidden="1">{"fdsup://directions/FAT Viewer?action=UPDATE&amp;creator=factset&amp;DYN_ARGS=TRUE&amp;DOC_NAME=FAT:FQL_AUDITING_CLIENT_TEMPLATE.FAT&amp;display_string=Audit&amp;VAR:KEY=PIFQNYLMPA&amp;VAR:QUERY=RkZfRUJJVERBX09QRVIoUVRSLDQvMS8yMDA5LDYvMzAvMjAwOSwsLFVTRCk=&amp;WINDOW=FIRST_POPUP&amp;HEIGH","T=450&amp;WIDTH=450&amp;START_MAXIMIZED=FALSE&amp;VAR:CALENDAR=US&amp;VAR:SYMBOL=CL&amp;VAR:INDEX=0"}</definedName>
    <definedName name="_818__FDSAUDITLINK__" localSheetId="1" hidden="1">{"fdsup://directions/FAT Viewer?action=UPDATE&amp;creator=factset&amp;DYN_ARGS=TRUE&amp;DOC_NAME=FAT:FQL_AUDITING_CLIENT_TEMPLATE.FAT&amp;display_string=Audit&amp;VAR:KEY=XIPCXMNCFA&amp;VAR:QUERY=RkZfRUJJVERBX09QRVIoUVRSLDQvMS8yMDEwLDYvMzAvMjAxMCwsLFVTRCk=&amp;WINDOW=FIRST_POPUP&amp;HEIGH","T=450&amp;WIDTH=450&amp;START_MAXIMIZED=FALSE&amp;VAR:CALENDAR=US&amp;VAR:SYMBOL=CL&amp;VAR:INDEX=0"}</definedName>
    <definedName name="_818__FDSAUDITLINK__" hidden="1">{"fdsup://directions/FAT Viewer?action=UPDATE&amp;creator=factset&amp;DYN_ARGS=TRUE&amp;DOC_NAME=FAT:FQL_AUDITING_CLIENT_TEMPLATE.FAT&amp;display_string=Audit&amp;VAR:KEY=XIPCXMNCFA&amp;VAR:QUERY=RkZfRUJJVERBX09QRVIoUVRSLDQvMS8yMDEwLDYvMzAvMjAxMCwsLFVTRCk=&amp;WINDOW=FIRST_POPUP&amp;HEIGH","T=450&amp;WIDTH=450&amp;START_MAXIMIZED=FALSE&amp;VAR:CALENDAR=US&amp;VAR:SYMBOL=CL&amp;VAR:INDEX=0"}</definedName>
    <definedName name="_819__FDSAUDITLINK__" localSheetId="1" hidden="1">{"fdsup://directions/FAT Viewer?action=UPDATE&amp;creator=factset&amp;DYN_ARGS=TRUE&amp;DOC_NAME=FAT:FQL_AUDITING_CLIENT_TEMPLATE.FAT&amp;display_string=Audit&amp;VAR:KEY=POXQZMDEHY&amp;VAR:QUERY=RkZfRUJJVERBX09QRVIoUVRSLDQvMS8yMDA5LDYvMzAvMjAwOSwsLFVTRCk=&amp;WINDOW=FIRST_POPUP&amp;HEIGH","T=450&amp;WIDTH=450&amp;START_MAXIMIZED=FALSE&amp;VAR:CALENDAR=US&amp;VAR:SYMBOL=CINF&amp;VAR:INDEX=0"}</definedName>
    <definedName name="_819__FDSAUDITLINK__" hidden="1">{"fdsup://directions/FAT Viewer?action=UPDATE&amp;creator=factset&amp;DYN_ARGS=TRUE&amp;DOC_NAME=FAT:FQL_AUDITING_CLIENT_TEMPLATE.FAT&amp;display_string=Audit&amp;VAR:KEY=POXQZMDEHY&amp;VAR:QUERY=RkZfRUJJVERBX09QRVIoUVRSLDQvMS8yMDA5LDYvMzAvMjAwOSwsLFVTRCk=&amp;WINDOW=FIRST_POPUP&amp;HEIGH","T=450&amp;WIDTH=450&amp;START_MAXIMIZED=FALSE&amp;VAR:CALENDAR=US&amp;VAR:SYMBOL=CINF&amp;VAR:INDEX=0"}</definedName>
    <definedName name="_82__FDSAUDITLINK__" localSheetId="1" hidden="1">{"fdsup://directions/FAT Viewer?action=UPDATE&amp;creator=factset&amp;DYN_ARGS=TRUE&amp;DOC_NAME=FAT:FQL_AUDITING_CLIENT_TEMPLATE.FAT&amp;display_string=Audit&amp;VAR:KEY=DYXSDMNEPA&amp;VAR:QUERY=RkZfRUJJVERBX09QRVIoUVRSLDQvMS8yMDEwLDYvMzAvMjAxMCwsLFVTRCk=&amp;WINDOW=FIRST_POPUP&amp;HEIGH","T=450&amp;WIDTH=450&amp;START_MAXIMIZED=FALSE&amp;VAR:CALENDAR=US&amp;VAR:SYMBOL=UTX&amp;VAR:INDEX=0"}</definedName>
    <definedName name="_82__FDSAUDITLINK__" hidden="1">{"fdsup://directions/FAT Viewer?action=UPDATE&amp;creator=factset&amp;DYN_ARGS=TRUE&amp;DOC_NAME=FAT:FQL_AUDITING_CLIENT_TEMPLATE.FAT&amp;display_string=Audit&amp;VAR:KEY=DYXSDMNEPA&amp;VAR:QUERY=RkZfRUJJVERBX09QRVIoUVRSLDQvMS8yMDEwLDYvMzAvMjAxMCwsLFVTRCk=&amp;WINDOW=FIRST_POPUP&amp;HEIGH","T=450&amp;WIDTH=450&amp;START_MAXIMIZED=FALSE&amp;VAR:CALENDAR=US&amp;VAR:SYMBOL=UTX&amp;VAR:INDEX=0"}</definedName>
    <definedName name="_820__FDSAUDITLINK__" localSheetId="1" hidden="1">{"fdsup://directions/FAT Viewer?action=UPDATE&amp;creator=factset&amp;DYN_ARGS=TRUE&amp;DOC_NAME=FAT:FQL_AUDITING_CLIENT_TEMPLATE.FAT&amp;display_string=Audit&amp;VAR:KEY=PAZIRMTYZS&amp;VAR:QUERY=RkZfRUJJVERBX09QRVIoUVRSLDQvMS8yMDEwLDYvMzAvMjAxMCwsLFVTRCk=&amp;WINDOW=FIRST_POPUP&amp;HEIGH","T=450&amp;WIDTH=450&amp;START_MAXIMIZED=FALSE&amp;VAR:CALENDAR=US&amp;VAR:SYMBOL=CINF&amp;VAR:INDEX=0"}</definedName>
    <definedName name="_820__FDSAUDITLINK__" hidden="1">{"fdsup://directions/FAT Viewer?action=UPDATE&amp;creator=factset&amp;DYN_ARGS=TRUE&amp;DOC_NAME=FAT:FQL_AUDITING_CLIENT_TEMPLATE.FAT&amp;display_string=Audit&amp;VAR:KEY=PAZIRMTYZS&amp;VAR:QUERY=RkZfRUJJVERBX09QRVIoUVRSLDQvMS8yMDEwLDYvMzAvMjAxMCwsLFVTRCk=&amp;WINDOW=FIRST_POPUP&amp;HEIGH","T=450&amp;WIDTH=450&amp;START_MAXIMIZED=FALSE&amp;VAR:CALENDAR=US&amp;VAR:SYMBOL=CINF&amp;VAR:INDEX=0"}</definedName>
    <definedName name="_821__FDSAUDITLINK__" localSheetId="1" hidden="1">{"fdsup://directions/FAT Viewer?action=UPDATE&amp;creator=factset&amp;DYN_ARGS=TRUE&amp;DOC_NAME=FAT:FQL_AUDITING_CLIENT_TEMPLATE.FAT&amp;display_string=Audit&amp;VAR:KEY=DWFCBIHQPQ&amp;VAR:QUERY=RkZfRUJJVERBX09QRVIoUVRSLDQvMS8yMDA5LDYvMzAvMjAwOSwsLFVTRCk=&amp;WINDOW=FIRST_POPUP&amp;HEIGH","T=450&amp;WIDTH=450&amp;START_MAXIMIZED=FALSE&amp;VAR:CALENDAR=US&amp;VAR:SYMBOL=CI&amp;VAR:INDEX=0"}</definedName>
    <definedName name="_821__FDSAUDITLINK__" hidden="1">{"fdsup://directions/FAT Viewer?action=UPDATE&amp;creator=factset&amp;DYN_ARGS=TRUE&amp;DOC_NAME=FAT:FQL_AUDITING_CLIENT_TEMPLATE.FAT&amp;display_string=Audit&amp;VAR:KEY=DWFCBIHQPQ&amp;VAR:QUERY=RkZfRUJJVERBX09QRVIoUVRSLDQvMS8yMDA5LDYvMzAvMjAwOSwsLFVTRCk=&amp;WINDOW=FIRST_POPUP&amp;HEIGH","T=450&amp;WIDTH=450&amp;START_MAXIMIZED=FALSE&amp;VAR:CALENDAR=US&amp;VAR:SYMBOL=CI&amp;VAR:INDEX=0"}</definedName>
    <definedName name="_822__FDSAUDITLINK__" localSheetId="1" hidden="1">{"fdsup://directions/FAT Viewer?action=UPDATE&amp;creator=factset&amp;DYN_ARGS=TRUE&amp;DOC_NAME=FAT:FQL_AUDITING_CLIENT_TEMPLATE.FAT&amp;display_string=Audit&amp;VAR:KEY=LWNCZGNGLA&amp;VAR:QUERY=RkZfRUJJVERBX09QRVIoUVRSLDQvMS8yMDEwLDYvMzAvMjAxMCwsLFVTRCk=&amp;WINDOW=FIRST_POPUP&amp;HEIGH","T=450&amp;WIDTH=450&amp;START_MAXIMIZED=FALSE&amp;VAR:CALENDAR=US&amp;VAR:SYMBOL=CI&amp;VAR:INDEX=0"}</definedName>
    <definedName name="_822__FDSAUDITLINK__" hidden="1">{"fdsup://directions/FAT Viewer?action=UPDATE&amp;creator=factset&amp;DYN_ARGS=TRUE&amp;DOC_NAME=FAT:FQL_AUDITING_CLIENT_TEMPLATE.FAT&amp;display_string=Audit&amp;VAR:KEY=LWNCZGNGLA&amp;VAR:QUERY=RkZfRUJJVERBX09QRVIoUVRSLDQvMS8yMDEwLDYvMzAvMjAxMCwsLFVTRCk=&amp;WINDOW=FIRST_POPUP&amp;HEIGH","T=450&amp;WIDTH=450&amp;START_MAXIMIZED=FALSE&amp;VAR:CALENDAR=US&amp;VAR:SYMBOL=CI&amp;VAR:INDEX=0"}</definedName>
    <definedName name="_823__FDSAUDITLINK__" localSheetId="1" hidden="1">{"fdsup://directions/FAT Viewer?action=UPDATE&amp;creator=factset&amp;DYN_ARGS=TRUE&amp;DOC_NAME=FAT:FQL_AUDITING_CLIENT_TEMPLATE.FAT&amp;display_string=Audit&amp;VAR:KEY=PMZUFSVQHM&amp;VAR:QUERY=RkZfRUJJVERBX09QRVIoUVRSLDQvMS8yMDA5LDYvMzAvMjAwOSwsLFVTRCk=&amp;WINDOW=FIRST_POPUP&amp;HEIGH","T=450&amp;WIDTH=450&amp;START_MAXIMIZED=FALSE&amp;VAR:CALENDAR=US&amp;VAR:SYMBOL=CHRW&amp;VAR:INDEX=0"}</definedName>
    <definedName name="_823__FDSAUDITLINK__" hidden="1">{"fdsup://directions/FAT Viewer?action=UPDATE&amp;creator=factset&amp;DYN_ARGS=TRUE&amp;DOC_NAME=FAT:FQL_AUDITING_CLIENT_TEMPLATE.FAT&amp;display_string=Audit&amp;VAR:KEY=PMZUFSVQHM&amp;VAR:QUERY=RkZfRUJJVERBX09QRVIoUVRSLDQvMS8yMDA5LDYvMzAvMjAwOSwsLFVTRCk=&amp;WINDOW=FIRST_POPUP&amp;HEIGH","T=450&amp;WIDTH=450&amp;START_MAXIMIZED=FALSE&amp;VAR:CALENDAR=US&amp;VAR:SYMBOL=CHRW&amp;VAR:INDEX=0"}</definedName>
    <definedName name="_824__FDSAUDITLINK__" localSheetId="1" hidden="1">{"fdsup://directions/FAT Viewer?action=UPDATE&amp;creator=factset&amp;DYN_ARGS=TRUE&amp;DOC_NAME=FAT:FQL_AUDITING_CLIENT_TEMPLATE.FAT&amp;display_string=Audit&amp;VAR:KEY=FWBADQXCFG&amp;VAR:QUERY=RkZfRUJJVERBX09QRVIoUVRSLDQvMS8yMDEwLDYvMzAvMjAxMCwsLFVTRCk=&amp;WINDOW=FIRST_POPUP&amp;HEIGH","T=450&amp;WIDTH=450&amp;START_MAXIMIZED=FALSE&amp;VAR:CALENDAR=US&amp;VAR:SYMBOL=CHRW&amp;VAR:INDEX=0"}</definedName>
    <definedName name="_824__FDSAUDITLINK__" hidden="1">{"fdsup://directions/FAT Viewer?action=UPDATE&amp;creator=factset&amp;DYN_ARGS=TRUE&amp;DOC_NAME=FAT:FQL_AUDITING_CLIENT_TEMPLATE.FAT&amp;display_string=Audit&amp;VAR:KEY=FWBADQXCFG&amp;VAR:QUERY=RkZfRUJJVERBX09QRVIoUVRSLDQvMS8yMDEwLDYvMzAvMjAxMCwsLFVTRCk=&amp;WINDOW=FIRST_POPUP&amp;HEIGH","T=450&amp;WIDTH=450&amp;START_MAXIMIZED=FALSE&amp;VAR:CALENDAR=US&amp;VAR:SYMBOL=CHRW&amp;VAR:INDEX=0"}</definedName>
    <definedName name="_825__FDSAUDITLINK__" localSheetId="1" hidden="1">{"fdsup://directions/FAT Viewer?action=UPDATE&amp;creator=factset&amp;DYN_ARGS=TRUE&amp;DOC_NAME=FAT:FQL_AUDITING_CLIENT_TEMPLATE.FAT&amp;display_string=Audit&amp;VAR:KEY=HCDQZSFADQ&amp;VAR:QUERY=RkZfRUJJVERBX09QRVIoUVRSLDQvMS8yMDA5LDYvMzAvMjAwOSwsLFVTRCk=&amp;WINDOW=FIRST_POPUP&amp;HEIGH","T=450&amp;WIDTH=450&amp;START_MAXIMIZED=FALSE&amp;VAR:CALENDAR=US&amp;VAR:SYMBOL=CHK&amp;VAR:INDEX=0"}</definedName>
    <definedName name="_825__FDSAUDITLINK__" hidden="1">{"fdsup://directions/FAT Viewer?action=UPDATE&amp;creator=factset&amp;DYN_ARGS=TRUE&amp;DOC_NAME=FAT:FQL_AUDITING_CLIENT_TEMPLATE.FAT&amp;display_string=Audit&amp;VAR:KEY=HCDQZSFADQ&amp;VAR:QUERY=RkZfRUJJVERBX09QRVIoUVRSLDQvMS8yMDA5LDYvMzAvMjAwOSwsLFVTRCk=&amp;WINDOW=FIRST_POPUP&amp;HEIGH","T=450&amp;WIDTH=450&amp;START_MAXIMIZED=FALSE&amp;VAR:CALENDAR=US&amp;VAR:SYMBOL=CHK&amp;VAR:INDEX=0"}</definedName>
    <definedName name="_826__FDSAUDITLINK__" localSheetId="1" hidden="1">{"fdsup://directions/FAT Viewer?action=UPDATE&amp;creator=factset&amp;DYN_ARGS=TRUE&amp;DOC_NAME=FAT:FQL_AUDITING_CLIENT_TEMPLATE.FAT&amp;display_string=Audit&amp;VAR:KEY=FCZYLCJMRY&amp;VAR:QUERY=RkZfRUJJVERBX09QRVIoUVRSLDQvMS8yMDEwLDYvMzAvMjAxMCwsLFVTRCk=&amp;WINDOW=FIRST_POPUP&amp;HEIGH","T=450&amp;WIDTH=450&amp;START_MAXIMIZED=FALSE&amp;VAR:CALENDAR=US&amp;VAR:SYMBOL=CHK&amp;VAR:INDEX=0"}</definedName>
    <definedName name="_826__FDSAUDITLINK__" hidden="1">{"fdsup://directions/FAT Viewer?action=UPDATE&amp;creator=factset&amp;DYN_ARGS=TRUE&amp;DOC_NAME=FAT:FQL_AUDITING_CLIENT_TEMPLATE.FAT&amp;display_string=Audit&amp;VAR:KEY=FCZYLCJMRY&amp;VAR:QUERY=RkZfRUJJVERBX09QRVIoUVRSLDQvMS8yMDEwLDYvMzAvMjAxMCwsLFVTRCk=&amp;WINDOW=FIRST_POPUP&amp;HEIGH","T=450&amp;WIDTH=450&amp;START_MAXIMIZED=FALSE&amp;VAR:CALENDAR=US&amp;VAR:SYMBOL=CHK&amp;VAR:INDEX=0"}</definedName>
    <definedName name="_827__FDSAUDITLINK__" localSheetId="1" hidden="1">{"fdsup://directions/FAT Viewer?action=UPDATE&amp;creator=factset&amp;DYN_ARGS=TRUE&amp;DOC_NAME=FAT:FQL_AUDITING_CLIENT_TEMPLATE.FAT&amp;display_string=Audit&amp;VAR:KEY=PCDMNSLAVK&amp;VAR:QUERY=RkZfRUJJVERBX09QRVIoUVRSLDQvMS8yMDA5LDYvMzAvMjAwOSwsLFVTRCk=&amp;WINDOW=FIRST_POPUP&amp;HEIGH","T=450&amp;WIDTH=450&amp;START_MAXIMIZED=FALSE&amp;VAR:CALENDAR=US&amp;VAR:SYMBOL=CFN&amp;VAR:INDEX=0"}</definedName>
    <definedName name="_827__FDSAUDITLINK__" hidden="1">{"fdsup://directions/FAT Viewer?action=UPDATE&amp;creator=factset&amp;DYN_ARGS=TRUE&amp;DOC_NAME=FAT:FQL_AUDITING_CLIENT_TEMPLATE.FAT&amp;display_string=Audit&amp;VAR:KEY=PCDMNSLAVK&amp;VAR:QUERY=RkZfRUJJVERBX09QRVIoUVRSLDQvMS8yMDA5LDYvMzAvMjAwOSwsLFVTRCk=&amp;WINDOW=FIRST_POPUP&amp;HEIGH","T=450&amp;WIDTH=450&amp;START_MAXIMIZED=FALSE&amp;VAR:CALENDAR=US&amp;VAR:SYMBOL=CFN&amp;VAR:INDEX=0"}</definedName>
    <definedName name="_828__FDSAUDITLINK__" localSheetId="1" hidden="1">{"fdsup://directions/FAT Viewer?action=UPDATE&amp;creator=factset&amp;DYN_ARGS=TRUE&amp;DOC_NAME=FAT:FQL_AUDITING_CLIENT_TEMPLATE.FAT&amp;display_string=Audit&amp;VAR:KEY=JKRILCHKLS&amp;VAR:QUERY=RkZfRUJJVERBX09QRVIoUVRSLDQvMS8yMDEwLDYvMzAvMjAxMCwsLFVTRCk=&amp;WINDOW=FIRST_POPUP&amp;HEIGH","T=450&amp;WIDTH=450&amp;START_MAXIMIZED=FALSE&amp;VAR:CALENDAR=US&amp;VAR:SYMBOL=CFN&amp;VAR:INDEX=0"}</definedName>
    <definedName name="_828__FDSAUDITLINK__" hidden="1">{"fdsup://directions/FAT Viewer?action=UPDATE&amp;creator=factset&amp;DYN_ARGS=TRUE&amp;DOC_NAME=FAT:FQL_AUDITING_CLIENT_TEMPLATE.FAT&amp;display_string=Audit&amp;VAR:KEY=JKRILCHKLS&amp;VAR:QUERY=RkZfRUJJVERBX09QRVIoUVRSLDQvMS8yMDEwLDYvMzAvMjAxMCwsLFVTRCk=&amp;WINDOW=FIRST_POPUP&amp;HEIGH","T=450&amp;WIDTH=450&amp;START_MAXIMIZED=FALSE&amp;VAR:CALENDAR=US&amp;VAR:SYMBOL=CFN&amp;VAR:INDEX=0"}</definedName>
    <definedName name="_829__FDSAUDITLINK__" localSheetId="1" hidden="1">{"fdsup://directions/FAT Viewer?action=UPDATE&amp;creator=factset&amp;DYN_ARGS=TRUE&amp;DOC_NAME=FAT:FQL_AUDITING_CLIENT_TEMPLATE.FAT&amp;display_string=Audit&amp;VAR:KEY=ZINSVSJQZY&amp;VAR:QUERY=RkZfRUJJVERBX09QRVIoUVRSLDQvMS8yMDA5LDYvMzAvMjAwOSwsLFVTRCk=&amp;WINDOW=FIRST_POPUP&amp;HEIGH","T=450&amp;WIDTH=450&amp;START_MAXIMIZED=FALSE&amp;VAR:CALENDAR=US&amp;VAR:SYMBOL=CF&amp;VAR:INDEX=0"}</definedName>
    <definedName name="_829__FDSAUDITLINK__" hidden="1">{"fdsup://directions/FAT Viewer?action=UPDATE&amp;creator=factset&amp;DYN_ARGS=TRUE&amp;DOC_NAME=FAT:FQL_AUDITING_CLIENT_TEMPLATE.FAT&amp;display_string=Audit&amp;VAR:KEY=ZINSVSJQZY&amp;VAR:QUERY=RkZfRUJJVERBX09QRVIoUVRSLDQvMS8yMDA5LDYvMzAvMjAwOSwsLFVTRCk=&amp;WINDOW=FIRST_POPUP&amp;HEIGH","T=450&amp;WIDTH=450&amp;START_MAXIMIZED=FALSE&amp;VAR:CALENDAR=US&amp;VAR:SYMBOL=CF&amp;VAR:INDEX=0"}</definedName>
    <definedName name="_83__FDSAUDITLINK__" localSheetId="1" hidden="1">{"fdsup://directions/FAT Viewer?action=UPDATE&amp;creator=factset&amp;DYN_ARGS=TRUE&amp;DOC_NAME=FAT:FQL_AUDITING_CLIENT_TEMPLATE.FAT&amp;display_string=Audit&amp;VAR:KEY=XCRCZINIDS&amp;VAR:QUERY=RkZfRUJJVERBX09QRVIoUVRSLDQvMS8yMDA5LDYvMzAvMjAwOSwsLFVTRCk=&amp;WINDOW=FIRST_POPUP&amp;HEIGH","T=450&amp;WIDTH=450&amp;START_MAXIMIZED=FALSE&amp;VAR:CALENDAR=US&amp;VAR:SYMBOL=USB&amp;VAR:INDEX=0"}</definedName>
    <definedName name="_83__FDSAUDITLINK__" hidden="1">{"fdsup://directions/FAT Viewer?action=UPDATE&amp;creator=factset&amp;DYN_ARGS=TRUE&amp;DOC_NAME=FAT:FQL_AUDITING_CLIENT_TEMPLATE.FAT&amp;display_string=Audit&amp;VAR:KEY=XCRCZINIDS&amp;VAR:QUERY=RkZfRUJJVERBX09QRVIoUVRSLDQvMS8yMDA5LDYvMzAvMjAwOSwsLFVTRCk=&amp;WINDOW=FIRST_POPUP&amp;HEIGH","T=450&amp;WIDTH=450&amp;START_MAXIMIZED=FALSE&amp;VAR:CALENDAR=US&amp;VAR:SYMBOL=USB&amp;VAR:INDEX=0"}</definedName>
    <definedName name="_830__FDSAUDITLINK__" localSheetId="1" hidden="1">{"fdsup://directions/FAT Viewer?action=UPDATE&amp;creator=factset&amp;DYN_ARGS=TRUE&amp;DOC_NAME=FAT:FQL_AUDITING_CLIENT_TEMPLATE.FAT&amp;display_string=Audit&amp;VAR:KEY=TABGDUNEBY&amp;VAR:QUERY=RkZfRUJJVERBX09QRVIoUVRSLDQvMS8yMDEwLDYvMzAvMjAxMCwsLFVTRCk=&amp;WINDOW=FIRST_POPUP&amp;HEIGH","T=450&amp;WIDTH=450&amp;START_MAXIMIZED=FALSE&amp;VAR:CALENDAR=US&amp;VAR:SYMBOL=CF&amp;VAR:INDEX=0"}</definedName>
    <definedName name="_830__FDSAUDITLINK__" hidden="1">{"fdsup://directions/FAT Viewer?action=UPDATE&amp;creator=factset&amp;DYN_ARGS=TRUE&amp;DOC_NAME=FAT:FQL_AUDITING_CLIENT_TEMPLATE.FAT&amp;display_string=Audit&amp;VAR:KEY=TABGDUNEBY&amp;VAR:QUERY=RkZfRUJJVERBX09QRVIoUVRSLDQvMS8yMDEwLDYvMzAvMjAxMCwsLFVTRCk=&amp;WINDOW=FIRST_POPUP&amp;HEIGH","T=450&amp;WIDTH=450&amp;START_MAXIMIZED=FALSE&amp;VAR:CALENDAR=US&amp;VAR:SYMBOL=CF&amp;VAR:INDEX=0"}</definedName>
    <definedName name="_831__FDSAUDITLINK__" localSheetId="1" hidden="1">{"fdsup://directions/FAT Viewer?action=UPDATE&amp;creator=factset&amp;DYN_ARGS=TRUE&amp;DOC_NAME=FAT:FQL_AUDITING_CLIENT_TEMPLATE.FAT&amp;display_string=Audit&amp;VAR:KEY=FILAFSPKFS&amp;VAR:QUERY=RkZfRUJJVERBX09QRVIoUVRSLDQvMS8yMDA5LDYvMzAvMjAwOSwsLFVTRCk=&amp;WINDOW=FIRST_POPUP&amp;HEIGH","T=450&amp;WIDTH=450&amp;START_MAXIMIZED=FALSE&amp;VAR:CALENDAR=US&amp;VAR:SYMBOL=CERN&amp;VAR:INDEX=0"}</definedName>
    <definedName name="_831__FDSAUDITLINK__" hidden="1">{"fdsup://directions/FAT Viewer?action=UPDATE&amp;creator=factset&amp;DYN_ARGS=TRUE&amp;DOC_NAME=FAT:FQL_AUDITING_CLIENT_TEMPLATE.FAT&amp;display_string=Audit&amp;VAR:KEY=FILAFSPKFS&amp;VAR:QUERY=RkZfRUJJVERBX09QRVIoUVRSLDQvMS8yMDA5LDYvMzAvMjAwOSwsLFVTRCk=&amp;WINDOW=FIRST_POPUP&amp;HEIGH","T=450&amp;WIDTH=450&amp;START_MAXIMIZED=FALSE&amp;VAR:CALENDAR=US&amp;VAR:SYMBOL=CERN&amp;VAR:INDEX=0"}</definedName>
    <definedName name="_832__FDSAUDITLINK__" localSheetId="1" hidden="1">{"fdsup://directions/FAT Viewer?action=UPDATE&amp;creator=factset&amp;DYN_ARGS=TRUE&amp;DOC_NAME=FAT:FQL_AUDITING_CLIENT_TEMPLATE.FAT&amp;display_string=Audit&amp;VAR:KEY=ZOHSVALQJS&amp;VAR:QUERY=RkZfRUJJVERBX09QRVIoUVRSLDQvMS8yMDEwLDYvMzAvMjAxMCwsLFVTRCk=&amp;WINDOW=FIRST_POPUP&amp;HEIGH","T=450&amp;WIDTH=450&amp;START_MAXIMIZED=FALSE&amp;VAR:CALENDAR=US&amp;VAR:SYMBOL=CERN&amp;VAR:INDEX=0"}</definedName>
    <definedName name="_832__FDSAUDITLINK__" hidden="1">{"fdsup://directions/FAT Viewer?action=UPDATE&amp;creator=factset&amp;DYN_ARGS=TRUE&amp;DOC_NAME=FAT:FQL_AUDITING_CLIENT_TEMPLATE.FAT&amp;display_string=Audit&amp;VAR:KEY=ZOHSVALQJS&amp;VAR:QUERY=RkZfRUJJVERBX09QRVIoUVRSLDQvMS8yMDEwLDYvMzAvMjAxMCwsLFVTRCk=&amp;WINDOW=FIRST_POPUP&amp;HEIGH","T=450&amp;WIDTH=450&amp;START_MAXIMIZED=FALSE&amp;VAR:CALENDAR=US&amp;VAR:SYMBOL=CERN&amp;VAR:INDEX=0"}</definedName>
    <definedName name="_833__FDSAUDITLINK__" localSheetId="1" hidden="1">{"fdsup://directions/FAT Viewer?action=UPDATE&amp;creator=factset&amp;DYN_ARGS=TRUE&amp;DOC_NAME=FAT:FQL_AUDITING_CLIENT_TEMPLATE.FAT&amp;display_string=Audit&amp;VAR:KEY=XOLGBOHOXU&amp;VAR:QUERY=RkZfRUJJVERBX09QRVIoUVRSLDQvMS8yMDA5LDYvMzAvMjAwOSwsLFVTRCk=&amp;WINDOW=FIRST_POPUP&amp;HEIGH","T=450&amp;WIDTH=450&amp;START_MAXIMIZED=FALSE&amp;VAR:CALENDAR=US&amp;VAR:SYMBOL=CEPH&amp;VAR:INDEX=0"}</definedName>
    <definedName name="_833__FDSAUDITLINK__" hidden="1">{"fdsup://directions/FAT Viewer?action=UPDATE&amp;creator=factset&amp;DYN_ARGS=TRUE&amp;DOC_NAME=FAT:FQL_AUDITING_CLIENT_TEMPLATE.FAT&amp;display_string=Audit&amp;VAR:KEY=XOLGBOHOXU&amp;VAR:QUERY=RkZfRUJJVERBX09QRVIoUVRSLDQvMS8yMDA5LDYvMzAvMjAwOSwsLFVTRCk=&amp;WINDOW=FIRST_POPUP&amp;HEIGH","T=450&amp;WIDTH=450&amp;START_MAXIMIZED=FALSE&amp;VAR:CALENDAR=US&amp;VAR:SYMBOL=CEPH&amp;VAR:INDEX=0"}</definedName>
    <definedName name="_834__FDSAUDITLINK__" localSheetId="1" hidden="1">{"fdsup://directions/FAT Viewer?action=UPDATE&amp;creator=factset&amp;DYN_ARGS=TRUE&amp;DOC_NAME=FAT:FQL_AUDITING_CLIENT_TEMPLATE.FAT&amp;display_string=Audit&amp;VAR:KEY=VIPWHOPCZM&amp;VAR:QUERY=RkZfRUJJVERBX09QRVIoUVRSLDQvMS8yMDEwLDYvMzAvMjAxMCwsLFVTRCk=&amp;WINDOW=FIRST_POPUP&amp;HEIGH","T=450&amp;WIDTH=450&amp;START_MAXIMIZED=FALSE&amp;VAR:CALENDAR=US&amp;VAR:SYMBOL=CEPH&amp;VAR:INDEX=0"}</definedName>
    <definedName name="_834__FDSAUDITLINK__" hidden="1">{"fdsup://directions/FAT Viewer?action=UPDATE&amp;creator=factset&amp;DYN_ARGS=TRUE&amp;DOC_NAME=FAT:FQL_AUDITING_CLIENT_TEMPLATE.FAT&amp;display_string=Audit&amp;VAR:KEY=VIPWHOPCZM&amp;VAR:QUERY=RkZfRUJJVERBX09QRVIoUVRSLDQvMS8yMDEwLDYvMzAvMjAxMCwsLFVTRCk=&amp;WINDOW=FIRST_POPUP&amp;HEIGH","T=450&amp;WIDTH=450&amp;START_MAXIMIZED=FALSE&amp;VAR:CALENDAR=US&amp;VAR:SYMBOL=CEPH&amp;VAR:INDEX=0"}</definedName>
    <definedName name="_835__FDSAUDITLINK__" localSheetId="1" hidden="1">{"fdsup://directions/FAT Viewer?action=UPDATE&amp;creator=factset&amp;DYN_ARGS=TRUE&amp;DOC_NAME=FAT:FQL_AUDITING_CLIENT_TEMPLATE.FAT&amp;display_string=Audit&amp;VAR:KEY=TITYDIVCFS&amp;VAR:QUERY=RkZfRUJJVERBX09QRVIoUVRSLDQvMS8yMDA5LDYvMzAvMjAwOSwsLFVTRCk=&amp;WINDOW=FIRST_POPUP&amp;HEIGH","T=450&amp;WIDTH=450&amp;START_MAXIMIZED=FALSE&amp;VAR:CALENDAR=US&amp;VAR:SYMBOL=CELG&amp;VAR:INDEX=0"}</definedName>
    <definedName name="_835__FDSAUDITLINK__" hidden="1">{"fdsup://directions/FAT Viewer?action=UPDATE&amp;creator=factset&amp;DYN_ARGS=TRUE&amp;DOC_NAME=FAT:FQL_AUDITING_CLIENT_TEMPLATE.FAT&amp;display_string=Audit&amp;VAR:KEY=TITYDIVCFS&amp;VAR:QUERY=RkZfRUJJVERBX09QRVIoUVRSLDQvMS8yMDA5LDYvMzAvMjAwOSwsLFVTRCk=&amp;WINDOW=FIRST_POPUP&amp;HEIGH","T=450&amp;WIDTH=450&amp;START_MAXIMIZED=FALSE&amp;VAR:CALENDAR=US&amp;VAR:SYMBOL=CELG&amp;VAR:INDEX=0"}</definedName>
    <definedName name="_836__FDSAUDITLINK__" localSheetId="1" hidden="1">{"fdsup://directions/FAT Viewer?action=UPDATE&amp;creator=factset&amp;DYN_ARGS=TRUE&amp;DOC_NAME=FAT:FQL_AUDITING_CLIENT_TEMPLATE.FAT&amp;display_string=Audit&amp;VAR:KEY=ZYBGHGHIZS&amp;VAR:QUERY=RkZfRUJJVERBX09QRVIoUVRSLDQvMS8yMDEwLDYvMzAvMjAxMCwsLFVTRCk=&amp;WINDOW=FIRST_POPUP&amp;HEIGH","T=450&amp;WIDTH=450&amp;START_MAXIMIZED=FALSE&amp;VAR:CALENDAR=US&amp;VAR:SYMBOL=CELG&amp;VAR:INDEX=0"}</definedName>
    <definedName name="_836__FDSAUDITLINK__" hidden="1">{"fdsup://directions/FAT Viewer?action=UPDATE&amp;creator=factset&amp;DYN_ARGS=TRUE&amp;DOC_NAME=FAT:FQL_AUDITING_CLIENT_TEMPLATE.FAT&amp;display_string=Audit&amp;VAR:KEY=ZYBGHGHIZS&amp;VAR:QUERY=RkZfRUJJVERBX09QRVIoUVRSLDQvMS8yMDEwLDYvMzAvMjAxMCwsLFVTRCk=&amp;WINDOW=FIRST_POPUP&amp;HEIGH","T=450&amp;WIDTH=450&amp;START_MAXIMIZED=FALSE&amp;VAR:CALENDAR=US&amp;VAR:SYMBOL=CELG&amp;VAR:INDEX=0"}</definedName>
    <definedName name="_837__FDSAUDITLINK__" localSheetId="1" hidden="1">{"fdsup://directions/FAT Viewer?action=UPDATE&amp;creator=factset&amp;DYN_ARGS=TRUE&amp;DOC_NAME=FAT:FQL_AUDITING_CLIENT_TEMPLATE.FAT&amp;display_string=Audit&amp;VAR:KEY=RSJSNORKFU&amp;VAR:QUERY=RkZfRUJJVERBX09QRVIoUVRSLDQvMS8yMDA5LDYvMzAvMjAwOSwsLFVTRCk=&amp;WINDOW=FIRST_POPUP&amp;HEIGH","T=450&amp;WIDTH=450&amp;START_MAXIMIZED=FALSE&amp;VAR:CALENDAR=US&amp;VAR:SYMBOL=CEG&amp;VAR:INDEX=0"}</definedName>
    <definedName name="_837__FDSAUDITLINK__" hidden="1">{"fdsup://directions/FAT Viewer?action=UPDATE&amp;creator=factset&amp;DYN_ARGS=TRUE&amp;DOC_NAME=FAT:FQL_AUDITING_CLIENT_TEMPLATE.FAT&amp;display_string=Audit&amp;VAR:KEY=RSJSNORKFU&amp;VAR:QUERY=RkZfRUJJVERBX09QRVIoUVRSLDQvMS8yMDA5LDYvMzAvMjAwOSwsLFVTRCk=&amp;WINDOW=FIRST_POPUP&amp;HEIGH","T=450&amp;WIDTH=450&amp;START_MAXIMIZED=FALSE&amp;VAR:CALENDAR=US&amp;VAR:SYMBOL=CEG&amp;VAR:INDEX=0"}</definedName>
    <definedName name="_838__FDSAUDITLINK__" localSheetId="1" hidden="1">{"fdsup://directions/FAT Viewer?action=UPDATE&amp;creator=factset&amp;DYN_ARGS=TRUE&amp;DOC_NAME=FAT:FQL_AUDITING_CLIENT_TEMPLATE.FAT&amp;display_string=Audit&amp;VAR:KEY=XEFIVKPWZK&amp;VAR:QUERY=RkZfRUJJVERBX09QRVIoUVRSLDQvMS8yMDEwLDYvMzAvMjAxMCwsLFVTRCk=&amp;WINDOW=FIRST_POPUP&amp;HEIGH","T=450&amp;WIDTH=450&amp;START_MAXIMIZED=FALSE&amp;VAR:CALENDAR=US&amp;VAR:SYMBOL=CEG&amp;VAR:INDEX=0"}</definedName>
    <definedName name="_838__FDSAUDITLINK__" hidden="1">{"fdsup://directions/FAT Viewer?action=UPDATE&amp;creator=factset&amp;DYN_ARGS=TRUE&amp;DOC_NAME=FAT:FQL_AUDITING_CLIENT_TEMPLATE.FAT&amp;display_string=Audit&amp;VAR:KEY=XEFIVKPWZK&amp;VAR:QUERY=RkZfRUJJVERBX09QRVIoUVRSLDQvMS8yMDEwLDYvMzAvMjAxMCwsLFVTRCk=&amp;WINDOW=FIRST_POPUP&amp;HEIGH","T=450&amp;WIDTH=450&amp;START_MAXIMIZED=FALSE&amp;VAR:CALENDAR=US&amp;VAR:SYMBOL=CEG&amp;VAR:INDEX=0"}</definedName>
    <definedName name="_839__FDSAUDITLINK__" localSheetId="1" hidden="1">{"fdsup://directions/FAT Viewer?action=UPDATE&amp;creator=factset&amp;DYN_ARGS=TRUE&amp;DOC_NAME=FAT:FQL_AUDITING_CLIENT_TEMPLATE.FAT&amp;display_string=Audit&amp;VAR:KEY=BYTEDUNUNK&amp;VAR:QUERY=RkZfRUJJVERBX09QRVIoUVRSLDQvMS8yMDA5LDYvMzAvMjAwOSwsLFVTRCk=&amp;WINDOW=FIRST_POPUP&amp;HEIGH","T=450&amp;WIDTH=450&amp;START_MAXIMIZED=FALSE&amp;VAR:CALENDAR=US&amp;VAR:SYMBOL=CCL&amp;VAR:INDEX=0"}</definedName>
    <definedName name="_839__FDSAUDITLINK__" hidden="1">{"fdsup://directions/FAT Viewer?action=UPDATE&amp;creator=factset&amp;DYN_ARGS=TRUE&amp;DOC_NAME=FAT:FQL_AUDITING_CLIENT_TEMPLATE.FAT&amp;display_string=Audit&amp;VAR:KEY=BYTEDUNUNK&amp;VAR:QUERY=RkZfRUJJVERBX09QRVIoUVRSLDQvMS8yMDA5LDYvMzAvMjAwOSwsLFVTRCk=&amp;WINDOW=FIRST_POPUP&amp;HEIGH","T=450&amp;WIDTH=450&amp;START_MAXIMIZED=FALSE&amp;VAR:CALENDAR=US&amp;VAR:SYMBOL=CCL&amp;VAR:INDEX=0"}</definedName>
    <definedName name="_84__FDSAUDITLINK__" localSheetId="1" hidden="1">{"fdsup://directions/FAT Viewer?action=UPDATE&amp;creator=factset&amp;DYN_ARGS=TRUE&amp;DOC_NAME=FAT:FQL_AUDITING_CLIENT_TEMPLATE.FAT&amp;display_string=Audit&amp;VAR:KEY=HEFQDYZGFW&amp;VAR:QUERY=RkZfRUJJVERBX09QRVIoUVRSLDQvMS8yMDEwLDYvMzAvMjAxMCwsLFVTRCk=&amp;WINDOW=FIRST_POPUP&amp;HEIGH","T=450&amp;WIDTH=450&amp;START_MAXIMIZED=FALSE&amp;VAR:CALENDAR=US&amp;VAR:SYMBOL=USB&amp;VAR:INDEX=0"}</definedName>
    <definedName name="_84__FDSAUDITLINK__" hidden="1">{"fdsup://directions/FAT Viewer?action=UPDATE&amp;creator=factset&amp;DYN_ARGS=TRUE&amp;DOC_NAME=FAT:FQL_AUDITING_CLIENT_TEMPLATE.FAT&amp;display_string=Audit&amp;VAR:KEY=HEFQDYZGFW&amp;VAR:QUERY=RkZfRUJJVERBX09QRVIoUVRSLDQvMS8yMDEwLDYvMzAvMjAxMCwsLFVTRCk=&amp;WINDOW=FIRST_POPUP&amp;HEIGH","T=450&amp;WIDTH=450&amp;START_MAXIMIZED=FALSE&amp;VAR:CALENDAR=US&amp;VAR:SYMBOL=USB&amp;VAR:INDEX=0"}</definedName>
    <definedName name="_840__FDSAUDITLINK__" localSheetId="1" hidden="1">{"fdsup://directions/FAT Viewer?action=UPDATE&amp;creator=factset&amp;DYN_ARGS=TRUE&amp;DOC_NAME=FAT:FQL_AUDITING_CLIENT_TEMPLATE.FAT&amp;display_string=Audit&amp;VAR:KEY=VQTETMDSBA&amp;VAR:QUERY=RkZfRUJJVERBX09QRVIoUVRSLDQvMS8yMDEwLDYvMzAvMjAxMCwsLFVTRCk=&amp;WINDOW=FIRST_POPUP&amp;HEIGH","T=450&amp;WIDTH=450&amp;START_MAXIMIZED=FALSE&amp;VAR:CALENDAR=US&amp;VAR:SYMBOL=CCL&amp;VAR:INDEX=0"}</definedName>
    <definedName name="_840__FDSAUDITLINK__" hidden="1">{"fdsup://directions/FAT Viewer?action=UPDATE&amp;creator=factset&amp;DYN_ARGS=TRUE&amp;DOC_NAME=FAT:FQL_AUDITING_CLIENT_TEMPLATE.FAT&amp;display_string=Audit&amp;VAR:KEY=VQTETMDSBA&amp;VAR:QUERY=RkZfRUJJVERBX09QRVIoUVRSLDQvMS8yMDEwLDYvMzAvMjAxMCwsLFVTRCk=&amp;WINDOW=FIRST_POPUP&amp;HEIGH","T=450&amp;WIDTH=450&amp;START_MAXIMIZED=FALSE&amp;VAR:CALENDAR=US&amp;VAR:SYMBOL=CCL&amp;VAR:INDEX=0"}</definedName>
    <definedName name="_841__FDSAUDITLINK__" localSheetId="1" hidden="1">{"fdsup://directions/FAT Viewer?action=UPDATE&amp;creator=factset&amp;DYN_ARGS=TRUE&amp;DOC_NAME=FAT:FQL_AUDITING_CLIENT_TEMPLATE.FAT&amp;display_string=Audit&amp;VAR:KEY=JMLUZKZKRM&amp;VAR:QUERY=RkZfRUJJVERBX09QRVIoUVRSLDQvMS8yMDA5LDYvMzAvMjAwOSwsLFVTRCk=&amp;WINDOW=FIRST_POPUP&amp;HEIGH","T=450&amp;WIDTH=450&amp;START_MAXIMIZED=FALSE&amp;VAR:CALENDAR=US&amp;VAR:SYMBOL=CCE&amp;VAR:INDEX=0"}</definedName>
    <definedName name="_841__FDSAUDITLINK__" hidden="1">{"fdsup://directions/FAT Viewer?action=UPDATE&amp;creator=factset&amp;DYN_ARGS=TRUE&amp;DOC_NAME=FAT:FQL_AUDITING_CLIENT_TEMPLATE.FAT&amp;display_string=Audit&amp;VAR:KEY=JMLUZKZKRM&amp;VAR:QUERY=RkZfRUJJVERBX09QRVIoUVRSLDQvMS8yMDA5LDYvMzAvMjAwOSwsLFVTRCk=&amp;WINDOW=FIRST_POPUP&amp;HEIGH","T=450&amp;WIDTH=450&amp;START_MAXIMIZED=FALSE&amp;VAR:CALENDAR=US&amp;VAR:SYMBOL=CCE&amp;VAR:INDEX=0"}</definedName>
    <definedName name="_842__FDSAUDITLINK__" localSheetId="1" hidden="1">{"fdsup://directions/FAT Viewer?action=UPDATE&amp;creator=factset&amp;DYN_ARGS=TRUE&amp;DOC_NAME=FAT:FQL_AUDITING_CLIENT_TEMPLATE.FAT&amp;display_string=Audit&amp;VAR:KEY=BWNGPGDIVI&amp;VAR:QUERY=RkZfRUJJVERBX09QRVIoUVRSLDQvMS8yMDEwLDYvMzAvMjAxMCwsLFVTRCk=&amp;WINDOW=FIRST_POPUP&amp;HEIGH","T=450&amp;WIDTH=450&amp;START_MAXIMIZED=FALSE&amp;VAR:CALENDAR=US&amp;VAR:SYMBOL=CCE&amp;VAR:INDEX=0"}</definedName>
    <definedName name="_842__FDSAUDITLINK__" hidden="1">{"fdsup://directions/FAT Viewer?action=UPDATE&amp;creator=factset&amp;DYN_ARGS=TRUE&amp;DOC_NAME=FAT:FQL_AUDITING_CLIENT_TEMPLATE.FAT&amp;display_string=Audit&amp;VAR:KEY=BWNGPGDIVI&amp;VAR:QUERY=RkZfRUJJVERBX09QRVIoUVRSLDQvMS8yMDEwLDYvMzAvMjAxMCwsLFVTRCk=&amp;WINDOW=FIRST_POPUP&amp;HEIGH","T=450&amp;WIDTH=450&amp;START_MAXIMIZED=FALSE&amp;VAR:CALENDAR=US&amp;VAR:SYMBOL=CCE&amp;VAR:INDEX=0"}</definedName>
    <definedName name="_843__FDSAUDITLINK__" localSheetId="1" hidden="1">{"fdsup://directions/FAT Viewer?action=UPDATE&amp;creator=factset&amp;DYN_ARGS=TRUE&amp;DOC_NAME=FAT:FQL_AUDITING_CLIENT_TEMPLATE.FAT&amp;display_string=Audit&amp;VAR:KEY=PKNQPSHAVQ&amp;VAR:QUERY=RkZfRUJJVERBX09QRVIoUVRSLDQvMS8yMDA5LDYvMzAvMjAwOSwsLFVTRCk=&amp;WINDOW=FIRST_POPUP&amp;HEIGH","T=450&amp;WIDTH=450&amp;START_MAXIMIZED=FALSE&amp;VAR:CALENDAR=US&amp;VAR:SYMBOL=CBS&amp;VAR:INDEX=0"}</definedName>
    <definedName name="_843__FDSAUDITLINK__" hidden="1">{"fdsup://directions/FAT Viewer?action=UPDATE&amp;creator=factset&amp;DYN_ARGS=TRUE&amp;DOC_NAME=FAT:FQL_AUDITING_CLIENT_TEMPLATE.FAT&amp;display_string=Audit&amp;VAR:KEY=PKNQPSHAVQ&amp;VAR:QUERY=RkZfRUJJVERBX09QRVIoUVRSLDQvMS8yMDA5LDYvMzAvMjAwOSwsLFVTRCk=&amp;WINDOW=FIRST_POPUP&amp;HEIGH","T=450&amp;WIDTH=450&amp;START_MAXIMIZED=FALSE&amp;VAR:CALENDAR=US&amp;VAR:SYMBOL=CBS&amp;VAR:INDEX=0"}</definedName>
    <definedName name="_844__FDSAUDITLINK__" localSheetId="1" hidden="1">{"fdsup://directions/FAT Viewer?action=UPDATE&amp;creator=factset&amp;DYN_ARGS=TRUE&amp;DOC_NAME=FAT:FQL_AUDITING_CLIENT_TEMPLATE.FAT&amp;display_string=Audit&amp;VAR:KEY=FEZCVWPEDA&amp;VAR:QUERY=RkZfRUJJVERBX09QRVIoUVRSLDQvMS8yMDEwLDYvMzAvMjAxMCwsLFVTRCk=&amp;WINDOW=FIRST_POPUP&amp;HEIGH","T=450&amp;WIDTH=450&amp;START_MAXIMIZED=FALSE&amp;VAR:CALENDAR=US&amp;VAR:SYMBOL=CBS&amp;VAR:INDEX=0"}</definedName>
    <definedName name="_844__FDSAUDITLINK__" hidden="1">{"fdsup://directions/FAT Viewer?action=UPDATE&amp;creator=factset&amp;DYN_ARGS=TRUE&amp;DOC_NAME=FAT:FQL_AUDITING_CLIENT_TEMPLATE.FAT&amp;display_string=Audit&amp;VAR:KEY=FEZCVWPEDA&amp;VAR:QUERY=RkZfRUJJVERBX09QRVIoUVRSLDQvMS8yMDEwLDYvMzAvMjAxMCwsLFVTRCk=&amp;WINDOW=FIRST_POPUP&amp;HEIGH","T=450&amp;WIDTH=450&amp;START_MAXIMIZED=FALSE&amp;VAR:CALENDAR=US&amp;VAR:SYMBOL=CBS&amp;VAR:INDEX=0"}</definedName>
    <definedName name="_845__FDSAUDITLINK__" localSheetId="1" hidden="1">{"fdsup://directions/FAT Viewer?action=UPDATE&amp;creator=factset&amp;DYN_ARGS=TRUE&amp;DOC_NAME=FAT:FQL_AUDITING_CLIENT_TEMPLATE.FAT&amp;display_string=Audit&amp;VAR:KEY=XEVEDOXWLC&amp;VAR:QUERY=RkZfRUJJVERBX09QRVIoUVRSLDQvMS8yMDA5LDYvMzAvMjAwOSwsLFVTRCk=&amp;WINDOW=FIRST_POPUP&amp;HEIGH","T=450&amp;WIDTH=450&amp;START_MAXIMIZED=FALSE&amp;VAR:CALENDAR=US&amp;VAR:SYMBOL=CBG&amp;VAR:INDEX=0"}</definedName>
    <definedName name="_845__FDSAUDITLINK__" hidden="1">{"fdsup://directions/FAT Viewer?action=UPDATE&amp;creator=factset&amp;DYN_ARGS=TRUE&amp;DOC_NAME=FAT:FQL_AUDITING_CLIENT_TEMPLATE.FAT&amp;display_string=Audit&amp;VAR:KEY=XEVEDOXWLC&amp;VAR:QUERY=RkZfRUJJVERBX09QRVIoUVRSLDQvMS8yMDA5LDYvMzAvMjAwOSwsLFVTRCk=&amp;WINDOW=FIRST_POPUP&amp;HEIGH","T=450&amp;WIDTH=450&amp;START_MAXIMIZED=FALSE&amp;VAR:CALENDAR=US&amp;VAR:SYMBOL=CBG&amp;VAR:INDEX=0"}</definedName>
    <definedName name="_846__FDSAUDITLINK__" localSheetId="1" hidden="1">{"fdsup://directions/FAT Viewer?action=UPDATE&amp;creator=factset&amp;DYN_ARGS=TRUE&amp;DOC_NAME=FAT:FQL_AUDITING_CLIENT_TEMPLATE.FAT&amp;display_string=Audit&amp;VAR:KEY=PWLMHAVSNK&amp;VAR:QUERY=RkZfRUJJVERBX09QRVIoUVRSLDQvMS8yMDEwLDYvMzAvMjAxMCwsLFVTRCk=&amp;WINDOW=FIRST_POPUP&amp;HEIGH","T=450&amp;WIDTH=450&amp;START_MAXIMIZED=FALSE&amp;VAR:CALENDAR=US&amp;VAR:SYMBOL=CBG&amp;VAR:INDEX=0"}</definedName>
    <definedName name="_846__FDSAUDITLINK__" hidden="1">{"fdsup://directions/FAT Viewer?action=UPDATE&amp;creator=factset&amp;DYN_ARGS=TRUE&amp;DOC_NAME=FAT:FQL_AUDITING_CLIENT_TEMPLATE.FAT&amp;display_string=Audit&amp;VAR:KEY=PWLMHAVSNK&amp;VAR:QUERY=RkZfRUJJVERBX09QRVIoUVRSLDQvMS8yMDEwLDYvMzAvMjAxMCwsLFVTRCk=&amp;WINDOW=FIRST_POPUP&amp;HEIGH","T=450&amp;WIDTH=450&amp;START_MAXIMIZED=FALSE&amp;VAR:CALENDAR=US&amp;VAR:SYMBOL=CBG&amp;VAR:INDEX=0"}</definedName>
    <definedName name="_847__FDSAUDITLINK__" localSheetId="1" hidden="1">{"fdsup://directions/FAT Viewer?action=UPDATE&amp;creator=factset&amp;DYN_ARGS=TRUE&amp;DOC_NAME=FAT:FQL_AUDITING_CLIENT_TEMPLATE.FAT&amp;display_string=Audit&amp;VAR:KEY=TMDWFQNWLK&amp;VAR:QUERY=RkZfRUJJVERBX09QRVIoUVRSLDQvMS8yMDA5LDYvMzAvMjAwOSwsLFVTRCk=&amp;WINDOW=FIRST_POPUP&amp;HEIGH","T=450&amp;WIDTH=450&amp;START_MAXIMIZED=FALSE&amp;VAR:CALENDAR=US&amp;VAR:SYMBOL=CB&amp;VAR:INDEX=0"}</definedName>
    <definedName name="_847__FDSAUDITLINK__" hidden="1">{"fdsup://directions/FAT Viewer?action=UPDATE&amp;creator=factset&amp;DYN_ARGS=TRUE&amp;DOC_NAME=FAT:FQL_AUDITING_CLIENT_TEMPLATE.FAT&amp;display_string=Audit&amp;VAR:KEY=TMDWFQNWLK&amp;VAR:QUERY=RkZfRUJJVERBX09QRVIoUVRSLDQvMS8yMDA5LDYvMzAvMjAwOSwsLFVTRCk=&amp;WINDOW=FIRST_POPUP&amp;HEIGH","T=450&amp;WIDTH=450&amp;START_MAXIMIZED=FALSE&amp;VAR:CALENDAR=US&amp;VAR:SYMBOL=CB&amp;VAR:INDEX=0"}</definedName>
    <definedName name="_848__FDSAUDITLINK__" localSheetId="1" hidden="1">{"fdsup://directions/FAT Viewer?action=UPDATE&amp;creator=factset&amp;DYN_ARGS=TRUE&amp;DOC_NAME=FAT:FQL_AUDITING_CLIENT_TEMPLATE.FAT&amp;display_string=Audit&amp;VAR:KEY=NUJQHQNEBI&amp;VAR:QUERY=RkZfRUJJVERBX09QRVIoUVRSLDQvMS8yMDEwLDYvMzAvMjAxMCwsLFVTRCk=&amp;WINDOW=FIRST_POPUP&amp;HEIGH","T=450&amp;WIDTH=450&amp;START_MAXIMIZED=FALSE&amp;VAR:CALENDAR=US&amp;VAR:SYMBOL=CB&amp;VAR:INDEX=0"}</definedName>
    <definedName name="_848__FDSAUDITLINK__" hidden="1">{"fdsup://directions/FAT Viewer?action=UPDATE&amp;creator=factset&amp;DYN_ARGS=TRUE&amp;DOC_NAME=FAT:FQL_AUDITING_CLIENT_TEMPLATE.FAT&amp;display_string=Audit&amp;VAR:KEY=NUJQHQNEBI&amp;VAR:QUERY=RkZfRUJJVERBX09QRVIoUVRSLDQvMS8yMDEwLDYvMzAvMjAxMCwsLFVTRCk=&amp;WINDOW=FIRST_POPUP&amp;HEIGH","T=450&amp;WIDTH=450&amp;START_MAXIMIZED=FALSE&amp;VAR:CALENDAR=US&amp;VAR:SYMBOL=CB&amp;VAR:INDEX=0"}</definedName>
    <definedName name="_849__FDSAUDITLINK__" localSheetId="1" hidden="1">{"fdsup://directions/FAT Viewer?action=UPDATE&amp;creator=factset&amp;DYN_ARGS=TRUE&amp;DOC_NAME=FAT:FQL_AUDITING_CLIENT_TEMPLATE.FAT&amp;display_string=Audit&amp;VAR:KEY=ZKPAXETOXM&amp;VAR:QUERY=RkZfRUJJVERBX09QRVIoUVRSLDQvMS8yMDA5LDYvMzAvMjAwOSwsLFVTRCk=&amp;WINDOW=FIRST_POPUP&amp;HEIGH","T=450&amp;WIDTH=450&amp;START_MAXIMIZED=FALSE&amp;VAR:CALENDAR=US&amp;VAR:SYMBOL=CAT&amp;VAR:INDEX=0"}</definedName>
    <definedName name="_849__FDSAUDITLINK__" hidden="1">{"fdsup://directions/FAT Viewer?action=UPDATE&amp;creator=factset&amp;DYN_ARGS=TRUE&amp;DOC_NAME=FAT:FQL_AUDITING_CLIENT_TEMPLATE.FAT&amp;display_string=Audit&amp;VAR:KEY=ZKPAXETOXM&amp;VAR:QUERY=RkZfRUJJVERBX09QRVIoUVRSLDQvMS8yMDA5LDYvMzAvMjAwOSwsLFVTRCk=&amp;WINDOW=FIRST_POPUP&amp;HEIGH","T=450&amp;WIDTH=450&amp;START_MAXIMIZED=FALSE&amp;VAR:CALENDAR=US&amp;VAR:SYMBOL=CAT&amp;VAR:INDEX=0"}</definedName>
    <definedName name="_85__FDSAUDITLINK__" localSheetId="1" hidden="1">{"fdsup://directions/FAT Viewer?action=UPDATE&amp;creator=factset&amp;DYN_ARGS=TRUE&amp;DOC_NAME=FAT:FQL_AUDITING_CLIENT_TEMPLATE.FAT&amp;display_string=Audit&amp;VAR:KEY=NEVWNCTSRA&amp;VAR:QUERY=RkZfRUJJVERBX09QRVIoUVRSLDQvMS8yMDA5LDYvMzAvMjAwOSwsLFVTRCk=&amp;WINDOW=FIRST_POPUP&amp;HEIGH","T=450&amp;WIDTH=450&amp;START_MAXIMIZED=FALSE&amp;VAR:CALENDAR=US&amp;VAR:SYMBOL=URBN&amp;VAR:INDEX=0"}</definedName>
    <definedName name="_85__FDSAUDITLINK__" hidden="1">{"fdsup://directions/FAT Viewer?action=UPDATE&amp;creator=factset&amp;DYN_ARGS=TRUE&amp;DOC_NAME=FAT:FQL_AUDITING_CLIENT_TEMPLATE.FAT&amp;display_string=Audit&amp;VAR:KEY=NEVWNCTSRA&amp;VAR:QUERY=RkZfRUJJVERBX09QRVIoUVRSLDQvMS8yMDA5LDYvMzAvMjAwOSwsLFVTRCk=&amp;WINDOW=FIRST_POPUP&amp;HEIGH","T=450&amp;WIDTH=450&amp;START_MAXIMIZED=FALSE&amp;VAR:CALENDAR=US&amp;VAR:SYMBOL=URBN&amp;VAR:INDEX=0"}</definedName>
    <definedName name="_850__FDSAUDITLINK__" localSheetId="1" hidden="1">{"fdsup://directions/FAT Viewer?action=UPDATE&amp;creator=factset&amp;DYN_ARGS=TRUE&amp;DOC_NAME=FAT:FQL_AUDITING_CLIENT_TEMPLATE.FAT&amp;display_string=Audit&amp;VAR:KEY=TABQBEVWTS&amp;VAR:QUERY=RkZfRUJJVERBX09QRVIoUVRSLDQvMS8yMDEwLDYvMzAvMjAxMCwsLFVTRCk=&amp;WINDOW=FIRST_POPUP&amp;HEIGH","T=450&amp;WIDTH=450&amp;START_MAXIMIZED=FALSE&amp;VAR:CALENDAR=US&amp;VAR:SYMBOL=CAT&amp;VAR:INDEX=0"}</definedName>
    <definedName name="_850__FDSAUDITLINK__" hidden="1">{"fdsup://directions/FAT Viewer?action=UPDATE&amp;creator=factset&amp;DYN_ARGS=TRUE&amp;DOC_NAME=FAT:FQL_AUDITING_CLIENT_TEMPLATE.FAT&amp;display_string=Audit&amp;VAR:KEY=TABQBEVWTS&amp;VAR:QUERY=RkZfRUJJVERBX09QRVIoUVRSLDQvMS8yMDEwLDYvMzAvMjAxMCwsLFVTRCk=&amp;WINDOW=FIRST_POPUP&amp;HEIGH","T=450&amp;WIDTH=450&amp;START_MAXIMIZED=FALSE&amp;VAR:CALENDAR=US&amp;VAR:SYMBOL=CAT&amp;VAR:INDEX=0"}</definedName>
    <definedName name="_851__FDSAUDITLINK__" localSheetId="1" hidden="1">{"fdsup://directions/FAT Viewer?action=UPDATE&amp;creator=factset&amp;DYN_ARGS=TRUE&amp;DOC_NAME=FAT:FQL_AUDITING_CLIENT_TEMPLATE.FAT&amp;display_string=Audit&amp;VAR:KEY=BKRMVWXEPW&amp;VAR:QUERY=RkZfRUJJVERBX09QRVIoUVRSLDQvMS8yMDA5LDYvMzAvMjAwOSwsLFVTRCk=&amp;WINDOW=FIRST_POPUP&amp;HEIGH","T=450&amp;WIDTH=450&amp;START_MAXIMIZED=FALSE&amp;VAR:CALENDAR=US&amp;VAR:SYMBOL=CAM&amp;VAR:INDEX=0"}</definedName>
    <definedName name="_851__FDSAUDITLINK__" hidden="1">{"fdsup://directions/FAT Viewer?action=UPDATE&amp;creator=factset&amp;DYN_ARGS=TRUE&amp;DOC_NAME=FAT:FQL_AUDITING_CLIENT_TEMPLATE.FAT&amp;display_string=Audit&amp;VAR:KEY=BKRMVWXEPW&amp;VAR:QUERY=RkZfRUJJVERBX09QRVIoUVRSLDQvMS8yMDA5LDYvMzAvMjAwOSwsLFVTRCk=&amp;WINDOW=FIRST_POPUP&amp;HEIGH","T=450&amp;WIDTH=450&amp;START_MAXIMIZED=FALSE&amp;VAR:CALENDAR=US&amp;VAR:SYMBOL=CAM&amp;VAR:INDEX=0"}</definedName>
    <definedName name="_852__FDSAUDITLINK__" localSheetId="1" hidden="1">{"fdsup://directions/FAT Viewer?action=UPDATE&amp;creator=factset&amp;DYN_ARGS=TRUE&amp;DOC_NAME=FAT:FQL_AUDITING_CLIENT_TEMPLATE.FAT&amp;display_string=Audit&amp;VAR:KEY=JEVUBGRODK&amp;VAR:QUERY=RkZfRUJJVERBX09QRVIoUVRSLDQvMS8yMDEwLDYvMzAvMjAxMCwsLFVTRCk=&amp;WINDOW=FIRST_POPUP&amp;HEIGH","T=450&amp;WIDTH=450&amp;START_MAXIMIZED=FALSE&amp;VAR:CALENDAR=US&amp;VAR:SYMBOL=CAM&amp;VAR:INDEX=0"}</definedName>
    <definedName name="_852__FDSAUDITLINK__" hidden="1">{"fdsup://directions/FAT Viewer?action=UPDATE&amp;creator=factset&amp;DYN_ARGS=TRUE&amp;DOC_NAME=FAT:FQL_AUDITING_CLIENT_TEMPLATE.FAT&amp;display_string=Audit&amp;VAR:KEY=JEVUBGRODK&amp;VAR:QUERY=RkZfRUJJVERBX09QRVIoUVRSLDQvMS8yMDEwLDYvMzAvMjAxMCwsLFVTRCk=&amp;WINDOW=FIRST_POPUP&amp;HEIGH","T=450&amp;WIDTH=450&amp;START_MAXIMIZED=FALSE&amp;VAR:CALENDAR=US&amp;VAR:SYMBOL=CAM&amp;VAR:INDEX=0"}</definedName>
    <definedName name="_853__FDSAUDITLINK__" localSheetId="1" hidden="1">{"fdsup://directions/FAT Viewer?action=UPDATE&amp;creator=factset&amp;DYN_ARGS=TRUE&amp;DOC_NAME=FAT:FQL_AUDITING_CLIENT_TEMPLATE.FAT&amp;display_string=Audit&amp;VAR:KEY=ZWHMJOPKLC&amp;VAR:QUERY=RkZfRUJJVERBX09QRVIoUVRSLDQvMS8yMDA5LDYvMzAvMjAwOSwsLFVTRCk=&amp;WINDOW=FIRST_POPUP&amp;HEIGH","T=450&amp;WIDTH=450&amp;START_MAXIMIZED=FALSE&amp;VAR:CALENDAR=US&amp;VAR:SYMBOL=CAH&amp;VAR:INDEX=0"}</definedName>
    <definedName name="_853__FDSAUDITLINK__" hidden="1">{"fdsup://directions/FAT Viewer?action=UPDATE&amp;creator=factset&amp;DYN_ARGS=TRUE&amp;DOC_NAME=FAT:FQL_AUDITING_CLIENT_TEMPLATE.FAT&amp;display_string=Audit&amp;VAR:KEY=ZWHMJOPKLC&amp;VAR:QUERY=RkZfRUJJVERBX09QRVIoUVRSLDQvMS8yMDA5LDYvMzAvMjAwOSwsLFVTRCk=&amp;WINDOW=FIRST_POPUP&amp;HEIGH","T=450&amp;WIDTH=450&amp;START_MAXIMIZED=FALSE&amp;VAR:CALENDAR=US&amp;VAR:SYMBOL=CAH&amp;VAR:INDEX=0"}</definedName>
    <definedName name="_854__FDSAUDITLINK__" localSheetId="1" hidden="1">{"fdsup://directions/FAT Viewer?action=UPDATE&amp;creator=factset&amp;DYN_ARGS=TRUE&amp;DOC_NAME=FAT:FQL_AUDITING_CLIENT_TEMPLATE.FAT&amp;display_string=Audit&amp;VAR:KEY=HGFQROBAJK&amp;VAR:QUERY=RkZfRUJJVERBX09QRVIoUVRSLDQvMS8yMDEwLDYvMzAvMjAxMCwsLFVTRCk=&amp;WINDOW=FIRST_POPUP&amp;HEIGH","T=450&amp;WIDTH=450&amp;START_MAXIMIZED=FALSE&amp;VAR:CALENDAR=US&amp;VAR:SYMBOL=CAH&amp;VAR:INDEX=0"}</definedName>
    <definedName name="_854__FDSAUDITLINK__" hidden="1">{"fdsup://directions/FAT Viewer?action=UPDATE&amp;creator=factset&amp;DYN_ARGS=TRUE&amp;DOC_NAME=FAT:FQL_AUDITING_CLIENT_TEMPLATE.FAT&amp;display_string=Audit&amp;VAR:KEY=HGFQROBAJK&amp;VAR:QUERY=RkZfRUJJVERBX09QRVIoUVRSLDQvMS8yMDEwLDYvMzAvMjAxMCwsLFVTRCk=&amp;WINDOW=FIRST_POPUP&amp;HEIGH","T=450&amp;WIDTH=450&amp;START_MAXIMIZED=FALSE&amp;VAR:CALENDAR=US&amp;VAR:SYMBOL=CAH&amp;VAR:INDEX=0"}</definedName>
    <definedName name="_855__FDSAUDITLINK__" localSheetId="1" hidden="1">{"fdsup://directions/FAT Viewer?action=UPDATE&amp;creator=factset&amp;DYN_ARGS=TRUE&amp;DOC_NAME=FAT:FQL_AUDITING_CLIENT_TEMPLATE.FAT&amp;display_string=Audit&amp;VAR:KEY=BGBQZWPKZC&amp;VAR:QUERY=RkZfRUJJVERBX09QRVIoUVRSLDQvMS8yMDA5LDYvMzAvMjAwOSwsLFVTRCk=&amp;WINDOW=FIRST_POPUP&amp;HEIGH","T=450&amp;WIDTH=450&amp;START_MAXIMIZED=FALSE&amp;VAR:CALENDAR=US&amp;VAR:SYMBOL=CAG&amp;VAR:INDEX=0"}</definedName>
    <definedName name="_855__FDSAUDITLINK__" hidden="1">{"fdsup://directions/FAT Viewer?action=UPDATE&amp;creator=factset&amp;DYN_ARGS=TRUE&amp;DOC_NAME=FAT:FQL_AUDITING_CLIENT_TEMPLATE.FAT&amp;display_string=Audit&amp;VAR:KEY=BGBQZWPKZC&amp;VAR:QUERY=RkZfRUJJVERBX09QRVIoUVRSLDQvMS8yMDA5LDYvMzAvMjAwOSwsLFVTRCk=&amp;WINDOW=FIRST_POPUP&amp;HEIGH","T=450&amp;WIDTH=450&amp;START_MAXIMIZED=FALSE&amp;VAR:CALENDAR=US&amp;VAR:SYMBOL=CAG&amp;VAR:INDEX=0"}</definedName>
    <definedName name="_856__FDSAUDITLINK__" localSheetId="1" hidden="1">{"fdsup://directions/FAT Viewer?action=UPDATE&amp;creator=factset&amp;DYN_ARGS=TRUE&amp;DOC_NAME=FAT:FQL_AUDITING_CLIENT_TEMPLATE.FAT&amp;display_string=Audit&amp;VAR:KEY=NSTSBEVGFK&amp;VAR:QUERY=RkZfRUJJVERBX09QRVIoUVRSLDQvMS8yMDEwLDYvMzAvMjAxMCwsLFVTRCk=&amp;WINDOW=FIRST_POPUP&amp;HEIGH","T=450&amp;WIDTH=450&amp;START_MAXIMIZED=FALSE&amp;VAR:CALENDAR=US&amp;VAR:SYMBOL=CAG&amp;VAR:INDEX=0"}</definedName>
    <definedName name="_856__FDSAUDITLINK__" hidden="1">{"fdsup://directions/FAT Viewer?action=UPDATE&amp;creator=factset&amp;DYN_ARGS=TRUE&amp;DOC_NAME=FAT:FQL_AUDITING_CLIENT_TEMPLATE.FAT&amp;display_string=Audit&amp;VAR:KEY=NSTSBEVGFK&amp;VAR:QUERY=RkZfRUJJVERBX09QRVIoUVRSLDQvMS8yMDEwLDYvMzAvMjAxMCwsLFVTRCk=&amp;WINDOW=FIRST_POPUP&amp;HEIGH","T=450&amp;WIDTH=450&amp;START_MAXIMIZED=FALSE&amp;VAR:CALENDAR=US&amp;VAR:SYMBOL=CAG&amp;VAR:INDEX=0"}</definedName>
    <definedName name="_857__FDSAUDITLINK__" localSheetId="1" hidden="1">{"fdsup://directions/FAT Viewer?action=UPDATE&amp;creator=factset&amp;DYN_ARGS=TRUE&amp;DOC_NAME=FAT:FQL_AUDITING_CLIENT_TEMPLATE.FAT&amp;display_string=Audit&amp;VAR:KEY=DMLAXQJOXQ&amp;VAR:QUERY=RkZfRUJJVERBX09QRVIoUVRSLDQvMS8yMDA5LDYvMzAvMjAwOSwsLFVTRCk=&amp;WINDOW=FIRST_POPUP&amp;HEIGH","T=450&amp;WIDTH=450&amp;START_MAXIMIZED=FALSE&amp;VAR:CALENDAR=US&amp;VAR:SYMBOL=CA&amp;VAR:INDEX=0"}</definedName>
    <definedName name="_857__FDSAUDITLINK__" hidden="1">{"fdsup://directions/FAT Viewer?action=UPDATE&amp;creator=factset&amp;DYN_ARGS=TRUE&amp;DOC_NAME=FAT:FQL_AUDITING_CLIENT_TEMPLATE.FAT&amp;display_string=Audit&amp;VAR:KEY=DMLAXQJOXQ&amp;VAR:QUERY=RkZfRUJJVERBX09QRVIoUVRSLDQvMS8yMDA5LDYvMzAvMjAwOSwsLFVTRCk=&amp;WINDOW=FIRST_POPUP&amp;HEIGH","T=450&amp;WIDTH=450&amp;START_MAXIMIZED=FALSE&amp;VAR:CALENDAR=US&amp;VAR:SYMBOL=CA&amp;VAR:INDEX=0"}</definedName>
    <definedName name="_858__FDSAUDITLINK__" localSheetId="1" hidden="1">{"fdsup://directions/FAT Viewer?action=UPDATE&amp;creator=factset&amp;DYN_ARGS=TRUE&amp;DOC_NAME=FAT:FQL_AUDITING_CLIENT_TEMPLATE.FAT&amp;display_string=Audit&amp;VAR:KEY=ZSTYVGXSNI&amp;VAR:QUERY=RkZfRUJJVERBX09QRVIoUVRSLDQvMS8yMDEwLDYvMzAvMjAxMCwsLFVTRCk=&amp;WINDOW=FIRST_POPUP&amp;HEIGH","T=450&amp;WIDTH=450&amp;START_MAXIMIZED=FALSE&amp;VAR:CALENDAR=US&amp;VAR:SYMBOL=CA&amp;VAR:INDEX=0"}</definedName>
    <definedName name="_858__FDSAUDITLINK__" hidden="1">{"fdsup://directions/FAT Viewer?action=UPDATE&amp;creator=factset&amp;DYN_ARGS=TRUE&amp;DOC_NAME=FAT:FQL_AUDITING_CLIENT_TEMPLATE.FAT&amp;display_string=Audit&amp;VAR:KEY=ZSTYVGXSNI&amp;VAR:QUERY=RkZfRUJJVERBX09QRVIoUVRSLDQvMS8yMDEwLDYvMzAvMjAxMCwsLFVTRCk=&amp;WINDOW=FIRST_POPUP&amp;HEIGH","T=450&amp;WIDTH=450&amp;START_MAXIMIZED=FALSE&amp;VAR:CALENDAR=US&amp;VAR:SYMBOL=CA&amp;VAR:INDEX=0"}</definedName>
    <definedName name="_859__FDSAUDITLINK__" localSheetId="1" hidden="1">{"fdsup://directions/FAT Viewer?action=UPDATE&amp;creator=factset&amp;DYN_ARGS=TRUE&amp;DOC_NAME=FAT:FQL_AUDITING_CLIENT_TEMPLATE.FAT&amp;display_string=Audit&amp;VAR:KEY=NQJEXKDYBC&amp;VAR:QUERY=RkZfRUJJVERBX09QRVIoUVRSLDQvMS8yMDA5LDYvMzAvMjAwOSwsLFVTRCk=&amp;WINDOW=FIRST_POPUP&amp;HEIGH","T=450&amp;WIDTH=450&amp;START_MAXIMIZED=FALSE&amp;VAR:CALENDAR=US&amp;VAR:SYMBOL=C&amp;VAR:INDEX=0"}</definedName>
    <definedName name="_859__FDSAUDITLINK__" hidden="1">{"fdsup://directions/FAT Viewer?action=UPDATE&amp;creator=factset&amp;DYN_ARGS=TRUE&amp;DOC_NAME=FAT:FQL_AUDITING_CLIENT_TEMPLATE.FAT&amp;display_string=Audit&amp;VAR:KEY=NQJEXKDYBC&amp;VAR:QUERY=RkZfRUJJVERBX09QRVIoUVRSLDQvMS8yMDA5LDYvMzAvMjAwOSwsLFVTRCk=&amp;WINDOW=FIRST_POPUP&amp;HEIGH","T=450&amp;WIDTH=450&amp;START_MAXIMIZED=FALSE&amp;VAR:CALENDAR=US&amp;VAR:SYMBOL=C&amp;VAR:INDEX=0"}</definedName>
    <definedName name="_86__FDSAUDITLINK__" localSheetId="1" hidden="1">{"fdsup://directions/FAT Viewer?action=UPDATE&amp;creator=factset&amp;DYN_ARGS=TRUE&amp;DOC_NAME=FAT:FQL_AUDITING_CLIENT_TEMPLATE.FAT&amp;display_string=Audit&amp;VAR:KEY=VCLAJGDCNC&amp;VAR:QUERY=RkZfRUJJVERBX09QRVIoUVRSLDQvMS8yMDEwLDYvMzAvMjAxMCwsLFVTRCk=&amp;WINDOW=FIRST_POPUP&amp;HEIGH","T=450&amp;WIDTH=450&amp;START_MAXIMIZED=FALSE&amp;VAR:CALENDAR=US&amp;VAR:SYMBOL=URBN&amp;VAR:INDEX=0"}</definedName>
    <definedName name="_86__FDSAUDITLINK__" hidden="1">{"fdsup://directions/FAT Viewer?action=UPDATE&amp;creator=factset&amp;DYN_ARGS=TRUE&amp;DOC_NAME=FAT:FQL_AUDITING_CLIENT_TEMPLATE.FAT&amp;display_string=Audit&amp;VAR:KEY=VCLAJGDCNC&amp;VAR:QUERY=RkZfRUJJVERBX09QRVIoUVRSLDQvMS8yMDEwLDYvMzAvMjAxMCwsLFVTRCk=&amp;WINDOW=FIRST_POPUP&amp;HEIGH","T=450&amp;WIDTH=450&amp;START_MAXIMIZED=FALSE&amp;VAR:CALENDAR=US&amp;VAR:SYMBOL=URBN&amp;VAR:INDEX=0"}</definedName>
    <definedName name="_860__FDSAUDITLINK__" localSheetId="1" hidden="1">{"fdsup://directions/FAT Viewer?action=UPDATE&amp;creator=factset&amp;DYN_ARGS=TRUE&amp;DOC_NAME=FAT:FQL_AUDITING_CLIENT_TEMPLATE.FAT&amp;display_string=Audit&amp;VAR:KEY=DANWXQHGVS&amp;VAR:QUERY=RkZfRUJJVERBX09QRVIoUVRSLDQvMS8yMDEwLDYvMzAvMjAxMCwsLFVTRCk=&amp;WINDOW=FIRST_POPUP&amp;HEIGH","T=450&amp;WIDTH=450&amp;START_MAXIMIZED=FALSE&amp;VAR:CALENDAR=US&amp;VAR:SYMBOL=C&amp;VAR:INDEX=0"}</definedName>
    <definedName name="_860__FDSAUDITLINK__" hidden="1">{"fdsup://directions/FAT Viewer?action=UPDATE&amp;creator=factset&amp;DYN_ARGS=TRUE&amp;DOC_NAME=FAT:FQL_AUDITING_CLIENT_TEMPLATE.FAT&amp;display_string=Audit&amp;VAR:KEY=DANWXQHGVS&amp;VAR:QUERY=RkZfRUJJVERBX09QRVIoUVRSLDQvMS8yMDEwLDYvMzAvMjAxMCwsLFVTRCk=&amp;WINDOW=FIRST_POPUP&amp;HEIGH","T=450&amp;WIDTH=450&amp;START_MAXIMIZED=FALSE&amp;VAR:CALENDAR=US&amp;VAR:SYMBOL=C&amp;VAR:INDEX=0"}</definedName>
    <definedName name="_861__FDSAUDITLINK__" localSheetId="1" hidden="1">{"fdsup://directions/FAT Viewer?action=UPDATE&amp;creator=factset&amp;DYN_ARGS=TRUE&amp;DOC_NAME=FAT:FQL_AUDITING_CLIENT_TEMPLATE.FAT&amp;display_string=Audit&amp;VAR:KEY=TKRYPCTABG&amp;VAR:QUERY=RkZfRUJJVERBX09QRVIoUVRSLDQvMS8yMDA5LDYvMzAvMjAwOSwsLFVTRCk=&amp;WINDOW=FIRST_POPUP&amp;HEIGH","T=450&amp;WIDTH=450&amp;START_MAXIMIZED=FALSE&amp;VAR:CALENDAR=US&amp;VAR:SYMBOL=BTU&amp;VAR:INDEX=0"}</definedName>
    <definedName name="_861__FDSAUDITLINK__" hidden="1">{"fdsup://directions/FAT Viewer?action=UPDATE&amp;creator=factset&amp;DYN_ARGS=TRUE&amp;DOC_NAME=FAT:FQL_AUDITING_CLIENT_TEMPLATE.FAT&amp;display_string=Audit&amp;VAR:KEY=TKRYPCTABG&amp;VAR:QUERY=RkZfRUJJVERBX09QRVIoUVRSLDQvMS8yMDA5LDYvMzAvMjAwOSwsLFVTRCk=&amp;WINDOW=FIRST_POPUP&amp;HEIGH","T=450&amp;WIDTH=450&amp;START_MAXIMIZED=FALSE&amp;VAR:CALENDAR=US&amp;VAR:SYMBOL=BTU&amp;VAR:INDEX=0"}</definedName>
    <definedName name="_862__FDSAUDITLINK__" localSheetId="1" hidden="1">{"fdsup://directions/FAT Viewer?action=UPDATE&amp;creator=factset&amp;DYN_ARGS=TRUE&amp;DOC_NAME=FAT:FQL_AUDITING_CLIENT_TEMPLATE.FAT&amp;display_string=Audit&amp;VAR:KEY=XOPCVUTYXW&amp;VAR:QUERY=RkZfRUJJVERBX09QRVIoUVRSLDQvMS8yMDEwLDYvMzAvMjAxMCwsLFVTRCk=&amp;WINDOW=FIRST_POPUP&amp;HEIGH","T=450&amp;WIDTH=450&amp;START_MAXIMIZED=FALSE&amp;VAR:CALENDAR=US&amp;VAR:SYMBOL=BTU&amp;VAR:INDEX=0"}</definedName>
    <definedName name="_862__FDSAUDITLINK__" hidden="1">{"fdsup://directions/FAT Viewer?action=UPDATE&amp;creator=factset&amp;DYN_ARGS=TRUE&amp;DOC_NAME=FAT:FQL_AUDITING_CLIENT_TEMPLATE.FAT&amp;display_string=Audit&amp;VAR:KEY=XOPCVUTYXW&amp;VAR:QUERY=RkZfRUJJVERBX09QRVIoUVRSLDQvMS8yMDEwLDYvMzAvMjAxMCwsLFVTRCk=&amp;WINDOW=FIRST_POPUP&amp;HEIGH","T=450&amp;WIDTH=450&amp;START_MAXIMIZED=FALSE&amp;VAR:CALENDAR=US&amp;VAR:SYMBOL=BTU&amp;VAR:INDEX=0"}</definedName>
    <definedName name="_863__FDSAUDITLINK__" localSheetId="1" hidden="1">{"fdsup://directions/FAT Viewer?action=UPDATE&amp;creator=factset&amp;DYN_ARGS=TRUE&amp;DOC_NAME=FAT:FQL_AUDITING_CLIENT_TEMPLATE.FAT&amp;display_string=Audit&amp;VAR:KEY=ZCDYVMLCNU&amp;VAR:QUERY=RkZfRUJJVERBX09QRVIoUVRSLDQvMS8yMDA5LDYvMzAvMjAwOSwsLFVTRCk=&amp;WINDOW=FIRST_POPUP&amp;HEIGH","T=450&amp;WIDTH=450&amp;START_MAXIMIZED=FALSE&amp;VAR:CALENDAR=US&amp;VAR:SYMBOL=BSX&amp;VAR:INDEX=0"}</definedName>
    <definedName name="_863__FDSAUDITLINK__" hidden="1">{"fdsup://directions/FAT Viewer?action=UPDATE&amp;creator=factset&amp;DYN_ARGS=TRUE&amp;DOC_NAME=FAT:FQL_AUDITING_CLIENT_TEMPLATE.FAT&amp;display_string=Audit&amp;VAR:KEY=ZCDYVMLCNU&amp;VAR:QUERY=RkZfRUJJVERBX09QRVIoUVRSLDQvMS8yMDA5LDYvMzAvMjAwOSwsLFVTRCk=&amp;WINDOW=FIRST_POPUP&amp;HEIGH","T=450&amp;WIDTH=450&amp;START_MAXIMIZED=FALSE&amp;VAR:CALENDAR=US&amp;VAR:SYMBOL=BSX&amp;VAR:INDEX=0"}</definedName>
    <definedName name="_864__FDSAUDITLINK__" localSheetId="1" hidden="1">{"fdsup://directions/FAT Viewer?action=UPDATE&amp;creator=factset&amp;DYN_ARGS=TRUE&amp;DOC_NAME=FAT:FQL_AUDITING_CLIENT_TEMPLATE.FAT&amp;display_string=Audit&amp;VAR:KEY=XEBEBCZWRK&amp;VAR:QUERY=RkZfRUJJVERBX09QRVIoUVRSLDQvMS8yMDEwLDYvMzAvMjAxMCwsLFVTRCk=&amp;WINDOW=FIRST_POPUP&amp;HEIGH","T=450&amp;WIDTH=450&amp;START_MAXIMIZED=FALSE&amp;VAR:CALENDAR=US&amp;VAR:SYMBOL=BSX&amp;VAR:INDEX=0"}</definedName>
    <definedName name="_864__FDSAUDITLINK__" hidden="1">{"fdsup://directions/FAT Viewer?action=UPDATE&amp;creator=factset&amp;DYN_ARGS=TRUE&amp;DOC_NAME=FAT:FQL_AUDITING_CLIENT_TEMPLATE.FAT&amp;display_string=Audit&amp;VAR:KEY=XEBEBCZWRK&amp;VAR:QUERY=RkZfRUJJVERBX09QRVIoUVRSLDQvMS8yMDEwLDYvMzAvMjAxMCwsLFVTRCk=&amp;WINDOW=FIRST_POPUP&amp;HEIGH","T=450&amp;WIDTH=450&amp;START_MAXIMIZED=FALSE&amp;VAR:CALENDAR=US&amp;VAR:SYMBOL=BSX&amp;VAR:INDEX=0"}</definedName>
    <definedName name="_865__FDSAUDITLINK__" localSheetId="1" hidden="1">{"fdsup://directions/FAT Viewer?action=UPDATE&amp;creator=factset&amp;DYN_ARGS=TRUE&amp;DOC_NAME=FAT:FQL_AUDITING_CLIENT_TEMPLATE.FAT&amp;display_string=Audit&amp;VAR:KEY=PSBKFCJABU&amp;VAR:QUERY=RkZfRUJJVERBX09QRVIoUVRSLDQvMS8yMDA5LDYvMzAvMjAwOSwsLFVTRCk=&amp;WINDOW=FIRST_POPUP&amp;HEIGH","T=450&amp;WIDTH=450&amp;START_MAXIMIZED=FALSE&amp;VAR:CALENDAR=US&amp;VAR:SYMBOL=BRK.B&amp;VAR:INDEX=0"}</definedName>
    <definedName name="_865__FDSAUDITLINK__" hidden="1">{"fdsup://directions/FAT Viewer?action=UPDATE&amp;creator=factset&amp;DYN_ARGS=TRUE&amp;DOC_NAME=FAT:FQL_AUDITING_CLIENT_TEMPLATE.FAT&amp;display_string=Audit&amp;VAR:KEY=PSBKFCJABU&amp;VAR:QUERY=RkZfRUJJVERBX09QRVIoUVRSLDQvMS8yMDA5LDYvMzAvMjAwOSwsLFVTRCk=&amp;WINDOW=FIRST_POPUP&amp;HEIGH","T=450&amp;WIDTH=450&amp;START_MAXIMIZED=FALSE&amp;VAR:CALENDAR=US&amp;VAR:SYMBOL=BRK.B&amp;VAR:INDEX=0"}</definedName>
    <definedName name="_866__FDSAUDITLINK__" localSheetId="1" hidden="1">{"fdsup://directions/FAT Viewer?action=UPDATE&amp;creator=factset&amp;DYN_ARGS=TRUE&amp;DOC_NAME=FAT:FQL_AUDITING_CLIENT_TEMPLATE.FAT&amp;display_string=Audit&amp;VAR:KEY=NCFIBYNCLA&amp;VAR:QUERY=RkZfRUJJVERBX09QRVIoUVRSLDQvMS8yMDEwLDYvMzAvMjAxMCwsLFVTRCk=&amp;WINDOW=FIRST_POPUP&amp;HEIGH","T=450&amp;WIDTH=450&amp;START_MAXIMIZED=FALSE&amp;VAR:CALENDAR=US&amp;VAR:SYMBOL=BRK.B&amp;VAR:INDEX=0"}</definedName>
    <definedName name="_866__FDSAUDITLINK__" hidden="1">{"fdsup://directions/FAT Viewer?action=UPDATE&amp;creator=factset&amp;DYN_ARGS=TRUE&amp;DOC_NAME=FAT:FQL_AUDITING_CLIENT_TEMPLATE.FAT&amp;display_string=Audit&amp;VAR:KEY=NCFIBYNCLA&amp;VAR:QUERY=RkZfRUJJVERBX09QRVIoUVRSLDQvMS8yMDEwLDYvMzAvMjAxMCwsLFVTRCk=&amp;WINDOW=FIRST_POPUP&amp;HEIGH","T=450&amp;WIDTH=450&amp;START_MAXIMIZED=FALSE&amp;VAR:CALENDAR=US&amp;VAR:SYMBOL=BRK.B&amp;VAR:INDEX=0"}</definedName>
    <definedName name="_867__FDSAUDITLINK__" localSheetId="1" hidden="1">{"fdsup://directions/FAT Viewer?action=UPDATE&amp;creator=factset&amp;DYN_ARGS=TRUE&amp;DOC_NAME=FAT:FQL_AUDITING_CLIENT_TEMPLATE.FAT&amp;display_string=Audit&amp;VAR:KEY=NMXOJSLGLY&amp;VAR:QUERY=RkZfRUJJVERBX09QRVIoUVRSLDQvMS8yMDA5LDYvMzAvMjAwOSwsLFVTRCk=&amp;WINDOW=FIRST_POPUP&amp;HEIGH","T=450&amp;WIDTH=450&amp;START_MAXIMIZED=FALSE&amp;VAR:CALENDAR=US&amp;VAR:SYMBOL=BRCM&amp;VAR:INDEX=0"}</definedName>
    <definedName name="_867__FDSAUDITLINK__" hidden="1">{"fdsup://directions/FAT Viewer?action=UPDATE&amp;creator=factset&amp;DYN_ARGS=TRUE&amp;DOC_NAME=FAT:FQL_AUDITING_CLIENT_TEMPLATE.FAT&amp;display_string=Audit&amp;VAR:KEY=NMXOJSLGLY&amp;VAR:QUERY=RkZfRUJJVERBX09QRVIoUVRSLDQvMS8yMDA5LDYvMzAvMjAwOSwsLFVTRCk=&amp;WINDOW=FIRST_POPUP&amp;HEIGH","T=450&amp;WIDTH=450&amp;START_MAXIMIZED=FALSE&amp;VAR:CALENDAR=US&amp;VAR:SYMBOL=BRCM&amp;VAR:INDEX=0"}</definedName>
    <definedName name="_868__FDSAUDITLINK__" localSheetId="1" hidden="1">{"fdsup://directions/FAT Viewer?action=UPDATE&amp;creator=factset&amp;DYN_ARGS=TRUE&amp;DOC_NAME=FAT:FQL_AUDITING_CLIENT_TEMPLATE.FAT&amp;display_string=Audit&amp;VAR:KEY=HALMHOTUZU&amp;VAR:QUERY=RkZfRUJJVERBX09QRVIoUVRSLDQvMS8yMDEwLDYvMzAvMjAxMCwsLFVTRCk=&amp;WINDOW=FIRST_POPUP&amp;HEIGH","T=450&amp;WIDTH=450&amp;START_MAXIMIZED=FALSE&amp;VAR:CALENDAR=US&amp;VAR:SYMBOL=BRCM&amp;VAR:INDEX=0"}</definedName>
    <definedName name="_868__FDSAUDITLINK__" hidden="1">{"fdsup://directions/FAT Viewer?action=UPDATE&amp;creator=factset&amp;DYN_ARGS=TRUE&amp;DOC_NAME=FAT:FQL_AUDITING_CLIENT_TEMPLATE.FAT&amp;display_string=Audit&amp;VAR:KEY=HALMHOTUZU&amp;VAR:QUERY=RkZfRUJJVERBX09QRVIoUVRSLDQvMS8yMDEwLDYvMzAvMjAxMCwsLFVTRCk=&amp;WINDOW=FIRST_POPUP&amp;HEIGH","T=450&amp;WIDTH=450&amp;START_MAXIMIZED=FALSE&amp;VAR:CALENDAR=US&amp;VAR:SYMBOL=BRCM&amp;VAR:INDEX=0"}</definedName>
    <definedName name="_869__FDSAUDITLINK__" localSheetId="1" hidden="1">{"fdsup://directions/FAT Viewer?action=UPDATE&amp;creator=factset&amp;DYN_ARGS=TRUE&amp;DOC_NAME=FAT:FQL_AUDITING_CLIENT_TEMPLATE.FAT&amp;display_string=Audit&amp;VAR:KEY=TABCJMNUZQ&amp;VAR:QUERY=RkZfRUJJVERBX09QRVIoUVRSLDQvMS8yMDA5LDYvMzAvMjAwOSwsLFVTRCk=&amp;WINDOW=FIRST_POPUP&amp;HEIGH","T=450&amp;WIDTH=450&amp;START_MAXIMIZED=FALSE&amp;VAR:CALENDAR=US&amp;VAR:SYMBOL=BMY&amp;VAR:INDEX=0"}</definedName>
    <definedName name="_869__FDSAUDITLINK__" hidden="1">{"fdsup://directions/FAT Viewer?action=UPDATE&amp;creator=factset&amp;DYN_ARGS=TRUE&amp;DOC_NAME=FAT:FQL_AUDITING_CLIENT_TEMPLATE.FAT&amp;display_string=Audit&amp;VAR:KEY=TABCJMNUZQ&amp;VAR:QUERY=RkZfRUJJVERBX09QRVIoUVRSLDQvMS8yMDA5LDYvMzAvMjAwOSwsLFVTRCk=&amp;WINDOW=FIRST_POPUP&amp;HEIGH","T=450&amp;WIDTH=450&amp;START_MAXIMIZED=FALSE&amp;VAR:CALENDAR=US&amp;VAR:SYMBOL=BMY&amp;VAR:INDEX=0"}</definedName>
    <definedName name="_87__FDSAUDITLINK__" localSheetId="1" hidden="1">{"fdsup://directions/FAT Viewer?action=UPDATE&amp;creator=factset&amp;DYN_ARGS=TRUE&amp;DOC_NAME=FAT:FQL_AUDITING_CLIENT_TEMPLATE.FAT&amp;display_string=Audit&amp;VAR:KEY=HYTSLUVQXI&amp;VAR:QUERY=RkZfRUJJVERBX09QRVIoUVRSLDQvMS8yMDA5LDYvMzAvMjAwOSwsLFVTRCk=&amp;WINDOW=FIRST_POPUP&amp;HEIGH","T=450&amp;WIDTH=450&amp;START_MAXIMIZED=FALSE&amp;VAR:CALENDAR=US&amp;VAR:SYMBOL=UPS&amp;VAR:INDEX=0"}</definedName>
    <definedName name="_87__FDSAUDITLINK__" hidden="1">{"fdsup://directions/FAT Viewer?action=UPDATE&amp;creator=factset&amp;DYN_ARGS=TRUE&amp;DOC_NAME=FAT:FQL_AUDITING_CLIENT_TEMPLATE.FAT&amp;display_string=Audit&amp;VAR:KEY=HYTSLUVQXI&amp;VAR:QUERY=RkZfRUJJVERBX09QRVIoUVRSLDQvMS8yMDA5LDYvMzAvMjAwOSwsLFVTRCk=&amp;WINDOW=FIRST_POPUP&amp;HEIGH","T=450&amp;WIDTH=450&amp;START_MAXIMIZED=FALSE&amp;VAR:CALENDAR=US&amp;VAR:SYMBOL=UPS&amp;VAR:INDEX=0"}</definedName>
    <definedName name="_870__FDSAUDITLINK__" localSheetId="1" hidden="1">{"fdsup://directions/FAT Viewer?action=UPDATE&amp;creator=factset&amp;DYN_ARGS=TRUE&amp;DOC_NAME=FAT:FQL_AUDITING_CLIENT_TEMPLATE.FAT&amp;display_string=Audit&amp;VAR:KEY=ZINQJYJSJK&amp;VAR:QUERY=RkZfRUJJVERBX09QRVIoUVRSLDQvMS8yMDEwLDYvMzAvMjAxMCwsLFVTRCk=&amp;WINDOW=FIRST_POPUP&amp;HEIGH","T=450&amp;WIDTH=450&amp;START_MAXIMIZED=FALSE&amp;VAR:CALENDAR=US&amp;VAR:SYMBOL=BMY&amp;VAR:INDEX=0"}</definedName>
    <definedName name="_870__FDSAUDITLINK__" hidden="1">{"fdsup://directions/FAT Viewer?action=UPDATE&amp;creator=factset&amp;DYN_ARGS=TRUE&amp;DOC_NAME=FAT:FQL_AUDITING_CLIENT_TEMPLATE.FAT&amp;display_string=Audit&amp;VAR:KEY=ZINQJYJSJK&amp;VAR:QUERY=RkZfRUJJVERBX09QRVIoUVRSLDQvMS8yMDEwLDYvMzAvMjAxMCwsLFVTRCk=&amp;WINDOW=FIRST_POPUP&amp;HEIGH","T=450&amp;WIDTH=450&amp;START_MAXIMIZED=FALSE&amp;VAR:CALENDAR=US&amp;VAR:SYMBOL=BMY&amp;VAR:INDEX=0"}</definedName>
    <definedName name="_871__FDSAUDITLINK__" localSheetId="1" hidden="1">{"fdsup://directions/FAT Viewer?action=UPDATE&amp;creator=factset&amp;DYN_ARGS=TRUE&amp;DOC_NAME=FAT:FQL_AUDITING_CLIENT_TEMPLATE.FAT&amp;display_string=Audit&amp;VAR:KEY=NYDEHGLMFE&amp;VAR:QUERY=RkZfRUJJVERBX09QRVIoUVRSLDQvMS8yMDA5LDYvMzAvMjAwOSwsLFVTRCk=&amp;WINDOW=FIRST_POPUP&amp;HEIGH","T=450&amp;WIDTH=450&amp;START_MAXIMIZED=FALSE&amp;VAR:CALENDAR=US&amp;VAR:SYMBOL=BMS&amp;VAR:INDEX=0"}</definedName>
    <definedName name="_871__FDSAUDITLINK__" hidden="1">{"fdsup://directions/FAT Viewer?action=UPDATE&amp;creator=factset&amp;DYN_ARGS=TRUE&amp;DOC_NAME=FAT:FQL_AUDITING_CLIENT_TEMPLATE.FAT&amp;display_string=Audit&amp;VAR:KEY=NYDEHGLMFE&amp;VAR:QUERY=RkZfRUJJVERBX09QRVIoUVRSLDQvMS8yMDA5LDYvMzAvMjAwOSwsLFVTRCk=&amp;WINDOW=FIRST_POPUP&amp;HEIGH","T=450&amp;WIDTH=450&amp;START_MAXIMIZED=FALSE&amp;VAR:CALENDAR=US&amp;VAR:SYMBOL=BMS&amp;VAR:INDEX=0"}</definedName>
    <definedName name="_872__FDSAUDITLINK__" localSheetId="1" hidden="1">{"fdsup://directions/FAT Viewer?action=UPDATE&amp;creator=factset&amp;DYN_ARGS=TRUE&amp;DOC_NAME=FAT:FQL_AUDITING_CLIENT_TEMPLATE.FAT&amp;display_string=Audit&amp;VAR:KEY=ZENELQTCJE&amp;VAR:QUERY=RkZfRUJJVERBX09QRVIoUVRSLDQvMS8yMDEwLDYvMzAvMjAxMCwsLFVTRCk=&amp;WINDOW=FIRST_POPUP&amp;HEIGH","T=450&amp;WIDTH=450&amp;START_MAXIMIZED=FALSE&amp;VAR:CALENDAR=US&amp;VAR:SYMBOL=BMS&amp;VAR:INDEX=0"}</definedName>
    <definedName name="_872__FDSAUDITLINK__" hidden="1">{"fdsup://directions/FAT Viewer?action=UPDATE&amp;creator=factset&amp;DYN_ARGS=TRUE&amp;DOC_NAME=FAT:FQL_AUDITING_CLIENT_TEMPLATE.FAT&amp;display_string=Audit&amp;VAR:KEY=ZENELQTCJE&amp;VAR:QUERY=RkZfRUJJVERBX09QRVIoUVRSLDQvMS8yMDEwLDYvMzAvMjAxMCwsLFVTRCk=&amp;WINDOW=FIRST_POPUP&amp;HEIGH","T=450&amp;WIDTH=450&amp;START_MAXIMIZED=FALSE&amp;VAR:CALENDAR=US&amp;VAR:SYMBOL=BMS&amp;VAR:INDEX=0"}</definedName>
    <definedName name="_873__FDSAUDITLINK__" localSheetId="1" hidden="1">{"fdsup://directions/FAT Viewer?action=UPDATE&amp;creator=factset&amp;DYN_ARGS=TRUE&amp;DOC_NAME=FAT:FQL_AUDITING_CLIENT_TEMPLATE.FAT&amp;display_string=Audit&amp;VAR:KEY=FSRSDWDUDC&amp;VAR:QUERY=RkZfRUJJVERBX09QRVIoUVRSLDQvMS8yMDA5LDYvMzAvMjAwOSwsLFVTRCk=&amp;WINDOW=FIRST_POPUP&amp;HEIGH","T=450&amp;WIDTH=450&amp;START_MAXIMIZED=FALSE&amp;VAR:CALENDAR=US&amp;VAR:SYMBOL=BMC&amp;VAR:INDEX=0"}</definedName>
    <definedName name="_873__FDSAUDITLINK__" hidden="1">{"fdsup://directions/FAT Viewer?action=UPDATE&amp;creator=factset&amp;DYN_ARGS=TRUE&amp;DOC_NAME=FAT:FQL_AUDITING_CLIENT_TEMPLATE.FAT&amp;display_string=Audit&amp;VAR:KEY=FSRSDWDUDC&amp;VAR:QUERY=RkZfRUJJVERBX09QRVIoUVRSLDQvMS8yMDA5LDYvMzAvMjAwOSwsLFVTRCk=&amp;WINDOW=FIRST_POPUP&amp;HEIGH","T=450&amp;WIDTH=450&amp;START_MAXIMIZED=FALSE&amp;VAR:CALENDAR=US&amp;VAR:SYMBOL=BMC&amp;VAR:INDEX=0"}</definedName>
    <definedName name="_874__FDSAUDITLINK__" localSheetId="1" hidden="1">{"fdsup://directions/FAT Viewer?action=UPDATE&amp;creator=factset&amp;DYN_ARGS=TRUE&amp;DOC_NAME=FAT:FQL_AUDITING_CLIENT_TEMPLATE.FAT&amp;display_string=Audit&amp;VAR:KEY=NUPYBCHUPG&amp;VAR:QUERY=RkZfRUJJVERBX09QRVIoUVRSLDQvMS8yMDEwLDYvMzAvMjAxMCwsLFVTRCk=&amp;WINDOW=FIRST_POPUP&amp;HEIGH","T=450&amp;WIDTH=450&amp;START_MAXIMIZED=FALSE&amp;VAR:CALENDAR=US&amp;VAR:SYMBOL=BMC&amp;VAR:INDEX=0"}</definedName>
    <definedName name="_874__FDSAUDITLINK__" hidden="1">{"fdsup://directions/FAT Viewer?action=UPDATE&amp;creator=factset&amp;DYN_ARGS=TRUE&amp;DOC_NAME=FAT:FQL_AUDITING_CLIENT_TEMPLATE.FAT&amp;display_string=Audit&amp;VAR:KEY=NUPYBCHUPG&amp;VAR:QUERY=RkZfRUJJVERBX09QRVIoUVRSLDQvMS8yMDEwLDYvMzAvMjAxMCwsLFVTRCk=&amp;WINDOW=FIRST_POPUP&amp;HEIGH","T=450&amp;WIDTH=450&amp;START_MAXIMIZED=FALSE&amp;VAR:CALENDAR=US&amp;VAR:SYMBOL=BMC&amp;VAR:INDEX=0"}</definedName>
    <definedName name="_875__FDSAUDITLINK__" localSheetId="1" hidden="1">{"fdsup://directions/FAT Viewer?action=UPDATE&amp;creator=factset&amp;DYN_ARGS=TRUE&amp;DOC_NAME=FAT:FQL_AUDITING_CLIENT_TEMPLATE.FAT&amp;display_string=Audit&amp;VAR:KEY=BYJWBKHEPS&amp;VAR:QUERY=RkZfRUJJVERBX09QRVIoUVRSLDQvMS8yMDA5LDYvMzAvMjAwOSwsLFVTRCk=&amp;WINDOW=FIRST_POPUP&amp;HEIGH","T=450&amp;WIDTH=450&amp;START_MAXIMIZED=FALSE&amp;VAR:CALENDAR=US&amp;VAR:SYMBOL=BLL&amp;VAR:INDEX=0"}</definedName>
    <definedName name="_875__FDSAUDITLINK__" hidden="1">{"fdsup://directions/FAT Viewer?action=UPDATE&amp;creator=factset&amp;DYN_ARGS=TRUE&amp;DOC_NAME=FAT:FQL_AUDITING_CLIENT_TEMPLATE.FAT&amp;display_string=Audit&amp;VAR:KEY=BYJWBKHEPS&amp;VAR:QUERY=RkZfRUJJVERBX09QRVIoUVRSLDQvMS8yMDA5LDYvMzAvMjAwOSwsLFVTRCk=&amp;WINDOW=FIRST_POPUP&amp;HEIGH","T=450&amp;WIDTH=450&amp;START_MAXIMIZED=FALSE&amp;VAR:CALENDAR=US&amp;VAR:SYMBOL=BLL&amp;VAR:INDEX=0"}</definedName>
    <definedName name="_876__FDSAUDITLINK__" localSheetId="1" hidden="1">{"fdsup://directions/FAT Viewer?action=UPDATE&amp;creator=factset&amp;DYN_ARGS=TRUE&amp;DOC_NAME=FAT:FQL_AUDITING_CLIENT_TEMPLATE.FAT&amp;display_string=Audit&amp;VAR:KEY=FOPWZQTGJS&amp;VAR:QUERY=RkZfRUJJVERBX09QRVIoUVRSLDQvMS8yMDEwLDYvMzAvMjAxMCwsLFVTRCk=&amp;WINDOW=FIRST_POPUP&amp;HEIGH","T=450&amp;WIDTH=450&amp;START_MAXIMIZED=FALSE&amp;VAR:CALENDAR=US&amp;VAR:SYMBOL=BLL&amp;VAR:INDEX=0"}</definedName>
    <definedName name="_876__FDSAUDITLINK__" hidden="1">{"fdsup://directions/FAT Viewer?action=UPDATE&amp;creator=factset&amp;DYN_ARGS=TRUE&amp;DOC_NAME=FAT:FQL_AUDITING_CLIENT_TEMPLATE.FAT&amp;display_string=Audit&amp;VAR:KEY=FOPWZQTGJS&amp;VAR:QUERY=RkZfRUJJVERBX09QRVIoUVRSLDQvMS8yMDEwLDYvMzAvMjAxMCwsLFVTRCk=&amp;WINDOW=FIRST_POPUP&amp;HEIGH","T=450&amp;WIDTH=450&amp;START_MAXIMIZED=FALSE&amp;VAR:CALENDAR=US&amp;VAR:SYMBOL=BLL&amp;VAR:INDEX=0"}</definedName>
    <definedName name="_877__FDSAUDITLINK__" localSheetId="1" hidden="1">{"fdsup://directions/FAT Viewer?action=UPDATE&amp;creator=factset&amp;DYN_ARGS=TRUE&amp;DOC_NAME=FAT:FQL_AUDITING_CLIENT_TEMPLATE.FAT&amp;display_string=Audit&amp;VAR:KEY=POLIXAJGXK&amp;VAR:QUERY=RkZfRUJJVERBX09QRVIoUVRSLDQvMS8yMDA5LDYvMzAvMjAwOSwsLFVTRCk=&amp;WINDOW=FIRST_POPUP&amp;HEIGH","T=450&amp;WIDTH=450&amp;START_MAXIMIZED=FALSE&amp;VAR:CALENDAR=US&amp;VAR:SYMBOL=BK&amp;VAR:INDEX=0"}</definedName>
    <definedName name="_877__FDSAUDITLINK__" hidden="1">{"fdsup://directions/FAT Viewer?action=UPDATE&amp;creator=factset&amp;DYN_ARGS=TRUE&amp;DOC_NAME=FAT:FQL_AUDITING_CLIENT_TEMPLATE.FAT&amp;display_string=Audit&amp;VAR:KEY=POLIXAJGXK&amp;VAR:QUERY=RkZfRUJJVERBX09QRVIoUVRSLDQvMS8yMDA5LDYvMzAvMjAwOSwsLFVTRCk=&amp;WINDOW=FIRST_POPUP&amp;HEIGH","T=450&amp;WIDTH=450&amp;START_MAXIMIZED=FALSE&amp;VAR:CALENDAR=US&amp;VAR:SYMBOL=BK&amp;VAR:INDEX=0"}</definedName>
    <definedName name="_878__FDSAUDITLINK__" localSheetId="1" hidden="1">{"fdsup://directions/FAT Viewer?action=UPDATE&amp;creator=factset&amp;DYN_ARGS=TRUE&amp;DOC_NAME=FAT:FQL_AUDITING_CLIENT_TEMPLATE.FAT&amp;display_string=Audit&amp;VAR:KEY=RGFWLSBEZS&amp;VAR:QUERY=RkZfRUJJVERBX09QRVIoUVRSLDQvMS8yMDEwLDYvMzAvMjAxMCwsLFVTRCk=&amp;WINDOW=FIRST_POPUP&amp;HEIGH","T=450&amp;WIDTH=450&amp;START_MAXIMIZED=FALSE&amp;VAR:CALENDAR=US&amp;VAR:SYMBOL=BK&amp;VAR:INDEX=0"}</definedName>
    <definedName name="_878__FDSAUDITLINK__" hidden="1">{"fdsup://directions/FAT Viewer?action=UPDATE&amp;creator=factset&amp;DYN_ARGS=TRUE&amp;DOC_NAME=FAT:FQL_AUDITING_CLIENT_TEMPLATE.FAT&amp;display_string=Audit&amp;VAR:KEY=RGFWLSBEZS&amp;VAR:QUERY=RkZfRUJJVERBX09QRVIoUVRSLDQvMS8yMDEwLDYvMzAvMjAxMCwsLFVTRCk=&amp;WINDOW=FIRST_POPUP&amp;HEIGH","T=450&amp;WIDTH=450&amp;START_MAXIMIZED=FALSE&amp;VAR:CALENDAR=US&amp;VAR:SYMBOL=BK&amp;VAR:INDEX=0"}</definedName>
    <definedName name="_879__FDSAUDITLINK__" localSheetId="1" hidden="1">{"fdsup://directions/FAT Viewer?action=UPDATE&amp;creator=factset&amp;DYN_ARGS=TRUE&amp;DOC_NAME=FAT:FQL_AUDITING_CLIENT_TEMPLATE.FAT&amp;display_string=Audit&amp;VAR:KEY=PSBWDWTYPQ&amp;VAR:QUERY=RkZfRUJJVERBX09QRVIoUVRSLDQvMS8yMDA5LDYvMzAvMjAwOSwsLFVTRCk=&amp;WINDOW=FIRST_POPUP&amp;HEIGH","T=450&amp;WIDTH=450&amp;START_MAXIMIZED=FALSE&amp;VAR:CALENDAR=US&amp;VAR:SYMBOL=BIIB&amp;VAR:INDEX=0"}</definedName>
    <definedName name="_879__FDSAUDITLINK__" hidden="1">{"fdsup://directions/FAT Viewer?action=UPDATE&amp;creator=factset&amp;DYN_ARGS=TRUE&amp;DOC_NAME=FAT:FQL_AUDITING_CLIENT_TEMPLATE.FAT&amp;display_string=Audit&amp;VAR:KEY=PSBWDWTYPQ&amp;VAR:QUERY=RkZfRUJJVERBX09QRVIoUVRSLDQvMS8yMDA5LDYvMzAvMjAwOSwsLFVTRCk=&amp;WINDOW=FIRST_POPUP&amp;HEIGH","T=450&amp;WIDTH=450&amp;START_MAXIMIZED=FALSE&amp;VAR:CALENDAR=US&amp;VAR:SYMBOL=BIIB&amp;VAR:INDEX=0"}</definedName>
    <definedName name="_88__FDSAUDITLINK__" localSheetId="1" hidden="1">{"fdsup://directions/FAT Viewer?action=UPDATE&amp;creator=factset&amp;DYN_ARGS=TRUE&amp;DOC_NAME=FAT:FQL_AUDITING_CLIENT_TEMPLATE.FAT&amp;display_string=Audit&amp;VAR:KEY=XWROVQDWJS&amp;VAR:QUERY=RkZfRUJJVERBX09QRVIoUVRSLDQvMS8yMDEwLDYvMzAvMjAxMCwsLFVTRCk=&amp;WINDOW=FIRST_POPUP&amp;HEIGH","T=450&amp;WIDTH=450&amp;START_MAXIMIZED=FALSE&amp;VAR:CALENDAR=US&amp;VAR:SYMBOL=UPS&amp;VAR:INDEX=0"}</definedName>
    <definedName name="_88__FDSAUDITLINK__" hidden="1">{"fdsup://directions/FAT Viewer?action=UPDATE&amp;creator=factset&amp;DYN_ARGS=TRUE&amp;DOC_NAME=FAT:FQL_AUDITING_CLIENT_TEMPLATE.FAT&amp;display_string=Audit&amp;VAR:KEY=XWROVQDWJS&amp;VAR:QUERY=RkZfRUJJVERBX09QRVIoUVRSLDQvMS8yMDEwLDYvMzAvMjAxMCwsLFVTRCk=&amp;WINDOW=FIRST_POPUP&amp;HEIGH","T=450&amp;WIDTH=450&amp;START_MAXIMIZED=FALSE&amp;VAR:CALENDAR=US&amp;VAR:SYMBOL=UPS&amp;VAR:INDEX=0"}</definedName>
    <definedName name="_880__FDSAUDITLINK__" localSheetId="1" hidden="1">{"fdsup://directions/FAT Viewer?action=UPDATE&amp;creator=factset&amp;DYN_ARGS=TRUE&amp;DOC_NAME=FAT:FQL_AUDITING_CLIENT_TEMPLATE.FAT&amp;display_string=Audit&amp;VAR:KEY=FKBSHMHINE&amp;VAR:QUERY=RkZfRUJJVERBX09QRVIoUVRSLDQvMS8yMDEwLDYvMzAvMjAxMCwsLFVTRCk=&amp;WINDOW=FIRST_POPUP&amp;HEIGH","T=450&amp;WIDTH=450&amp;START_MAXIMIZED=FALSE&amp;VAR:CALENDAR=US&amp;VAR:SYMBOL=BIIB&amp;VAR:INDEX=0"}</definedName>
    <definedName name="_880__FDSAUDITLINK__" hidden="1">{"fdsup://directions/FAT Viewer?action=UPDATE&amp;creator=factset&amp;DYN_ARGS=TRUE&amp;DOC_NAME=FAT:FQL_AUDITING_CLIENT_TEMPLATE.FAT&amp;display_string=Audit&amp;VAR:KEY=FKBSHMHINE&amp;VAR:QUERY=RkZfRUJJVERBX09QRVIoUVRSLDQvMS8yMDEwLDYvMzAvMjAxMCwsLFVTRCk=&amp;WINDOW=FIRST_POPUP&amp;HEIGH","T=450&amp;WIDTH=450&amp;START_MAXIMIZED=FALSE&amp;VAR:CALENDAR=US&amp;VAR:SYMBOL=BIIB&amp;VAR:INDEX=0"}</definedName>
    <definedName name="_881__FDSAUDITLINK__" localSheetId="1" hidden="1">{"fdsup://directions/FAT Viewer?action=UPDATE&amp;creator=factset&amp;DYN_ARGS=TRUE&amp;DOC_NAME=FAT:FQL_AUDITING_CLIENT_TEMPLATE.FAT&amp;display_string=Audit&amp;VAR:KEY=BQHEPUVYNO&amp;VAR:QUERY=RkZfRUJJVERBX09QRVIoUVRSLDQvMS8yMDA5LDYvMzAvMjAwOSwsLFVTRCk=&amp;WINDOW=FIRST_POPUP&amp;HEIGH","T=450&amp;WIDTH=450&amp;START_MAXIMIZED=FALSE&amp;VAR:CALENDAR=US&amp;VAR:SYMBOL=BIG&amp;VAR:INDEX=0"}</definedName>
    <definedName name="_881__FDSAUDITLINK__" hidden="1">{"fdsup://directions/FAT Viewer?action=UPDATE&amp;creator=factset&amp;DYN_ARGS=TRUE&amp;DOC_NAME=FAT:FQL_AUDITING_CLIENT_TEMPLATE.FAT&amp;display_string=Audit&amp;VAR:KEY=BQHEPUVYNO&amp;VAR:QUERY=RkZfRUJJVERBX09QRVIoUVRSLDQvMS8yMDA5LDYvMzAvMjAwOSwsLFVTRCk=&amp;WINDOW=FIRST_POPUP&amp;HEIGH","T=450&amp;WIDTH=450&amp;START_MAXIMIZED=FALSE&amp;VAR:CALENDAR=US&amp;VAR:SYMBOL=BIG&amp;VAR:INDEX=0"}</definedName>
    <definedName name="_882__FDSAUDITLINK__" localSheetId="1" hidden="1">{"fdsup://directions/FAT Viewer?action=UPDATE&amp;creator=factset&amp;DYN_ARGS=TRUE&amp;DOC_NAME=FAT:FQL_AUDITING_CLIENT_TEMPLATE.FAT&amp;display_string=Audit&amp;VAR:KEY=FKBKXKVWXC&amp;VAR:QUERY=RkZfRUJJVERBX09QRVIoUVRSLDQvMS8yMDEwLDYvMzAvMjAxMCwsLFVTRCk=&amp;WINDOW=FIRST_POPUP&amp;HEIGH","T=450&amp;WIDTH=450&amp;START_MAXIMIZED=FALSE&amp;VAR:CALENDAR=US&amp;VAR:SYMBOL=BIG&amp;VAR:INDEX=0"}</definedName>
    <definedName name="_882__FDSAUDITLINK__" hidden="1">{"fdsup://directions/FAT Viewer?action=UPDATE&amp;creator=factset&amp;DYN_ARGS=TRUE&amp;DOC_NAME=FAT:FQL_AUDITING_CLIENT_TEMPLATE.FAT&amp;display_string=Audit&amp;VAR:KEY=FKBKXKVWXC&amp;VAR:QUERY=RkZfRUJJVERBX09QRVIoUVRSLDQvMS8yMDEwLDYvMzAvMjAxMCwsLFVTRCk=&amp;WINDOW=FIRST_POPUP&amp;HEIGH","T=450&amp;WIDTH=450&amp;START_MAXIMIZED=FALSE&amp;VAR:CALENDAR=US&amp;VAR:SYMBOL=BIG&amp;VAR:INDEX=0"}</definedName>
    <definedName name="_883__FDSAUDITLINK__" localSheetId="1" hidden="1">{"fdsup://directions/FAT Viewer?action=UPDATE&amp;creator=factset&amp;DYN_ARGS=TRUE&amp;DOC_NAME=FAT:FQL_AUDITING_CLIENT_TEMPLATE.FAT&amp;display_string=Audit&amp;VAR:KEY=XMPUVAPONW&amp;VAR:QUERY=RkZfRUJJVERBX09QRVIoUVRSLDQvMS8yMDA5LDYvMzAvMjAwOSwsLFVTRCk=&amp;WINDOW=FIRST_POPUP&amp;HEIGH","T=450&amp;WIDTH=450&amp;START_MAXIMIZED=FALSE&amp;VAR:CALENDAR=US&amp;VAR:SYMBOL=BHI&amp;VAR:INDEX=0"}</definedName>
    <definedName name="_883__FDSAUDITLINK__" hidden="1">{"fdsup://directions/FAT Viewer?action=UPDATE&amp;creator=factset&amp;DYN_ARGS=TRUE&amp;DOC_NAME=FAT:FQL_AUDITING_CLIENT_TEMPLATE.FAT&amp;display_string=Audit&amp;VAR:KEY=XMPUVAPONW&amp;VAR:QUERY=RkZfRUJJVERBX09QRVIoUVRSLDQvMS8yMDA5LDYvMzAvMjAwOSwsLFVTRCk=&amp;WINDOW=FIRST_POPUP&amp;HEIGH","T=450&amp;WIDTH=450&amp;START_MAXIMIZED=FALSE&amp;VAR:CALENDAR=US&amp;VAR:SYMBOL=BHI&amp;VAR:INDEX=0"}</definedName>
    <definedName name="_884__FDSAUDITLINK__" localSheetId="1" hidden="1">{"fdsup://directions/FAT Viewer?action=UPDATE&amp;creator=factset&amp;DYN_ARGS=TRUE&amp;DOC_NAME=FAT:FQL_AUDITING_CLIENT_TEMPLATE.FAT&amp;display_string=Audit&amp;VAR:KEY=HAJALKNCXS&amp;VAR:QUERY=RkZfRUJJVERBX09QRVIoUVRSLDQvMS8yMDEwLDYvMzAvMjAxMCwsLFVTRCk=&amp;WINDOW=FIRST_POPUP&amp;HEIGH","T=450&amp;WIDTH=450&amp;START_MAXIMIZED=FALSE&amp;VAR:CALENDAR=US&amp;VAR:SYMBOL=BHI&amp;VAR:INDEX=0"}</definedName>
    <definedName name="_884__FDSAUDITLINK__" hidden="1">{"fdsup://directions/FAT Viewer?action=UPDATE&amp;creator=factset&amp;DYN_ARGS=TRUE&amp;DOC_NAME=FAT:FQL_AUDITING_CLIENT_TEMPLATE.FAT&amp;display_string=Audit&amp;VAR:KEY=HAJALKNCXS&amp;VAR:QUERY=RkZfRUJJVERBX09QRVIoUVRSLDQvMS8yMDEwLDYvMzAvMjAxMCwsLFVTRCk=&amp;WINDOW=FIRST_POPUP&amp;HEIGH","T=450&amp;WIDTH=450&amp;START_MAXIMIZED=FALSE&amp;VAR:CALENDAR=US&amp;VAR:SYMBOL=BHI&amp;VAR:INDEX=0"}</definedName>
    <definedName name="_885__FDSAUDITLINK__" localSheetId="1" hidden="1">{"fdsup://directions/FAT Viewer?action=UPDATE&amp;creator=factset&amp;DYN_ARGS=TRUE&amp;DOC_NAME=FAT:FQL_AUDITING_CLIENT_TEMPLATE.FAT&amp;display_string=Audit&amp;VAR:KEY=RGZATCFCDK&amp;VAR:QUERY=RkZfRUJJVERBX09QRVIoUVRSLDQvMS8yMDA5LDYvMzAvMjAwOSwsLFVTRCk=&amp;WINDOW=FIRST_POPUP&amp;HEIGH","T=450&amp;WIDTH=450&amp;START_MAXIMIZED=FALSE&amp;VAR:CALENDAR=US&amp;VAR:SYMBOL=BF.B&amp;VAR:INDEX=0"}</definedName>
    <definedName name="_885__FDSAUDITLINK__" hidden="1">{"fdsup://directions/FAT Viewer?action=UPDATE&amp;creator=factset&amp;DYN_ARGS=TRUE&amp;DOC_NAME=FAT:FQL_AUDITING_CLIENT_TEMPLATE.FAT&amp;display_string=Audit&amp;VAR:KEY=RGZATCFCDK&amp;VAR:QUERY=RkZfRUJJVERBX09QRVIoUVRSLDQvMS8yMDA5LDYvMzAvMjAwOSwsLFVTRCk=&amp;WINDOW=FIRST_POPUP&amp;HEIGH","T=450&amp;WIDTH=450&amp;START_MAXIMIZED=FALSE&amp;VAR:CALENDAR=US&amp;VAR:SYMBOL=BF.B&amp;VAR:INDEX=0"}</definedName>
    <definedName name="_886__FDSAUDITLINK__" localSheetId="1" hidden="1">{"fdsup://directions/FAT Viewer?action=UPDATE&amp;creator=factset&amp;DYN_ARGS=TRUE&amp;DOC_NAME=FAT:FQL_AUDITING_CLIENT_TEMPLATE.FAT&amp;display_string=Audit&amp;VAR:KEY=VEBENQLMBC&amp;VAR:QUERY=RkZfRUJJVERBX09QRVIoUVRSLDQvMS8yMDEwLDYvMzAvMjAxMCwsLFVTRCk=&amp;WINDOW=FIRST_POPUP&amp;HEIGH","T=450&amp;WIDTH=450&amp;START_MAXIMIZED=FALSE&amp;VAR:CALENDAR=US&amp;VAR:SYMBOL=BF.B&amp;VAR:INDEX=0"}</definedName>
    <definedName name="_886__FDSAUDITLINK__" hidden="1">{"fdsup://directions/FAT Viewer?action=UPDATE&amp;creator=factset&amp;DYN_ARGS=TRUE&amp;DOC_NAME=FAT:FQL_AUDITING_CLIENT_TEMPLATE.FAT&amp;display_string=Audit&amp;VAR:KEY=VEBENQLMBC&amp;VAR:QUERY=RkZfRUJJVERBX09QRVIoUVRSLDQvMS8yMDEwLDYvMzAvMjAxMCwsLFVTRCk=&amp;WINDOW=FIRST_POPUP&amp;HEIGH","T=450&amp;WIDTH=450&amp;START_MAXIMIZED=FALSE&amp;VAR:CALENDAR=US&amp;VAR:SYMBOL=BF.B&amp;VAR:INDEX=0"}</definedName>
    <definedName name="_887__FDSAUDITLINK__" localSheetId="1" hidden="1">{"fdsup://directions/FAT Viewer?action=UPDATE&amp;creator=factset&amp;DYN_ARGS=TRUE&amp;DOC_NAME=FAT:FQL_AUDITING_CLIENT_TEMPLATE.FAT&amp;display_string=Audit&amp;VAR:KEY=JGJCZUFSVS&amp;VAR:QUERY=RkZfRUJJVERBX09QRVIoUVRSLDQvMS8yMDA5LDYvMzAvMjAwOSwsLFVTRCk=&amp;WINDOW=FIRST_POPUP&amp;HEIGH","T=450&amp;WIDTH=450&amp;START_MAXIMIZED=FALSE&amp;VAR:CALENDAR=US&amp;VAR:SYMBOL=BEN&amp;VAR:INDEX=0"}</definedName>
    <definedName name="_887__FDSAUDITLINK__" hidden="1">{"fdsup://directions/FAT Viewer?action=UPDATE&amp;creator=factset&amp;DYN_ARGS=TRUE&amp;DOC_NAME=FAT:FQL_AUDITING_CLIENT_TEMPLATE.FAT&amp;display_string=Audit&amp;VAR:KEY=JGJCZUFSVS&amp;VAR:QUERY=RkZfRUJJVERBX09QRVIoUVRSLDQvMS8yMDA5LDYvMzAvMjAwOSwsLFVTRCk=&amp;WINDOW=FIRST_POPUP&amp;HEIGH","T=450&amp;WIDTH=450&amp;START_MAXIMIZED=FALSE&amp;VAR:CALENDAR=US&amp;VAR:SYMBOL=BEN&amp;VAR:INDEX=0"}</definedName>
    <definedName name="_888__FDSAUDITLINK__" localSheetId="1" hidden="1">{"fdsup://directions/FAT Viewer?action=UPDATE&amp;creator=factset&amp;DYN_ARGS=TRUE&amp;DOC_NAME=FAT:FQL_AUDITING_CLIENT_TEMPLATE.FAT&amp;display_string=Audit&amp;VAR:KEY=TUTIBCNWJS&amp;VAR:QUERY=RkZfRUJJVERBX09QRVIoUVRSLDQvMS8yMDEwLDYvMzAvMjAxMCwsLFVTRCk=&amp;WINDOW=FIRST_POPUP&amp;HEIGH","T=450&amp;WIDTH=450&amp;START_MAXIMIZED=FALSE&amp;VAR:CALENDAR=US&amp;VAR:SYMBOL=BEN&amp;VAR:INDEX=0"}</definedName>
    <definedName name="_888__FDSAUDITLINK__" hidden="1">{"fdsup://directions/FAT Viewer?action=UPDATE&amp;creator=factset&amp;DYN_ARGS=TRUE&amp;DOC_NAME=FAT:FQL_AUDITING_CLIENT_TEMPLATE.FAT&amp;display_string=Audit&amp;VAR:KEY=TUTIBCNWJS&amp;VAR:QUERY=RkZfRUJJVERBX09QRVIoUVRSLDQvMS8yMDEwLDYvMzAvMjAxMCwsLFVTRCk=&amp;WINDOW=FIRST_POPUP&amp;HEIGH","T=450&amp;WIDTH=450&amp;START_MAXIMIZED=FALSE&amp;VAR:CALENDAR=US&amp;VAR:SYMBOL=BEN&amp;VAR:INDEX=0"}</definedName>
    <definedName name="_889__FDSAUDITLINK__" localSheetId="1" hidden="1">{"fdsup://directions/FAT Viewer?action=UPDATE&amp;creator=factset&amp;DYN_ARGS=TRUE&amp;DOC_NAME=FAT:FQL_AUDITING_CLIENT_TEMPLATE.FAT&amp;display_string=Audit&amp;VAR:KEY=ZIFKTWLGDG&amp;VAR:QUERY=RkZfRUJJVERBX09QRVIoUVRSLDQvMS8yMDA5LDYvMzAvMjAwOSwsLFVTRCk=&amp;WINDOW=FIRST_POPUP&amp;HEIGH","T=450&amp;WIDTH=450&amp;START_MAXIMIZED=FALSE&amp;VAR:CALENDAR=US&amp;VAR:SYMBOL=BDX&amp;VAR:INDEX=0"}</definedName>
    <definedName name="_889__FDSAUDITLINK__" hidden="1">{"fdsup://directions/FAT Viewer?action=UPDATE&amp;creator=factset&amp;DYN_ARGS=TRUE&amp;DOC_NAME=FAT:FQL_AUDITING_CLIENT_TEMPLATE.FAT&amp;display_string=Audit&amp;VAR:KEY=ZIFKTWLGDG&amp;VAR:QUERY=RkZfRUJJVERBX09QRVIoUVRSLDQvMS8yMDA5LDYvMzAvMjAwOSwsLFVTRCk=&amp;WINDOW=FIRST_POPUP&amp;HEIGH","T=450&amp;WIDTH=450&amp;START_MAXIMIZED=FALSE&amp;VAR:CALENDAR=US&amp;VAR:SYMBOL=BDX&amp;VAR:INDEX=0"}</definedName>
    <definedName name="_89__FDSAUDITLINK__" localSheetId="1" hidden="1">{"fdsup://directions/FAT Viewer?action=UPDATE&amp;creator=factset&amp;DYN_ARGS=TRUE&amp;DOC_NAME=FAT:FQL_AUDITING_CLIENT_TEMPLATE.FAT&amp;display_string=Audit&amp;VAR:KEY=BIRMHKJWVW&amp;VAR:QUERY=RkZfRUJJVERBX09QRVIoUVRSLDQvMS8yMDA5LDYvMzAvMjAwOSwsLFVTRCk=&amp;WINDOW=FIRST_POPUP&amp;HEIGH","T=450&amp;WIDTH=450&amp;START_MAXIMIZED=FALSE&amp;VAR:CALENDAR=US&amp;VAR:SYMBOL=UNP&amp;VAR:INDEX=0"}</definedName>
    <definedName name="_89__FDSAUDITLINK__" hidden="1">{"fdsup://directions/FAT Viewer?action=UPDATE&amp;creator=factset&amp;DYN_ARGS=TRUE&amp;DOC_NAME=FAT:FQL_AUDITING_CLIENT_TEMPLATE.FAT&amp;display_string=Audit&amp;VAR:KEY=BIRMHKJWVW&amp;VAR:QUERY=RkZfRUJJVERBX09QRVIoUVRSLDQvMS8yMDA5LDYvMzAvMjAwOSwsLFVTRCk=&amp;WINDOW=FIRST_POPUP&amp;HEIGH","T=450&amp;WIDTH=450&amp;START_MAXIMIZED=FALSE&amp;VAR:CALENDAR=US&amp;VAR:SYMBOL=UNP&amp;VAR:INDEX=0"}</definedName>
    <definedName name="_890__FDSAUDITLINK__" localSheetId="1" hidden="1">{"fdsup://directions/FAT Viewer?action=UPDATE&amp;creator=factset&amp;DYN_ARGS=TRUE&amp;DOC_NAME=FAT:FQL_AUDITING_CLIENT_TEMPLATE.FAT&amp;display_string=Audit&amp;VAR:KEY=PWJUBUVMLA&amp;VAR:QUERY=RkZfRUJJVERBX09QRVIoUVRSLDQvMS8yMDEwLDYvMzAvMjAxMCwsLFVTRCk=&amp;WINDOW=FIRST_POPUP&amp;HEIGH","T=450&amp;WIDTH=450&amp;START_MAXIMIZED=FALSE&amp;VAR:CALENDAR=US&amp;VAR:SYMBOL=BDX&amp;VAR:INDEX=0"}</definedName>
    <definedName name="_890__FDSAUDITLINK__" hidden="1">{"fdsup://directions/FAT Viewer?action=UPDATE&amp;creator=factset&amp;DYN_ARGS=TRUE&amp;DOC_NAME=FAT:FQL_AUDITING_CLIENT_TEMPLATE.FAT&amp;display_string=Audit&amp;VAR:KEY=PWJUBUVMLA&amp;VAR:QUERY=RkZfRUJJVERBX09QRVIoUVRSLDQvMS8yMDEwLDYvMzAvMjAxMCwsLFVTRCk=&amp;WINDOW=FIRST_POPUP&amp;HEIGH","T=450&amp;WIDTH=450&amp;START_MAXIMIZED=FALSE&amp;VAR:CALENDAR=US&amp;VAR:SYMBOL=BDX&amp;VAR:INDEX=0"}</definedName>
    <definedName name="_891__FDSAUDITLINK__" localSheetId="1" hidden="1">{"fdsup://directions/FAT Viewer?action=UPDATE&amp;creator=factset&amp;DYN_ARGS=TRUE&amp;DOC_NAME=FAT:FQL_AUDITING_CLIENT_TEMPLATE.FAT&amp;display_string=Audit&amp;VAR:KEY=ZUPUBKZUPC&amp;VAR:QUERY=RkZfRUJJVERBX09QRVIoUVRSLDQvMS8yMDA5LDYvMzAvMjAwOSwsLFVTRCk=&amp;WINDOW=FIRST_POPUP&amp;HEIGH","T=450&amp;WIDTH=450&amp;START_MAXIMIZED=FALSE&amp;VAR:CALENDAR=US&amp;VAR:SYMBOL=BCR&amp;VAR:INDEX=0"}</definedName>
    <definedName name="_891__FDSAUDITLINK__" hidden="1">{"fdsup://directions/FAT Viewer?action=UPDATE&amp;creator=factset&amp;DYN_ARGS=TRUE&amp;DOC_NAME=FAT:FQL_AUDITING_CLIENT_TEMPLATE.FAT&amp;display_string=Audit&amp;VAR:KEY=ZUPUBKZUPC&amp;VAR:QUERY=RkZfRUJJVERBX09QRVIoUVRSLDQvMS8yMDA5LDYvMzAvMjAwOSwsLFVTRCk=&amp;WINDOW=FIRST_POPUP&amp;HEIGH","T=450&amp;WIDTH=450&amp;START_MAXIMIZED=FALSE&amp;VAR:CALENDAR=US&amp;VAR:SYMBOL=BCR&amp;VAR:INDEX=0"}</definedName>
    <definedName name="_892__FDSAUDITLINK__" localSheetId="1" hidden="1">{"fdsup://directions/FAT Viewer?action=UPDATE&amp;creator=factset&amp;DYN_ARGS=TRUE&amp;DOC_NAME=FAT:FQL_AUDITING_CLIENT_TEMPLATE.FAT&amp;display_string=Audit&amp;VAR:KEY=VSDYHYZGRE&amp;VAR:QUERY=RkZfRUJJVERBX09QRVIoUVRSLDQvMS8yMDEwLDYvMzAvMjAxMCwsLFVTRCk=&amp;WINDOW=FIRST_POPUP&amp;HEIGH","T=450&amp;WIDTH=450&amp;START_MAXIMIZED=FALSE&amp;VAR:CALENDAR=US&amp;VAR:SYMBOL=BCR&amp;VAR:INDEX=0"}</definedName>
    <definedName name="_892__FDSAUDITLINK__" hidden="1">{"fdsup://directions/FAT Viewer?action=UPDATE&amp;creator=factset&amp;DYN_ARGS=TRUE&amp;DOC_NAME=FAT:FQL_AUDITING_CLIENT_TEMPLATE.FAT&amp;display_string=Audit&amp;VAR:KEY=VSDYHYZGRE&amp;VAR:QUERY=RkZfRUJJVERBX09QRVIoUVRSLDQvMS8yMDEwLDYvMzAvMjAxMCwsLFVTRCk=&amp;WINDOW=FIRST_POPUP&amp;HEIGH","T=450&amp;WIDTH=450&amp;START_MAXIMIZED=FALSE&amp;VAR:CALENDAR=US&amp;VAR:SYMBOL=BCR&amp;VAR:INDEX=0"}</definedName>
    <definedName name="_893__FDSAUDITLINK__" localSheetId="1" hidden="1">{"fdsup://directions/FAT Viewer?action=UPDATE&amp;creator=factset&amp;DYN_ARGS=TRUE&amp;DOC_NAME=FAT:FQL_AUDITING_CLIENT_TEMPLATE.FAT&amp;display_string=Audit&amp;VAR:KEY=VSTKNOHKJO&amp;VAR:QUERY=RkZfRUJJVERBX09QRVIoUVRSLDQvMS8yMDA5LDYvMzAvMjAwOSwsLFVTRCk=&amp;WINDOW=FIRST_POPUP&amp;HEIGH","T=450&amp;WIDTH=450&amp;START_MAXIMIZED=FALSE&amp;VAR:CALENDAR=US&amp;VAR:SYMBOL=BBY&amp;VAR:INDEX=0"}</definedName>
    <definedName name="_893__FDSAUDITLINK__" hidden="1">{"fdsup://directions/FAT Viewer?action=UPDATE&amp;creator=factset&amp;DYN_ARGS=TRUE&amp;DOC_NAME=FAT:FQL_AUDITING_CLIENT_TEMPLATE.FAT&amp;display_string=Audit&amp;VAR:KEY=VSTKNOHKJO&amp;VAR:QUERY=RkZfRUJJVERBX09QRVIoUVRSLDQvMS8yMDA5LDYvMzAvMjAwOSwsLFVTRCk=&amp;WINDOW=FIRST_POPUP&amp;HEIGH","T=450&amp;WIDTH=450&amp;START_MAXIMIZED=FALSE&amp;VAR:CALENDAR=US&amp;VAR:SYMBOL=BBY&amp;VAR:INDEX=0"}</definedName>
    <definedName name="_894__FDSAUDITLINK__" localSheetId="1" hidden="1">{"fdsup://directions/FAT Viewer?action=UPDATE&amp;creator=factset&amp;DYN_ARGS=TRUE&amp;DOC_NAME=FAT:FQL_AUDITING_CLIENT_TEMPLATE.FAT&amp;display_string=Audit&amp;VAR:KEY=PQFKVYZOPS&amp;VAR:QUERY=RkZfRUJJVERBX09QRVIoUVRSLDQvMS8yMDEwLDYvMzAvMjAxMCwsLFVTRCk=&amp;WINDOW=FIRST_POPUP&amp;HEIGH","T=450&amp;WIDTH=450&amp;START_MAXIMIZED=FALSE&amp;VAR:CALENDAR=US&amp;VAR:SYMBOL=BBY&amp;VAR:INDEX=0"}</definedName>
    <definedName name="_894__FDSAUDITLINK__" hidden="1">{"fdsup://directions/FAT Viewer?action=UPDATE&amp;creator=factset&amp;DYN_ARGS=TRUE&amp;DOC_NAME=FAT:FQL_AUDITING_CLIENT_TEMPLATE.FAT&amp;display_string=Audit&amp;VAR:KEY=PQFKVYZOPS&amp;VAR:QUERY=RkZfRUJJVERBX09QRVIoUVRSLDQvMS8yMDEwLDYvMzAvMjAxMCwsLFVTRCk=&amp;WINDOW=FIRST_POPUP&amp;HEIGH","T=450&amp;WIDTH=450&amp;START_MAXIMIZED=FALSE&amp;VAR:CALENDAR=US&amp;VAR:SYMBOL=BBY&amp;VAR:INDEX=0"}</definedName>
    <definedName name="_895__FDSAUDITLINK__" localSheetId="1" hidden="1">{"fdsup://directions/FAT Viewer?action=UPDATE&amp;creator=factset&amp;DYN_ARGS=TRUE&amp;DOC_NAME=FAT:FQL_AUDITING_CLIENT_TEMPLATE.FAT&amp;display_string=Audit&amp;VAR:KEY=RGTKLYJCXW&amp;VAR:QUERY=RkZfRUJJVERBX09QRVIoUVRSLDQvMS8yMDA5LDYvMzAvMjAwOSwsLFVTRCk=&amp;WINDOW=FIRST_POPUP&amp;HEIGH","T=450&amp;WIDTH=450&amp;START_MAXIMIZED=FALSE&amp;VAR:CALENDAR=US&amp;VAR:SYMBOL=BBT&amp;VAR:INDEX=0"}</definedName>
    <definedName name="_895__FDSAUDITLINK__" hidden="1">{"fdsup://directions/FAT Viewer?action=UPDATE&amp;creator=factset&amp;DYN_ARGS=TRUE&amp;DOC_NAME=FAT:FQL_AUDITING_CLIENT_TEMPLATE.FAT&amp;display_string=Audit&amp;VAR:KEY=RGTKLYJCXW&amp;VAR:QUERY=RkZfRUJJVERBX09QRVIoUVRSLDQvMS8yMDA5LDYvMzAvMjAwOSwsLFVTRCk=&amp;WINDOW=FIRST_POPUP&amp;HEIGH","T=450&amp;WIDTH=450&amp;START_MAXIMIZED=FALSE&amp;VAR:CALENDAR=US&amp;VAR:SYMBOL=BBT&amp;VAR:INDEX=0"}</definedName>
    <definedName name="_896__FDSAUDITLINK__" localSheetId="1" hidden="1">{"fdsup://directions/FAT Viewer?action=UPDATE&amp;creator=factset&amp;DYN_ARGS=TRUE&amp;DOC_NAME=FAT:FQL_AUDITING_CLIENT_TEMPLATE.FAT&amp;display_string=Audit&amp;VAR:KEY=BARCTOFSPE&amp;VAR:QUERY=RkZfRUJJVERBX09QRVIoUVRSLDQvMS8yMDEwLDYvMzAvMjAxMCwsLFVTRCk=&amp;WINDOW=FIRST_POPUP&amp;HEIGH","T=450&amp;WIDTH=450&amp;START_MAXIMIZED=FALSE&amp;VAR:CALENDAR=US&amp;VAR:SYMBOL=BBT&amp;VAR:INDEX=0"}</definedName>
    <definedName name="_896__FDSAUDITLINK__" hidden="1">{"fdsup://directions/FAT Viewer?action=UPDATE&amp;creator=factset&amp;DYN_ARGS=TRUE&amp;DOC_NAME=FAT:FQL_AUDITING_CLIENT_TEMPLATE.FAT&amp;display_string=Audit&amp;VAR:KEY=BARCTOFSPE&amp;VAR:QUERY=RkZfRUJJVERBX09QRVIoUVRSLDQvMS8yMDEwLDYvMzAvMjAxMCwsLFVTRCk=&amp;WINDOW=FIRST_POPUP&amp;HEIGH","T=450&amp;WIDTH=450&amp;START_MAXIMIZED=FALSE&amp;VAR:CALENDAR=US&amp;VAR:SYMBOL=BBT&amp;VAR:INDEX=0"}</definedName>
    <definedName name="_897__FDSAUDITLINK__" localSheetId="1" hidden="1">{"fdsup://directions/FAT Viewer?action=UPDATE&amp;creator=factset&amp;DYN_ARGS=TRUE&amp;DOC_NAME=FAT:FQL_AUDITING_CLIENT_TEMPLATE.FAT&amp;display_string=Audit&amp;VAR:KEY=FUTIVWPWFO&amp;VAR:QUERY=RkZfRUJJVERBX09QRVIoUVRSLDQvMS8yMDA5LDYvMzAvMjAwOSwsLFVTRCk=&amp;WINDOW=FIRST_POPUP&amp;HEIGH","T=450&amp;WIDTH=450&amp;START_MAXIMIZED=FALSE&amp;VAR:CALENDAR=US&amp;VAR:SYMBOL=BBBY&amp;VAR:INDEX=0"}</definedName>
    <definedName name="_897__FDSAUDITLINK__" hidden="1">{"fdsup://directions/FAT Viewer?action=UPDATE&amp;creator=factset&amp;DYN_ARGS=TRUE&amp;DOC_NAME=FAT:FQL_AUDITING_CLIENT_TEMPLATE.FAT&amp;display_string=Audit&amp;VAR:KEY=FUTIVWPWFO&amp;VAR:QUERY=RkZfRUJJVERBX09QRVIoUVRSLDQvMS8yMDA5LDYvMzAvMjAwOSwsLFVTRCk=&amp;WINDOW=FIRST_POPUP&amp;HEIGH","T=450&amp;WIDTH=450&amp;START_MAXIMIZED=FALSE&amp;VAR:CALENDAR=US&amp;VAR:SYMBOL=BBBY&amp;VAR:INDEX=0"}</definedName>
    <definedName name="_898__FDSAUDITLINK__" localSheetId="1" hidden="1">{"fdsup://directions/FAT Viewer?action=UPDATE&amp;creator=factset&amp;DYN_ARGS=TRUE&amp;DOC_NAME=FAT:FQL_AUDITING_CLIENT_TEMPLATE.FAT&amp;display_string=Audit&amp;VAR:KEY=JYXGRKBIVE&amp;VAR:QUERY=RkZfRUJJVERBX09QRVIoUVRSLDQvMS8yMDEwLDYvMzAvMjAxMCwsLFVTRCk=&amp;WINDOW=FIRST_POPUP&amp;HEIGH","T=450&amp;WIDTH=450&amp;START_MAXIMIZED=FALSE&amp;VAR:CALENDAR=US&amp;VAR:SYMBOL=BBBY&amp;VAR:INDEX=0"}</definedName>
    <definedName name="_898__FDSAUDITLINK__" hidden="1">{"fdsup://directions/FAT Viewer?action=UPDATE&amp;creator=factset&amp;DYN_ARGS=TRUE&amp;DOC_NAME=FAT:FQL_AUDITING_CLIENT_TEMPLATE.FAT&amp;display_string=Audit&amp;VAR:KEY=JYXGRKBIVE&amp;VAR:QUERY=RkZfRUJJVERBX09QRVIoUVRSLDQvMS8yMDEwLDYvMzAvMjAxMCwsLFVTRCk=&amp;WINDOW=FIRST_POPUP&amp;HEIGH","T=450&amp;WIDTH=450&amp;START_MAXIMIZED=FALSE&amp;VAR:CALENDAR=US&amp;VAR:SYMBOL=BBBY&amp;VAR:INDEX=0"}</definedName>
    <definedName name="_899__FDSAUDITLINK__" localSheetId="1" hidden="1">{"fdsup://directions/FAT Viewer?action=UPDATE&amp;creator=factset&amp;DYN_ARGS=TRUE&amp;DOC_NAME=FAT:FQL_AUDITING_CLIENT_TEMPLATE.FAT&amp;display_string=Audit&amp;VAR:KEY=FULUFCTING&amp;VAR:QUERY=RkZfRUJJVERBX09QRVIoUVRSLDQvMS8yMDA5LDYvMzAvMjAwOSwsLFVTRCk=&amp;WINDOW=FIRST_POPUP&amp;HEIGH","T=450&amp;WIDTH=450&amp;START_MAXIMIZED=FALSE&amp;VAR:CALENDAR=US&amp;VAR:SYMBOL=BAX&amp;VAR:INDEX=0"}</definedName>
    <definedName name="_899__FDSAUDITLINK__" hidden="1">{"fdsup://directions/FAT Viewer?action=UPDATE&amp;creator=factset&amp;DYN_ARGS=TRUE&amp;DOC_NAME=FAT:FQL_AUDITING_CLIENT_TEMPLATE.FAT&amp;display_string=Audit&amp;VAR:KEY=FULUFCTING&amp;VAR:QUERY=RkZfRUJJVERBX09QRVIoUVRSLDQvMS8yMDA5LDYvMzAvMjAwOSwsLFVTRCk=&amp;WINDOW=FIRST_POPUP&amp;HEIGH","T=450&amp;WIDTH=450&amp;START_MAXIMIZED=FALSE&amp;VAR:CALENDAR=US&amp;VAR:SYMBOL=BAX&amp;VAR:INDEX=0"}</definedName>
    <definedName name="_9__FDSAUDITLINK__" localSheetId="1" hidden="1">{"fdsup://directions/FAT Viewer?action=UPDATE&amp;creator=factset&amp;DYN_ARGS=TRUE&amp;DOC_NAME=FAT:FQL_AUDITING_CLIENT_TEMPLATE.FAT&amp;display_string=Audit&amp;VAR:KEY=PYVMTQJSRQ&amp;VAR:QUERY=RkZfRUJJVERBX09QRVIoUVRSLDQvMS8yMDA5LDYvMzAvMjAwOSwsLFVTRCk=&amp;WINDOW=FIRST_POPUP&amp;HEIGH","T=450&amp;WIDTH=450&amp;START_MAXIMIZED=FALSE&amp;VAR:CALENDAR=US&amp;VAR:SYMBOL=XRX&amp;VAR:INDEX=0"}</definedName>
    <definedName name="_9__FDSAUDITLINK__" hidden="1">{"fdsup://Directions/FactSet Auditing Viewer?action=AUDIT_VALUE&amp;DB=129&amp;ID1=590294&amp;VALUEID=02001&amp;SDATE=200903&amp;PERIODTYPE=QTR_STD&amp;window=popup_no_bar&amp;width=385&amp;height=120&amp;START_MAXIMIZED=FALSE&amp;creator=factset&amp;display_string=Audit"}</definedName>
    <definedName name="_90__FDSAUDITLINK__" localSheetId="1" hidden="1">{"fdsup://directions/FAT Viewer?action=UPDATE&amp;creator=factset&amp;DYN_ARGS=TRUE&amp;DOC_NAME=FAT:FQL_AUDITING_CLIENT_TEMPLATE.FAT&amp;display_string=Audit&amp;VAR:KEY=RSNMPMHMDM&amp;VAR:QUERY=RkZfRUJJVERBX09QRVIoUVRSLDQvMS8yMDEwLDYvMzAvMjAxMCwsLFVTRCk=&amp;WINDOW=FIRST_POPUP&amp;HEIGH","T=450&amp;WIDTH=450&amp;START_MAXIMIZED=FALSE&amp;VAR:CALENDAR=US&amp;VAR:SYMBOL=UNP&amp;VAR:INDEX=0"}</definedName>
    <definedName name="_90__FDSAUDITLINK__" hidden="1">{"fdsup://directions/FAT Viewer?action=UPDATE&amp;creator=factset&amp;DYN_ARGS=TRUE&amp;DOC_NAME=FAT:FQL_AUDITING_CLIENT_TEMPLATE.FAT&amp;display_string=Audit&amp;VAR:KEY=RSNMPMHMDM&amp;VAR:QUERY=RkZfRUJJVERBX09QRVIoUVRSLDQvMS8yMDEwLDYvMzAvMjAxMCwsLFVTRCk=&amp;WINDOW=FIRST_POPUP&amp;HEIGH","T=450&amp;WIDTH=450&amp;START_MAXIMIZED=FALSE&amp;VAR:CALENDAR=US&amp;VAR:SYMBOL=UNP&amp;VAR:INDEX=0"}</definedName>
    <definedName name="_900__FDSAUDITLINK__" localSheetId="1" hidden="1">{"fdsup://directions/FAT Viewer?action=UPDATE&amp;creator=factset&amp;DYN_ARGS=TRUE&amp;DOC_NAME=FAT:FQL_AUDITING_CLIENT_TEMPLATE.FAT&amp;display_string=Audit&amp;VAR:KEY=HSPQHIBYRG&amp;VAR:QUERY=RkZfRUJJVERBX09QRVIoUVRSLDQvMS8yMDEwLDYvMzAvMjAxMCwsLFVTRCk=&amp;WINDOW=FIRST_POPUP&amp;HEIGH","T=450&amp;WIDTH=450&amp;START_MAXIMIZED=FALSE&amp;VAR:CALENDAR=US&amp;VAR:SYMBOL=BAX&amp;VAR:INDEX=0"}</definedName>
    <definedName name="_900__FDSAUDITLINK__" hidden="1">{"fdsup://directions/FAT Viewer?action=UPDATE&amp;creator=factset&amp;DYN_ARGS=TRUE&amp;DOC_NAME=FAT:FQL_AUDITING_CLIENT_TEMPLATE.FAT&amp;display_string=Audit&amp;VAR:KEY=HSPQHIBYRG&amp;VAR:QUERY=RkZfRUJJVERBX09QRVIoUVRSLDQvMS8yMDEwLDYvMzAvMjAxMCwsLFVTRCk=&amp;WINDOW=FIRST_POPUP&amp;HEIGH","T=450&amp;WIDTH=450&amp;START_MAXIMIZED=FALSE&amp;VAR:CALENDAR=US&amp;VAR:SYMBOL=BAX&amp;VAR:INDEX=0"}</definedName>
    <definedName name="_901__FDSAUDITLINK__" localSheetId="1" hidden="1">{"fdsup://directions/FAT Viewer?action=UPDATE&amp;creator=factset&amp;DYN_ARGS=TRUE&amp;DOC_NAME=FAT:FQL_AUDITING_CLIENT_TEMPLATE.FAT&amp;display_string=Audit&amp;VAR:KEY=POHWNIDEHK&amp;VAR:QUERY=RkZfRUJJVERBX09QRVIoUVRSLDQvMS8yMDA5LDYvMzAvMjAwOSwsLFVTRCk=&amp;WINDOW=FIRST_POPUP&amp;HEIGH","T=450&amp;WIDTH=450&amp;START_MAXIMIZED=FALSE&amp;VAR:CALENDAR=US&amp;VAR:SYMBOL=BAC&amp;VAR:INDEX=0"}</definedName>
    <definedName name="_901__FDSAUDITLINK__" hidden="1">{"fdsup://directions/FAT Viewer?action=UPDATE&amp;creator=factset&amp;DYN_ARGS=TRUE&amp;DOC_NAME=FAT:FQL_AUDITING_CLIENT_TEMPLATE.FAT&amp;display_string=Audit&amp;VAR:KEY=POHWNIDEHK&amp;VAR:QUERY=RkZfRUJJVERBX09QRVIoUVRSLDQvMS8yMDA5LDYvMzAvMjAwOSwsLFVTRCk=&amp;WINDOW=FIRST_POPUP&amp;HEIGH","T=450&amp;WIDTH=450&amp;START_MAXIMIZED=FALSE&amp;VAR:CALENDAR=US&amp;VAR:SYMBOL=BAC&amp;VAR:INDEX=0"}</definedName>
    <definedName name="_902__FDSAUDITLINK__" localSheetId="1" hidden="1">{"fdsup://directions/FAT Viewer?action=UPDATE&amp;creator=factset&amp;DYN_ARGS=TRUE&amp;DOC_NAME=FAT:FQL_AUDITING_CLIENT_TEMPLATE.FAT&amp;display_string=Audit&amp;VAR:KEY=VWJEZYFODY&amp;VAR:QUERY=RkZfRUJJVERBX09QRVIoUVRSLDQvMS8yMDEwLDYvMzAvMjAxMCwsLFVTRCk=&amp;WINDOW=FIRST_POPUP&amp;HEIGH","T=450&amp;WIDTH=450&amp;START_MAXIMIZED=FALSE&amp;VAR:CALENDAR=US&amp;VAR:SYMBOL=BAC&amp;VAR:INDEX=0"}</definedName>
    <definedName name="_902__FDSAUDITLINK__" hidden="1">{"fdsup://directions/FAT Viewer?action=UPDATE&amp;creator=factset&amp;DYN_ARGS=TRUE&amp;DOC_NAME=FAT:FQL_AUDITING_CLIENT_TEMPLATE.FAT&amp;display_string=Audit&amp;VAR:KEY=VWJEZYFODY&amp;VAR:QUERY=RkZfRUJJVERBX09QRVIoUVRSLDQvMS8yMDEwLDYvMzAvMjAxMCwsLFVTRCk=&amp;WINDOW=FIRST_POPUP&amp;HEIGH","T=450&amp;WIDTH=450&amp;START_MAXIMIZED=FALSE&amp;VAR:CALENDAR=US&amp;VAR:SYMBOL=BAC&amp;VAR:INDEX=0"}</definedName>
    <definedName name="_903__FDSAUDITLINK__" localSheetId="1" hidden="1">{"fdsup://directions/FAT Viewer?action=UPDATE&amp;creator=factset&amp;DYN_ARGS=TRUE&amp;DOC_NAME=FAT:FQL_AUDITING_CLIENT_TEMPLATE.FAT&amp;display_string=Audit&amp;VAR:KEY=HALAJGZYXC&amp;VAR:QUERY=RkZfRUJJVERBX09QRVIoUVRSLDQvMS8yMDA5LDYvMzAvMjAwOSwsLFVTRCk=&amp;WINDOW=FIRST_POPUP&amp;HEIGH","T=450&amp;WIDTH=450&amp;START_MAXIMIZED=FALSE&amp;VAR:CALENDAR=US&amp;VAR:SYMBOL=BA&amp;VAR:INDEX=0"}</definedName>
    <definedName name="_903__FDSAUDITLINK__" hidden="1">{"fdsup://directions/FAT Viewer?action=UPDATE&amp;creator=factset&amp;DYN_ARGS=TRUE&amp;DOC_NAME=FAT:FQL_AUDITING_CLIENT_TEMPLATE.FAT&amp;display_string=Audit&amp;VAR:KEY=HALAJGZYXC&amp;VAR:QUERY=RkZfRUJJVERBX09QRVIoUVRSLDQvMS8yMDA5LDYvMzAvMjAwOSwsLFVTRCk=&amp;WINDOW=FIRST_POPUP&amp;HEIGH","T=450&amp;WIDTH=450&amp;START_MAXIMIZED=FALSE&amp;VAR:CALENDAR=US&amp;VAR:SYMBOL=BA&amp;VAR:INDEX=0"}</definedName>
    <definedName name="_904__FDSAUDITLINK__" localSheetId="1" hidden="1">{"fdsup://directions/FAT Viewer?action=UPDATE&amp;creator=factset&amp;DYN_ARGS=TRUE&amp;DOC_NAME=FAT:FQL_AUDITING_CLIENT_TEMPLATE.FAT&amp;display_string=Audit&amp;VAR:KEY=NSXMHOZGFO&amp;VAR:QUERY=RkZfRUJJVERBX09QRVIoUVRSLDQvMS8yMDEwLDYvMzAvMjAxMCwsLFVTRCk=&amp;WINDOW=FIRST_POPUP&amp;HEIGH","T=450&amp;WIDTH=450&amp;START_MAXIMIZED=FALSE&amp;VAR:CALENDAR=US&amp;VAR:SYMBOL=BA&amp;VAR:INDEX=0"}</definedName>
    <definedName name="_904__FDSAUDITLINK__" hidden="1">{"fdsup://directions/FAT Viewer?action=UPDATE&amp;creator=factset&amp;DYN_ARGS=TRUE&amp;DOC_NAME=FAT:FQL_AUDITING_CLIENT_TEMPLATE.FAT&amp;display_string=Audit&amp;VAR:KEY=NSXMHOZGFO&amp;VAR:QUERY=RkZfRUJJVERBX09QRVIoUVRSLDQvMS8yMDEwLDYvMzAvMjAxMCwsLFVTRCk=&amp;WINDOW=FIRST_POPUP&amp;HEIGH","T=450&amp;WIDTH=450&amp;START_MAXIMIZED=FALSE&amp;VAR:CALENDAR=US&amp;VAR:SYMBOL=BA&amp;VAR:INDEX=0"}</definedName>
    <definedName name="_905__FDSAUDITLINK__" localSheetId="1" hidden="1">{"fdsup://directions/FAT Viewer?action=UPDATE&amp;creator=factset&amp;DYN_ARGS=TRUE&amp;DOC_NAME=FAT:FQL_AUDITING_CLIENT_TEMPLATE.FAT&amp;display_string=Audit&amp;VAR:KEY=FMDIDIPQJU&amp;VAR:QUERY=RkZfRUJJVERBX09QRVIoUVRSLDQvMS8yMDA5LDYvMzAvMjAwOSwsLFVTRCk=&amp;WINDOW=FIRST_POPUP&amp;HEIGH","T=450&amp;WIDTH=450&amp;START_MAXIMIZED=FALSE&amp;VAR:CALENDAR=US&amp;VAR:SYMBOL=AZO&amp;VAR:INDEX=0"}</definedName>
    <definedName name="_905__FDSAUDITLINK__" hidden="1">{"fdsup://directions/FAT Viewer?action=UPDATE&amp;creator=factset&amp;DYN_ARGS=TRUE&amp;DOC_NAME=FAT:FQL_AUDITING_CLIENT_TEMPLATE.FAT&amp;display_string=Audit&amp;VAR:KEY=FMDIDIPQJU&amp;VAR:QUERY=RkZfRUJJVERBX09QRVIoUVRSLDQvMS8yMDA5LDYvMzAvMjAwOSwsLFVTRCk=&amp;WINDOW=FIRST_POPUP&amp;HEIGH","T=450&amp;WIDTH=450&amp;START_MAXIMIZED=FALSE&amp;VAR:CALENDAR=US&amp;VAR:SYMBOL=AZO&amp;VAR:INDEX=0"}</definedName>
    <definedName name="_906__FDSAUDITLINK__" localSheetId="1" hidden="1">{"fdsup://directions/FAT Viewer?action=UPDATE&amp;creator=factset&amp;DYN_ARGS=TRUE&amp;DOC_NAME=FAT:FQL_AUDITING_CLIENT_TEMPLATE.FAT&amp;display_string=Audit&amp;VAR:KEY=TSXWNSNOTA&amp;VAR:QUERY=RkZfRUJJVERBX09QRVIoUVRSLDQvMS8yMDEwLDYvMzAvMjAxMCwsLFVTRCk=&amp;WINDOW=FIRST_POPUP&amp;HEIGH","T=450&amp;WIDTH=450&amp;START_MAXIMIZED=FALSE&amp;VAR:CALENDAR=US&amp;VAR:SYMBOL=AZO&amp;VAR:INDEX=0"}</definedName>
    <definedName name="_906__FDSAUDITLINK__" hidden="1">{"fdsup://directions/FAT Viewer?action=UPDATE&amp;creator=factset&amp;DYN_ARGS=TRUE&amp;DOC_NAME=FAT:FQL_AUDITING_CLIENT_TEMPLATE.FAT&amp;display_string=Audit&amp;VAR:KEY=TSXWNSNOTA&amp;VAR:QUERY=RkZfRUJJVERBX09QRVIoUVRSLDQvMS8yMDEwLDYvMzAvMjAxMCwsLFVTRCk=&amp;WINDOW=FIRST_POPUP&amp;HEIGH","T=450&amp;WIDTH=450&amp;START_MAXIMIZED=FALSE&amp;VAR:CALENDAR=US&amp;VAR:SYMBOL=AZO&amp;VAR:INDEX=0"}</definedName>
    <definedName name="_907__FDSAUDITLINK__" localSheetId="1" hidden="1">{"fdsup://directions/FAT Viewer?action=UPDATE&amp;creator=factset&amp;DYN_ARGS=TRUE&amp;DOC_NAME=FAT:FQL_AUDITING_CLIENT_TEMPLATE.FAT&amp;display_string=Audit&amp;VAR:KEY=POJEHGTCDM&amp;VAR:QUERY=RkZfRUJJVERBX09QRVIoUVRSLDQvMS8yMDA5LDYvMzAvMjAwOSwsLFVTRCk=&amp;WINDOW=FIRST_POPUP&amp;HEIGH","T=450&amp;WIDTH=450&amp;START_MAXIMIZED=FALSE&amp;VAR:CALENDAR=US&amp;VAR:SYMBOL=AYE&amp;VAR:INDEX=0"}</definedName>
    <definedName name="_907__FDSAUDITLINK__" hidden="1">{"fdsup://directions/FAT Viewer?action=UPDATE&amp;creator=factset&amp;DYN_ARGS=TRUE&amp;DOC_NAME=FAT:FQL_AUDITING_CLIENT_TEMPLATE.FAT&amp;display_string=Audit&amp;VAR:KEY=POJEHGTCDM&amp;VAR:QUERY=RkZfRUJJVERBX09QRVIoUVRSLDQvMS8yMDA5LDYvMzAvMjAwOSwsLFVTRCk=&amp;WINDOW=FIRST_POPUP&amp;HEIGH","T=450&amp;WIDTH=450&amp;START_MAXIMIZED=FALSE&amp;VAR:CALENDAR=US&amp;VAR:SYMBOL=AYE&amp;VAR:INDEX=0"}</definedName>
    <definedName name="_908__FDSAUDITLINK__" localSheetId="1" hidden="1">{"fdsup://directions/FAT Viewer?action=UPDATE&amp;creator=factset&amp;DYN_ARGS=TRUE&amp;DOC_NAME=FAT:FQL_AUDITING_CLIENT_TEMPLATE.FAT&amp;display_string=Audit&amp;VAR:KEY=TAJWPQTATW&amp;VAR:QUERY=RkZfRUJJVERBX09QRVIoUVRSLDQvMS8yMDEwLDYvMzAvMjAxMCwsLFVTRCk=&amp;WINDOW=FIRST_POPUP&amp;HEIGH","T=450&amp;WIDTH=450&amp;START_MAXIMIZED=FALSE&amp;VAR:CALENDAR=US&amp;VAR:SYMBOL=AYE&amp;VAR:INDEX=0"}</definedName>
    <definedName name="_908__FDSAUDITLINK__" hidden="1">{"fdsup://directions/FAT Viewer?action=UPDATE&amp;creator=factset&amp;DYN_ARGS=TRUE&amp;DOC_NAME=FAT:FQL_AUDITING_CLIENT_TEMPLATE.FAT&amp;display_string=Audit&amp;VAR:KEY=TAJWPQTATW&amp;VAR:QUERY=RkZfRUJJVERBX09QRVIoUVRSLDQvMS8yMDEwLDYvMzAvMjAxMCwsLFVTRCk=&amp;WINDOW=FIRST_POPUP&amp;HEIGH","T=450&amp;WIDTH=450&amp;START_MAXIMIZED=FALSE&amp;VAR:CALENDAR=US&amp;VAR:SYMBOL=AYE&amp;VAR:INDEX=0"}</definedName>
    <definedName name="_909__FDSAUDITLINK__" localSheetId="1" hidden="1">{"fdsup://directions/FAT Viewer?action=UPDATE&amp;creator=factset&amp;DYN_ARGS=TRUE&amp;DOC_NAME=FAT:FQL_AUDITING_CLIENT_TEMPLATE.FAT&amp;display_string=Audit&amp;VAR:KEY=NAZYTQRGXW&amp;VAR:QUERY=RkZfRUJJVERBX09QRVIoUVRSLDQvMS8yMDA5LDYvMzAvMjAwOSwsLFVTRCk=&amp;WINDOW=FIRST_POPUP&amp;HEIGH","T=450&amp;WIDTH=450&amp;START_MAXIMIZED=FALSE&amp;VAR:CALENDAR=US&amp;VAR:SYMBOL=AXP&amp;VAR:INDEX=0"}</definedName>
    <definedName name="_909__FDSAUDITLINK__" hidden="1">{"fdsup://directions/FAT Viewer?action=UPDATE&amp;creator=factset&amp;DYN_ARGS=TRUE&amp;DOC_NAME=FAT:FQL_AUDITING_CLIENT_TEMPLATE.FAT&amp;display_string=Audit&amp;VAR:KEY=NAZYTQRGXW&amp;VAR:QUERY=RkZfRUJJVERBX09QRVIoUVRSLDQvMS8yMDA5LDYvMzAvMjAwOSwsLFVTRCk=&amp;WINDOW=FIRST_POPUP&amp;HEIGH","T=450&amp;WIDTH=450&amp;START_MAXIMIZED=FALSE&amp;VAR:CALENDAR=US&amp;VAR:SYMBOL=AXP&amp;VAR:INDEX=0"}</definedName>
    <definedName name="_91__FDSAUDITLINK__" localSheetId="1" hidden="1">{"fdsup://directions/FAT Viewer?action=UPDATE&amp;creator=factset&amp;DYN_ARGS=TRUE&amp;DOC_NAME=FAT:FQL_AUDITING_CLIENT_TEMPLATE.FAT&amp;display_string=Audit&amp;VAR:KEY=XUFCZANQZU&amp;VAR:QUERY=RkZfRUJJVERBX09QRVIoUVRSLDQvMS8yMDA5LDYvMzAvMjAwOSwsLFVTRCk=&amp;WINDOW=FIRST_POPUP&amp;HEIGH","T=450&amp;WIDTH=450&amp;START_MAXIMIZED=FALSE&amp;VAR:CALENDAR=US&amp;VAR:SYMBOL=UNM&amp;VAR:INDEX=0"}</definedName>
    <definedName name="_91__FDSAUDITLINK__" hidden="1">{"fdsup://directions/FAT Viewer?action=UPDATE&amp;creator=factset&amp;DYN_ARGS=TRUE&amp;DOC_NAME=FAT:FQL_AUDITING_CLIENT_TEMPLATE.FAT&amp;display_string=Audit&amp;VAR:KEY=XUFCZANQZU&amp;VAR:QUERY=RkZfRUJJVERBX09QRVIoUVRSLDQvMS8yMDA5LDYvMzAvMjAwOSwsLFVTRCk=&amp;WINDOW=FIRST_POPUP&amp;HEIGH","T=450&amp;WIDTH=450&amp;START_MAXIMIZED=FALSE&amp;VAR:CALENDAR=US&amp;VAR:SYMBOL=UNM&amp;VAR:INDEX=0"}</definedName>
    <definedName name="_910__FDSAUDITLINK__" localSheetId="1" hidden="1">{"fdsup://directions/FAT Viewer?action=UPDATE&amp;creator=factset&amp;DYN_ARGS=TRUE&amp;DOC_NAME=FAT:FQL_AUDITING_CLIENT_TEMPLATE.FAT&amp;display_string=Audit&amp;VAR:KEY=LONGDCHGZU&amp;VAR:QUERY=RkZfRUJJVERBX09QRVIoUVRSLDQvMS8yMDEwLDYvMzAvMjAxMCwsLFVTRCk=&amp;WINDOW=FIRST_POPUP&amp;HEIGH","T=450&amp;WIDTH=450&amp;START_MAXIMIZED=FALSE&amp;VAR:CALENDAR=US&amp;VAR:SYMBOL=AXP&amp;VAR:INDEX=0"}</definedName>
    <definedName name="_910__FDSAUDITLINK__" hidden="1">{"fdsup://directions/FAT Viewer?action=UPDATE&amp;creator=factset&amp;DYN_ARGS=TRUE&amp;DOC_NAME=FAT:FQL_AUDITING_CLIENT_TEMPLATE.FAT&amp;display_string=Audit&amp;VAR:KEY=LONGDCHGZU&amp;VAR:QUERY=RkZfRUJJVERBX09QRVIoUVRSLDQvMS8yMDEwLDYvMzAvMjAxMCwsLFVTRCk=&amp;WINDOW=FIRST_POPUP&amp;HEIGH","T=450&amp;WIDTH=450&amp;START_MAXIMIZED=FALSE&amp;VAR:CALENDAR=US&amp;VAR:SYMBOL=AXP&amp;VAR:INDEX=0"}</definedName>
    <definedName name="_911__FDSAUDITLINK__" localSheetId="1" hidden="1">{"fdsup://directions/FAT Viewer?action=UPDATE&amp;creator=factset&amp;DYN_ARGS=TRUE&amp;DOC_NAME=FAT:FQL_AUDITING_CLIENT_TEMPLATE.FAT&amp;display_string=Audit&amp;VAR:KEY=PSLQPYBUTG&amp;VAR:QUERY=RkZfRUJJVERBX09QRVIoUVRSLDQvMS8yMDA5LDYvMzAvMjAwOSwsLFVTRCk=&amp;WINDOW=FIRST_POPUP&amp;HEIGH","T=450&amp;WIDTH=450&amp;START_MAXIMIZED=FALSE&amp;VAR:CALENDAR=US&amp;VAR:SYMBOL=AVY&amp;VAR:INDEX=0"}</definedName>
    <definedName name="_911__FDSAUDITLINK__" hidden="1">{"fdsup://directions/FAT Viewer?action=UPDATE&amp;creator=factset&amp;DYN_ARGS=TRUE&amp;DOC_NAME=FAT:FQL_AUDITING_CLIENT_TEMPLATE.FAT&amp;display_string=Audit&amp;VAR:KEY=PSLQPYBUTG&amp;VAR:QUERY=RkZfRUJJVERBX09QRVIoUVRSLDQvMS8yMDA5LDYvMzAvMjAwOSwsLFVTRCk=&amp;WINDOW=FIRST_POPUP&amp;HEIGH","T=450&amp;WIDTH=450&amp;START_MAXIMIZED=FALSE&amp;VAR:CALENDAR=US&amp;VAR:SYMBOL=AVY&amp;VAR:INDEX=0"}</definedName>
    <definedName name="_912__FDSAUDITLINK__" localSheetId="1" hidden="1">{"fdsup://directions/FAT Viewer?action=UPDATE&amp;creator=factset&amp;DYN_ARGS=TRUE&amp;DOC_NAME=FAT:FQL_AUDITING_CLIENT_TEMPLATE.FAT&amp;display_string=Audit&amp;VAR:KEY=PCDKRYXIZM&amp;VAR:QUERY=RkZfRUJJVERBX09QRVIoUVRSLDQvMS8yMDEwLDYvMzAvMjAxMCwsLFVTRCk=&amp;WINDOW=FIRST_POPUP&amp;HEIGH","T=450&amp;WIDTH=450&amp;START_MAXIMIZED=FALSE&amp;VAR:CALENDAR=US&amp;VAR:SYMBOL=AVY&amp;VAR:INDEX=0"}</definedName>
    <definedName name="_912__FDSAUDITLINK__" hidden="1">{"fdsup://directions/FAT Viewer?action=UPDATE&amp;creator=factset&amp;DYN_ARGS=TRUE&amp;DOC_NAME=FAT:FQL_AUDITING_CLIENT_TEMPLATE.FAT&amp;display_string=Audit&amp;VAR:KEY=PCDKRYXIZM&amp;VAR:QUERY=RkZfRUJJVERBX09QRVIoUVRSLDQvMS8yMDEwLDYvMzAvMjAxMCwsLFVTRCk=&amp;WINDOW=FIRST_POPUP&amp;HEIGH","T=450&amp;WIDTH=450&amp;START_MAXIMIZED=FALSE&amp;VAR:CALENDAR=US&amp;VAR:SYMBOL=AVY&amp;VAR:INDEX=0"}</definedName>
    <definedName name="_913__FDSAUDITLINK__" localSheetId="1" hidden="1">{"fdsup://directions/FAT Viewer?action=UPDATE&amp;creator=factset&amp;DYN_ARGS=TRUE&amp;DOC_NAME=FAT:FQL_AUDITING_CLIENT_TEMPLATE.FAT&amp;display_string=Audit&amp;VAR:KEY=LOBSVEPOPM&amp;VAR:QUERY=RkZfRUJJVERBX09QRVIoUVRSLDQvMS8yMDA5LDYvMzAvMjAwOSwsLFVTRCk=&amp;WINDOW=FIRST_POPUP&amp;HEIGH","T=450&amp;WIDTH=450&amp;START_MAXIMIZED=FALSE&amp;VAR:CALENDAR=US&amp;VAR:SYMBOL=AVP&amp;VAR:INDEX=0"}</definedName>
    <definedName name="_913__FDSAUDITLINK__" hidden="1">{"fdsup://directions/FAT Viewer?action=UPDATE&amp;creator=factset&amp;DYN_ARGS=TRUE&amp;DOC_NAME=FAT:FQL_AUDITING_CLIENT_TEMPLATE.FAT&amp;display_string=Audit&amp;VAR:KEY=LOBSVEPOPM&amp;VAR:QUERY=RkZfRUJJVERBX09QRVIoUVRSLDQvMS8yMDA5LDYvMzAvMjAwOSwsLFVTRCk=&amp;WINDOW=FIRST_POPUP&amp;HEIGH","T=450&amp;WIDTH=450&amp;START_MAXIMIZED=FALSE&amp;VAR:CALENDAR=US&amp;VAR:SYMBOL=AVP&amp;VAR:INDEX=0"}</definedName>
    <definedName name="_914__FDSAUDITLINK__" localSheetId="1" hidden="1">{"fdsup://directions/FAT Viewer?action=UPDATE&amp;creator=factset&amp;DYN_ARGS=TRUE&amp;DOC_NAME=FAT:FQL_AUDITING_CLIENT_TEMPLATE.FAT&amp;display_string=Audit&amp;VAR:KEY=TWFKDKXKHG&amp;VAR:QUERY=RkZfRUJJVERBX09QRVIoUVRSLDQvMS8yMDEwLDYvMzAvMjAxMCwsLFVTRCk=&amp;WINDOW=FIRST_POPUP&amp;HEIGH","T=450&amp;WIDTH=450&amp;START_MAXIMIZED=FALSE&amp;VAR:CALENDAR=US&amp;VAR:SYMBOL=AVP&amp;VAR:INDEX=0"}</definedName>
    <definedName name="_914__FDSAUDITLINK__" hidden="1">{"fdsup://directions/FAT Viewer?action=UPDATE&amp;creator=factset&amp;DYN_ARGS=TRUE&amp;DOC_NAME=FAT:FQL_AUDITING_CLIENT_TEMPLATE.FAT&amp;display_string=Audit&amp;VAR:KEY=TWFKDKXKHG&amp;VAR:QUERY=RkZfRUJJVERBX09QRVIoUVRSLDQvMS8yMDEwLDYvMzAvMjAxMCwsLFVTRCk=&amp;WINDOW=FIRST_POPUP&amp;HEIGH","T=450&amp;WIDTH=450&amp;START_MAXIMIZED=FALSE&amp;VAR:CALENDAR=US&amp;VAR:SYMBOL=AVP&amp;VAR:INDEX=0"}</definedName>
    <definedName name="_915__FDSAUDITLINK__" localSheetId="1" hidden="1">{"fdsup://directions/FAT Viewer?action=UPDATE&amp;creator=factset&amp;DYN_ARGS=TRUE&amp;DOC_NAME=FAT:FQL_AUDITING_CLIENT_TEMPLATE.FAT&amp;display_string=Audit&amp;VAR:KEY=TIDUJSLSHO&amp;VAR:QUERY=RkZfRUJJVERBX09QRVIoUVRSLDQvMS8yMDA5LDYvMzAvMjAwOSwsLFVTRCk=&amp;WINDOW=FIRST_POPUP&amp;HEIGH","T=450&amp;WIDTH=450&amp;START_MAXIMIZED=FALSE&amp;VAR:CALENDAR=US&amp;VAR:SYMBOL=AVB&amp;VAR:INDEX=0"}</definedName>
    <definedName name="_915__FDSAUDITLINK__" hidden="1">{"fdsup://directions/FAT Viewer?action=UPDATE&amp;creator=factset&amp;DYN_ARGS=TRUE&amp;DOC_NAME=FAT:FQL_AUDITING_CLIENT_TEMPLATE.FAT&amp;display_string=Audit&amp;VAR:KEY=TIDUJSLSHO&amp;VAR:QUERY=RkZfRUJJVERBX09QRVIoUVRSLDQvMS8yMDA5LDYvMzAvMjAwOSwsLFVTRCk=&amp;WINDOW=FIRST_POPUP&amp;HEIGH","T=450&amp;WIDTH=450&amp;START_MAXIMIZED=FALSE&amp;VAR:CALENDAR=US&amp;VAR:SYMBOL=AVB&amp;VAR:INDEX=0"}</definedName>
    <definedName name="_916__FDSAUDITLINK__" localSheetId="1" hidden="1">{"fdsup://directions/FAT Viewer?action=UPDATE&amp;creator=factset&amp;DYN_ARGS=TRUE&amp;DOC_NAME=FAT:FQL_AUDITING_CLIENT_TEMPLATE.FAT&amp;display_string=Audit&amp;VAR:KEY=XEDIRUVGPG&amp;VAR:QUERY=RkZfRUJJVERBX09QRVIoUVRSLDQvMS8yMDEwLDYvMzAvMjAxMCwsLFVTRCk=&amp;WINDOW=FIRST_POPUP&amp;HEIGH","T=450&amp;WIDTH=450&amp;START_MAXIMIZED=FALSE&amp;VAR:CALENDAR=US&amp;VAR:SYMBOL=AVB&amp;VAR:INDEX=0"}</definedName>
    <definedName name="_916__FDSAUDITLINK__" hidden="1">{"fdsup://directions/FAT Viewer?action=UPDATE&amp;creator=factset&amp;DYN_ARGS=TRUE&amp;DOC_NAME=FAT:FQL_AUDITING_CLIENT_TEMPLATE.FAT&amp;display_string=Audit&amp;VAR:KEY=XEDIRUVGPG&amp;VAR:QUERY=RkZfRUJJVERBX09QRVIoUVRSLDQvMS8yMDEwLDYvMzAvMjAxMCwsLFVTRCk=&amp;WINDOW=FIRST_POPUP&amp;HEIGH","T=450&amp;WIDTH=450&amp;START_MAXIMIZED=FALSE&amp;VAR:CALENDAR=US&amp;VAR:SYMBOL=AVB&amp;VAR:INDEX=0"}</definedName>
    <definedName name="_917__FDSAUDITLINK__" localSheetId="1" hidden="1">{"fdsup://directions/FAT Viewer?action=UPDATE&amp;creator=factset&amp;DYN_ARGS=TRUE&amp;DOC_NAME=FAT:FQL_AUDITING_CLIENT_TEMPLATE.FAT&amp;display_string=Audit&amp;VAR:KEY=TYJIRONMVU&amp;VAR:QUERY=RkZfRUJJVERBX09QRVIoUVRSLDQvMS8yMDA5LDYvMzAvMjAwOSwsLFVTRCk=&amp;WINDOW=FIRST_POPUP&amp;HEIGH","T=450&amp;WIDTH=450&amp;START_MAXIMIZED=FALSE&amp;VAR:CALENDAR=US&amp;VAR:SYMBOL=ATI&amp;VAR:INDEX=0"}</definedName>
    <definedName name="_917__FDSAUDITLINK__" hidden="1">{"fdsup://directions/FAT Viewer?action=UPDATE&amp;creator=factset&amp;DYN_ARGS=TRUE&amp;DOC_NAME=FAT:FQL_AUDITING_CLIENT_TEMPLATE.FAT&amp;display_string=Audit&amp;VAR:KEY=TYJIRONMVU&amp;VAR:QUERY=RkZfRUJJVERBX09QRVIoUVRSLDQvMS8yMDA5LDYvMzAvMjAwOSwsLFVTRCk=&amp;WINDOW=FIRST_POPUP&amp;HEIGH","T=450&amp;WIDTH=450&amp;START_MAXIMIZED=FALSE&amp;VAR:CALENDAR=US&amp;VAR:SYMBOL=ATI&amp;VAR:INDEX=0"}</definedName>
    <definedName name="_918__FDSAUDITLINK__" localSheetId="1" hidden="1">{"fdsup://directions/FAT Viewer?action=UPDATE&amp;creator=factset&amp;DYN_ARGS=TRUE&amp;DOC_NAME=FAT:FQL_AUDITING_CLIENT_TEMPLATE.FAT&amp;display_string=Audit&amp;VAR:KEY=VQFSRADGPK&amp;VAR:QUERY=RkZfRUJJVERBX09QRVIoUVRSLDQvMS8yMDEwLDYvMzAvMjAxMCwsLFVTRCk=&amp;WINDOW=FIRST_POPUP&amp;HEIGH","T=450&amp;WIDTH=450&amp;START_MAXIMIZED=FALSE&amp;VAR:CALENDAR=US&amp;VAR:SYMBOL=ATI&amp;VAR:INDEX=0"}</definedName>
    <definedName name="_918__FDSAUDITLINK__" hidden="1">{"fdsup://directions/FAT Viewer?action=UPDATE&amp;creator=factset&amp;DYN_ARGS=TRUE&amp;DOC_NAME=FAT:FQL_AUDITING_CLIENT_TEMPLATE.FAT&amp;display_string=Audit&amp;VAR:KEY=VQFSRADGPK&amp;VAR:QUERY=RkZfRUJJVERBX09QRVIoUVRSLDQvMS8yMDEwLDYvMzAvMjAxMCwsLFVTRCk=&amp;WINDOW=FIRST_POPUP&amp;HEIGH","T=450&amp;WIDTH=450&amp;START_MAXIMIZED=FALSE&amp;VAR:CALENDAR=US&amp;VAR:SYMBOL=ATI&amp;VAR:INDEX=0"}</definedName>
    <definedName name="_919__FDSAUDITLINK__" localSheetId="1" hidden="1">{"fdsup://directions/FAT Viewer?action=UPDATE&amp;creator=factset&amp;DYN_ARGS=TRUE&amp;DOC_NAME=FAT:FQL_AUDITING_CLIENT_TEMPLATE.FAT&amp;display_string=Audit&amp;VAR:KEY=RWHCZAZWFC&amp;VAR:QUERY=RkZfRUJJVERBX09QRVIoUVRSLDQvMS8yMDA5LDYvMzAvMjAwOSwsLFVTRCk=&amp;WINDOW=FIRST_POPUP&amp;HEIGH","T=450&amp;WIDTH=450&amp;START_MAXIMIZED=FALSE&amp;VAR:CALENDAR=US&amp;VAR:SYMBOL=ARG&amp;VAR:INDEX=0"}</definedName>
    <definedName name="_919__FDSAUDITLINK__" hidden="1">{"fdsup://directions/FAT Viewer?action=UPDATE&amp;creator=factset&amp;DYN_ARGS=TRUE&amp;DOC_NAME=FAT:FQL_AUDITING_CLIENT_TEMPLATE.FAT&amp;display_string=Audit&amp;VAR:KEY=RWHCZAZWFC&amp;VAR:QUERY=RkZfRUJJVERBX09QRVIoUVRSLDQvMS8yMDA5LDYvMzAvMjAwOSwsLFVTRCk=&amp;WINDOW=FIRST_POPUP&amp;HEIGH","T=450&amp;WIDTH=450&amp;START_MAXIMIZED=FALSE&amp;VAR:CALENDAR=US&amp;VAR:SYMBOL=ARG&amp;VAR:INDEX=0"}</definedName>
    <definedName name="_92__FDSAUDITLINK__" localSheetId="1" hidden="1">{"fdsup://directions/FAT Viewer?action=UPDATE&amp;creator=factset&amp;DYN_ARGS=TRUE&amp;DOC_NAME=FAT:FQL_AUDITING_CLIENT_TEMPLATE.FAT&amp;display_string=Audit&amp;VAR:KEY=ZGBWDGJIXQ&amp;VAR:QUERY=RkZfRUJJVERBX09QRVIoUVRSLDQvMS8yMDEwLDYvMzAvMjAxMCwsLFVTRCk=&amp;WINDOW=FIRST_POPUP&amp;HEIGH","T=450&amp;WIDTH=450&amp;START_MAXIMIZED=FALSE&amp;VAR:CALENDAR=US&amp;VAR:SYMBOL=UNM&amp;VAR:INDEX=0"}</definedName>
    <definedName name="_92__FDSAUDITLINK__" hidden="1">{"fdsup://directions/FAT Viewer?action=UPDATE&amp;creator=factset&amp;DYN_ARGS=TRUE&amp;DOC_NAME=FAT:FQL_AUDITING_CLIENT_TEMPLATE.FAT&amp;display_string=Audit&amp;VAR:KEY=ZGBWDGJIXQ&amp;VAR:QUERY=RkZfRUJJVERBX09QRVIoUVRSLDQvMS8yMDEwLDYvMzAvMjAxMCwsLFVTRCk=&amp;WINDOW=FIRST_POPUP&amp;HEIGH","T=450&amp;WIDTH=450&amp;START_MAXIMIZED=FALSE&amp;VAR:CALENDAR=US&amp;VAR:SYMBOL=UNM&amp;VAR:INDEX=0"}</definedName>
    <definedName name="_920__FDSAUDITLINK__" localSheetId="1" hidden="1">{"fdsup://directions/FAT Viewer?action=UPDATE&amp;creator=factset&amp;DYN_ARGS=TRUE&amp;DOC_NAME=FAT:FQL_AUDITING_CLIENT_TEMPLATE.FAT&amp;display_string=Audit&amp;VAR:KEY=FWRATERQBC&amp;VAR:QUERY=RkZfRUJJVERBX09QRVIoUVRSLDQvMS8yMDEwLDYvMzAvMjAxMCwsLFVTRCk=&amp;WINDOW=FIRST_POPUP&amp;HEIGH","T=450&amp;WIDTH=450&amp;START_MAXIMIZED=FALSE&amp;VAR:CALENDAR=US&amp;VAR:SYMBOL=ARG&amp;VAR:INDEX=0"}</definedName>
    <definedName name="_920__FDSAUDITLINK__" hidden="1">{"fdsup://directions/FAT Viewer?action=UPDATE&amp;creator=factset&amp;DYN_ARGS=TRUE&amp;DOC_NAME=FAT:FQL_AUDITING_CLIENT_TEMPLATE.FAT&amp;display_string=Audit&amp;VAR:KEY=FWRATERQBC&amp;VAR:QUERY=RkZfRUJJVERBX09QRVIoUVRSLDQvMS8yMDEwLDYvMzAvMjAxMCwsLFVTRCk=&amp;WINDOW=FIRST_POPUP&amp;HEIGH","T=450&amp;WIDTH=450&amp;START_MAXIMIZED=FALSE&amp;VAR:CALENDAR=US&amp;VAR:SYMBOL=ARG&amp;VAR:INDEX=0"}</definedName>
    <definedName name="_921__FDSAUDITLINK__" localSheetId="1" hidden="1">{"fdsup://directions/FAT Viewer?action=UPDATE&amp;creator=factset&amp;DYN_ARGS=TRUE&amp;DOC_NAME=FAT:FQL_AUDITING_CLIENT_TEMPLATE.FAT&amp;display_string=Audit&amp;VAR:KEY=ZQJYPAPCTE&amp;VAR:QUERY=RkZfRUJJVERBX09QRVIoUVRSLDQvMS8yMDA5LDYvMzAvMjAwOSwsLFVTRCk=&amp;WINDOW=FIRST_POPUP&amp;HEIGH","T=450&amp;WIDTH=450&amp;START_MAXIMIZED=FALSE&amp;VAR:CALENDAR=US&amp;VAR:SYMBOL=APOL&amp;VAR:INDEX=0"}</definedName>
    <definedName name="_921__FDSAUDITLINK__" hidden="1">{"fdsup://directions/FAT Viewer?action=UPDATE&amp;creator=factset&amp;DYN_ARGS=TRUE&amp;DOC_NAME=FAT:FQL_AUDITING_CLIENT_TEMPLATE.FAT&amp;display_string=Audit&amp;VAR:KEY=ZQJYPAPCTE&amp;VAR:QUERY=RkZfRUJJVERBX09QRVIoUVRSLDQvMS8yMDA5LDYvMzAvMjAwOSwsLFVTRCk=&amp;WINDOW=FIRST_POPUP&amp;HEIGH","T=450&amp;WIDTH=450&amp;START_MAXIMIZED=FALSE&amp;VAR:CALENDAR=US&amp;VAR:SYMBOL=APOL&amp;VAR:INDEX=0"}</definedName>
    <definedName name="_922__FDSAUDITLINK__" localSheetId="1" hidden="1">{"fdsup://directions/FAT Viewer?action=UPDATE&amp;creator=factset&amp;DYN_ARGS=TRUE&amp;DOC_NAME=FAT:FQL_AUDITING_CLIENT_TEMPLATE.FAT&amp;display_string=Audit&amp;VAR:KEY=PADMLYDOPA&amp;VAR:QUERY=RkZfRUJJVERBX09QRVIoUVRSLDQvMS8yMDEwLDYvMzAvMjAxMCwsLFVTRCk=&amp;WINDOW=FIRST_POPUP&amp;HEIGH","T=450&amp;WIDTH=450&amp;START_MAXIMIZED=FALSE&amp;VAR:CALENDAR=US&amp;VAR:SYMBOL=APOL&amp;VAR:INDEX=0"}</definedName>
    <definedName name="_922__FDSAUDITLINK__" hidden="1">{"fdsup://directions/FAT Viewer?action=UPDATE&amp;creator=factset&amp;DYN_ARGS=TRUE&amp;DOC_NAME=FAT:FQL_AUDITING_CLIENT_TEMPLATE.FAT&amp;display_string=Audit&amp;VAR:KEY=PADMLYDOPA&amp;VAR:QUERY=RkZfRUJJVERBX09QRVIoUVRSLDQvMS8yMDEwLDYvMzAvMjAxMCwsLFVTRCk=&amp;WINDOW=FIRST_POPUP&amp;HEIGH","T=450&amp;WIDTH=450&amp;START_MAXIMIZED=FALSE&amp;VAR:CALENDAR=US&amp;VAR:SYMBOL=APOL&amp;VAR:INDEX=0"}</definedName>
    <definedName name="_923__FDSAUDITLINK__" localSheetId="1" hidden="1">{"fdsup://directions/FAT Viewer?action=UPDATE&amp;creator=factset&amp;DYN_ARGS=TRUE&amp;DOC_NAME=FAT:FQL_AUDITING_CLIENT_TEMPLATE.FAT&amp;display_string=Audit&amp;VAR:KEY=HCPQTOJIZQ&amp;VAR:QUERY=RkZfRUJJVERBX09QRVIoUVRSLDQvMS8yMDA5LDYvMzAvMjAwOSwsLFVTRCk=&amp;WINDOW=FIRST_POPUP&amp;HEIGH","T=450&amp;WIDTH=450&amp;START_MAXIMIZED=FALSE&amp;VAR:CALENDAR=US&amp;VAR:SYMBOL=APH&amp;VAR:INDEX=0"}</definedName>
    <definedName name="_923__FDSAUDITLINK__" hidden="1">{"fdsup://directions/FAT Viewer?action=UPDATE&amp;creator=factset&amp;DYN_ARGS=TRUE&amp;DOC_NAME=FAT:FQL_AUDITING_CLIENT_TEMPLATE.FAT&amp;display_string=Audit&amp;VAR:KEY=HCPQTOJIZQ&amp;VAR:QUERY=RkZfRUJJVERBX09QRVIoUVRSLDQvMS8yMDA5LDYvMzAvMjAwOSwsLFVTRCk=&amp;WINDOW=FIRST_POPUP&amp;HEIGH","T=450&amp;WIDTH=450&amp;START_MAXIMIZED=FALSE&amp;VAR:CALENDAR=US&amp;VAR:SYMBOL=APH&amp;VAR:INDEX=0"}</definedName>
    <definedName name="_924__FDSAUDITLINK__" localSheetId="1" hidden="1">{"fdsup://directions/FAT Viewer?action=UPDATE&amp;creator=factset&amp;DYN_ARGS=TRUE&amp;DOC_NAME=FAT:FQL_AUDITING_CLIENT_TEMPLATE.FAT&amp;display_string=Audit&amp;VAR:KEY=XCLIZIPYNI&amp;VAR:QUERY=RkZfRUJJVERBX09QRVIoUVRSLDQvMS8yMDEwLDYvMzAvMjAxMCwsLFVTRCk=&amp;WINDOW=FIRST_POPUP&amp;HEIGH","T=450&amp;WIDTH=450&amp;START_MAXIMIZED=FALSE&amp;VAR:CALENDAR=US&amp;VAR:SYMBOL=APH&amp;VAR:INDEX=0"}</definedName>
    <definedName name="_924__FDSAUDITLINK__" hidden="1">{"fdsup://directions/FAT Viewer?action=UPDATE&amp;creator=factset&amp;DYN_ARGS=TRUE&amp;DOC_NAME=FAT:FQL_AUDITING_CLIENT_TEMPLATE.FAT&amp;display_string=Audit&amp;VAR:KEY=XCLIZIPYNI&amp;VAR:QUERY=RkZfRUJJVERBX09QRVIoUVRSLDQvMS8yMDEwLDYvMzAvMjAxMCwsLFVTRCk=&amp;WINDOW=FIRST_POPUP&amp;HEIGH","T=450&amp;WIDTH=450&amp;START_MAXIMIZED=FALSE&amp;VAR:CALENDAR=US&amp;VAR:SYMBOL=APH&amp;VAR:INDEX=0"}</definedName>
    <definedName name="_925__FDSAUDITLINK__" localSheetId="1" hidden="1">{"fdsup://directions/FAT Viewer?action=UPDATE&amp;creator=factset&amp;DYN_ARGS=TRUE&amp;DOC_NAME=FAT:FQL_AUDITING_CLIENT_TEMPLATE.FAT&amp;display_string=Audit&amp;VAR:KEY=DGPQNENEPY&amp;VAR:QUERY=RkZfRUJJVERBX09QRVIoUVRSLDQvMS8yMDA5LDYvMzAvMjAwOSwsLFVTRCk=&amp;WINDOW=FIRST_POPUP&amp;HEIGH","T=450&amp;WIDTH=450&amp;START_MAXIMIZED=FALSE&amp;VAR:CALENDAR=US&amp;VAR:SYMBOL=APD&amp;VAR:INDEX=0"}</definedName>
    <definedName name="_925__FDSAUDITLINK__" hidden="1">{"fdsup://directions/FAT Viewer?action=UPDATE&amp;creator=factset&amp;DYN_ARGS=TRUE&amp;DOC_NAME=FAT:FQL_AUDITING_CLIENT_TEMPLATE.FAT&amp;display_string=Audit&amp;VAR:KEY=DGPQNENEPY&amp;VAR:QUERY=RkZfRUJJVERBX09QRVIoUVRSLDQvMS8yMDA5LDYvMzAvMjAwOSwsLFVTRCk=&amp;WINDOW=FIRST_POPUP&amp;HEIGH","T=450&amp;WIDTH=450&amp;START_MAXIMIZED=FALSE&amp;VAR:CALENDAR=US&amp;VAR:SYMBOL=APD&amp;VAR:INDEX=0"}</definedName>
    <definedName name="_926__FDSAUDITLINK__" localSheetId="1" hidden="1">{"fdsup://directions/FAT Viewer?action=UPDATE&amp;creator=factset&amp;DYN_ARGS=TRUE&amp;DOC_NAME=FAT:FQL_AUDITING_CLIENT_TEMPLATE.FAT&amp;display_string=Audit&amp;VAR:KEY=DEXUHGZUTC&amp;VAR:QUERY=RkZfRUJJVERBX09QRVIoUVRSLDQvMS8yMDEwLDYvMzAvMjAxMCwsLFVTRCk=&amp;WINDOW=FIRST_POPUP&amp;HEIGH","T=450&amp;WIDTH=450&amp;START_MAXIMIZED=FALSE&amp;VAR:CALENDAR=US&amp;VAR:SYMBOL=APD&amp;VAR:INDEX=0"}</definedName>
    <definedName name="_926__FDSAUDITLINK__" hidden="1">{"fdsup://directions/FAT Viewer?action=UPDATE&amp;creator=factset&amp;DYN_ARGS=TRUE&amp;DOC_NAME=FAT:FQL_AUDITING_CLIENT_TEMPLATE.FAT&amp;display_string=Audit&amp;VAR:KEY=DEXUHGZUTC&amp;VAR:QUERY=RkZfRUJJVERBX09QRVIoUVRSLDQvMS8yMDEwLDYvMzAvMjAxMCwsLFVTRCk=&amp;WINDOW=FIRST_POPUP&amp;HEIGH","T=450&amp;WIDTH=450&amp;START_MAXIMIZED=FALSE&amp;VAR:CALENDAR=US&amp;VAR:SYMBOL=APD&amp;VAR:INDEX=0"}</definedName>
    <definedName name="_927__FDSAUDITLINK__" localSheetId="1" hidden="1">{"fdsup://directions/FAT Viewer?action=UPDATE&amp;creator=factset&amp;DYN_ARGS=TRUE&amp;DOC_NAME=FAT:FQL_AUDITING_CLIENT_TEMPLATE.FAT&amp;display_string=Audit&amp;VAR:KEY=VGXQXMTONM&amp;VAR:QUERY=RkZfRUJJVERBX09QRVIoUVRSLDQvMS8yMDA5LDYvMzAvMjAwOSwsLFVTRCk=&amp;WINDOW=FIRST_POPUP&amp;HEIGH","T=450&amp;WIDTH=450&amp;START_MAXIMIZED=FALSE&amp;VAR:CALENDAR=US&amp;VAR:SYMBOL=APC&amp;VAR:INDEX=0"}</definedName>
    <definedName name="_927__FDSAUDITLINK__" hidden="1">{"fdsup://directions/FAT Viewer?action=UPDATE&amp;creator=factset&amp;DYN_ARGS=TRUE&amp;DOC_NAME=FAT:FQL_AUDITING_CLIENT_TEMPLATE.FAT&amp;display_string=Audit&amp;VAR:KEY=VGXQXMTONM&amp;VAR:QUERY=RkZfRUJJVERBX09QRVIoUVRSLDQvMS8yMDA5LDYvMzAvMjAwOSwsLFVTRCk=&amp;WINDOW=FIRST_POPUP&amp;HEIGH","T=450&amp;WIDTH=450&amp;START_MAXIMIZED=FALSE&amp;VAR:CALENDAR=US&amp;VAR:SYMBOL=APC&amp;VAR:INDEX=0"}</definedName>
    <definedName name="_928__FDSAUDITLINK__" localSheetId="1" hidden="1">{"fdsup://directions/FAT Viewer?action=UPDATE&amp;creator=factset&amp;DYN_ARGS=TRUE&amp;DOC_NAME=FAT:FQL_AUDITING_CLIENT_TEMPLATE.FAT&amp;display_string=Audit&amp;VAR:KEY=JGRMFIHIBS&amp;VAR:QUERY=RkZfRUJJVERBX09QRVIoUVRSLDQvMS8yMDEwLDYvMzAvMjAxMCwsLFVTRCk=&amp;WINDOW=FIRST_POPUP&amp;HEIGH","T=450&amp;WIDTH=450&amp;START_MAXIMIZED=FALSE&amp;VAR:CALENDAR=US&amp;VAR:SYMBOL=APC&amp;VAR:INDEX=0"}</definedName>
    <definedName name="_928__FDSAUDITLINK__" hidden="1">{"fdsup://directions/FAT Viewer?action=UPDATE&amp;creator=factset&amp;DYN_ARGS=TRUE&amp;DOC_NAME=FAT:FQL_AUDITING_CLIENT_TEMPLATE.FAT&amp;display_string=Audit&amp;VAR:KEY=JGRMFIHIBS&amp;VAR:QUERY=RkZfRUJJVERBX09QRVIoUVRSLDQvMS8yMDEwLDYvMzAvMjAxMCwsLFVTRCk=&amp;WINDOW=FIRST_POPUP&amp;HEIGH","T=450&amp;WIDTH=450&amp;START_MAXIMIZED=FALSE&amp;VAR:CALENDAR=US&amp;VAR:SYMBOL=APC&amp;VAR:INDEX=0"}</definedName>
    <definedName name="_929__FDSAUDITLINK__" localSheetId="1" hidden="1">{"fdsup://directions/FAT Viewer?action=UPDATE&amp;creator=factset&amp;DYN_ARGS=TRUE&amp;DOC_NAME=FAT:FQL_AUDITING_CLIENT_TEMPLATE.FAT&amp;display_string=Audit&amp;VAR:KEY=DQXGDOFOTW&amp;VAR:QUERY=RkZfRUJJVERBX09QRVIoUVRSLDQvMS8yMDA5LDYvMzAvMjAwOSwsLFVTRCk=&amp;WINDOW=FIRST_POPUP&amp;HEIGH","T=450&amp;WIDTH=450&amp;START_MAXIMIZED=FALSE&amp;VAR:CALENDAR=US&amp;VAR:SYMBOL=APA&amp;VAR:INDEX=0"}</definedName>
    <definedName name="_929__FDSAUDITLINK__" hidden="1">{"fdsup://directions/FAT Viewer?action=UPDATE&amp;creator=factset&amp;DYN_ARGS=TRUE&amp;DOC_NAME=FAT:FQL_AUDITING_CLIENT_TEMPLATE.FAT&amp;display_string=Audit&amp;VAR:KEY=DQXGDOFOTW&amp;VAR:QUERY=RkZfRUJJVERBX09QRVIoUVRSLDQvMS8yMDA5LDYvMzAvMjAwOSwsLFVTRCk=&amp;WINDOW=FIRST_POPUP&amp;HEIGH","T=450&amp;WIDTH=450&amp;START_MAXIMIZED=FALSE&amp;VAR:CALENDAR=US&amp;VAR:SYMBOL=APA&amp;VAR:INDEX=0"}</definedName>
    <definedName name="_93__FDSAUDITLINK__" localSheetId="1" hidden="1">{"fdsup://directions/FAT Viewer?action=UPDATE&amp;creator=factset&amp;DYN_ARGS=TRUE&amp;DOC_NAME=FAT:FQL_AUDITING_CLIENT_TEMPLATE.FAT&amp;display_string=Audit&amp;VAR:KEY=DWJGHAXABS&amp;VAR:QUERY=RkZfRUJJVERBX09QRVIoUVRSLDQvMS8yMDA5LDYvMzAvMjAwOSwsLFVTRCk=&amp;WINDOW=FIRST_POPUP&amp;HEIGH","T=450&amp;WIDTH=450&amp;START_MAXIMIZED=FALSE&amp;VAR:CALENDAR=US&amp;VAR:SYMBOL=UNH&amp;VAR:INDEX=0"}</definedName>
    <definedName name="_93__FDSAUDITLINK__" hidden="1">{"fdsup://directions/FAT Viewer?action=UPDATE&amp;creator=factset&amp;DYN_ARGS=TRUE&amp;DOC_NAME=FAT:FQL_AUDITING_CLIENT_TEMPLATE.FAT&amp;display_string=Audit&amp;VAR:KEY=DWJGHAXABS&amp;VAR:QUERY=RkZfRUJJVERBX09QRVIoUVRSLDQvMS8yMDA5LDYvMzAvMjAwOSwsLFVTRCk=&amp;WINDOW=FIRST_POPUP&amp;HEIGH","T=450&amp;WIDTH=450&amp;START_MAXIMIZED=FALSE&amp;VAR:CALENDAR=US&amp;VAR:SYMBOL=UNH&amp;VAR:INDEX=0"}</definedName>
    <definedName name="_930__FDSAUDITLINK__" localSheetId="1" hidden="1">{"fdsup://directions/FAT Viewer?action=UPDATE&amp;creator=factset&amp;DYN_ARGS=TRUE&amp;DOC_NAME=FAT:FQL_AUDITING_CLIENT_TEMPLATE.FAT&amp;display_string=Audit&amp;VAR:KEY=RIJCRSLMTK&amp;VAR:QUERY=RkZfRUJJVERBX09QRVIoUVRSLDQvMS8yMDEwLDYvMzAvMjAxMCwsLFVTRCk=&amp;WINDOW=FIRST_POPUP&amp;HEIGH","T=450&amp;WIDTH=450&amp;START_MAXIMIZED=FALSE&amp;VAR:CALENDAR=US&amp;VAR:SYMBOL=APA&amp;VAR:INDEX=0"}</definedName>
    <definedName name="_930__FDSAUDITLINK__" hidden="1">{"fdsup://directions/FAT Viewer?action=UPDATE&amp;creator=factset&amp;DYN_ARGS=TRUE&amp;DOC_NAME=FAT:FQL_AUDITING_CLIENT_TEMPLATE.FAT&amp;display_string=Audit&amp;VAR:KEY=RIJCRSLMTK&amp;VAR:QUERY=RkZfRUJJVERBX09QRVIoUVRSLDQvMS8yMDEwLDYvMzAvMjAxMCwsLFVTRCk=&amp;WINDOW=FIRST_POPUP&amp;HEIGH","T=450&amp;WIDTH=450&amp;START_MAXIMIZED=FALSE&amp;VAR:CALENDAR=US&amp;VAR:SYMBOL=APA&amp;VAR:INDEX=0"}</definedName>
    <definedName name="_931__FDSAUDITLINK__" localSheetId="1" hidden="1">{"fdsup://directions/FAT Viewer?action=UPDATE&amp;creator=factset&amp;DYN_ARGS=TRUE&amp;DOC_NAME=FAT:FQL_AUDITING_CLIENT_TEMPLATE.FAT&amp;display_string=Audit&amp;VAR:KEY=JYZWPILEPC&amp;VAR:QUERY=RkZfRUJJVERBX09QRVIoUVRSLDQvMS8yMDA5LDYvMzAvMjAwOSwsLFVTRCk=&amp;WINDOW=FIRST_POPUP&amp;HEIGH","T=450&amp;WIDTH=450&amp;START_MAXIMIZED=FALSE&amp;VAR:CALENDAR=US&amp;VAR:SYMBOL=AON&amp;VAR:INDEX=0"}</definedName>
    <definedName name="_931__FDSAUDITLINK__" hidden="1">{"fdsup://directions/FAT Viewer?action=UPDATE&amp;creator=factset&amp;DYN_ARGS=TRUE&amp;DOC_NAME=FAT:FQL_AUDITING_CLIENT_TEMPLATE.FAT&amp;display_string=Audit&amp;VAR:KEY=JYZWPILEPC&amp;VAR:QUERY=RkZfRUJJVERBX09QRVIoUVRSLDQvMS8yMDA5LDYvMzAvMjAwOSwsLFVTRCk=&amp;WINDOW=FIRST_POPUP&amp;HEIGH","T=450&amp;WIDTH=450&amp;START_MAXIMIZED=FALSE&amp;VAR:CALENDAR=US&amp;VAR:SYMBOL=AON&amp;VAR:INDEX=0"}</definedName>
    <definedName name="_932__FDSAUDITLINK__" localSheetId="1" hidden="1">{"fdsup://directions/FAT Viewer?action=UPDATE&amp;creator=factset&amp;DYN_ARGS=TRUE&amp;DOC_NAME=FAT:FQL_AUDITING_CLIENT_TEMPLATE.FAT&amp;display_string=Audit&amp;VAR:KEY=HELOXKDWJC&amp;VAR:QUERY=RkZfRUJJVERBX09QRVIoUVRSLDQvMS8yMDEwLDYvMzAvMjAxMCwsLFVTRCk=&amp;WINDOW=FIRST_POPUP&amp;HEIGH","T=450&amp;WIDTH=450&amp;START_MAXIMIZED=FALSE&amp;VAR:CALENDAR=US&amp;VAR:SYMBOL=AON&amp;VAR:INDEX=0"}</definedName>
    <definedName name="_932__FDSAUDITLINK__" hidden="1">{"fdsup://directions/FAT Viewer?action=UPDATE&amp;creator=factset&amp;DYN_ARGS=TRUE&amp;DOC_NAME=FAT:FQL_AUDITING_CLIENT_TEMPLATE.FAT&amp;display_string=Audit&amp;VAR:KEY=HELOXKDWJC&amp;VAR:QUERY=RkZfRUJJVERBX09QRVIoUVRSLDQvMS8yMDEwLDYvMzAvMjAxMCwsLFVTRCk=&amp;WINDOW=FIRST_POPUP&amp;HEIGH","T=450&amp;WIDTH=450&amp;START_MAXIMIZED=FALSE&amp;VAR:CALENDAR=US&amp;VAR:SYMBOL=AON&amp;VAR:INDEX=0"}</definedName>
    <definedName name="_933__FDSAUDITLINK__" localSheetId="1" hidden="1">{"fdsup://directions/FAT Viewer?action=UPDATE&amp;creator=factset&amp;DYN_ARGS=TRUE&amp;DOC_NAME=FAT:FQL_AUDITING_CLIENT_TEMPLATE.FAT&amp;display_string=Audit&amp;VAR:KEY=TSTIJEBIHO&amp;VAR:QUERY=RkZfRUJJVERBX09QRVIoUVRSLDQvMS8yMDA5LDYvMzAvMjAwOSwsLFVTRCk=&amp;WINDOW=FIRST_POPUP&amp;HEIGH","T=450&amp;WIDTH=450&amp;START_MAXIMIZED=FALSE&amp;VAR:CALENDAR=US&amp;VAR:SYMBOL=ANF&amp;VAR:INDEX=0"}</definedName>
    <definedName name="_933__FDSAUDITLINK__" hidden="1">{"fdsup://directions/FAT Viewer?action=UPDATE&amp;creator=factset&amp;DYN_ARGS=TRUE&amp;DOC_NAME=FAT:FQL_AUDITING_CLIENT_TEMPLATE.FAT&amp;display_string=Audit&amp;VAR:KEY=TSTIJEBIHO&amp;VAR:QUERY=RkZfRUJJVERBX09QRVIoUVRSLDQvMS8yMDA5LDYvMzAvMjAwOSwsLFVTRCk=&amp;WINDOW=FIRST_POPUP&amp;HEIGH","T=450&amp;WIDTH=450&amp;START_MAXIMIZED=FALSE&amp;VAR:CALENDAR=US&amp;VAR:SYMBOL=ANF&amp;VAR:INDEX=0"}</definedName>
    <definedName name="_934__FDSAUDITLINK__" localSheetId="1" hidden="1">{"fdsup://directions/FAT Viewer?action=UPDATE&amp;creator=factset&amp;DYN_ARGS=TRUE&amp;DOC_NAME=FAT:FQL_AUDITING_CLIENT_TEMPLATE.FAT&amp;display_string=Audit&amp;VAR:KEY=VOHSJAXOHG&amp;VAR:QUERY=RkZfRUJJVERBX09QRVIoUVRSLDQvMS8yMDEwLDYvMzAvMjAxMCwsLFVTRCk=&amp;WINDOW=FIRST_POPUP&amp;HEIGH","T=450&amp;WIDTH=450&amp;START_MAXIMIZED=FALSE&amp;VAR:CALENDAR=US&amp;VAR:SYMBOL=ANF&amp;VAR:INDEX=0"}</definedName>
    <definedName name="_934__FDSAUDITLINK__" hidden="1">{"fdsup://directions/FAT Viewer?action=UPDATE&amp;creator=factset&amp;DYN_ARGS=TRUE&amp;DOC_NAME=FAT:FQL_AUDITING_CLIENT_TEMPLATE.FAT&amp;display_string=Audit&amp;VAR:KEY=VOHSJAXOHG&amp;VAR:QUERY=RkZfRUJJVERBX09QRVIoUVRSLDQvMS8yMDEwLDYvMzAvMjAxMCwsLFVTRCk=&amp;WINDOW=FIRST_POPUP&amp;HEIGH","T=450&amp;WIDTH=450&amp;START_MAXIMIZED=FALSE&amp;VAR:CALENDAR=US&amp;VAR:SYMBOL=ANF&amp;VAR:INDEX=0"}</definedName>
    <definedName name="_935__FDSAUDITLINK__" localSheetId="1" hidden="1">{"fdsup://directions/FAT Viewer?action=UPDATE&amp;creator=factset&amp;DYN_ARGS=TRUE&amp;DOC_NAME=FAT:FQL_AUDITING_CLIENT_TEMPLATE.FAT&amp;display_string=Audit&amp;VAR:KEY=VENGTAPQPO&amp;VAR:QUERY=RkZfRUJJVERBX09QRVIoUVRSLDQvMS8yMDA5LDYvMzAvMjAwOSwsLFVTRCk=&amp;WINDOW=FIRST_POPUP&amp;HEIGH","T=450&amp;WIDTH=450&amp;START_MAXIMIZED=FALSE&amp;VAR:CALENDAR=US&amp;VAR:SYMBOL=AN&amp;VAR:INDEX=0"}</definedName>
    <definedName name="_935__FDSAUDITLINK__" hidden="1">{"fdsup://directions/FAT Viewer?action=UPDATE&amp;creator=factset&amp;DYN_ARGS=TRUE&amp;DOC_NAME=FAT:FQL_AUDITING_CLIENT_TEMPLATE.FAT&amp;display_string=Audit&amp;VAR:KEY=VENGTAPQPO&amp;VAR:QUERY=RkZfRUJJVERBX09QRVIoUVRSLDQvMS8yMDA5LDYvMzAvMjAwOSwsLFVTRCk=&amp;WINDOW=FIRST_POPUP&amp;HEIGH","T=450&amp;WIDTH=450&amp;START_MAXIMIZED=FALSE&amp;VAR:CALENDAR=US&amp;VAR:SYMBOL=AN&amp;VAR:INDEX=0"}</definedName>
    <definedName name="_936__FDSAUDITLINK__" localSheetId="1" hidden="1">{"fdsup://directions/FAT Viewer?action=UPDATE&amp;creator=factset&amp;DYN_ARGS=TRUE&amp;DOC_NAME=FAT:FQL_AUDITING_CLIENT_TEMPLATE.FAT&amp;display_string=Audit&amp;VAR:KEY=FUHYHEBGTE&amp;VAR:QUERY=RkZfRUJJVERBX09QRVIoUVRSLDQvMS8yMDEwLDYvMzAvMjAxMCwsLFVTRCk=&amp;WINDOW=FIRST_POPUP&amp;HEIGH","T=450&amp;WIDTH=450&amp;START_MAXIMIZED=FALSE&amp;VAR:CALENDAR=US&amp;VAR:SYMBOL=AN&amp;VAR:INDEX=0"}</definedName>
    <definedName name="_936__FDSAUDITLINK__" hidden="1">{"fdsup://directions/FAT Viewer?action=UPDATE&amp;creator=factset&amp;DYN_ARGS=TRUE&amp;DOC_NAME=FAT:FQL_AUDITING_CLIENT_TEMPLATE.FAT&amp;display_string=Audit&amp;VAR:KEY=FUHYHEBGTE&amp;VAR:QUERY=RkZfRUJJVERBX09QRVIoUVRSLDQvMS8yMDEwLDYvMzAvMjAxMCwsLFVTRCk=&amp;WINDOW=FIRST_POPUP&amp;HEIGH","T=450&amp;WIDTH=450&amp;START_MAXIMIZED=FALSE&amp;VAR:CALENDAR=US&amp;VAR:SYMBOL=AN&amp;VAR:INDEX=0"}</definedName>
    <definedName name="_937__FDSAUDITLINK__" localSheetId="1" hidden="1">{"fdsup://directions/FAT Viewer?action=UPDATE&amp;creator=factset&amp;DYN_ARGS=TRUE&amp;DOC_NAME=FAT:FQL_AUDITING_CLIENT_TEMPLATE.FAT&amp;display_string=Audit&amp;VAR:KEY=LUHUDUJMFO&amp;VAR:QUERY=RkZfRUJJVERBX09QRVIoUVRSLDQvMS8yMDA5LDYvMzAvMjAwOSwsLFVTRCk=&amp;WINDOW=FIRST_POPUP&amp;HEIGH","T=450&amp;WIDTH=450&amp;START_MAXIMIZED=FALSE&amp;VAR:CALENDAR=US&amp;VAR:SYMBOL=AMZN&amp;VAR:INDEX=0"}</definedName>
    <definedName name="_937__FDSAUDITLINK__" hidden="1">{"fdsup://directions/FAT Viewer?action=UPDATE&amp;creator=factset&amp;DYN_ARGS=TRUE&amp;DOC_NAME=FAT:FQL_AUDITING_CLIENT_TEMPLATE.FAT&amp;display_string=Audit&amp;VAR:KEY=LUHUDUJMFO&amp;VAR:QUERY=RkZfRUJJVERBX09QRVIoUVRSLDQvMS8yMDA5LDYvMzAvMjAwOSwsLFVTRCk=&amp;WINDOW=FIRST_POPUP&amp;HEIGH","T=450&amp;WIDTH=450&amp;START_MAXIMIZED=FALSE&amp;VAR:CALENDAR=US&amp;VAR:SYMBOL=AMZN&amp;VAR:INDEX=0"}</definedName>
    <definedName name="_938__FDSAUDITLINK__" localSheetId="1" hidden="1">{"fdsup://directions/FAT Viewer?action=UPDATE&amp;creator=factset&amp;DYN_ARGS=TRUE&amp;DOC_NAME=FAT:FQL_AUDITING_CLIENT_TEMPLATE.FAT&amp;display_string=Audit&amp;VAR:KEY=PSVYLYZQNK&amp;VAR:QUERY=RkZfRUJJVERBX09QRVIoUVRSLDQvMS8yMDEwLDYvMzAvMjAxMCwsLFVTRCk=&amp;WINDOW=FIRST_POPUP&amp;HEIGH","T=450&amp;WIDTH=450&amp;START_MAXIMIZED=FALSE&amp;VAR:CALENDAR=US&amp;VAR:SYMBOL=AMZN&amp;VAR:INDEX=0"}</definedName>
    <definedName name="_938__FDSAUDITLINK__" hidden="1">{"fdsup://directions/FAT Viewer?action=UPDATE&amp;creator=factset&amp;DYN_ARGS=TRUE&amp;DOC_NAME=FAT:FQL_AUDITING_CLIENT_TEMPLATE.FAT&amp;display_string=Audit&amp;VAR:KEY=PSVYLYZQNK&amp;VAR:QUERY=RkZfRUJJVERBX09QRVIoUVRSLDQvMS8yMDEwLDYvMzAvMjAxMCwsLFVTRCk=&amp;WINDOW=FIRST_POPUP&amp;HEIGH","T=450&amp;WIDTH=450&amp;START_MAXIMIZED=FALSE&amp;VAR:CALENDAR=US&amp;VAR:SYMBOL=AMZN&amp;VAR:INDEX=0"}</definedName>
    <definedName name="_939__FDSAUDITLINK__" localSheetId="1" hidden="1">{"fdsup://directions/FAT Viewer?action=UPDATE&amp;creator=factset&amp;DYN_ARGS=TRUE&amp;DOC_NAME=FAT:FQL_AUDITING_CLIENT_TEMPLATE.FAT&amp;display_string=Audit&amp;VAR:KEY=PIZOXMNYRK&amp;VAR:QUERY=RkZfRUJJVERBX09QRVIoUVRSLDQvMS8yMDA5LDYvMzAvMjAwOSwsLFVTRCk=&amp;WINDOW=FIRST_POPUP&amp;HEIGH","T=450&amp;WIDTH=450&amp;START_MAXIMIZED=FALSE&amp;VAR:CALENDAR=US&amp;VAR:SYMBOL=AMT&amp;VAR:INDEX=0"}</definedName>
    <definedName name="_939__FDSAUDITLINK__" hidden="1">{"fdsup://directions/FAT Viewer?action=UPDATE&amp;creator=factset&amp;DYN_ARGS=TRUE&amp;DOC_NAME=FAT:FQL_AUDITING_CLIENT_TEMPLATE.FAT&amp;display_string=Audit&amp;VAR:KEY=PIZOXMNYRK&amp;VAR:QUERY=RkZfRUJJVERBX09QRVIoUVRSLDQvMS8yMDA5LDYvMzAvMjAwOSwsLFVTRCk=&amp;WINDOW=FIRST_POPUP&amp;HEIGH","T=450&amp;WIDTH=450&amp;START_MAXIMIZED=FALSE&amp;VAR:CALENDAR=US&amp;VAR:SYMBOL=AMT&amp;VAR:INDEX=0"}</definedName>
    <definedName name="_94__FDSAUDITLINK__" localSheetId="1" hidden="1">{"fdsup://directions/FAT Viewer?action=UPDATE&amp;creator=factset&amp;DYN_ARGS=TRUE&amp;DOC_NAME=FAT:FQL_AUDITING_CLIENT_TEMPLATE.FAT&amp;display_string=Audit&amp;VAR:KEY=RYVKBKLGFW&amp;VAR:QUERY=RkZfRUJJVERBX09QRVIoUVRSLDQvMS8yMDEwLDYvMzAvMjAxMCwsLFVTRCk=&amp;WINDOW=FIRST_POPUP&amp;HEIGH","T=450&amp;WIDTH=450&amp;START_MAXIMIZED=FALSE&amp;VAR:CALENDAR=US&amp;VAR:SYMBOL=UNH&amp;VAR:INDEX=0"}</definedName>
    <definedName name="_94__FDSAUDITLINK__" hidden="1">{"fdsup://directions/FAT Viewer?action=UPDATE&amp;creator=factset&amp;DYN_ARGS=TRUE&amp;DOC_NAME=FAT:FQL_AUDITING_CLIENT_TEMPLATE.FAT&amp;display_string=Audit&amp;VAR:KEY=RYVKBKLGFW&amp;VAR:QUERY=RkZfRUJJVERBX09QRVIoUVRSLDQvMS8yMDEwLDYvMzAvMjAxMCwsLFVTRCk=&amp;WINDOW=FIRST_POPUP&amp;HEIGH","T=450&amp;WIDTH=450&amp;START_MAXIMIZED=FALSE&amp;VAR:CALENDAR=US&amp;VAR:SYMBOL=UNH&amp;VAR:INDEX=0"}</definedName>
    <definedName name="_940__FDSAUDITLINK__" localSheetId="1" hidden="1">{"fdsup://directions/FAT Viewer?action=UPDATE&amp;creator=factset&amp;DYN_ARGS=TRUE&amp;DOC_NAME=FAT:FQL_AUDITING_CLIENT_TEMPLATE.FAT&amp;display_string=Audit&amp;VAR:KEY=RYZIRSRIPY&amp;VAR:QUERY=RkZfRUJJVERBX09QRVIoUVRSLDQvMS8yMDEwLDYvMzAvMjAxMCwsLFVTRCk=&amp;WINDOW=FIRST_POPUP&amp;HEIGH","T=450&amp;WIDTH=450&amp;START_MAXIMIZED=FALSE&amp;VAR:CALENDAR=US&amp;VAR:SYMBOL=AMT&amp;VAR:INDEX=0"}</definedName>
    <definedName name="_940__FDSAUDITLINK__" hidden="1">{"fdsup://directions/FAT Viewer?action=UPDATE&amp;creator=factset&amp;DYN_ARGS=TRUE&amp;DOC_NAME=FAT:FQL_AUDITING_CLIENT_TEMPLATE.FAT&amp;display_string=Audit&amp;VAR:KEY=RYZIRSRIPY&amp;VAR:QUERY=RkZfRUJJVERBX09QRVIoUVRSLDQvMS8yMDEwLDYvMzAvMjAxMCwsLFVTRCk=&amp;WINDOW=FIRST_POPUP&amp;HEIGH","T=450&amp;WIDTH=450&amp;START_MAXIMIZED=FALSE&amp;VAR:CALENDAR=US&amp;VAR:SYMBOL=AMT&amp;VAR:INDEX=0"}</definedName>
    <definedName name="_941__FDSAUDITLINK__" localSheetId="1" hidden="1">{"fdsup://directions/FAT Viewer?action=UPDATE&amp;creator=factset&amp;DYN_ARGS=TRUE&amp;DOC_NAME=FAT:FQL_AUDITING_CLIENT_TEMPLATE.FAT&amp;display_string=Audit&amp;VAR:KEY=HSFQVAJIRU&amp;VAR:QUERY=RkZfRUJJVERBX09QRVIoUVRSLDQvMS8yMDA5LDYvMzAvMjAwOSwsLFVTRCk=&amp;WINDOW=FIRST_POPUP&amp;HEIGH","T=450&amp;WIDTH=450&amp;START_MAXIMIZED=FALSE&amp;VAR:CALENDAR=US&amp;VAR:SYMBOL=AMP&amp;VAR:INDEX=0"}</definedName>
    <definedName name="_941__FDSAUDITLINK__" hidden="1">{"fdsup://directions/FAT Viewer?action=UPDATE&amp;creator=factset&amp;DYN_ARGS=TRUE&amp;DOC_NAME=FAT:FQL_AUDITING_CLIENT_TEMPLATE.FAT&amp;display_string=Audit&amp;VAR:KEY=HSFQVAJIRU&amp;VAR:QUERY=RkZfRUJJVERBX09QRVIoUVRSLDQvMS8yMDA5LDYvMzAvMjAwOSwsLFVTRCk=&amp;WINDOW=FIRST_POPUP&amp;HEIGH","T=450&amp;WIDTH=450&amp;START_MAXIMIZED=FALSE&amp;VAR:CALENDAR=US&amp;VAR:SYMBOL=AMP&amp;VAR:INDEX=0"}</definedName>
    <definedName name="_942__FDSAUDITLINK__" localSheetId="1" hidden="1">{"fdsup://directions/FAT Viewer?action=UPDATE&amp;creator=factset&amp;DYN_ARGS=TRUE&amp;DOC_NAME=FAT:FQL_AUDITING_CLIENT_TEMPLATE.FAT&amp;display_string=Audit&amp;VAR:KEY=VWXOPIRKHC&amp;VAR:QUERY=RkZfRUJJVERBX09QRVIoUVRSLDQvMS8yMDEwLDYvMzAvMjAxMCwsLFVTRCk=&amp;WINDOW=FIRST_POPUP&amp;HEIGH","T=450&amp;WIDTH=450&amp;START_MAXIMIZED=FALSE&amp;VAR:CALENDAR=US&amp;VAR:SYMBOL=AMP&amp;VAR:INDEX=0"}</definedName>
    <definedName name="_942__FDSAUDITLINK__" hidden="1">{"fdsup://directions/FAT Viewer?action=UPDATE&amp;creator=factset&amp;DYN_ARGS=TRUE&amp;DOC_NAME=FAT:FQL_AUDITING_CLIENT_TEMPLATE.FAT&amp;display_string=Audit&amp;VAR:KEY=VWXOPIRKHC&amp;VAR:QUERY=RkZfRUJJVERBX09QRVIoUVRSLDQvMS8yMDEwLDYvMzAvMjAxMCwsLFVTRCk=&amp;WINDOW=FIRST_POPUP&amp;HEIGH","T=450&amp;WIDTH=450&amp;START_MAXIMIZED=FALSE&amp;VAR:CALENDAR=US&amp;VAR:SYMBOL=AMP&amp;VAR:INDEX=0"}</definedName>
    <definedName name="_943__FDSAUDITLINK__" localSheetId="1" hidden="1">{"fdsup://directions/FAT Viewer?action=UPDATE&amp;creator=factset&amp;DYN_ARGS=TRUE&amp;DOC_NAME=FAT:FQL_AUDITING_CLIENT_TEMPLATE.FAT&amp;display_string=Audit&amp;VAR:KEY=NULAZUHALG&amp;VAR:QUERY=RkZfRUJJVERBX09QRVIoUVRSLDQvMS8yMDA5LDYvMzAvMjAwOSwsLFVTRCk=&amp;WINDOW=FIRST_POPUP&amp;HEIGH","T=450&amp;WIDTH=450&amp;START_MAXIMIZED=FALSE&amp;VAR:CALENDAR=US&amp;VAR:SYMBOL=AMGN&amp;VAR:INDEX=0"}</definedName>
    <definedName name="_943__FDSAUDITLINK__" hidden="1">{"fdsup://directions/FAT Viewer?action=UPDATE&amp;creator=factset&amp;DYN_ARGS=TRUE&amp;DOC_NAME=FAT:FQL_AUDITING_CLIENT_TEMPLATE.FAT&amp;display_string=Audit&amp;VAR:KEY=NULAZUHALG&amp;VAR:QUERY=RkZfRUJJVERBX09QRVIoUVRSLDQvMS8yMDA5LDYvMzAvMjAwOSwsLFVTRCk=&amp;WINDOW=FIRST_POPUP&amp;HEIGH","T=450&amp;WIDTH=450&amp;START_MAXIMIZED=FALSE&amp;VAR:CALENDAR=US&amp;VAR:SYMBOL=AMGN&amp;VAR:INDEX=0"}</definedName>
    <definedName name="_944__FDSAUDITLINK__" localSheetId="1" hidden="1">{"fdsup://directions/FAT Viewer?action=UPDATE&amp;creator=factset&amp;DYN_ARGS=TRUE&amp;DOC_NAME=FAT:FQL_AUDITING_CLIENT_TEMPLATE.FAT&amp;display_string=Audit&amp;VAR:KEY=RAFKVSHCDG&amp;VAR:QUERY=RkZfRUJJVERBX09QRVIoUVRSLDQvMS8yMDEwLDYvMzAvMjAxMCwsLFVTRCk=&amp;WINDOW=FIRST_POPUP&amp;HEIGH","T=450&amp;WIDTH=450&amp;START_MAXIMIZED=FALSE&amp;VAR:CALENDAR=US&amp;VAR:SYMBOL=AMGN&amp;VAR:INDEX=0"}</definedName>
    <definedName name="_944__FDSAUDITLINK__" hidden="1">{"fdsup://directions/FAT Viewer?action=UPDATE&amp;creator=factset&amp;DYN_ARGS=TRUE&amp;DOC_NAME=FAT:FQL_AUDITING_CLIENT_TEMPLATE.FAT&amp;display_string=Audit&amp;VAR:KEY=RAFKVSHCDG&amp;VAR:QUERY=RkZfRUJJVERBX09QRVIoUVRSLDQvMS8yMDEwLDYvMzAvMjAxMCwsLFVTRCk=&amp;WINDOW=FIRST_POPUP&amp;HEIGH","T=450&amp;WIDTH=450&amp;START_MAXIMIZED=FALSE&amp;VAR:CALENDAR=US&amp;VAR:SYMBOL=AMGN&amp;VAR:INDEX=0"}</definedName>
    <definedName name="_945__FDSAUDITLINK__" localSheetId="1" hidden="1">{"fdsup://directions/FAT Viewer?action=UPDATE&amp;creator=factset&amp;DYN_ARGS=TRUE&amp;DOC_NAME=FAT:FQL_AUDITING_CLIENT_TEMPLATE.FAT&amp;display_string=Audit&amp;VAR:KEY=JGBGFUNYVM&amp;VAR:QUERY=RkZfRUJJVERBX09QRVIoUVRSLDQvMS8yMDA5LDYvMzAvMjAwOSwsLFVTRCk=&amp;WINDOW=FIRST_POPUP&amp;HEIGH","T=450&amp;WIDTH=450&amp;START_MAXIMIZED=FALSE&amp;VAR:CALENDAR=US&amp;VAR:SYMBOL=AMD&amp;VAR:INDEX=0"}</definedName>
    <definedName name="_945__FDSAUDITLINK__" hidden="1">{"fdsup://directions/FAT Viewer?action=UPDATE&amp;creator=factset&amp;DYN_ARGS=TRUE&amp;DOC_NAME=FAT:FQL_AUDITING_CLIENT_TEMPLATE.FAT&amp;display_string=Audit&amp;VAR:KEY=JGBGFUNYVM&amp;VAR:QUERY=RkZfRUJJVERBX09QRVIoUVRSLDQvMS8yMDA5LDYvMzAvMjAwOSwsLFVTRCk=&amp;WINDOW=FIRST_POPUP&amp;HEIGH","T=450&amp;WIDTH=450&amp;START_MAXIMIZED=FALSE&amp;VAR:CALENDAR=US&amp;VAR:SYMBOL=AMD&amp;VAR:INDEX=0"}</definedName>
    <definedName name="_946__FDSAUDITLINK__" localSheetId="1" hidden="1">{"fdsup://directions/FAT Viewer?action=UPDATE&amp;creator=factset&amp;DYN_ARGS=TRUE&amp;DOC_NAME=FAT:FQL_AUDITING_CLIENT_TEMPLATE.FAT&amp;display_string=Audit&amp;VAR:KEY=DALSFIBGNY&amp;VAR:QUERY=RkZfRUJJVERBX09QRVIoUVRSLDQvMS8yMDEwLDYvMzAvMjAxMCwsLFVTRCk=&amp;WINDOW=FIRST_POPUP&amp;HEIGH","T=450&amp;WIDTH=450&amp;START_MAXIMIZED=FALSE&amp;VAR:CALENDAR=US&amp;VAR:SYMBOL=AMD&amp;VAR:INDEX=0"}</definedName>
    <definedName name="_946__FDSAUDITLINK__" hidden="1">{"fdsup://directions/FAT Viewer?action=UPDATE&amp;creator=factset&amp;DYN_ARGS=TRUE&amp;DOC_NAME=FAT:FQL_AUDITING_CLIENT_TEMPLATE.FAT&amp;display_string=Audit&amp;VAR:KEY=DALSFIBGNY&amp;VAR:QUERY=RkZfRUJJVERBX09QRVIoUVRSLDQvMS8yMDEwLDYvMzAvMjAxMCwsLFVTRCk=&amp;WINDOW=FIRST_POPUP&amp;HEIGH","T=450&amp;WIDTH=450&amp;START_MAXIMIZED=FALSE&amp;VAR:CALENDAR=US&amp;VAR:SYMBOL=AMD&amp;VAR:INDEX=0"}</definedName>
    <definedName name="_947__FDSAUDITLINK__" localSheetId="1" hidden="1">{"fdsup://directions/FAT Viewer?action=UPDATE&amp;creator=factset&amp;DYN_ARGS=TRUE&amp;DOC_NAME=FAT:FQL_AUDITING_CLIENT_TEMPLATE.FAT&amp;display_string=Audit&amp;VAR:KEY=XMTSLUPGXE&amp;VAR:QUERY=RkZfRUJJVERBX09QRVIoUVRSLDQvMS8yMDA5LDYvMzAvMjAwOSwsLFVTRCk=&amp;WINDOW=FIRST_POPUP&amp;HEIGH","T=450&amp;WIDTH=450&amp;START_MAXIMIZED=FALSE&amp;VAR:CALENDAR=US&amp;VAR:SYMBOL=AMAT&amp;VAR:INDEX=0"}</definedName>
    <definedName name="_947__FDSAUDITLINK__" hidden="1">{"fdsup://directions/FAT Viewer?action=UPDATE&amp;creator=factset&amp;DYN_ARGS=TRUE&amp;DOC_NAME=FAT:FQL_AUDITING_CLIENT_TEMPLATE.FAT&amp;display_string=Audit&amp;VAR:KEY=XMTSLUPGXE&amp;VAR:QUERY=RkZfRUJJVERBX09QRVIoUVRSLDQvMS8yMDA5LDYvMzAvMjAwOSwsLFVTRCk=&amp;WINDOW=FIRST_POPUP&amp;HEIGH","T=450&amp;WIDTH=450&amp;START_MAXIMIZED=FALSE&amp;VAR:CALENDAR=US&amp;VAR:SYMBOL=AMAT&amp;VAR:INDEX=0"}</definedName>
    <definedName name="_948__FDSAUDITLINK__" localSheetId="1" hidden="1">{"fdsup://directions/FAT Viewer?action=UPDATE&amp;creator=factset&amp;DYN_ARGS=TRUE&amp;DOC_NAME=FAT:FQL_AUDITING_CLIENT_TEMPLATE.FAT&amp;display_string=Audit&amp;VAR:KEY=DEHEBCDUPC&amp;VAR:QUERY=RkZfRUJJVERBX09QRVIoUVRSLDQvMS8yMDEwLDYvMzAvMjAxMCwsLFVTRCk=&amp;WINDOW=FIRST_POPUP&amp;HEIGH","T=450&amp;WIDTH=450&amp;START_MAXIMIZED=FALSE&amp;VAR:CALENDAR=US&amp;VAR:SYMBOL=AMAT&amp;VAR:INDEX=0"}</definedName>
    <definedName name="_948__FDSAUDITLINK__" hidden="1">{"fdsup://directions/FAT Viewer?action=UPDATE&amp;creator=factset&amp;DYN_ARGS=TRUE&amp;DOC_NAME=FAT:FQL_AUDITING_CLIENT_TEMPLATE.FAT&amp;display_string=Audit&amp;VAR:KEY=DEHEBCDUPC&amp;VAR:QUERY=RkZfRUJJVERBX09QRVIoUVRSLDQvMS8yMDEwLDYvMzAvMjAxMCwsLFVTRCk=&amp;WINDOW=FIRST_POPUP&amp;HEIGH","T=450&amp;WIDTH=450&amp;START_MAXIMIZED=FALSE&amp;VAR:CALENDAR=US&amp;VAR:SYMBOL=AMAT&amp;VAR:INDEX=0"}</definedName>
    <definedName name="_949__FDSAUDITLINK__" localSheetId="1" hidden="1">{"fdsup://directions/FAT Viewer?action=UPDATE&amp;creator=factset&amp;DYN_ARGS=TRUE&amp;DOC_NAME=FAT:FQL_AUDITING_CLIENT_TEMPLATE.FAT&amp;display_string=Audit&amp;VAR:KEY=JYDEHQBSTW&amp;VAR:QUERY=RkZfRUJJVERBX09QRVIoUVRSLDQvMS8yMDA5LDYvMzAvMjAwOSwsLFVTRCk=&amp;WINDOW=FIRST_POPUP&amp;HEIGH","T=450&amp;WIDTH=450&amp;START_MAXIMIZED=FALSE&amp;VAR:CALENDAR=US&amp;VAR:SYMBOL=ALTR&amp;VAR:INDEX=0"}</definedName>
    <definedName name="_949__FDSAUDITLINK__" hidden="1">{"fdsup://directions/FAT Viewer?action=UPDATE&amp;creator=factset&amp;DYN_ARGS=TRUE&amp;DOC_NAME=FAT:FQL_AUDITING_CLIENT_TEMPLATE.FAT&amp;display_string=Audit&amp;VAR:KEY=JYDEHQBSTW&amp;VAR:QUERY=RkZfRUJJVERBX09QRVIoUVRSLDQvMS8yMDA5LDYvMzAvMjAwOSwsLFVTRCk=&amp;WINDOW=FIRST_POPUP&amp;HEIGH","T=450&amp;WIDTH=450&amp;START_MAXIMIZED=FALSE&amp;VAR:CALENDAR=US&amp;VAR:SYMBOL=ALTR&amp;VAR:INDEX=0"}</definedName>
    <definedName name="_95__FDSAUDITLINK__" localSheetId="1" hidden="1">{"fdsup://directions/FAT Viewer?action=UPDATE&amp;creator=factset&amp;DYN_ARGS=TRUE&amp;DOC_NAME=FAT:FQL_AUDITING_CLIENT_TEMPLATE.FAT&amp;display_string=Audit&amp;VAR:KEY=TAHGXQZCPQ&amp;VAR:QUERY=RkZfRUJJVERBX09QRVIoUVRSLDQvMS8yMDA5LDYvMzAvMjAwOSwsLFVTRCk=&amp;WINDOW=FIRST_POPUP&amp;HEIGH","T=450&amp;WIDTH=450&amp;START_MAXIMIZED=FALSE&amp;VAR:CALENDAR=US&amp;VAR:SYMBOL=TYC&amp;VAR:INDEX=0"}</definedName>
    <definedName name="_95__FDSAUDITLINK__" hidden="1">{"fdsup://directions/FAT Viewer?action=UPDATE&amp;creator=factset&amp;DYN_ARGS=TRUE&amp;DOC_NAME=FAT:FQL_AUDITING_CLIENT_TEMPLATE.FAT&amp;display_string=Audit&amp;VAR:KEY=TAHGXQZCPQ&amp;VAR:QUERY=RkZfRUJJVERBX09QRVIoUVRSLDQvMS8yMDA5LDYvMzAvMjAwOSwsLFVTRCk=&amp;WINDOW=FIRST_POPUP&amp;HEIGH","T=450&amp;WIDTH=450&amp;START_MAXIMIZED=FALSE&amp;VAR:CALENDAR=US&amp;VAR:SYMBOL=TYC&amp;VAR:INDEX=0"}</definedName>
    <definedName name="_950__FDSAUDITLINK__" localSheetId="1" hidden="1">{"fdsup://directions/FAT Viewer?action=UPDATE&amp;creator=factset&amp;DYN_ARGS=TRUE&amp;DOC_NAME=FAT:FQL_AUDITING_CLIENT_TEMPLATE.FAT&amp;display_string=Audit&amp;VAR:KEY=XEBCFSRQJQ&amp;VAR:QUERY=RkZfRUJJVERBX09QRVIoUVRSLDQvMS8yMDEwLDYvMzAvMjAxMCwsLFVTRCk=&amp;WINDOW=FIRST_POPUP&amp;HEIGH","T=450&amp;WIDTH=450&amp;START_MAXIMIZED=FALSE&amp;VAR:CALENDAR=US&amp;VAR:SYMBOL=ALTR&amp;VAR:INDEX=0"}</definedName>
    <definedName name="_950__FDSAUDITLINK__" hidden="1">{"fdsup://directions/FAT Viewer?action=UPDATE&amp;creator=factset&amp;DYN_ARGS=TRUE&amp;DOC_NAME=FAT:FQL_AUDITING_CLIENT_TEMPLATE.FAT&amp;display_string=Audit&amp;VAR:KEY=XEBCFSRQJQ&amp;VAR:QUERY=RkZfRUJJVERBX09QRVIoUVRSLDQvMS8yMDEwLDYvMzAvMjAxMCwsLFVTRCk=&amp;WINDOW=FIRST_POPUP&amp;HEIGH","T=450&amp;WIDTH=450&amp;START_MAXIMIZED=FALSE&amp;VAR:CALENDAR=US&amp;VAR:SYMBOL=ALTR&amp;VAR:INDEX=0"}</definedName>
    <definedName name="_951__FDSAUDITLINK__" localSheetId="1" hidden="1">{"fdsup://directions/FAT Viewer?action=UPDATE&amp;creator=factset&amp;DYN_ARGS=TRUE&amp;DOC_NAME=FAT:FQL_AUDITING_CLIENT_TEMPLATE.FAT&amp;display_string=Audit&amp;VAR:KEY=ZKDWXOJORA&amp;VAR:QUERY=RkZfRUJJVERBX09QRVIoUVRSLDQvMS8yMDA5LDYvMzAvMjAwOSwsLFVTRCk=&amp;WINDOW=FIRST_POPUP&amp;HEIGH","T=450&amp;WIDTH=450&amp;START_MAXIMIZED=FALSE&amp;VAR:CALENDAR=US&amp;VAR:SYMBOL=ALL&amp;VAR:INDEX=0"}</definedName>
    <definedName name="_951__FDSAUDITLINK__" hidden="1">{"fdsup://directions/FAT Viewer?action=UPDATE&amp;creator=factset&amp;DYN_ARGS=TRUE&amp;DOC_NAME=FAT:FQL_AUDITING_CLIENT_TEMPLATE.FAT&amp;display_string=Audit&amp;VAR:KEY=ZKDWXOJORA&amp;VAR:QUERY=RkZfRUJJVERBX09QRVIoUVRSLDQvMS8yMDA5LDYvMzAvMjAwOSwsLFVTRCk=&amp;WINDOW=FIRST_POPUP&amp;HEIGH","T=450&amp;WIDTH=450&amp;START_MAXIMIZED=FALSE&amp;VAR:CALENDAR=US&amp;VAR:SYMBOL=ALL&amp;VAR:INDEX=0"}</definedName>
    <definedName name="_952__FDSAUDITLINK__" localSheetId="1" hidden="1">{"fdsup://directions/FAT Viewer?action=UPDATE&amp;creator=factset&amp;DYN_ARGS=TRUE&amp;DOC_NAME=FAT:FQL_AUDITING_CLIENT_TEMPLATE.FAT&amp;display_string=Audit&amp;VAR:KEY=NUDOVGJIVS&amp;VAR:QUERY=RkZfRUJJVERBX09QRVIoUVRSLDQvMS8yMDEwLDYvMzAvMjAxMCwsLFVTRCk=&amp;WINDOW=FIRST_POPUP&amp;HEIGH","T=450&amp;WIDTH=450&amp;START_MAXIMIZED=FALSE&amp;VAR:CALENDAR=US&amp;VAR:SYMBOL=ALL&amp;VAR:INDEX=0"}</definedName>
    <definedName name="_952__FDSAUDITLINK__" hidden="1">{"fdsup://directions/FAT Viewer?action=UPDATE&amp;creator=factset&amp;DYN_ARGS=TRUE&amp;DOC_NAME=FAT:FQL_AUDITING_CLIENT_TEMPLATE.FAT&amp;display_string=Audit&amp;VAR:KEY=NUDOVGJIVS&amp;VAR:QUERY=RkZfRUJJVERBX09QRVIoUVRSLDQvMS8yMDEwLDYvMzAvMjAxMCwsLFVTRCk=&amp;WINDOW=FIRST_POPUP&amp;HEIGH","T=450&amp;WIDTH=450&amp;START_MAXIMIZED=FALSE&amp;VAR:CALENDAR=US&amp;VAR:SYMBOL=ALL&amp;VAR:INDEX=0"}</definedName>
    <definedName name="_953__FDSAUDITLINK__" localSheetId="1" hidden="1">{"fdsup://directions/FAT Viewer?action=UPDATE&amp;creator=factset&amp;DYN_ARGS=TRUE&amp;DOC_NAME=FAT:FQL_AUDITING_CLIENT_TEMPLATE.FAT&amp;display_string=Audit&amp;VAR:KEY=HGBWTKDEHK&amp;VAR:QUERY=RkZfRUJJVERBX09QRVIoUVRSLDQvMS8yMDA5LDYvMzAvMjAwOSwsLFVTRCk=&amp;WINDOW=FIRST_POPUP&amp;HEIGH","T=450&amp;WIDTH=450&amp;START_MAXIMIZED=FALSE&amp;VAR:CALENDAR=US&amp;VAR:SYMBOL=AKS&amp;VAR:INDEX=0"}</definedName>
    <definedName name="_953__FDSAUDITLINK__" hidden="1">{"fdsup://directions/FAT Viewer?action=UPDATE&amp;creator=factset&amp;DYN_ARGS=TRUE&amp;DOC_NAME=FAT:FQL_AUDITING_CLIENT_TEMPLATE.FAT&amp;display_string=Audit&amp;VAR:KEY=HGBWTKDEHK&amp;VAR:QUERY=RkZfRUJJVERBX09QRVIoUVRSLDQvMS8yMDA5LDYvMzAvMjAwOSwsLFVTRCk=&amp;WINDOW=FIRST_POPUP&amp;HEIGH","T=450&amp;WIDTH=450&amp;START_MAXIMIZED=FALSE&amp;VAR:CALENDAR=US&amp;VAR:SYMBOL=AKS&amp;VAR:INDEX=0"}</definedName>
    <definedName name="_954__FDSAUDITLINK__" localSheetId="1" hidden="1">{"fdsup://directions/FAT Viewer?action=UPDATE&amp;creator=factset&amp;DYN_ARGS=TRUE&amp;DOC_NAME=FAT:FQL_AUDITING_CLIENT_TEMPLATE.FAT&amp;display_string=Audit&amp;VAR:KEY=PWLOTCRIXO&amp;VAR:QUERY=RkZfRUJJVERBX09QRVIoUVRSLDQvMS8yMDEwLDYvMzAvMjAxMCwsLFVTRCk=&amp;WINDOW=FIRST_POPUP&amp;HEIGH","T=450&amp;WIDTH=450&amp;START_MAXIMIZED=FALSE&amp;VAR:CALENDAR=US&amp;VAR:SYMBOL=AKS&amp;VAR:INDEX=0"}</definedName>
    <definedName name="_954__FDSAUDITLINK__" hidden="1">{"fdsup://directions/FAT Viewer?action=UPDATE&amp;creator=factset&amp;DYN_ARGS=TRUE&amp;DOC_NAME=FAT:FQL_AUDITING_CLIENT_TEMPLATE.FAT&amp;display_string=Audit&amp;VAR:KEY=PWLOTCRIXO&amp;VAR:QUERY=RkZfRUJJVERBX09QRVIoUVRSLDQvMS8yMDEwLDYvMzAvMjAxMCwsLFVTRCk=&amp;WINDOW=FIRST_POPUP&amp;HEIGH","T=450&amp;WIDTH=450&amp;START_MAXIMIZED=FALSE&amp;VAR:CALENDAR=US&amp;VAR:SYMBOL=AKS&amp;VAR:INDEX=0"}</definedName>
    <definedName name="_955__FDSAUDITLINK__" localSheetId="1" hidden="1">{"fdsup://directions/FAT Viewer?action=UPDATE&amp;creator=factset&amp;DYN_ARGS=TRUE&amp;DOC_NAME=FAT:FQL_AUDITING_CLIENT_TEMPLATE.FAT&amp;display_string=Audit&amp;VAR:KEY=PYPCNSFSTS&amp;VAR:QUERY=RkZfRUJJVERBX09QRVIoUVRSLDQvMS8yMDA5LDYvMzAvMjAwOSwsLFVTRCk=&amp;WINDOW=FIRST_POPUP&amp;HEIGH","T=450&amp;WIDTH=450&amp;START_MAXIMIZED=FALSE&amp;VAR:CALENDAR=US&amp;VAR:SYMBOL=AKAM&amp;VAR:INDEX=0"}</definedName>
    <definedName name="_955__FDSAUDITLINK__" hidden="1">{"fdsup://directions/FAT Viewer?action=UPDATE&amp;creator=factset&amp;DYN_ARGS=TRUE&amp;DOC_NAME=FAT:FQL_AUDITING_CLIENT_TEMPLATE.FAT&amp;display_string=Audit&amp;VAR:KEY=PYPCNSFSTS&amp;VAR:QUERY=RkZfRUJJVERBX09QRVIoUVRSLDQvMS8yMDA5LDYvMzAvMjAwOSwsLFVTRCk=&amp;WINDOW=FIRST_POPUP&amp;HEIGH","T=450&amp;WIDTH=450&amp;START_MAXIMIZED=FALSE&amp;VAR:CALENDAR=US&amp;VAR:SYMBOL=AKAM&amp;VAR:INDEX=0"}</definedName>
    <definedName name="_956__FDSAUDITLINK__" localSheetId="1" hidden="1">{"fdsup://directions/FAT Viewer?action=UPDATE&amp;creator=factset&amp;DYN_ARGS=TRUE&amp;DOC_NAME=FAT:FQL_AUDITING_CLIENT_TEMPLATE.FAT&amp;display_string=Audit&amp;VAR:KEY=FOVSVWDSFU&amp;VAR:QUERY=RkZfRUJJVERBX09QRVIoUVRSLDQvMS8yMDEwLDYvMzAvMjAxMCwsLFVTRCk=&amp;WINDOW=FIRST_POPUP&amp;HEIGH","T=450&amp;WIDTH=450&amp;START_MAXIMIZED=FALSE&amp;VAR:CALENDAR=US&amp;VAR:SYMBOL=AKAM&amp;VAR:INDEX=0"}</definedName>
    <definedName name="_956__FDSAUDITLINK__" hidden="1">{"fdsup://directions/FAT Viewer?action=UPDATE&amp;creator=factset&amp;DYN_ARGS=TRUE&amp;DOC_NAME=FAT:FQL_AUDITING_CLIENT_TEMPLATE.FAT&amp;display_string=Audit&amp;VAR:KEY=FOVSVWDSFU&amp;VAR:QUERY=RkZfRUJJVERBX09QRVIoUVRSLDQvMS8yMDEwLDYvMzAvMjAxMCwsLFVTRCk=&amp;WINDOW=FIRST_POPUP&amp;HEIGH","T=450&amp;WIDTH=450&amp;START_MAXIMIZED=FALSE&amp;VAR:CALENDAR=US&amp;VAR:SYMBOL=AKAM&amp;VAR:INDEX=0"}</definedName>
    <definedName name="_957__FDSAUDITLINK__" localSheetId="1" hidden="1">{"fdsup://directions/FAT Viewer?action=UPDATE&amp;creator=factset&amp;DYN_ARGS=TRUE&amp;DOC_NAME=FAT:FQL_AUDITING_CLIENT_TEMPLATE.FAT&amp;display_string=Audit&amp;VAR:KEY=BWPEJGHMVY&amp;VAR:QUERY=RkZfRUJJVERBX09QRVIoUVRSLDQvMS8yMDA5LDYvMzAvMjAwOSwsLFVTRCk=&amp;WINDOW=FIRST_POPUP&amp;HEIGH","T=450&amp;WIDTH=450&amp;START_MAXIMIZED=FALSE&amp;VAR:CALENDAR=US&amp;VAR:SYMBOL=AIZ&amp;VAR:INDEX=0"}</definedName>
    <definedName name="_957__FDSAUDITLINK__" hidden="1">{"fdsup://directions/FAT Viewer?action=UPDATE&amp;creator=factset&amp;DYN_ARGS=TRUE&amp;DOC_NAME=FAT:FQL_AUDITING_CLIENT_TEMPLATE.FAT&amp;display_string=Audit&amp;VAR:KEY=BWPEJGHMVY&amp;VAR:QUERY=RkZfRUJJVERBX09QRVIoUVRSLDQvMS8yMDA5LDYvMzAvMjAwOSwsLFVTRCk=&amp;WINDOW=FIRST_POPUP&amp;HEIGH","T=450&amp;WIDTH=450&amp;START_MAXIMIZED=FALSE&amp;VAR:CALENDAR=US&amp;VAR:SYMBOL=AIZ&amp;VAR:INDEX=0"}</definedName>
    <definedName name="_958__FDSAUDITLINK__" localSheetId="1" hidden="1">{"fdsup://directions/FAT Viewer?action=UPDATE&amp;creator=factset&amp;DYN_ARGS=TRUE&amp;DOC_NAME=FAT:FQL_AUDITING_CLIENT_TEMPLATE.FAT&amp;display_string=Audit&amp;VAR:KEY=JEVWFAZOFK&amp;VAR:QUERY=RkZfRUJJVERBX09QRVIoUVRSLDQvMS8yMDEwLDYvMzAvMjAxMCwsLFVTRCk=&amp;WINDOW=FIRST_POPUP&amp;HEIGH","T=450&amp;WIDTH=450&amp;START_MAXIMIZED=FALSE&amp;VAR:CALENDAR=US&amp;VAR:SYMBOL=AIZ&amp;VAR:INDEX=0"}</definedName>
    <definedName name="_958__FDSAUDITLINK__" hidden="1">{"fdsup://directions/FAT Viewer?action=UPDATE&amp;creator=factset&amp;DYN_ARGS=TRUE&amp;DOC_NAME=FAT:FQL_AUDITING_CLIENT_TEMPLATE.FAT&amp;display_string=Audit&amp;VAR:KEY=JEVWFAZOFK&amp;VAR:QUERY=RkZfRUJJVERBX09QRVIoUVRSLDQvMS8yMDEwLDYvMzAvMjAxMCwsLFVTRCk=&amp;WINDOW=FIRST_POPUP&amp;HEIGH","T=450&amp;WIDTH=450&amp;START_MAXIMIZED=FALSE&amp;VAR:CALENDAR=US&amp;VAR:SYMBOL=AIZ&amp;VAR:INDEX=0"}</definedName>
    <definedName name="_959__FDSAUDITLINK__" localSheetId="1" hidden="1">{"fdsup://directions/FAT Viewer?action=UPDATE&amp;creator=factset&amp;DYN_ARGS=TRUE&amp;DOC_NAME=FAT:FQL_AUDITING_CLIENT_TEMPLATE.FAT&amp;display_string=Audit&amp;VAR:KEY=VEZGTIRCPK&amp;VAR:QUERY=RkZfRUJJVERBX09QRVIoUVRSLDQvMS8yMDA5LDYvMzAvMjAwOSwsLFVTRCk=&amp;WINDOW=FIRST_POPUP&amp;HEIGH","T=450&amp;WIDTH=450&amp;START_MAXIMIZED=FALSE&amp;VAR:CALENDAR=US&amp;VAR:SYMBOL=AIV&amp;VAR:INDEX=0"}</definedName>
    <definedName name="_959__FDSAUDITLINK__" hidden="1">{"fdsup://directions/FAT Viewer?action=UPDATE&amp;creator=factset&amp;DYN_ARGS=TRUE&amp;DOC_NAME=FAT:FQL_AUDITING_CLIENT_TEMPLATE.FAT&amp;display_string=Audit&amp;VAR:KEY=VEZGTIRCPK&amp;VAR:QUERY=RkZfRUJJVERBX09QRVIoUVRSLDQvMS8yMDA5LDYvMzAvMjAwOSwsLFVTRCk=&amp;WINDOW=FIRST_POPUP&amp;HEIGH","T=450&amp;WIDTH=450&amp;START_MAXIMIZED=FALSE&amp;VAR:CALENDAR=US&amp;VAR:SYMBOL=AIV&amp;VAR:INDEX=0"}</definedName>
    <definedName name="_96__FDSAUDITLINK__" localSheetId="1" hidden="1">{"fdsup://directions/FAT Viewer?action=UPDATE&amp;creator=factset&amp;DYN_ARGS=TRUE&amp;DOC_NAME=FAT:FQL_AUDITING_CLIENT_TEMPLATE.FAT&amp;display_string=Audit&amp;VAR:KEY=DYXCTGFQFO&amp;VAR:QUERY=RkZfRUJJVERBX09QRVIoUVRSLDQvMS8yMDEwLDYvMzAvMjAxMCwsLFVTRCk=&amp;WINDOW=FIRST_POPUP&amp;HEIGH","T=450&amp;WIDTH=450&amp;START_MAXIMIZED=FALSE&amp;VAR:CALENDAR=US&amp;VAR:SYMBOL=TYC&amp;VAR:INDEX=0"}</definedName>
    <definedName name="_96__FDSAUDITLINK__" hidden="1">{"fdsup://directions/FAT Viewer?action=UPDATE&amp;creator=factset&amp;DYN_ARGS=TRUE&amp;DOC_NAME=FAT:FQL_AUDITING_CLIENT_TEMPLATE.FAT&amp;display_string=Audit&amp;VAR:KEY=DYXCTGFQFO&amp;VAR:QUERY=RkZfRUJJVERBX09QRVIoUVRSLDQvMS8yMDEwLDYvMzAvMjAxMCwsLFVTRCk=&amp;WINDOW=FIRST_POPUP&amp;HEIGH","T=450&amp;WIDTH=450&amp;START_MAXIMIZED=FALSE&amp;VAR:CALENDAR=US&amp;VAR:SYMBOL=TYC&amp;VAR:INDEX=0"}</definedName>
    <definedName name="_960__FDSAUDITLINK__" localSheetId="1" hidden="1">{"fdsup://directions/FAT Viewer?action=UPDATE&amp;creator=factset&amp;DYN_ARGS=TRUE&amp;DOC_NAME=FAT:FQL_AUDITING_CLIENT_TEMPLATE.FAT&amp;display_string=Audit&amp;VAR:KEY=HQVUVGNWTE&amp;VAR:QUERY=RkZfRUJJVERBX09QRVIoUVRSLDQvMS8yMDEwLDYvMzAvMjAxMCwsLFVTRCk=&amp;WINDOW=FIRST_POPUP&amp;HEIGH","T=450&amp;WIDTH=450&amp;START_MAXIMIZED=FALSE&amp;VAR:CALENDAR=US&amp;VAR:SYMBOL=AIV&amp;VAR:INDEX=0"}</definedName>
    <definedName name="_960__FDSAUDITLINK__" hidden="1">{"fdsup://directions/FAT Viewer?action=UPDATE&amp;creator=factset&amp;DYN_ARGS=TRUE&amp;DOC_NAME=FAT:FQL_AUDITING_CLIENT_TEMPLATE.FAT&amp;display_string=Audit&amp;VAR:KEY=HQVUVGNWTE&amp;VAR:QUERY=RkZfRUJJVERBX09QRVIoUVRSLDQvMS8yMDEwLDYvMzAvMjAxMCwsLFVTRCk=&amp;WINDOW=FIRST_POPUP&amp;HEIGH","T=450&amp;WIDTH=450&amp;START_MAXIMIZED=FALSE&amp;VAR:CALENDAR=US&amp;VAR:SYMBOL=AIV&amp;VAR:INDEX=0"}</definedName>
    <definedName name="_961__FDSAUDITLINK__" localSheetId="1" hidden="1">{"fdsup://directions/FAT Viewer?action=UPDATE&amp;creator=factset&amp;DYN_ARGS=TRUE&amp;DOC_NAME=FAT:FQL_AUDITING_CLIENT_TEMPLATE.FAT&amp;display_string=Audit&amp;VAR:KEY=HYFEPOBQJM&amp;VAR:QUERY=RkZfRUJJVERBX09QRVIoUVRSLDQvMS8yMDA5LDYvMzAvMjAwOSwsLFVTRCk=&amp;WINDOW=FIRST_POPUP&amp;HEIGH","T=450&amp;WIDTH=450&amp;START_MAXIMIZED=FALSE&amp;VAR:CALENDAR=US&amp;VAR:SYMBOL=AIG&amp;VAR:INDEX=0"}</definedName>
    <definedName name="_961__FDSAUDITLINK__" hidden="1">{"fdsup://directions/FAT Viewer?action=UPDATE&amp;creator=factset&amp;DYN_ARGS=TRUE&amp;DOC_NAME=FAT:FQL_AUDITING_CLIENT_TEMPLATE.FAT&amp;display_string=Audit&amp;VAR:KEY=HYFEPOBQJM&amp;VAR:QUERY=RkZfRUJJVERBX09QRVIoUVRSLDQvMS8yMDA5LDYvMzAvMjAwOSwsLFVTRCk=&amp;WINDOW=FIRST_POPUP&amp;HEIGH","T=450&amp;WIDTH=450&amp;START_MAXIMIZED=FALSE&amp;VAR:CALENDAR=US&amp;VAR:SYMBOL=AIG&amp;VAR:INDEX=0"}</definedName>
    <definedName name="_962__FDSAUDITLINK__" localSheetId="1" hidden="1">{"fdsup://directions/FAT Viewer?action=UPDATE&amp;creator=factset&amp;DYN_ARGS=TRUE&amp;DOC_NAME=FAT:FQL_AUDITING_CLIENT_TEMPLATE.FAT&amp;display_string=Audit&amp;VAR:KEY=LONMJWPEFK&amp;VAR:QUERY=RkZfRUJJVERBX09QRVIoUVRSLDQvMS8yMDEwLDYvMzAvMjAxMCwsLFVTRCk=&amp;WINDOW=FIRST_POPUP&amp;HEIGH","T=450&amp;WIDTH=450&amp;START_MAXIMIZED=FALSE&amp;VAR:CALENDAR=US&amp;VAR:SYMBOL=AIG&amp;VAR:INDEX=0"}</definedName>
    <definedName name="_962__FDSAUDITLINK__" hidden="1">{"fdsup://directions/FAT Viewer?action=UPDATE&amp;creator=factset&amp;DYN_ARGS=TRUE&amp;DOC_NAME=FAT:FQL_AUDITING_CLIENT_TEMPLATE.FAT&amp;display_string=Audit&amp;VAR:KEY=LONMJWPEFK&amp;VAR:QUERY=RkZfRUJJVERBX09QRVIoUVRSLDQvMS8yMDEwLDYvMzAvMjAxMCwsLFVTRCk=&amp;WINDOW=FIRST_POPUP&amp;HEIGH","T=450&amp;WIDTH=450&amp;START_MAXIMIZED=FALSE&amp;VAR:CALENDAR=US&amp;VAR:SYMBOL=AIG&amp;VAR:INDEX=0"}</definedName>
    <definedName name="_963__FDSAUDITLINK__" localSheetId="1" hidden="1">{"fdsup://directions/FAT Viewer?action=UPDATE&amp;creator=factset&amp;DYN_ARGS=TRUE&amp;DOC_NAME=FAT:FQL_AUDITING_CLIENT_TEMPLATE.FAT&amp;display_string=Audit&amp;VAR:KEY=ZSXWVMVUPE&amp;VAR:QUERY=RkZfRUJJVERBX09QRVIoUVRSLDQvMS8yMDA5LDYvMzAvMjAwOSwsLFVTRCk=&amp;WINDOW=FIRST_POPUP&amp;HEIGH","T=450&amp;WIDTH=450&amp;START_MAXIMIZED=FALSE&amp;VAR:CALENDAR=US&amp;VAR:SYMBOL=AGN&amp;VAR:INDEX=0"}</definedName>
    <definedName name="_963__FDSAUDITLINK__" hidden="1">{"fdsup://directions/FAT Viewer?action=UPDATE&amp;creator=factset&amp;DYN_ARGS=TRUE&amp;DOC_NAME=FAT:FQL_AUDITING_CLIENT_TEMPLATE.FAT&amp;display_string=Audit&amp;VAR:KEY=ZSXWVMVUPE&amp;VAR:QUERY=RkZfRUJJVERBX09QRVIoUVRSLDQvMS8yMDA5LDYvMzAvMjAwOSwsLFVTRCk=&amp;WINDOW=FIRST_POPUP&amp;HEIGH","T=450&amp;WIDTH=450&amp;START_MAXIMIZED=FALSE&amp;VAR:CALENDAR=US&amp;VAR:SYMBOL=AGN&amp;VAR:INDEX=0"}</definedName>
    <definedName name="_964__FDSAUDITLINK__" localSheetId="1" hidden="1">{"fdsup://directions/FAT Viewer?action=UPDATE&amp;creator=factset&amp;DYN_ARGS=TRUE&amp;DOC_NAME=FAT:FQL_AUDITING_CLIENT_TEMPLATE.FAT&amp;display_string=Audit&amp;VAR:KEY=VOPORCXSDA&amp;VAR:QUERY=RkZfRUJJVERBX09QRVIoUVRSLDQvMS8yMDEwLDYvMzAvMjAxMCwsLFVTRCk=&amp;WINDOW=FIRST_POPUP&amp;HEIGH","T=450&amp;WIDTH=450&amp;START_MAXIMIZED=FALSE&amp;VAR:CALENDAR=US&amp;VAR:SYMBOL=AGN&amp;VAR:INDEX=0"}</definedName>
    <definedName name="_964__FDSAUDITLINK__" hidden="1">{"fdsup://directions/FAT Viewer?action=UPDATE&amp;creator=factset&amp;DYN_ARGS=TRUE&amp;DOC_NAME=FAT:FQL_AUDITING_CLIENT_TEMPLATE.FAT&amp;display_string=Audit&amp;VAR:KEY=VOPORCXSDA&amp;VAR:QUERY=RkZfRUJJVERBX09QRVIoUVRSLDQvMS8yMDEwLDYvMzAvMjAxMCwsLFVTRCk=&amp;WINDOW=FIRST_POPUP&amp;HEIGH","T=450&amp;WIDTH=450&amp;START_MAXIMIZED=FALSE&amp;VAR:CALENDAR=US&amp;VAR:SYMBOL=AGN&amp;VAR:INDEX=0"}</definedName>
    <definedName name="_965__FDSAUDITLINK__" localSheetId="1" hidden="1">{"fdsup://directions/FAT Viewer?action=UPDATE&amp;creator=factset&amp;DYN_ARGS=TRUE&amp;DOC_NAME=FAT:FQL_AUDITING_CLIENT_TEMPLATE.FAT&amp;display_string=Audit&amp;VAR:KEY=ZAFEFIJIJQ&amp;VAR:QUERY=RkZfRUJJVERBX09QRVIoUVRSLDQvMS8yMDA5LDYvMzAvMjAwOSwsLFVTRCk=&amp;WINDOW=FIRST_POPUP&amp;HEIGH","T=450&amp;WIDTH=450&amp;START_MAXIMIZED=FALSE&amp;VAR:CALENDAR=US&amp;VAR:SYMBOL=AFL&amp;VAR:INDEX=0"}</definedName>
    <definedName name="_965__FDSAUDITLINK__" hidden="1">{"fdsup://directions/FAT Viewer?action=UPDATE&amp;creator=factset&amp;DYN_ARGS=TRUE&amp;DOC_NAME=FAT:FQL_AUDITING_CLIENT_TEMPLATE.FAT&amp;display_string=Audit&amp;VAR:KEY=ZAFEFIJIJQ&amp;VAR:QUERY=RkZfRUJJVERBX09QRVIoUVRSLDQvMS8yMDA5LDYvMzAvMjAwOSwsLFVTRCk=&amp;WINDOW=FIRST_POPUP&amp;HEIGH","T=450&amp;WIDTH=450&amp;START_MAXIMIZED=FALSE&amp;VAR:CALENDAR=US&amp;VAR:SYMBOL=AFL&amp;VAR:INDEX=0"}</definedName>
    <definedName name="_966__FDSAUDITLINK__" localSheetId="1" hidden="1">{"fdsup://directions/FAT Viewer?action=UPDATE&amp;creator=factset&amp;DYN_ARGS=TRUE&amp;DOC_NAME=FAT:FQL_AUDITING_CLIENT_TEMPLATE.FAT&amp;display_string=Audit&amp;VAR:KEY=DCXUZMXKZQ&amp;VAR:QUERY=RkZfRUJJVERBX09QRVIoUVRSLDQvMS8yMDEwLDYvMzAvMjAxMCwsLFVTRCk=&amp;WINDOW=FIRST_POPUP&amp;HEIGH","T=450&amp;WIDTH=450&amp;START_MAXIMIZED=FALSE&amp;VAR:CALENDAR=US&amp;VAR:SYMBOL=AFL&amp;VAR:INDEX=0"}</definedName>
    <definedName name="_966__FDSAUDITLINK__" hidden="1">{"fdsup://directions/FAT Viewer?action=UPDATE&amp;creator=factset&amp;DYN_ARGS=TRUE&amp;DOC_NAME=FAT:FQL_AUDITING_CLIENT_TEMPLATE.FAT&amp;display_string=Audit&amp;VAR:KEY=DCXUZMXKZQ&amp;VAR:QUERY=RkZfRUJJVERBX09QRVIoUVRSLDQvMS8yMDEwLDYvMzAvMjAxMCwsLFVTRCk=&amp;WINDOW=FIRST_POPUP&amp;HEIGH","T=450&amp;WIDTH=450&amp;START_MAXIMIZED=FALSE&amp;VAR:CALENDAR=US&amp;VAR:SYMBOL=AFL&amp;VAR:INDEX=0"}</definedName>
    <definedName name="_967__FDSAUDITLINK__" localSheetId="1" hidden="1">{"fdsup://directions/FAT Viewer?action=UPDATE&amp;creator=factset&amp;DYN_ARGS=TRUE&amp;DOC_NAME=FAT:FQL_AUDITING_CLIENT_TEMPLATE.FAT&amp;display_string=Audit&amp;VAR:KEY=BAZGDMVEXG&amp;VAR:QUERY=RkZfRUJJVERBX09QRVIoUVRSLDQvMS8yMDA5LDYvMzAvMjAwOSwsLFVTRCk=&amp;WINDOW=FIRST_POPUP&amp;HEIGH","T=450&amp;WIDTH=450&amp;START_MAXIMIZED=FALSE&amp;VAR:CALENDAR=US&amp;VAR:SYMBOL=AET&amp;VAR:INDEX=0"}</definedName>
    <definedName name="_967__FDSAUDITLINK__" hidden="1">{"fdsup://directions/FAT Viewer?action=UPDATE&amp;creator=factset&amp;DYN_ARGS=TRUE&amp;DOC_NAME=FAT:FQL_AUDITING_CLIENT_TEMPLATE.FAT&amp;display_string=Audit&amp;VAR:KEY=BAZGDMVEXG&amp;VAR:QUERY=RkZfRUJJVERBX09QRVIoUVRSLDQvMS8yMDA5LDYvMzAvMjAwOSwsLFVTRCk=&amp;WINDOW=FIRST_POPUP&amp;HEIGH","T=450&amp;WIDTH=450&amp;START_MAXIMIZED=FALSE&amp;VAR:CALENDAR=US&amp;VAR:SYMBOL=AET&amp;VAR:INDEX=0"}</definedName>
    <definedName name="_968__FDSAUDITLINK__" localSheetId="1" hidden="1">{"fdsup://directions/FAT Viewer?action=UPDATE&amp;creator=factset&amp;DYN_ARGS=TRUE&amp;DOC_NAME=FAT:FQL_AUDITING_CLIENT_TEMPLATE.FAT&amp;display_string=Audit&amp;VAR:KEY=XYXWHERCFC&amp;VAR:QUERY=RkZfRUJJVERBX09QRVIoUVRSLDQvMS8yMDEwLDYvMzAvMjAxMCwsLFVTRCk=&amp;WINDOW=FIRST_POPUP&amp;HEIGH","T=450&amp;WIDTH=450&amp;START_MAXIMIZED=FALSE&amp;VAR:CALENDAR=US&amp;VAR:SYMBOL=AET&amp;VAR:INDEX=0"}</definedName>
    <definedName name="_968__FDSAUDITLINK__" hidden="1">{"fdsup://directions/FAT Viewer?action=UPDATE&amp;creator=factset&amp;DYN_ARGS=TRUE&amp;DOC_NAME=FAT:FQL_AUDITING_CLIENT_TEMPLATE.FAT&amp;display_string=Audit&amp;VAR:KEY=XYXWHERCFC&amp;VAR:QUERY=RkZfRUJJVERBX09QRVIoUVRSLDQvMS8yMDEwLDYvMzAvMjAxMCwsLFVTRCk=&amp;WINDOW=FIRST_POPUP&amp;HEIGH","T=450&amp;WIDTH=450&amp;START_MAXIMIZED=FALSE&amp;VAR:CALENDAR=US&amp;VAR:SYMBOL=AET&amp;VAR:INDEX=0"}</definedName>
    <definedName name="_969__FDSAUDITLINK__" localSheetId="1" hidden="1">{"fdsup://directions/FAT Viewer?action=UPDATE&amp;creator=factset&amp;DYN_ARGS=TRUE&amp;DOC_NAME=FAT:FQL_AUDITING_CLIENT_TEMPLATE.FAT&amp;display_string=Audit&amp;VAR:KEY=HAFCFOXQTW&amp;VAR:QUERY=RkZfRUJJVERBX09QRVIoUVRSLDQvMS8yMDA5LDYvMzAvMjAwOSwsLFVTRCk=&amp;WINDOW=FIRST_POPUP&amp;HEIGH","T=450&amp;WIDTH=450&amp;START_MAXIMIZED=FALSE&amp;VAR:CALENDAR=US&amp;VAR:SYMBOL=AES&amp;VAR:INDEX=0"}</definedName>
    <definedName name="_969__FDSAUDITLINK__" hidden="1">{"fdsup://directions/FAT Viewer?action=UPDATE&amp;creator=factset&amp;DYN_ARGS=TRUE&amp;DOC_NAME=FAT:FQL_AUDITING_CLIENT_TEMPLATE.FAT&amp;display_string=Audit&amp;VAR:KEY=HAFCFOXQTW&amp;VAR:QUERY=RkZfRUJJVERBX09QRVIoUVRSLDQvMS8yMDA5LDYvMzAvMjAwOSwsLFVTRCk=&amp;WINDOW=FIRST_POPUP&amp;HEIGH","T=450&amp;WIDTH=450&amp;START_MAXIMIZED=FALSE&amp;VAR:CALENDAR=US&amp;VAR:SYMBOL=AES&amp;VAR:INDEX=0"}</definedName>
    <definedName name="_97__FDSAUDITLINK__" localSheetId="1" hidden="1">{"fdsup://directions/FAT Viewer?action=UPDATE&amp;creator=factset&amp;DYN_ARGS=TRUE&amp;DOC_NAME=FAT:FQL_AUDITING_CLIENT_TEMPLATE.FAT&amp;display_string=Audit&amp;VAR:KEY=LSLKRUFCPQ&amp;VAR:QUERY=RkZfRUJJVERBX09QRVIoUVRSLDQvMS8yMDA5LDYvMzAvMjAwOSwsLFVTRCk=&amp;WINDOW=FIRST_POPUP&amp;HEIGH","T=450&amp;WIDTH=450&amp;START_MAXIMIZED=FALSE&amp;VAR:CALENDAR=US&amp;VAR:SYMBOL=TXT&amp;VAR:INDEX=0"}</definedName>
    <definedName name="_97__FDSAUDITLINK__" hidden="1">{"fdsup://directions/FAT Viewer?action=UPDATE&amp;creator=factset&amp;DYN_ARGS=TRUE&amp;DOC_NAME=FAT:FQL_AUDITING_CLIENT_TEMPLATE.FAT&amp;display_string=Audit&amp;VAR:KEY=LSLKRUFCPQ&amp;VAR:QUERY=RkZfRUJJVERBX09QRVIoUVRSLDQvMS8yMDA5LDYvMzAvMjAwOSwsLFVTRCk=&amp;WINDOW=FIRST_POPUP&amp;HEIGH","T=450&amp;WIDTH=450&amp;START_MAXIMIZED=FALSE&amp;VAR:CALENDAR=US&amp;VAR:SYMBOL=TXT&amp;VAR:INDEX=0"}</definedName>
    <definedName name="_970__FDSAUDITLINK__" localSheetId="1" hidden="1">{"fdsup://directions/FAT Viewer?action=UPDATE&amp;creator=factset&amp;DYN_ARGS=TRUE&amp;DOC_NAME=FAT:FQL_AUDITING_CLIENT_TEMPLATE.FAT&amp;display_string=Audit&amp;VAR:KEY=JWNQHKDSJC&amp;VAR:QUERY=RkZfRUJJVERBX09QRVIoUVRSLDQvMS8yMDEwLDYvMzAvMjAxMCwsLFVTRCk=&amp;WINDOW=FIRST_POPUP&amp;HEIGH","T=450&amp;WIDTH=450&amp;START_MAXIMIZED=FALSE&amp;VAR:CALENDAR=US&amp;VAR:SYMBOL=AES&amp;VAR:INDEX=0"}</definedName>
    <definedName name="_970__FDSAUDITLINK__" hidden="1">{"fdsup://directions/FAT Viewer?action=UPDATE&amp;creator=factset&amp;DYN_ARGS=TRUE&amp;DOC_NAME=FAT:FQL_AUDITING_CLIENT_TEMPLATE.FAT&amp;display_string=Audit&amp;VAR:KEY=JWNQHKDSJC&amp;VAR:QUERY=RkZfRUJJVERBX09QRVIoUVRSLDQvMS8yMDEwLDYvMzAvMjAxMCwsLFVTRCk=&amp;WINDOW=FIRST_POPUP&amp;HEIGH","T=450&amp;WIDTH=450&amp;START_MAXIMIZED=FALSE&amp;VAR:CALENDAR=US&amp;VAR:SYMBOL=AES&amp;VAR:INDEX=0"}</definedName>
    <definedName name="_971__FDSAUDITLINK__" localSheetId="1" hidden="1">{"fdsup://directions/FAT Viewer?action=UPDATE&amp;creator=factset&amp;DYN_ARGS=TRUE&amp;DOC_NAME=FAT:FQL_AUDITING_CLIENT_TEMPLATE.FAT&amp;display_string=Audit&amp;VAR:KEY=NWFYPEHOLG&amp;VAR:QUERY=RkZfRUJJVERBX09QRVIoUVRSLDQvMS8yMDA5LDYvMzAvMjAwOSwsLFVTRCk=&amp;WINDOW=FIRST_POPUP&amp;HEIGH","T=450&amp;WIDTH=450&amp;START_MAXIMIZED=FALSE&amp;VAR:CALENDAR=US&amp;VAR:SYMBOL=AEP&amp;VAR:INDEX=0"}</definedName>
    <definedName name="_971__FDSAUDITLINK__" hidden="1">{"fdsup://directions/FAT Viewer?action=UPDATE&amp;creator=factset&amp;DYN_ARGS=TRUE&amp;DOC_NAME=FAT:FQL_AUDITING_CLIENT_TEMPLATE.FAT&amp;display_string=Audit&amp;VAR:KEY=NWFYPEHOLG&amp;VAR:QUERY=RkZfRUJJVERBX09QRVIoUVRSLDQvMS8yMDA5LDYvMzAvMjAwOSwsLFVTRCk=&amp;WINDOW=FIRST_POPUP&amp;HEIGH","T=450&amp;WIDTH=450&amp;START_MAXIMIZED=FALSE&amp;VAR:CALENDAR=US&amp;VAR:SYMBOL=AEP&amp;VAR:INDEX=0"}</definedName>
    <definedName name="_972__FDSAUDITLINK__" localSheetId="1" hidden="1">{"fdsup://directions/FAT Viewer?action=UPDATE&amp;creator=factset&amp;DYN_ARGS=TRUE&amp;DOC_NAME=FAT:FQL_AUDITING_CLIENT_TEMPLATE.FAT&amp;display_string=Audit&amp;VAR:KEY=DMHKXYZEDO&amp;VAR:QUERY=RkZfRUJJVERBX09QRVIoUVRSLDQvMS8yMDEwLDYvMzAvMjAxMCwsLFVTRCk=&amp;WINDOW=FIRST_POPUP&amp;HEIGH","T=450&amp;WIDTH=450&amp;START_MAXIMIZED=FALSE&amp;VAR:CALENDAR=US&amp;VAR:SYMBOL=AEP&amp;VAR:INDEX=0"}</definedName>
    <definedName name="_972__FDSAUDITLINK__" hidden="1">{"fdsup://directions/FAT Viewer?action=UPDATE&amp;creator=factset&amp;DYN_ARGS=TRUE&amp;DOC_NAME=FAT:FQL_AUDITING_CLIENT_TEMPLATE.FAT&amp;display_string=Audit&amp;VAR:KEY=DMHKXYZEDO&amp;VAR:QUERY=RkZfRUJJVERBX09QRVIoUVRSLDQvMS8yMDEwLDYvMzAvMjAxMCwsLFVTRCk=&amp;WINDOW=FIRST_POPUP&amp;HEIGH","T=450&amp;WIDTH=450&amp;START_MAXIMIZED=FALSE&amp;VAR:CALENDAR=US&amp;VAR:SYMBOL=AEP&amp;VAR:INDEX=0"}</definedName>
    <definedName name="_973__FDSAUDITLINK__" localSheetId="1" hidden="1">{"fdsup://directions/FAT Viewer?action=UPDATE&amp;creator=factset&amp;DYN_ARGS=TRUE&amp;DOC_NAME=FAT:FQL_AUDITING_CLIENT_TEMPLATE.FAT&amp;display_string=Audit&amp;VAR:KEY=VCLUVMZEZK&amp;VAR:QUERY=RkZfRUJJVERBX09QRVIoUVRSLDQvMS8yMDA5LDYvMzAvMjAwOSwsLFVTRCk=&amp;WINDOW=FIRST_POPUP&amp;HEIGH","T=450&amp;WIDTH=450&amp;START_MAXIMIZED=FALSE&amp;VAR:CALENDAR=US&amp;VAR:SYMBOL=AEE&amp;VAR:INDEX=0"}</definedName>
    <definedName name="_973__FDSAUDITLINK__" hidden="1">{"fdsup://directions/FAT Viewer?action=UPDATE&amp;creator=factset&amp;DYN_ARGS=TRUE&amp;DOC_NAME=FAT:FQL_AUDITING_CLIENT_TEMPLATE.FAT&amp;display_string=Audit&amp;VAR:KEY=VCLUVMZEZK&amp;VAR:QUERY=RkZfRUJJVERBX09QRVIoUVRSLDQvMS8yMDA5LDYvMzAvMjAwOSwsLFVTRCk=&amp;WINDOW=FIRST_POPUP&amp;HEIGH","T=450&amp;WIDTH=450&amp;START_MAXIMIZED=FALSE&amp;VAR:CALENDAR=US&amp;VAR:SYMBOL=AEE&amp;VAR:INDEX=0"}</definedName>
    <definedName name="_974__FDSAUDITLINK__" localSheetId="1" hidden="1">{"fdsup://directions/FAT Viewer?action=UPDATE&amp;creator=factset&amp;DYN_ARGS=TRUE&amp;DOC_NAME=FAT:FQL_AUDITING_CLIENT_TEMPLATE.FAT&amp;display_string=Audit&amp;VAR:KEY=DUBGROFIJW&amp;VAR:QUERY=RkZfRUJJVERBX09QRVIoUVRSLDQvMS8yMDEwLDYvMzAvMjAxMCwsLFVTRCk=&amp;WINDOW=FIRST_POPUP&amp;HEIGH","T=450&amp;WIDTH=450&amp;START_MAXIMIZED=FALSE&amp;VAR:CALENDAR=US&amp;VAR:SYMBOL=AEE&amp;VAR:INDEX=0"}</definedName>
    <definedName name="_974__FDSAUDITLINK__" hidden="1">{"fdsup://directions/FAT Viewer?action=UPDATE&amp;creator=factset&amp;DYN_ARGS=TRUE&amp;DOC_NAME=FAT:FQL_AUDITING_CLIENT_TEMPLATE.FAT&amp;display_string=Audit&amp;VAR:KEY=DUBGROFIJW&amp;VAR:QUERY=RkZfRUJJVERBX09QRVIoUVRSLDQvMS8yMDEwLDYvMzAvMjAxMCwsLFVTRCk=&amp;WINDOW=FIRST_POPUP&amp;HEIGH","T=450&amp;WIDTH=450&amp;START_MAXIMIZED=FALSE&amp;VAR:CALENDAR=US&amp;VAR:SYMBOL=AEE&amp;VAR:INDEX=0"}</definedName>
    <definedName name="_975__FDSAUDITLINK__" localSheetId="1" hidden="1">{"fdsup://directions/FAT Viewer?action=UPDATE&amp;creator=factset&amp;DYN_ARGS=TRUE&amp;DOC_NAME=FAT:FQL_AUDITING_CLIENT_TEMPLATE.FAT&amp;display_string=Audit&amp;VAR:KEY=RKBKNGDYTK&amp;VAR:QUERY=RkZfRUJJVERBX09QRVIoUVRSLDQvMS8yMDA5LDYvMzAvMjAwOSwsLFVTRCk=&amp;WINDOW=FIRST_POPUP&amp;HEIGH","T=450&amp;WIDTH=450&amp;START_MAXIMIZED=FALSE&amp;VAR:CALENDAR=US&amp;VAR:SYMBOL=ADSK&amp;VAR:INDEX=0"}</definedName>
    <definedName name="_975__FDSAUDITLINK__" hidden="1">{"fdsup://directions/FAT Viewer?action=UPDATE&amp;creator=factset&amp;DYN_ARGS=TRUE&amp;DOC_NAME=FAT:FQL_AUDITING_CLIENT_TEMPLATE.FAT&amp;display_string=Audit&amp;VAR:KEY=RKBKNGDYTK&amp;VAR:QUERY=RkZfRUJJVERBX09QRVIoUVRSLDQvMS8yMDA5LDYvMzAvMjAwOSwsLFVTRCk=&amp;WINDOW=FIRST_POPUP&amp;HEIGH","T=450&amp;WIDTH=450&amp;START_MAXIMIZED=FALSE&amp;VAR:CALENDAR=US&amp;VAR:SYMBOL=ADSK&amp;VAR:INDEX=0"}</definedName>
    <definedName name="_976__FDSAUDITLINK__" localSheetId="1" hidden="1">{"fdsup://directions/FAT Viewer?action=UPDATE&amp;creator=factset&amp;DYN_ARGS=TRUE&amp;DOC_NAME=FAT:FQL_AUDITING_CLIENT_TEMPLATE.FAT&amp;display_string=Audit&amp;VAR:KEY=RYXUVINSJK&amp;VAR:QUERY=RkZfRUJJVERBX09QRVIoUVRSLDQvMS8yMDEwLDYvMzAvMjAxMCwsLFVTRCk=&amp;WINDOW=FIRST_POPUP&amp;HEIGH","T=450&amp;WIDTH=450&amp;START_MAXIMIZED=FALSE&amp;VAR:CALENDAR=US&amp;VAR:SYMBOL=ADSK&amp;VAR:INDEX=0"}</definedName>
    <definedName name="_976__FDSAUDITLINK__" hidden="1">{"fdsup://directions/FAT Viewer?action=UPDATE&amp;creator=factset&amp;DYN_ARGS=TRUE&amp;DOC_NAME=FAT:FQL_AUDITING_CLIENT_TEMPLATE.FAT&amp;display_string=Audit&amp;VAR:KEY=RYXUVINSJK&amp;VAR:QUERY=RkZfRUJJVERBX09QRVIoUVRSLDQvMS8yMDEwLDYvMzAvMjAxMCwsLFVTRCk=&amp;WINDOW=FIRST_POPUP&amp;HEIGH","T=450&amp;WIDTH=450&amp;START_MAXIMIZED=FALSE&amp;VAR:CALENDAR=US&amp;VAR:SYMBOL=ADSK&amp;VAR:INDEX=0"}</definedName>
    <definedName name="_977__FDSAUDITLINK__" localSheetId="1" hidden="1">{"fdsup://directions/FAT Viewer?action=UPDATE&amp;creator=factset&amp;DYN_ARGS=TRUE&amp;DOC_NAME=FAT:FQL_AUDITING_CLIENT_TEMPLATE.FAT&amp;display_string=Audit&amp;VAR:KEY=PWLSHQFGLS&amp;VAR:QUERY=RkZfRUJJVERBX09QRVIoUVRSLDQvMS8yMDA5LDYvMzAvMjAwOSwsLFVTRCk=&amp;WINDOW=FIRST_POPUP&amp;HEIGH","T=450&amp;WIDTH=450&amp;START_MAXIMIZED=FALSE&amp;VAR:CALENDAR=US&amp;VAR:SYMBOL=ADP&amp;VAR:INDEX=0"}</definedName>
    <definedName name="_977__FDSAUDITLINK__" hidden="1">{"fdsup://directions/FAT Viewer?action=UPDATE&amp;creator=factset&amp;DYN_ARGS=TRUE&amp;DOC_NAME=FAT:FQL_AUDITING_CLIENT_TEMPLATE.FAT&amp;display_string=Audit&amp;VAR:KEY=PWLSHQFGLS&amp;VAR:QUERY=RkZfRUJJVERBX09QRVIoUVRSLDQvMS8yMDA5LDYvMzAvMjAwOSwsLFVTRCk=&amp;WINDOW=FIRST_POPUP&amp;HEIGH","T=450&amp;WIDTH=450&amp;START_MAXIMIZED=FALSE&amp;VAR:CALENDAR=US&amp;VAR:SYMBOL=ADP&amp;VAR:INDEX=0"}</definedName>
    <definedName name="_978__FDSAUDITLINK__" localSheetId="1" hidden="1">{"fdsup://directions/FAT Viewer?action=UPDATE&amp;creator=factset&amp;DYN_ARGS=TRUE&amp;DOC_NAME=FAT:FQL_AUDITING_CLIENT_TEMPLATE.FAT&amp;display_string=Audit&amp;VAR:KEY=XYLSDQBYLO&amp;VAR:QUERY=RkZfRUJJVERBX09QRVIoUVRSLDQvMS8yMDEwLDYvMzAvMjAxMCwsLFVTRCk=&amp;WINDOW=FIRST_POPUP&amp;HEIGH","T=450&amp;WIDTH=450&amp;START_MAXIMIZED=FALSE&amp;VAR:CALENDAR=US&amp;VAR:SYMBOL=ADP&amp;VAR:INDEX=0"}</definedName>
    <definedName name="_978__FDSAUDITLINK__" hidden="1">{"fdsup://directions/FAT Viewer?action=UPDATE&amp;creator=factset&amp;DYN_ARGS=TRUE&amp;DOC_NAME=FAT:FQL_AUDITING_CLIENT_TEMPLATE.FAT&amp;display_string=Audit&amp;VAR:KEY=XYLSDQBYLO&amp;VAR:QUERY=RkZfRUJJVERBX09QRVIoUVRSLDQvMS8yMDEwLDYvMzAvMjAxMCwsLFVTRCk=&amp;WINDOW=FIRST_POPUP&amp;HEIGH","T=450&amp;WIDTH=450&amp;START_MAXIMIZED=FALSE&amp;VAR:CALENDAR=US&amp;VAR:SYMBOL=ADP&amp;VAR:INDEX=0"}</definedName>
    <definedName name="_979__FDSAUDITLINK__" localSheetId="1" hidden="1">{"fdsup://directions/FAT Viewer?action=UPDATE&amp;creator=factset&amp;DYN_ARGS=TRUE&amp;DOC_NAME=FAT:FQL_AUDITING_CLIENT_TEMPLATE.FAT&amp;display_string=Audit&amp;VAR:KEY=FOPKZEDUXI&amp;VAR:QUERY=RkZfRUJJVERBX09QRVIoUVRSLDQvMS8yMDA5LDYvMzAvMjAwOSwsLFVTRCk=&amp;WINDOW=FIRST_POPUP&amp;HEIGH","T=450&amp;WIDTH=450&amp;START_MAXIMIZED=FALSE&amp;VAR:CALENDAR=US&amp;VAR:SYMBOL=ADM&amp;VAR:INDEX=0"}</definedName>
    <definedName name="_979__FDSAUDITLINK__" hidden="1">{"fdsup://directions/FAT Viewer?action=UPDATE&amp;creator=factset&amp;DYN_ARGS=TRUE&amp;DOC_NAME=FAT:FQL_AUDITING_CLIENT_TEMPLATE.FAT&amp;display_string=Audit&amp;VAR:KEY=FOPKZEDUXI&amp;VAR:QUERY=RkZfRUJJVERBX09QRVIoUVRSLDQvMS8yMDA5LDYvMzAvMjAwOSwsLFVTRCk=&amp;WINDOW=FIRST_POPUP&amp;HEIGH","T=450&amp;WIDTH=450&amp;START_MAXIMIZED=FALSE&amp;VAR:CALENDAR=US&amp;VAR:SYMBOL=ADM&amp;VAR:INDEX=0"}</definedName>
    <definedName name="_98__FDSAUDITLINK__" localSheetId="1" hidden="1">{"fdsup://directions/FAT Viewer?action=UPDATE&amp;creator=factset&amp;DYN_ARGS=TRUE&amp;DOC_NAME=FAT:FQL_AUDITING_CLIENT_TEMPLATE.FAT&amp;display_string=Audit&amp;VAR:KEY=BUFWLERSFA&amp;VAR:QUERY=RkZfRUJJVERBX09QRVIoUVRSLDQvMS8yMDEwLDYvMzAvMjAxMCwsLFVTRCk=&amp;WINDOW=FIRST_POPUP&amp;HEIGH","T=450&amp;WIDTH=450&amp;START_MAXIMIZED=FALSE&amp;VAR:CALENDAR=US&amp;VAR:SYMBOL=TXT&amp;VAR:INDEX=0"}</definedName>
    <definedName name="_98__FDSAUDITLINK__" hidden="1">{"fdsup://directions/FAT Viewer?action=UPDATE&amp;creator=factset&amp;DYN_ARGS=TRUE&amp;DOC_NAME=FAT:FQL_AUDITING_CLIENT_TEMPLATE.FAT&amp;display_string=Audit&amp;VAR:KEY=BUFWLERSFA&amp;VAR:QUERY=RkZfRUJJVERBX09QRVIoUVRSLDQvMS8yMDEwLDYvMzAvMjAxMCwsLFVTRCk=&amp;WINDOW=FIRST_POPUP&amp;HEIGH","T=450&amp;WIDTH=450&amp;START_MAXIMIZED=FALSE&amp;VAR:CALENDAR=US&amp;VAR:SYMBOL=TXT&amp;VAR:INDEX=0"}</definedName>
    <definedName name="_980__FDSAUDITLINK__" localSheetId="1" hidden="1">{"fdsup://directions/FAT Viewer?action=UPDATE&amp;creator=factset&amp;DYN_ARGS=TRUE&amp;DOC_NAME=FAT:FQL_AUDITING_CLIENT_TEMPLATE.FAT&amp;display_string=Audit&amp;VAR:KEY=JEXOZOHMPQ&amp;VAR:QUERY=RkZfRUJJVERBX09QRVIoUVRSLDQvMS8yMDEwLDYvMzAvMjAxMCwsLFVTRCk=&amp;WINDOW=FIRST_POPUP&amp;HEIGH","T=450&amp;WIDTH=450&amp;START_MAXIMIZED=FALSE&amp;VAR:CALENDAR=US&amp;VAR:SYMBOL=ADM&amp;VAR:INDEX=0"}</definedName>
    <definedName name="_980__FDSAUDITLINK__" hidden="1">{"fdsup://directions/FAT Viewer?action=UPDATE&amp;creator=factset&amp;DYN_ARGS=TRUE&amp;DOC_NAME=FAT:FQL_AUDITING_CLIENT_TEMPLATE.FAT&amp;display_string=Audit&amp;VAR:KEY=JEXOZOHMPQ&amp;VAR:QUERY=RkZfRUJJVERBX09QRVIoUVRSLDQvMS8yMDEwLDYvMzAvMjAxMCwsLFVTRCk=&amp;WINDOW=FIRST_POPUP&amp;HEIGH","T=450&amp;WIDTH=450&amp;START_MAXIMIZED=FALSE&amp;VAR:CALENDAR=US&amp;VAR:SYMBOL=ADM&amp;VAR:INDEX=0"}</definedName>
    <definedName name="_981__FDSAUDITLINK__" localSheetId="1" hidden="1">{"fdsup://directions/FAT Viewer?action=UPDATE&amp;creator=factset&amp;DYN_ARGS=TRUE&amp;DOC_NAME=FAT:FQL_AUDITING_CLIENT_TEMPLATE.FAT&amp;display_string=Audit&amp;VAR:KEY=ZUXWPMPOZA&amp;VAR:QUERY=RkZfRUJJVERBX09QRVIoUVRSLDQvMS8yMDA5LDYvMzAvMjAwOSwsLFVTRCk=&amp;WINDOW=FIRST_POPUP&amp;HEIGH","T=450&amp;WIDTH=450&amp;START_MAXIMIZED=FALSE&amp;VAR:CALENDAR=US&amp;VAR:SYMBOL=ADI&amp;VAR:INDEX=0"}</definedName>
    <definedName name="_981__FDSAUDITLINK__" hidden="1">{"fdsup://directions/FAT Viewer?action=UPDATE&amp;creator=factset&amp;DYN_ARGS=TRUE&amp;DOC_NAME=FAT:FQL_AUDITING_CLIENT_TEMPLATE.FAT&amp;display_string=Audit&amp;VAR:KEY=ZUXWPMPOZA&amp;VAR:QUERY=RkZfRUJJVERBX09QRVIoUVRSLDQvMS8yMDA5LDYvMzAvMjAwOSwsLFVTRCk=&amp;WINDOW=FIRST_POPUP&amp;HEIGH","T=450&amp;WIDTH=450&amp;START_MAXIMIZED=FALSE&amp;VAR:CALENDAR=US&amp;VAR:SYMBOL=ADI&amp;VAR:INDEX=0"}</definedName>
    <definedName name="_982__FDSAUDITLINK__" localSheetId="1" hidden="1">{"fdsup://directions/FAT Viewer?action=UPDATE&amp;creator=factset&amp;DYN_ARGS=TRUE&amp;DOC_NAME=FAT:FQL_AUDITING_CLIENT_TEMPLATE.FAT&amp;display_string=Audit&amp;VAR:KEY=VGVSFSLCJU&amp;VAR:QUERY=RkZfRUJJVERBX09QRVIoUVRSLDQvMS8yMDEwLDYvMzAvMjAxMCwsLFVTRCk=&amp;WINDOW=FIRST_POPUP&amp;HEIGH","T=450&amp;WIDTH=450&amp;START_MAXIMIZED=FALSE&amp;VAR:CALENDAR=US&amp;VAR:SYMBOL=ADI&amp;VAR:INDEX=0"}</definedName>
    <definedName name="_982__FDSAUDITLINK__" hidden="1">{"fdsup://directions/FAT Viewer?action=UPDATE&amp;creator=factset&amp;DYN_ARGS=TRUE&amp;DOC_NAME=FAT:FQL_AUDITING_CLIENT_TEMPLATE.FAT&amp;display_string=Audit&amp;VAR:KEY=VGVSFSLCJU&amp;VAR:QUERY=RkZfRUJJVERBX09QRVIoUVRSLDQvMS8yMDEwLDYvMzAvMjAxMCwsLFVTRCk=&amp;WINDOW=FIRST_POPUP&amp;HEIGH","T=450&amp;WIDTH=450&amp;START_MAXIMIZED=FALSE&amp;VAR:CALENDAR=US&amp;VAR:SYMBOL=ADI&amp;VAR:INDEX=0"}</definedName>
    <definedName name="_983__FDSAUDITLINK__" localSheetId="1" hidden="1">{"fdsup://directions/FAT Viewer?action=UPDATE&amp;creator=factset&amp;DYN_ARGS=TRUE&amp;DOC_NAME=FAT:FQL_AUDITING_CLIENT_TEMPLATE.FAT&amp;display_string=Audit&amp;VAR:KEY=VKHMLCPCNU&amp;VAR:QUERY=RkZfRUJJVERBX09QRVIoUVRSLDQvMS8yMDA5LDYvMzAvMjAwOSwsLFVTRCk=&amp;WINDOW=FIRST_POPUP&amp;HEIGH","T=450&amp;WIDTH=450&amp;START_MAXIMIZED=FALSE&amp;VAR:CALENDAR=US&amp;VAR:SYMBOL=ADBE&amp;VAR:INDEX=0"}</definedName>
    <definedName name="_983__FDSAUDITLINK__" hidden="1">{"fdsup://directions/FAT Viewer?action=UPDATE&amp;creator=factset&amp;DYN_ARGS=TRUE&amp;DOC_NAME=FAT:FQL_AUDITING_CLIENT_TEMPLATE.FAT&amp;display_string=Audit&amp;VAR:KEY=VKHMLCPCNU&amp;VAR:QUERY=RkZfRUJJVERBX09QRVIoUVRSLDQvMS8yMDA5LDYvMzAvMjAwOSwsLFVTRCk=&amp;WINDOW=FIRST_POPUP&amp;HEIGH","T=450&amp;WIDTH=450&amp;START_MAXIMIZED=FALSE&amp;VAR:CALENDAR=US&amp;VAR:SYMBOL=ADBE&amp;VAR:INDEX=0"}</definedName>
    <definedName name="_984__FDSAUDITLINK__" localSheetId="1" hidden="1">{"fdsup://directions/FAT Viewer?action=UPDATE&amp;creator=factset&amp;DYN_ARGS=TRUE&amp;DOC_NAME=FAT:FQL_AUDITING_CLIENT_TEMPLATE.FAT&amp;display_string=Audit&amp;VAR:KEY=JCVAVWBQPO&amp;VAR:QUERY=RkZfRUJJVERBX09QRVIoUVRSLDQvMS8yMDEwLDYvMzAvMjAxMCwsLFVTRCk=&amp;WINDOW=FIRST_POPUP&amp;HEIGH","T=450&amp;WIDTH=450&amp;START_MAXIMIZED=FALSE&amp;VAR:CALENDAR=US&amp;VAR:SYMBOL=ADBE&amp;VAR:INDEX=0"}</definedName>
    <definedName name="_984__FDSAUDITLINK__" hidden="1">{"fdsup://directions/FAT Viewer?action=UPDATE&amp;creator=factset&amp;DYN_ARGS=TRUE&amp;DOC_NAME=FAT:FQL_AUDITING_CLIENT_TEMPLATE.FAT&amp;display_string=Audit&amp;VAR:KEY=JCVAVWBQPO&amp;VAR:QUERY=RkZfRUJJVERBX09QRVIoUVRSLDQvMS8yMDEwLDYvMzAvMjAxMCwsLFVTRCk=&amp;WINDOW=FIRST_POPUP&amp;HEIGH","T=450&amp;WIDTH=450&amp;START_MAXIMIZED=FALSE&amp;VAR:CALENDAR=US&amp;VAR:SYMBOL=ADBE&amp;VAR:INDEX=0"}</definedName>
    <definedName name="_985__FDSAUDITLINK__" localSheetId="1" hidden="1">{"fdsup://directions/FAT Viewer?action=UPDATE&amp;creator=factset&amp;DYN_ARGS=TRUE&amp;DOC_NAME=FAT:FQL_AUDITING_CLIENT_TEMPLATE.FAT&amp;display_string=Audit&amp;VAR:KEY=XKBYZADQPG&amp;VAR:QUERY=RkZfRUJJVERBX09QRVIoUVRSLDQvMS8yMDA5LDYvMzAvMjAwOSwsLFVTRCk=&amp;WINDOW=FIRST_POPUP&amp;HEIGH","T=450&amp;WIDTH=450&amp;START_MAXIMIZED=FALSE&amp;VAR:CALENDAR=US&amp;VAR:SYMBOL=ACE&amp;VAR:INDEX=0"}</definedName>
    <definedName name="_985__FDSAUDITLINK__" hidden="1">{"fdsup://directions/FAT Viewer?action=UPDATE&amp;creator=factset&amp;DYN_ARGS=TRUE&amp;DOC_NAME=FAT:FQL_AUDITING_CLIENT_TEMPLATE.FAT&amp;display_string=Audit&amp;VAR:KEY=XKBYZADQPG&amp;VAR:QUERY=RkZfRUJJVERBX09QRVIoUVRSLDQvMS8yMDA5LDYvMzAvMjAwOSwsLFVTRCk=&amp;WINDOW=FIRST_POPUP&amp;HEIGH","T=450&amp;WIDTH=450&amp;START_MAXIMIZED=FALSE&amp;VAR:CALENDAR=US&amp;VAR:SYMBOL=ACE&amp;VAR:INDEX=0"}</definedName>
    <definedName name="_986__FDSAUDITLINK__" localSheetId="1" hidden="1">{"fdsup://directions/FAT Viewer?action=UPDATE&amp;creator=factset&amp;DYN_ARGS=TRUE&amp;DOC_NAME=FAT:FQL_AUDITING_CLIENT_TEMPLATE.FAT&amp;display_string=Audit&amp;VAR:KEY=TGFIJOPGNY&amp;VAR:QUERY=RkZfRUJJVERBX09QRVIoUVRSLDQvMS8yMDEwLDYvMzAvMjAxMCwsLFVTRCk=&amp;WINDOW=FIRST_POPUP&amp;HEIGH","T=450&amp;WIDTH=450&amp;START_MAXIMIZED=FALSE&amp;VAR:CALENDAR=US&amp;VAR:SYMBOL=ACE&amp;VAR:INDEX=0"}</definedName>
    <definedName name="_986__FDSAUDITLINK__" hidden="1">{"fdsup://directions/FAT Viewer?action=UPDATE&amp;creator=factset&amp;DYN_ARGS=TRUE&amp;DOC_NAME=FAT:FQL_AUDITING_CLIENT_TEMPLATE.FAT&amp;display_string=Audit&amp;VAR:KEY=TGFIJOPGNY&amp;VAR:QUERY=RkZfRUJJVERBX09QRVIoUVRSLDQvMS8yMDEwLDYvMzAvMjAxMCwsLFVTRCk=&amp;WINDOW=FIRST_POPUP&amp;HEIGH","T=450&amp;WIDTH=450&amp;START_MAXIMIZED=FALSE&amp;VAR:CALENDAR=US&amp;VAR:SYMBOL=ACE&amp;VAR:INDEX=0"}</definedName>
    <definedName name="_987__FDSAUDITLINK__" localSheetId="1" hidden="1">{"fdsup://directions/FAT Viewer?action=UPDATE&amp;creator=factset&amp;DYN_ARGS=TRUE&amp;DOC_NAME=FAT:FQL_AUDITING_CLIENT_TEMPLATE.FAT&amp;display_string=Audit&amp;VAR:KEY=DUDSPMXQVW&amp;VAR:QUERY=RkZfRUJJVERBX09QRVIoUVRSLDQvMS8yMDA5LDYvMzAvMjAwOSwsLFVTRCk=&amp;WINDOW=FIRST_POPUP&amp;HEIGH","T=450&amp;WIDTH=450&amp;START_MAXIMIZED=FALSE&amp;VAR:CALENDAR=US&amp;VAR:SYMBOL=ABT&amp;VAR:INDEX=0"}</definedName>
    <definedName name="_987__FDSAUDITLINK__" hidden="1">{"fdsup://directions/FAT Viewer?action=UPDATE&amp;creator=factset&amp;DYN_ARGS=TRUE&amp;DOC_NAME=FAT:FQL_AUDITING_CLIENT_TEMPLATE.FAT&amp;display_string=Audit&amp;VAR:KEY=DUDSPMXQVW&amp;VAR:QUERY=RkZfRUJJVERBX09QRVIoUVRSLDQvMS8yMDA5LDYvMzAvMjAwOSwsLFVTRCk=&amp;WINDOW=FIRST_POPUP&amp;HEIGH","T=450&amp;WIDTH=450&amp;START_MAXIMIZED=FALSE&amp;VAR:CALENDAR=US&amp;VAR:SYMBOL=ABT&amp;VAR:INDEX=0"}</definedName>
    <definedName name="_988__FDSAUDITLINK__" localSheetId="1" hidden="1">{"fdsup://directions/FAT Viewer?action=UPDATE&amp;creator=factset&amp;DYN_ARGS=TRUE&amp;DOC_NAME=FAT:FQL_AUDITING_CLIENT_TEMPLATE.FAT&amp;display_string=Audit&amp;VAR:KEY=RAZCLMXGTW&amp;VAR:QUERY=RkZfRUJJVERBX09QRVIoUVRSLDQvMS8yMDEwLDYvMzAvMjAxMCwsLFVTRCk=&amp;WINDOW=FIRST_POPUP&amp;HEIGH","T=450&amp;WIDTH=450&amp;START_MAXIMIZED=FALSE&amp;VAR:CALENDAR=US&amp;VAR:SYMBOL=ABT&amp;VAR:INDEX=0"}</definedName>
    <definedName name="_988__FDSAUDITLINK__" hidden="1">{"fdsup://directions/FAT Viewer?action=UPDATE&amp;creator=factset&amp;DYN_ARGS=TRUE&amp;DOC_NAME=FAT:FQL_AUDITING_CLIENT_TEMPLATE.FAT&amp;display_string=Audit&amp;VAR:KEY=RAZCLMXGTW&amp;VAR:QUERY=RkZfRUJJVERBX09QRVIoUVRSLDQvMS8yMDEwLDYvMzAvMjAxMCwsLFVTRCk=&amp;WINDOW=FIRST_POPUP&amp;HEIGH","T=450&amp;WIDTH=450&amp;START_MAXIMIZED=FALSE&amp;VAR:CALENDAR=US&amp;VAR:SYMBOL=ABT&amp;VAR:INDEX=0"}</definedName>
    <definedName name="_989__FDSAUDITLINK__" localSheetId="1" hidden="1">{"fdsup://directions/FAT Viewer?action=UPDATE&amp;creator=factset&amp;DYN_ARGS=TRUE&amp;DOC_NAME=FAT:FQL_AUDITING_CLIENT_TEMPLATE.FAT&amp;display_string=Audit&amp;VAR:KEY=JUREPSVUNS&amp;VAR:QUERY=RkZfRUJJVERBX09QRVIoUVRSLDQvMS8yMDA5LDYvMzAvMjAwOSwsLFVTRCk=&amp;WINDOW=FIRST_POPUP&amp;HEIGH","T=450&amp;WIDTH=450&amp;START_MAXIMIZED=FALSE&amp;VAR:CALENDAR=US&amp;VAR:SYMBOL=ABC&amp;VAR:INDEX=0"}</definedName>
    <definedName name="_989__FDSAUDITLINK__" hidden="1">{"fdsup://directions/FAT Viewer?action=UPDATE&amp;creator=factset&amp;DYN_ARGS=TRUE&amp;DOC_NAME=FAT:FQL_AUDITING_CLIENT_TEMPLATE.FAT&amp;display_string=Audit&amp;VAR:KEY=JUREPSVUNS&amp;VAR:QUERY=RkZfRUJJVERBX09QRVIoUVRSLDQvMS8yMDA5LDYvMzAvMjAwOSwsLFVTRCk=&amp;WINDOW=FIRST_POPUP&amp;HEIGH","T=450&amp;WIDTH=450&amp;START_MAXIMIZED=FALSE&amp;VAR:CALENDAR=US&amp;VAR:SYMBOL=ABC&amp;VAR:INDEX=0"}</definedName>
    <definedName name="_99__FDSAUDITLINK__" localSheetId="1" hidden="1">{"fdsup://directions/FAT Viewer?action=UPDATE&amp;creator=factset&amp;DYN_ARGS=TRUE&amp;DOC_NAME=FAT:FQL_AUDITING_CLIENT_TEMPLATE.FAT&amp;display_string=Audit&amp;VAR:KEY=LUFIZCFATO&amp;VAR:QUERY=RkZfRUJJVERBX09QRVIoUVRSLDQvMS8yMDA5LDYvMzAvMjAwOSwsLFVTRCk=&amp;WINDOW=FIRST_POPUP&amp;HEIGH","T=450&amp;WIDTH=450&amp;START_MAXIMIZED=FALSE&amp;VAR:CALENDAR=US&amp;VAR:SYMBOL=TXN&amp;VAR:INDEX=0"}</definedName>
    <definedName name="_99__FDSAUDITLINK__" hidden="1">{"fdsup://directions/FAT Viewer?action=UPDATE&amp;creator=factset&amp;DYN_ARGS=TRUE&amp;DOC_NAME=FAT:FQL_AUDITING_CLIENT_TEMPLATE.FAT&amp;display_string=Audit&amp;VAR:KEY=LUFIZCFATO&amp;VAR:QUERY=RkZfRUJJVERBX09QRVIoUVRSLDQvMS8yMDA5LDYvMzAvMjAwOSwsLFVTRCk=&amp;WINDOW=FIRST_POPUP&amp;HEIGH","T=450&amp;WIDTH=450&amp;START_MAXIMIZED=FALSE&amp;VAR:CALENDAR=US&amp;VAR:SYMBOL=TXN&amp;VAR:INDEX=0"}</definedName>
    <definedName name="_990__FDSAUDITLINK__" localSheetId="1" hidden="1">{"fdsup://directions/FAT Viewer?action=UPDATE&amp;creator=factset&amp;DYN_ARGS=TRUE&amp;DOC_NAME=FAT:FQL_AUDITING_CLIENT_TEMPLATE.FAT&amp;display_string=Audit&amp;VAR:KEY=JURWDERELK&amp;VAR:QUERY=RkZfRUJJVERBX09QRVIoUVRSLDQvMS8yMDEwLDYvMzAvMjAxMCwsLFVTRCk=&amp;WINDOW=FIRST_POPUP&amp;HEIGH","T=450&amp;WIDTH=450&amp;START_MAXIMIZED=FALSE&amp;VAR:CALENDAR=US&amp;VAR:SYMBOL=ABC&amp;VAR:INDEX=0"}</definedName>
    <definedName name="_990__FDSAUDITLINK__" hidden="1">{"fdsup://directions/FAT Viewer?action=UPDATE&amp;creator=factset&amp;DYN_ARGS=TRUE&amp;DOC_NAME=FAT:FQL_AUDITING_CLIENT_TEMPLATE.FAT&amp;display_string=Audit&amp;VAR:KEY=JURWDERELK&amp;VAR:QUERY=RkZfRUJJVERBX09QRVIoUVRSLDQvMS8yMDEwLDYvMzAvMjAxMCwsLFVTRCk=&amp;WINDOW=FIRST_POPUP&amp;HEIGH","T=450&amp;WIDTH=450&amp;START_MAXIMIZED=FALSE&amp;VAR:CALENDAR=US&amp;VAR:SYMBOL=ABC&amp;VAR:INDEX=0"}</definedName>
    <definedName name="_991__FDSAUDITLINK__" localSheetId="1" hidden="1">{"fdsup://directions/FAT Viewer?action=UPDATE&amp;creator=factset&amp;DYN_ARGS=TRUE&amp;DOC_NAME=FAT:FQL_AUDITING_CLIENT_TEMPLATE.FAT&amp;display_string=Audit&amp;VAR:KEY=TIRKZCVURA&amp;VAR:QUERY=RkZfRUJJVERBX09QRVIoUVRSLDQvMS8yMDA5LDYvMzAvMjAwOSwsLFVTRCk=&amp;WINDOW=FIRST_POPUP&amp;HEIGH","T=450&amp;WIDTH=450&amp;START_MAXIMIZED=FALSE&amp;VAR:CALENDAR=US&amp;VAR:SYMBOL=AAPL&amp;VAR:INDEX=0"}</definedName>
    <definedName name="_991__FDSAUDITLINK__" hidden="1">{"fdsup://directions/FAT Viewer?action=UPDATE&amp;creator=factset&amp;DYN_ARGS=TRUE&amp;DOC_NAME=FAT:FQL_AUDITING_CLIENT_TEMPLATE.FAT&amp;display_string=Audit&amp;VAR:KEY=TIRKZCVURA&amp;VAR:QUERY=RkZfRUJJVERBX09QRVIoUVRSLDQvMS8yMDA5LDYvMzAvMjAwOSwsLFVTRCk=&amp;WINDOW=FIRST_POPUP&amp;HEIGH","T=450&amp;WIDTH=450&amp;START_MAXIMIZED=FALSE&amp;VAR:CALENDAR=US&amp;VAR:SYMBOL=AAPL&amp;VAR:INDEX=0"}</definedName>
    <definedName name="_992__FDSAUDITLINK__" localSheetId="1" hidden="1">{"fdsup://directions/FAT Viewer?action=UPDATE&amp;creator=factset&amp;DYN_ARGS=TRUE&amp;DOC_NAME=FAT:FQL_AUDITING_CLIENT_TEMPLATE.FAT&amp;display_string=Audit&amp;VAR:KEY=VOJYLORUXM&amp;VAR:QUERY=RkZfRUJJVERBX09QRVIoUVRSLDQvMS8yMDEwLDYvMzAvMjAxMCwsLFVTRCk=&amp;WINDOW=FIRST_POPUP&amp;HEIGH","T=450&amp;WIDTH=450&amp;START_MAXIMIZED=FALSE&amp;VAR:CALENDAR=US&amp;VAR:SYMBOL=AAPL&amp;VAR:INDEX=0"}</definedName>
    <definedName name="_992__FDSAUDITLINK__" hidden="1">{"fdsup://directions/FAT Viewer?action=UPDATE&amp;creator=factset&amp;DYN_ARGS=TRUE&amp;DOC_NAME=FAT:FQL_AUDITING_CLIENT_TEMPLATE.FAT&amp;display_string=Audit&amp;VAR:KEY=VOJYLORUXM&amp;VAR:QUERY=RkZfRUJJVERBX09QRVIoUVRSLDQvMS8yMDEwLDYvMzAvMjAxMCwsLFVTRCk=&amp;WINDOW=FIRST_POPUP&amp;HEIGH","T=450&amp;WIDTH=450&amp;START_MAXIMIZED=FALSE&amp;VAR:CALENDAR=US&amp;VAR:SYMBOL=AAPL&amp;VAR:INDEX=0"}</definedName>
    <definedName name="_993__FDSAUDITLINK__" localSheetId="1" hidden="1">{"fdsup://directions/FAT Viewer?action=UPDATE&amp;creator=factset&amp;DYN_ARGS=TRUE&amp;DOC_NAME=FAT:FQL_AUDITING_CLIENT_TEMPLATE.FAT&amp;display_string=Audit&amp;VAR:KEY=FSRSJQREHK&amp;VAR:QUERY=RkZfRUJJVERBX09QRVIoUVRSLDQvMS8yMDA5LDYvMzAvMjAwOSwsLFVTRCk=&amp;WINDOW=FIRST_POPUP&amp;HEIGH","T=450&amp;WIDTH=450&amp;START_MAXIMIZED=FALSE&amp;VAR:CALENDAR=US&amp;VAR:SYMBOL=AA&amp;VAR:INDEX=0"}</definedName>
    <definedName name="_993__FDSAUDITLINK__" hidden="1">{"fdsup://directions/FAT Viewer?action=UPDATE&amp;creator=factset&amp;DYN_ARGS=TRUE&amp;DOC_NAME=FAT:FQL_AUDITING_CLIENT_TEMPLATE.FAT&amp;display_string=Audit&amp;VAR:KEY=FSRSJQREHK&amp;VAR:QUERY=RkZfRUJJVERBX09QRVIoUVRSLDQvMS8yMDA5LDYvMzAvMjAwOSwsLFVTRCk=&amp;WINDOW=FIRST_POPUP&amp;HEIGH","T=450&amp;WIDTH=450&amp;START_MAXIMIZED=FALSE&amp;VAR:CALENDAR=US&amp;VAR:SYMBOL=AA&amp;VAR:INDEX=0"}</definedName>
    <definedName name="_994__FDSAUDITLINK__" localSheetId="1" hidden="1">{"fdsup://directions/FAT Viewer?action=UPDATE&amp;creator=factset&amp;DYN_ARGS=TRUE&amp;DOC_NAME=FAT:FQL_AUDITING_CLIENT_TEMPLATE.FAT&amp;display_string=Audit&amp;VAR:KEY=ZKTOJYZWVK&amp;VAR:QUERY=RkZfRUJJVERBX09QRVIoUVRSLDQvMS8yMDEwLDYvMzAvMjAxMCwsLFVTRCk=&amp;WINDOW=FIRST_POPUP&amp;HEIGH","T=450&amp;WIDTH=450&amp;START_MAXIMIZED=FALSE&amp;VAR:CALENDAR=US&amp;VAR:SYMBOL=AA&amp;VAR:INDEX=0"}</definedName>
    <definedName name="_994__FDSAUDITLINK__" hidden="1">{"fdsup://directions/FAT Viewer?action=UPDATE&amp;creator=factset&amp;DYN_ARGS=TRUE&amp;DOC_NAME=FAT:FQL_AUDITING_CLIENT_TEMPLATE.FAT&amp;display_string=Audit&amp;VAR:KEY=ZKTOJYZWVK&amp;VAR:QUERY=RkZfRUJJVERBX09QRVIoUVRSLDQvMS8yMDEwLDYvMzAvMjAxMCwsLFVTRCk=&amp;WINDOW=FIRST_POPUP&amp;HEIGH","T=450&amp;WIDTH=450&amp;START_MAXIMIZED=FALSE&amp;VAR:CALENDAR=US&amp;VAR:SYMBOL=AA&amp;VAR:INDEX=0"}</definedName>
    <definedName name="_995__FDSAUDITLINK__" localSheetId="1" hidden="1">{"fdsup://directions/FAT Viewer?action=UPDATE&amp;creator=factset&amp;DYN_ARGS=TRUE&amp;DOC_NAME=FAT:FQL_AUDITING_CLIENT_TEMPLATE.FAT&amp;display_string=Audit&amp;VAR:KEY=TOHINERQTW&amp;VAR:QUERY=RkZfRUJJVERBX09QRVIoUVRSLDQvMS8yMDA5LDYvMzAvMjAwOSwsLFVTRCk=&amp;WINDOW=FIRST_POPUP&amp;HEIGH","T=450&amp;WIDTH=450&amp;START_MAXIMIZED=FALSE&amp;VAR:CALENDAR=US&amp;VAR:SYMBOL=A&amp;VAR:INDEX=0"}</definedName>
    <definedName name="_995__FDSAUDITLINK__" hidden="1">{"fdsup://directions/FAT Viewer?action=UPDATE&amp;creator=factset&amp;DYN_ARGS=TRUE&amp;DOC_NAME=FAT:FQL_AUDITING_CLIENT_TEMPLATE.FAT&amp;display_string=Audit&amp;VAR:KEY=TOHINERQTW&amp;VAR:QUERY=RkZfRUJJVERBX09QRVIoUVRSLDQvMS8yMDA5LDYvMzAvMjAwOSwsLFVTRCk=&amp;WINDOW=FIRST_POPUP&amp;HEIGH","T=450&amp;WIDTH=450&amp;START_MAXIMIZED=FALSE&amp;VAR:CALENDAR=US&amp;VAR:SYMBOL=A&amp;VAR:INDEX=0"}</definedName>
    <definedName name="_996__FDSAUDITLINK__" localSheetId="1" hidden="1">{"fdsup://directions/FAT Viewer?action=UPDATE&amp;creator=factset&amp;DYN_ARGS=TRUE&amp;DOC_NAME=FAT:FQL_AUDITING_CLIENT_TEMPLATE.FAT&amp;display_string=Audit&amp;VAR:KEY=FSXOPCZWFG&amp;VAR:QUERY=RkZfRUJJVERBX09QRVIoUVRSLDQvMS8yMDEwLDYvMzAvMjAxMCwsLFVTRCk=&amp;WINDOW=FIRST_POPUP&amp;HEIGH","T=450&amp;WIDTH=450&amp;START_MAXIMIZED=FALSE&amp;VAR:CALENDAR=US&amp;VAR:SYMBOL=A&amp;VAR:INDEX=0"}</definedName>
    <definedName name="_996__FDSAUDITLINK__" hidden="1">{"fdsup://directions/FAT Viewer?action=UPDATE&amp;creator=factset&amp;DYN_ARGS=TRUE&amp;DOC_NAME=FAT:FQL_AUDITING_CLIENT_TEMPLATE.FAT&amp;display_string=Audit&amp;VAR:KEY=FSXOPCZWFG&amp;VAR:QUERY=RkZfRUJJVERBX09QRVIoUVRSLDQvMS8yMDEwLDYvMzAvMjAxMCwsLFVTRCk=&amp;WINDOW=FIRST_POPUP&amp;HEIGH","T=450&amp;WIDTH=450&amp;START_MAXIMIZED=FALSE&amp;VAR:CALENDAR=US&amp;VAR:SYMBOL=A&amp;VAR:INDEX=0"}</definedName>
    <definedName name="_997__FDSAUDITLINK__" localSheetId="1" hidden="1">{"fdsup://Directions/FactSet Auditing Viewer?action=AUDIT_VALUE&amp;DB=129&amp;ID1=98956P10&amp;VALUEID=01001&amp;SDATE=200902&amp;PERIODTYPE=QTR_STD&amp;window=popup_no_bar&amp;width=385&amp;height=120&amp;START_MAXIMIZED=FALSE&amp;creator=factset&amp;display_string=Audit"}</definedName>
    <definedName name="_997__FDSAUDITLINK__" hidden="1">{"fdsup://Directions/FactSet Auditing Viewer?action=AUDIT_VALUE&amp;DB=129&amp;ID1=98956P10&amp;VALUEID=01001&amp;SDATE=200902&amp;PERIODTYPE=QTR_STD&amp;window=popup_no_bar&amp;width=385&amp;height=120&amp;START_MAXIMIZED=FALSE&amp;creator=factset&amp;display_string=Audit"}</definedName>
    <definedName name="_998__FDSAUDITLINK__" localSheetId="1" hidden="1">{"fdsup://Directions/FactSet Auditing Viewer?action=AUDIT_VALUE&amp;DB=129&amp;ID1=98956P10&amp;VALUEID=01001&amp;SDATE=201002&amp;PERIODTYPE=QTR_STD&amp;window=popup_no_bar&amp;width=385&amp;height=120&amp;START_MAXIMIZED=FALSE&amp;creator=factset&amp;display_string=Audit"}</definedName>
    <definedName name="_998__FDSAUDITLINK__" hidden="1">{"fdsup://Directions/FactSet Auditing Viewer?action=AUDIT_VALUE&amp;DB=129&amp;ID1=98956P10&amp;VALUEID=01001&amp;SDATE=201002&amp;PERIODTYPE=QTR_STD&amp;window=popup_no_bar&amp;width=385&amp;height=120&amp;START_MAXIMIZED=FALSE&amp;creator=factset&amp;display_string=Audit"}</definedName>
    <definedName name="_999__FDSAUDITLINK__" localSheetId="1" hidden="1">{"fdsup://Directions/FactSet Auditing Viewer?action=AUDIT_VALUE&amp;DB=129&amp;ID1=98849810&amp;VALUEID=01001&amp;SDATE=200902&amp;PERIODTYPE=QTR_STD&amp;window=popup_no_bar&amp;width=385&amp;height=120&amp;START_MAXIMIZED=FALSE&amp;creator=factset&amp;display_string=Audit"}</definedName>
    <definedName name="_999__FDSAUDITLINK__" hidden="1">{"fdsup://Directions/FactSet Auditing Viewer?action=AUDIT_VALUE&amp;DB=129&amp;ID1=98849810&amp;VALUEID=01001&amp;SDATE=200902&amp;PERIODTYPE=QTR_STD&amp;window=popup_no_bar&amp;width=385&amp;height=120&amp;START_MAXIMIZED=FALSE&amp;creator=factset&amp;display_string=Audit"}</definedName>
    <definedName name="_abc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_Order1" hidden="1">255</definedName>
    <definedName name="_Order1_1" hidden="1">255</definedName>
    <definedName name="_Order2" hidden="1">0</definedName>
    <definedName name="_Regression_Int" hidden="1">1</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 hidden="1">{TRUE,TRUE,-1.25,-15.5,456.75,279.75,FALSE,FALSE,TRUE,TRUE,0,1,21,1,127,6,3,4,TRUE,TRUE,3,TRUE,1,TRUE,100,"Swvu.profits.","ACwvu.profits.",1,FALSE,FALSE,0.511811023622047,0.511811023622047,0.511811023622047,0.511811023622047,1,"","",FALSE,FALSE,FALSE,FALSE,1,#N/A,1,1,#DIV/0!,FALSE,"Rwvu.profits.",#N/A,FALSE,FALSE}</definedName>
    <definedName name="AB" hidden="1">{TRUE,TRUE,-1.25,-15.5,456.75,279.75,FALSE,FALSE,TRUE,TRUE,0,1,21,1,127,6,3,4,TRUE,TRUE,3,TRUE,1,TRUE,100,"Swvu.profits.","ACwvu.profits.",1,FALSE,FALSE,0.511811023622047,0.511811023622047,0.511811023622047,0.511811023622047,1,"","",FALSE,FALSE,FALSE,FALSE,1,#N/A,1,1,#DIV/0!,FALSE,"Rwvu.profits.",#N/A,FALSE,FALSE}</definedName>
    <definedName name="abc" localSheetId="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_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cessDatabase" hidden="1">"C:\DATA\Kevin\Kevin's Model.mdb"</definedName>
    <definedName name="Actual" hidden="1">{#N/A,#N/A,TRUE,"Historicals";#N/A,#N/A,TRUE,"Charts";#N/A,#N/A,TRUE,"Forecasts"}</definedName>
    <definedName name="Actual_1" hidden="1">{#N/A,#N/A,TRUE,"Historicals";#N/A,#N/A,TRUE,"Charts";#N/A,#N/A,TRUE,"Forecasts"}</definedName>
    <definedName name="actual_start_year">1992</definedName>
    <definedName name="AdditionalInstructions">IndexInformation!$B$42</definedName>
    <definedName name="Address" localSheetId="0">ImportantDisclosures!$A$2:$A$2</definedName>
    <definedName name="admin">1</definedName>
    <definedName name="adsf" localSheetId="1" hidden="1">{TRUE,TRUE,-1.25,-15.5,456.75,279.75,FALSE,FALSE,TRUE,TRUE,0,1,21,1,127,6,3,4,TRUE,TRUE,3,TRUE,1,TRUE,100,"Swvu.profits.","ACwvu.profits.",1,FALSE,FALSE,0.511811023622047,0.511811023622047,0.511811023622047,0.511811023622047,1,"","",FALSE,FALSE,FALSE,FALSE,1,#N/A,1,1,#DIV/0!,FALSE,"Rwvu.profits.",#N/A,FALSE,FALSE}</definedName>
    <definedName name="adsf" hidden="1">{TRUE,TRUE,-1.25,-15.5,456.75,279.75,FALSE,FALSE,TRUE,TRUE,0,1,21,1,127,6,3,4,TRUE,TRUE,3,TRUE,1,TRUE,100,"Swvu.profits.","ACwvu.profits.",1,FALSE,FALSE,0.511811023622047,0.511811023622047,0.511811023622047,0.511811023622047,1,"","",FALSE,FALSE,FALSE,FALSE,1,#N/A,1,1,#DIV/0!,FALSE,"Rwvu.profits.",#N/A,FALSE,FALSE}</definedName>
    <definedName name="AllTables">{1}</definedName>
    <definedName name="ANA" localSheetId="11">ModPubIndex!$A$7</definedName>
    <definedName name="anscount" hidden="1">1</definedName>
    <definedName name="AS2DocOpenMode" hidden="1">"AS2DocumentEdit"</definedName>
    <definedName name="asdf" localSheetId="1" hidden="1">{TRUE,TRUE,-1.25,-15.5,456.75,279.75,FALSE,FALSE,TRUE,TRUE,0,1,8,1,4,6,3,4,TRUE,TRUE,3,TRUE,1,TRUE,100,"Swvu.turnover.","ACwvu.turnover.",1,FALSE,FALSE,0.511811023622047,0.511811023622047,0.511811023622047,0.511811023622047,1,"","",FALSE,FALSE,FALSE,FALSE,1,#N/A,1,1,#DIV/0!,FALSE,"Rwvu.turnover.",#N/A,FALSE,FALSE}</definedName>
    <definedName name="asdf" hidden="1">{TRUE,TRUE,-1.25,-15.5,456.75,279.75,FALSE,FALSE,TRUE,TRUE,0,1,8,1,4,6,3,4,TRUE,TRUE,3,TRUE,1,TRUE,100,"Swvu.turnover.","ACwvu.turnover.",1,FALSE,FALSE,0.511811023622047,0.511811023622047,0.511811023622047,0.511811023622047,1,"","",FALSE,FALSE,FALSE,FALSE,1,#N/A,1,1,#DIV/0!,FALSE,"Rwvu.turnover.",#N/A,FALSE,FALSE}</definedName>
    <definedName name="AssetsCurrentDeferredIncomeTaxes">0</definedName>
    <definedName name="AssetsCurrentShortTermInvestments">0</definedName>
    <definedName name="AssetsIntangiblesAccumulatedAmortization">0</definedName>
    <definedName name="AssetsIntangiblesGross">0</definedName>
    <definedName name="AssetsOtherAccumulatedAmortization">0</definedName>
    <definedName name="AssetsOtherGross">0</definedName>
    <definedName name="AssetsOtherNet">0</definedName>
    <definedName name="Authors" localSheetId="0">ImportantDisclosures!$A$7</definedName>
    <definedName name="Authors" localSheetId="10">IndexInformation!$B$18</definedName>
    <definedName name="BRO" localSheetId="11">ModPubIndex!$A$1</definedName>
    <definedName name="case_num">1</definedName>
    <definedName name="CashFlowCapitalExpenditureCellular">0</definedName>
    <definedName name="CashFlowCapitalExpenditureOther">0</definedName>
    <definedName name="CashFlowCapitalExpenditurePaging">0</definedName>
    <definedName name="CashFlowCapitalExpenditureTelephone">0</definedName>
    <definedName name="CashFlowCapitalExpenditureWireless">0</definedName>
    <definedName name="CashFlowDividendPaidPreferredStock">0</definedName>
    <definedName name="cb_sChart12595BBC_opts" hidden="1">"1, 1, 1, False, 2, True, False, , 0, False, False, 2, 2"</definedName>
    <definedName name="cb_sChart12595E44_opts" hidden="1">"1, 3, 1, False, 2, True, False, , 0, True, False, 2, 2"</definedName>
    <definedName name="cb_sChart13893CA8_opts" hidden="1">"1, 3, 1, False, 2, False, False, , 0, False, True, 1, 1"</definedName>
    <definedName name="cb_sChart138A89C6_opts" hidden="1">"1, 5, 1, False, 2, True, False, , 0, False, True, 1, 1"</definedName>
    <definedName name="cb_sChart138A98B2_opts" hidden="1">"1, 3, 1, False, 2, False, False, , 0, False, False, 1, 1"</definedName>
    <definedName name="cb_sChart138A9A2F_opts" hidden="1">"1, 5, 1, False, 2, False, False, , 0, False, False, 1, 1"</definedName>
    <definedName name="cb_sChart138B4149_opts" hidden="1">"1, 5, 1, False, 2, False, False, , 0, False, False, 1, 1"</definedName>
    <definedName name="cb_sChart14E6EA1E_opts" hidden="1">"1, 9, 1, False, 2, False, False, , 0, False, False, 1, 2"</definedName>
    <definedName name="cb_sChart14E6EB91_opts" hidden="1">"1, 9, 1, False, 2, False, False, , 0, False, False, 1, 1"</definedName>
    <definedName name="cb_sChart14E6ED99_opts" hidden="1">"1, 9, 1, False, 2, False, False, , 0, False, False, 1, 1"</definedName>
    <definedName name="cb_sChart14E6F3EE_opts" hidden="1">"1, 9, 1, False, 2, False, False, , 0, False, False, 1, 1"</definedName>
    <definedName name="cb_sChart14E81502_opts" hidden="1">"1, 9, 1, False, 2, False, False, , 0, False, False, 1, 2"</definedName>
    <definedName name="cb_sChart14E81DF6_opts" hidden="1">"1, 9, 1, False, 2, False, False, , 0, False, False, 1, 2"</definedName>
    <definedName name="cb_sChart14E82800_opts" hidden="1">"1, 9, 1, False, 2, False, False, , 0, False, False, 1, 2"</definedName>
    <definedName name="cb_sChart14E83288_opts" hidden="1">"1, 9, 1, False, 2, False, False, , 0, False, False, 1, 2"</definedName>
    <definedName name="cb_sChart14E8F629_opts" hidden="1">"1, 9, 1, False, 2, False, False, , 0, False, False, 1, 2"</definedName>
    <definedName name="cb_sChart14F787E8_opts" hidden="1">"1, 9, 1, False, 2, False, False, , 0, False, False, 1, 2"</definedName>
    <definedName name="cb_sChart14F7947A_opts" hidden="1">"1, 9, 1, False, 2, False, False, , 0, False, False, 1, 2"</definedName>
    <definedName name="cb_sChart14F79A09_opts" hidden="1">"1, 9, 1, False, 2, False, False, , 0, False, False, 1, 2"</definedName>
    <definedName name="cb_sChart14FA60AB_opts" hidden="1">"1, 9, 1, False, 2, False, False, , 0, False, False, 1, 2"</definedName>
    <definedName name="cb_sChart14FA650D_opts" hidden="1">"1, 9, 1, False, 2, False, False, , 0, False, False, 1, 2"</definedName>
    <definedName name="cb_sChart1501ACE3_opts" hidden="1">"1, 8, 1, False, 2, False, False, , 0, False, False, 1, 2"</definedName>
    <definedName name="cb_sChart1501AEF7_opts" hidden="1">"1, 9, 1, False, 2, False, False, , 0, False, False, 1, 2"</definedName>
    <definedName name="cb_sChart1501DCE6_opts" hidden="1">"1, 9, 1, False, 2, False, False, , 0, False, False, 1, 2"</definedName>
    <definedName name="cb_sChart1501EF92_opts" hidden="1">"1, 9, 1, False, 2, False, False, , 0, False, False, 1, 2"</definedName>
    <definedName name="cb_sChart1501F8CB_opts" hidden="1">"1, 9, 1, False, 2, False, False, , 0, False, False, 1, 2"</definedName>
    <definedName name="cb_sChart150208AA_opts" hidden="1">"1, 9, 1, False, 2, False, False, , 0, False, False, 1, 2"</definedName>
    <definedName name="cb_sChart15020EC4_opts" hidden="1">"1, 9, 1, False, 2, False, False, , 0, False, False, 1, 2"</definedName>
    <definedName name="cb_sChart150212BF_opts" hidden="1">"1, 9, 1, False, 2, False, False, , 0, False, False, 1, 2"</definedName>
    <definedName name="cb_sChart15021F68_opts" hidden="1">"1, 9, 1, False, 2, False, False, , 0, False, False, 1, 1"</definedName>
    <definedName name="cb_sChart15022484_opts" hidden="1">"1, 9, 1, False, 2, False, False, , 0, False, False, 1, 2"</definedName>
    <definedName name="cb_sChart150226F5_opts" hidden="1">"1, 9, 1, False, 2, False, False, , 0, False, False, 1, 2"</definedName>
    <definedName name="cb_sChart15144595_opts" hidden="1">"1, 9, 1, False, 2, False, False, , 0, False, False, 1, 2"</definedName>
    <definedName name="cb_sChart15145615_opts" hidden="1">"1, 9, 1, False, 2, False, False, , 0, False, False, 1, 2"</definedName>
    <definedName name="cb_sChart151464B0_opts" hidden="1">"1, 9, 1, False, 2, False, False, , 0, False, False, 1, 2"</definedName>
    <definedName name="cb_sChart15146FA1_opts" hidden="1">"1, 9, 1, False, 2, False, False, , 0, False, False, 1, 2"</definedName>
    <definedName name="cb_sChart15149A94_opts" hidden="1">"1, 9, 1, False, 2, False, False, , 0, False, False, 1, 2"</definedName>
    <definedName name="cb_sChart1514EEC3_opts" hidden="1">"1, 9, 1, False, 2, False, False, , 0, False, False, 1, 2"</definedName>
    <definedName name="cb_sChart1514F2E0_opts" hidden="1">"1, 9, 1, False, 2, False, False, , 0, False, False, 1, 2"</definedName>
    <definedName name="cb_sChart151510A0_opts" hidden="1">"1, 9, 1, False, 2, False, False, , 0, False, False, 1, 2"</definedName>
    <definedName name="cb_sChart15154C37_opts" hidden="1">"1, 9, 1, False, 2, False, False, , 0, False, False, 1, 2"</definedName>
    <definedName name="cb_sChart15157034_opts" hidden="1">"1, 9, 1, False, 2, False, False, , 0, False, False, 1, 2"</definedName>
    <definedName name="cb_sChart1515F81B_opts" hidden="1">"1, 9, 1, False, 2, False, False, , 0, False, False, 1, 2"</definedName>
    <definedName name="cb_sChart1515F9EA_opts" hidden="1">"1, 9, 1, False, 2, False, False, , 0, False, False, 1, 2"</definedName>
    <definedName name="cb_sChart15161029_opts" hidden="1">"1, 9, 1, False, 2, False, False, , 0, False, False, 1, 2"</definedName>
    <definedName name="cb_sChart15163773_opts" hidden="1">"1, 9, 1, False, 2, False, False, , 0, False, False, 1, 2"</definedName>
    <definedName name="cb_sChart15164F8C_opts" hidden="1">"1, 9, 1, False, 2, False, False, , 0, False, False, 1, 2"</definedName>
    <definedName name="cb_sChart15165265_opts" hidden="1">"1, 9, 1, False, 2, False, False, , 0, False, False, 1, 2"</definedName>
    <definedName name="cb_sChart15166173_opts" hidden="1">"1, 9, 1, False, 2, False, False, , 0, False, False, 1, 2"</definedName>
    <definedName name="cb_sChart1516A84C_opts" hidden="1">"1, 9, 1, False, 2, False, False, , 0, False, False, 1, 2"</definedName>
    <definedName name="cb_sChart155036A2_opts" hidden="1">"1, 1, 1, False, 2, True, False, , 0, False, False, 1, 1"</definedName>
    <definedName name="cb_sChart16EBA7BA_opts" hidden="1">"1, 1, 1, False, 2, True, False, , 0, False, True, 1, 2"</definedName>
    <definedName name="cb_sChart19550B88_opts" hidden="1">"1, 1, 1, False, 2, False, False, , 0, False, False, 1, 1"</definedName>
    <definedName name="cb_sChart1955183C_opts" hidden="1">"2, 1, 1, True, 2, False, False, , 0, False, False, 1, 1"</definedName>
    <definedName name="cb_sChart19551C4E_opts" hidden="1">"2, 1, 1, True, 2, True, False, , 0, False, False, 1, 1"</definedName>
    <definedName name="cb_sChart1955C01A_opts" hidden="1">"2, 1, 1, False, 2, False, False, , 0, False, True, 1, 1"</definedName>
    <definedName name="cb_sChart1955C1C7_opts" hidden="1">"2, 1, 1, True, 2, False, False, , 0, False, True, 1, 1"</definedName>
    <definedName name="cb_sChart19EB7A17_opts" hidden="1">"1, 3, 1, False, 2, False, False, , 0, False, True, 1, 1"</definedName>
    <definedName name="cb_sChart19EB7D70_opts" hidden="1">"1, 5, 1, False, 2, False, False, , 0, False, True, 1, 1"</definedName>
    <definedName name="cb_sChart19EB7F61_opts" hidden="1">"1, 3, 1, False, 2, False, False, , 0, False, True, 1, 1"</definedName>
    <definedName name="cb_sChart1AC0211C_opts" hidden="1">"1, 1, 1, False, 2, False, False, , 0, False, False, 2, 2"</definedName>
    <definedName name="cb_sChart1AC021B3_opts" hidden="1">"1, 1, 1, False, 2, False, False, , 0, False, False, 2, 2"</definedName>
    <definedName name="cb_sChart1AC02226_opts" hidden="1">"1, 1, 1, False, 2, False, False, , 0, False, False, 2, 2"</definedName>
    <definedName name="cb_sChart1AC02446_opts" hidden="1">"1, 1, 1, False, 2, True, False, , 0, False, True, 2, 2"</definedName>
    <definedName name="cb_sChart1AC02765_opts" hidden="1">"1, 1, 1, False, 2, True, False, , 0, False, True, 2, 2"</definedName>
    <definedName name="cb_sChart1AC027D9_opts" hidden="1">"1, 1, 1, False, 2, True, False, , 0, False, True, 2, 2"</definedName>
    <definedName name="cb_sChart1B9A4AFE_opts" hidden="1">"1, 9, 1, False, 2, False, False, , 0, False, False, 1, 2"</definedName>
    <definedName name="cb_sChart1BA1DC3F_opts" hidden="1">"1, 9, 1, False, 2, False, False, , 0, False, False, 1, 2"</definedName>
    <definedName name="cb_sChart1C94B61D_opts" hidden="1">"1, 9, 3, False, 2, False, False, , 0, False, True, 1, 1"</definedName>
    <definedName name="cb_sChart1C94BA0C_opts" hidden="1">"1, 1, 1, False, 2, True, False, , 0, False, True, 1, 1"</definedName>
    <definedName name="cb_sChart1C94BFE1_opts" hidden="1">"1, 9, 1, False, 2, False, False, , 0, False, True, 1, 1"</definedName>
    <definedName name="cb_sChart1DB9B8D4_opts" hidden="1">"1, 10, 1, False, 2, False, False, , 0, False, False, 1, 1"</definedName>
    <definedName name="cb_sChart1DB9C5CE_opts" hidden="1">"1, 10, 1, False, 2, False, False, , 0, False, False, 1, 1"</definedName>
    <definedName name="cb_sChart1DBCD0EE_opts" hidden="1">"1, 10, 1, False, 2, False, False, , 0, False, False, 1, 1"</definedName>
    <definedName name="cb_sChart1DBCD418_opts" hidden="1">"1, 10, 1, False, 2, False, False, , 0, False, False, 1, 1"</definedName>
    <definedName name="chart">"Chart 1"</definedName>
    <definedName name="Class_B">68.45</definedName>
    <definedName name="cm">1</definedName>
    <definedName name="CopyrightStamp">ImportantDisclosures!$A$27</definedName>
    <definedName name="COU" localSheetId="11">ModPubIndex!$A$5</definedName>
    <definedName name="CQEnd" localSheetId="10">IndexInformation!$B$31</definedName>
    <definedName name="CrazyCapExRow">#N/A</definedName>
    <definedName name="cu102.ShareScalingFactor" hidden="1">1000000</definedName>
    <definedName name="cu103.EmployeeScalingFactor" hidden="1">1000</definedName>
    <definedName name="cu107.DPSSymbol" hidden="1">"US$"</definedName>
    <definedName name="cu107.EPSSymbol" hidden="1">"US$"</definedName>
    <definedName name="cu71.ScalingFactor" hidden="1">1000000</definedName>
    <definedName name="cu71.ScalingFactor_1" hidden="1">1000</definedName>
    <definedName name="Currency" localSheetId="10">IndexInformation!$B$24</definedName>
    <definedName name="CurrentStockPrice" localSheetId="10">IndexInformation!$B$23</definedName>
    <definedName name="CurrQtrEPS" localSheetId="10">IndexInformation!$B$29</definedName>
    <definedName name="CurrYearEPS" localSheetId="10">IndexInformation!$B$11</definedName>
    <definedName name="CurrYearTotalRevenue" localSheetId="10">IndexInformation!$B$10</definedName>
    <definedName name="CurrYearTotalRevenueActual" localSheetId="10">IndexInformation!$B$32</definedName>
    <definedName name="CUSIP" localSheetId="10">IndexInformation!$B$20</definedName>
    <definedName name="CYEnd" localSheetId="10">IndexInformation!$B$30</definedName>
    <definedName name="Date" localSheetId="0">ImportantDisclosures!$A$8</definedName>
    <definedName name="DB">"WIRENYPROD"</definedName>
    <definedName name="dd">{"Jan","Feb","Mar","Apr","May","Jun","Jul","Aug","Sep","Oct","Nov","Dec";"January","February","March","April","May","June","July","August","September","October","November","December"}</definedName>
    <definedName name="def" localSheetId="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def"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Deleted" localSheetId="10">IndexInformation!$B$27</definedName>
    <definedName name="Description" localSheetId="10">IndexInformation!$B$7</definedName>
    <definedName name="DEVELOPMENT">5</definedName>
    <definedName name="Discipline" localSheetId="10">IndexInformation!$B$3</definedName>
    <definedName name="DISCIPLINE" localSheetId="11">ModPubIndex!$A$12</definedName>
    <definedName name="DisclosuresText">ImportantDisclosures!$A$22</definedName>
    <definedName name="Distribution" localSheetId="10">IndexInformation!$B$26</definedName>
    <definedName name="DistTable" localSheetId="0">ImportantDisclosures!#REF!</definedName>
    <definedName name="DistTablePreamble" localSheetId="0">ImportantDisclosures!#REF!</definedName>
    <definedName name="DOCDAT" localSheetId="11">ModPubIndex!$A$2</definedName>
    <definedName name="DOCTIME" localSheetId="11">ModPubIndex!$A$3</definedName>
    <definedName name="DocType" localSheetId="10">IndexInformation!$B$5</definedName>
    <definedName name="DocType">Word</definedName>
    <definedName name="dsa" hidden="1">{#N/A,#N/A,TRUE,"Historicals";#N/A,#N/A,TRUE,"Charts";#N/A,#N/A,TRUE,"Forecasts"}</definedName>
    <definedName name="EMAIL_ALERT" localSheetId="11">ModPubIndex!$A$10</definedName>
    <definedName name="EmailAlert" localSheetId="10">IndexInformation!$B$28</definedName>
    <definedName name="EquityAdjustments">0</definedName>
    <definedName name="EquityEmployeeStockOwnershipPlan">0</definedName>
    <definedName name="EquityPaidInCapital">0</definedName>
    <definedName name="EquityTreasuryStock">0</definedName>
    <definedName name="Eric" hidden="1">{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definedName>
    <definedName name="ethg" localSheetId="1" hidden="1">{"'RCIM'!$E$128"}</definedName>
    <definedName name="ethg" hidden="1">{"'RCIM'!$E$128"}</definedName>
    <definedName name="ev.Calculation" hidden="1">-4135</definedName>
    <definedName name="ev.Initialized" hidden="1">FALSE</definedName>
    <definedName name="Exch">" Sheet2!$F$2"</definedName>
    <definedName name="ｆ" hidden="1">"iQShowAnnual"</definedName>
    <definedName name="fair_value">'Base DCF'!$L$83</definedName>
    <definedName name="FDD_0_0" hidden="1">"A30681"</definedName>
    <definedName name="FDD_0_1" hidden="1">"A31047"</definedName>
    <definedName name="FDD_0_10" hidden="1">"A34334"</definedName>
    <definedName name="FDD_0_11" hidden="1">"A34699"</definedName>
    <definedName name="FDD_0_12" hidden="1">"A35064"</definedName>
    <definedName name="FDD_0_13" hidden="1">"A35430"</definedName>
    <definedName name="FDD_0_14" hidden="1">"A35795"</definedName>
    <definedName name="FDD_0_2" hidden="1">"A31412"</definedName>
    <definedName name="FDD_0_3" hidden="1">"A31777"</definedName>
    <definedName name="FDD_0_4" hidden="1">"A32142"</definedName>
    <definedName name="FDD_0_5" hidden="1">"A32508"</definedName>
    <definedName name="FDD_0_6" hidden="1">"A32873"</definedName>
    <definedName name="FDD_0_7" hidden="1">"A33238"</definedName>
    <definedName name="FDD_0_8" hidden="1">"A33603"</definedName>
    <definedName name="FDD_0_9" hidden="1">"A33969"</definedName>
    <definedName name="FDD_1_0" hidden="1">"U25569"</definedName>
    <definedName name="FDD_10_0" hidden="1">"A25569"</definedName>
    <definedName name="FDD_100_0" hidden="1">"A25569"</definedName>
    <definedName name="FDD_101_0" hidden="1">"A25569"</definedName>
    <definedName name="FDD_102_0" hidden="1">"A25569"</definedName>
    <definedName name="FDD_103_0" hidden="1">"A25569"</definedName>
    <definedName name="FDD_104_0" hidden="1">"A25569"</definedName>
    <definedName name="FDD_105_0" hidden="1">"A25569"</definedName>
    <definedName name="FDD_106_0" hidden="1">"A25569"</definedName>
    <definedName name="FDD_107_0" hidden="1">"A25569"</definedName>
    <definedName name="FDD_108_0" hidden="1">"A25569"</definedName>
    <definedName name="FDD_109_0" hidden="1">"A25569"</definedName>
    <definedName name="FDD_11_0" hidden="1">"A25569"</definedName>
    <definedName name="FDD_110_0" hidden="1">"A25569"</definedName>
    <definedName name="FDD_111_0" hidden="1">"A25569"</definedName>
    <definedName name="FDD_112_0" hidden="1">"A25569"</definedName>
    <definedName name="FDD_113_0" hidden="1">"A25569"</definedName>
    <definedName name="FDD_114_0" hidden="1">"A25569"</definedName>
    <definedName name="FDD_115_0" hidden="1">"A25569"</definedName>
    <definedName name="FDD_116_0" hidden="1">"A25569"</definedName>
    <definedName name="FDD_117_0" hidden="1">"A30681"</definedName>
    <definedName name="FDD_117_1" hidden="1">"A31047"</definedName>
    <definedName name="FDD_117_10" hidden="1">"A34334"</definedName>
    <definedName name="FDD_117_11" hidden="1">"A34699"</definedName>
    <definedName name="FDD_117_12" hidden="1">"A35064"</definedName>
    <definedName name="FDD_117_13" hidden="1">"A35430"</definedName>
    <definedName name="FDD_117_14" hidden="1">"A35795"</definedName>
    <definedName name="FDD_117_2" hidden="1">"A31412"</definedName>
    <definedName name="FDD_117_3" hidden="1">"A31777"</definedName>
    <definedName name="FDD_117_4" hidden="1">"A32142"</definedName>
    <definedName name="FDD_117_5" hidden="1">"A32508"</definedName>
    <definedName name="FDD_117_6" hidden="1">"A32873"</definedName>
    <definedName name="FDD_117_7" hidden="1">"A33238"</definedName>
    <definedName name="FDD_117_8" hidden="1">"A33603"</definedName>
    <definedName name="FDD_117_9" hidden="1">"A33969"</definedName>
    <definedName name="FDD_118_0" hidden="1">"A30681"</definedName>
    <definedName name="FDD_118_1" hidden="1">"A31047"</definedName>
    <definedName name="FDD_118_10" hidden="1">"A34334"</definedName>
    <definedName name="FDD_118_11" hidden="1">"A34699"</definedName>
    <definedName name="FDD_118_12" hidden="1">"A35064"</definedName>
    <definedName name="FDD_118_13" hidden="1">"A35430"</definedName>
    <definedName name="FDD_118_14" hidden="1">"A35795"</definedName>
    <definedName name="FDD_118_2" hidden="1">"A31412"</definedName>
    <definedName name="FDD_118_3" hidden="1">"A31777"</definedName>
    <definedName name="FDD_118_4" hidden="1">"A32142"</definedName>
    <definedName name="FDD_118_5" hidden="1">"A32508"</definedName>
    <definedName name="FDD_118_6" hidden="1">"A32873"</definedName>
    <definedName name="FDD_118_7" hidden="1">"A33238"</definedName>
    <definedName name="FDD_118_8" hidden="1">"A33603"</definedName>
    <definedName name="FDD_118_9" hidden="1">"A33969"</definedName>
    <definedName name="FDD_119_0" hidden="1">"A30681"</definedName>
    <definedName name="FDD_119_1" hidden="1">"A31047"</definedName>
    <definedName name="FDD_119_10" hidden="1">"A34334"</definedName>
    <definedName name="FDD_119_11" hidden="1">"A34699"</definedName>
    <definedName name="FDD_119_12" hidden="1">"A35064"</definedName>
    <definedName name="FDD_119_13" hidden="1">"A35430"</definedName>
    <definedName name="FDD_119_14" hidden="1">"A35795"</definedName>
    <definedName name="FDD_119_2" hidden="1">"A31412"</definedName>
    <definedName name="FDD_119_3" hidden="1">"A31777"</definedName>
    <definedName name="FDD_119_4" hidden="1">"A32142"</definedName>
    <definedName name="FDD_119_5" hidden="1">"A32508"</definedName>
    <definedName name="FDD_119_6" hidden="1">"A32873"</definedName>
    <definedName name="FDD_119_7" hidden="1">"A33238"</definedName>
    <definedName name="FDD_119_8" hidden="1">"A33603"</definedName>
    <definedName name="FDD_119_9" hidden="1">"A33969"</definedName>
    <definedName name="FDD_12_0" hidden="1">"A25569"</definedName>
    <definedName name="FDD_120_0" hidden="1">"A30681"</definedName>
    <definedName name="FDD_120_1" hidden="1">"A31047"</definedName>
    <definedName name="FDD_120_10" hidden="1">"A34334"</definedName>
    <definedName name="FDD_120_11" hidden="1">"A34699"</definedName>
    <definedName name="FDD_120_12" hidden="1">"A35064"</definedName>
    <definedName name="FDD_120_13" hidden="1">"A35430"</definedName>
    <definedName name="FDD_120_14" hidden="1">"A35795"</definedName>
    <definedName name="FDD_120_2" hidden="1">"A31412"</definedName>
    <definedName name="FDD_120_3" hidden="1">"A31777"</definedName>
    <definedName name="FDD_120_4" hidden="1">"A32142"</definedName>
    <definedName name="FDD_120_5" hidden="1">"A32508"</definedName>
    <definedName name="FDD_120_6" hidden="1">"A32873"</definedName>
    <definedName name="FDD_120_7" hidden="1">"A33238"</definedName>
    <definedName name="FDD_120_8" hidden="1">"A33603"</definedName>
    <definedName name="FDD_120_9" hidden="1">"A33969"</definedName>
    <definedName name="FDD_121_0" hidden="1">"A30681"</definedName>
    <definedName name="FDD_121_1" hidden="1">"A31047"</definedName>
    <definedName name="FDD_121_10" hidden="1">"A34334"</definedName>
    <definedName name="FDD_121_11" hidden="1">"A34699"</definedName>
    <definedName name="FDD_121_12" hidden="1">"A35064"</definedName>
    <definedName name="FDD_121_13" hidden="1">"A35430"</definedName>
    <definedName name="FDD_121_14" hidden="1">"A35795"</definedName>
    <definedName name="FDD_121_2" hidden="1">"A31412"</definedName>
    <definedName name="FDD_121_3" hidden="1">"A31777"</definedName>
    <definedName name="FDD_121_4" hidden="1">"A32142"</definedName>
    <definedName name="FDD_121_5" hidden="1">"A32508"</definedName>
    <definedName name="FDD_121_6" hidden="1">"A32873"</definedName>
    <definedName name="FDD_121_7" hidden="1">"A33238"</definedName>
    <definedName name="FDD_121_8" hidden="1">"A33603"</definedName>
    <definedName name="FDD_121_9" hidden="1">"A33969"</definedName>
    <definedName name="FDD_122_0" hidden="1">"A30681"</definedName>
    <definedName name="FDD_122_1" hidden="1">"A31047"</definedName>
    <definedName name="FDD_122_10" hidden="1">"A34334"</definedName>
    <definedName name="FDD_122_11" hidden="1">"A34699"</definedName>
    <definedName name="FDD_122_12" hidden="1">"A35064"</definedName>
    <definedName name="FDD_122_13" hidden="1">"A35430"</definedName>
    <definedName name="FDD_122_14" hidden="1">"A35795"</definedName>
    <definedName name="FDD_122_2" hidden="1">"A31412"</definedName>
    <definedName name="FDD_122_3" hidden="1">"A31777"</definedName>
    <definedName name="FDD_122_4" hidden="1">"A32142"</definedName>
    <definedName name="FDD_122_5" hidden="1">"A32508"</definedName>
    <definedName name="FDD_122_6" hidden="1">"A32873"</definedName>
    <definedName name="FDD_122_7" hidden="1">"A33238"</definedName>
    <definedName name="FDD_122_8" hidden="1">"A33603"</definedName>
    <definedName name="FDD_122_9" hidden="1">"A33969"</definedName>
    <definedName name="FDD_123_0" hidden="1">"A30681"</definedName>
    <definedName name="FDD_123_1" hidden="1">"A31047"</definedName>
    <definedName name="FDD_123_10" hidden="1">"A34334"</definedName>
    <definedName name="FDD_123_11" hidden="1">"A34699"</definedName>
    <definedName name="FDD_123_12" hidden="1">"A35064"</definedName>
    <definedName name="FDD_123_13" hidden="1">"A35430"</definedName>
    <definedName name="FDD_123_14" hidden="1">"A35795"</definedName>
    <definedName name="FDD_123_2" hidden="1">"A31412"</definedName>
    <definedName name="FDD_123_3" hidden="1">"A31777"</definedName>
    <definedName name="FDD_123_4" hidden="1">"A32142"</definedName>
    <definedName name="FDD_123_5" hidden="1">"A32508"</definedName>
    <definedName name="FDD_123_6" hidden="1">"A32873"</definedName>
    <definedName name="FDD_123_7" hidden="1">"A33238"</definedName>
    <definedName name="FDD_123_8" hidden="1">"A33603"</definedName>
    <definedName name="FDD_123_9" hidden="1">"A33969"</definedName>
    <definedName name="FDD_124_0" hidden="1">"A30681"</definedName>
    <definedName name="FDD_124_1" hidden="1">"A31047"</definedName>
    <definedName name="FDD_124_10" hidden="1">"A34334"</definedName>
    <definedName name="FDD_124_11" hidden="1">"A34699"</definedName>
    <definedName name="FDD_124_12" hidden="1">"A35064"</definedName>
    <definedName name="FDD_124_13" hidden="1">"A35430"</definedName>
    <definedName name="FDD_124_14" hidden="1">"A35795"</definedName>
    <definedName name="FDD_124_2" hidden="1">"A31412"</definedName>
    <definedName name="FDD_124_3" hidden="1">"A31777"</definedName>
    <definedName name="FDD_124_4" hidden="1">"A32142"</definedName>
    <definedName name="FDD_124_5" hidden="1">"A32508"</definedName>
    <definedName name="FDD_124_6" hidden="1">"A32873"</definedName>
    <definedName name="FDD_124_7" hidden="1">"A33238"</definedName>
    <definedName name="FDD_124_8" hidden="1">"A33603"</definedName>
    <definedName name="FDD_124_9" hidden="1">"A33969"</definedName>
    <definedName name="FDD_125_0" hidden="1">"A30681"</definedName>
    <definedName name="FDD_125_1" hidden="1">"A31047"</definedName>
    <definedName name="FDD_125_10" hidden="1">"A34334"</definedName>
    <definedName name="FDD_125_11" hidden="1">"A34699"</definedName>
    <definedName name="FDD_125_12" hidden="1">"A35064"</definedName>
    <definedName name="FDD_125_13" hidden="1">"A35430"</definedName>
    <definedName name="FDD_125_14" hidden="1">"A35795"</definedName>
    <definedName name="FDD_125_2" hidden="1">"A31412"</definedName>
    <definedName name="FDD_125_3" hidden="1">"A31777"</definedName>
    <definedName name="FDD_125_4" hidden="1">"A32142"</definedName>
    <definedName name="FDD_125_5" hidden="1">"A32508"</definedName>
    <definedName name="FDD_125_6" hidden="1">"A32873"</definedName>
    <definedName name="FDD_125_7" hidden="1">"A33238"</definedName>
    <definedName name="FDD_125_8" hidden="1">"A33603"</definedName>
    <definedName name="FDD_125_9" hidden="1">"A33969"</definedName>
    <definedName name="FDD_126_0" hidden="1">"A30681"</definedName>
    <definedName name="FDD_126_1" hidden="1">"A31047"</definedName>
    <definedName name="FDD_126_10" hidden="1">"A34334"</definedName>
    <definedName name="FDD_126_11" hidden="1">"A34699"</definedName>
    <definedName name="FDD_126_12" hidden="1">"A35064"</definedName>
    <definedName name="FDD_126_13" hidden="1">"A35430"</definedName>
    <definedName name="FDD_126_14" hidden="1">"A35795"</definedName>
    <definedName name="FDD_126_2" hidden="1">"A31412"</definedName>
    <definedName name="FDD_126_3" hidden="1">"A31777"</definedName>
    <definedName name="FDD_126_4" hidden="1">"A32142"</definedName>
    <definedName name="FDD_126_5" hidden="1">"A32508"</definedName>
    <definedName name="FDD_126_6" hidden="1">"A32873"</definedName>
    <definedName name="FDD_126_7" hidden="1">"A33238"</definedName>
    <definedName name="FDD_126_8" hidden="1">"A33603"</definedName>
    <definedName name="FDD_126_9" hidden="1">"A33969"</definedName>
    <definedName name="FDD_127_0" hidden="1">"A30681"</definedName>
    <definedName name="FDD_127_1" hidden="1">"A31047"</definedName>
    <definedName name="FDD_127_10" hidden="1">"A34334"</definedName>
    <definedName name="FDD_127_11" hidden="1">"A34699"</definedName>
    <definedName name="FDD_127_12" hidden="1">"A35064"</definedName>
    <definedName name="FDD_127_13" hidden="1">"A35430"</definedName>
    <definedName name="FDD_127_14" hidden="1">"A35795"</definedName>
    <definedName name="FDD_127_2" hidden="1">"A31412"</definedName>
    <definedName name="FDD_127_3" hidden="1">"A31777"</definedName>
    <definedName name="FDD_127_4" hidden="1">"A32142"</definedName>
    <definedName name="FDD_127_5" hidden="1">"A32508"</definedName>
    <definedName name="FDD_127_6" hidden="1">"A32873"</definedName>
    <definedName name="FDD_127_7" hidden="1">"A33238"</definedName>
    <definedName name="FDD_127_8" hidden="1">"A33603"</definedName>
    <definedName name="FDD_127_9" hidden="1">"A33969"</definedName>
    <definedName name="FDD_128_0" hidden="1">"A30681"</definedName>
    <definedName name="FDD_128_1" hidden="1">"A31047"</definedName>
    <definedName name="FDD_128_10" hidden="1">"A34334"</definedName>
    <definedName name="FDD_128_11" hidden="1">"A34699"</definedName>
    <definedName name="FDD_128_12" hidden="1">"A35064"</definedName>
    <definedName name="FDD_128_13" hidden="1">"A35430"</definedName>
    <definedName name="FDD_128_14" hidden="1">"A35795"</definedName>
    <definedName name="FDD_128_2" hidden="1">"A31412"</definedName>
    <definedName name="FDD_128_3" hidden="1">"A31777"</definedName>
    <definedName name="FDD_128_4" hidden="1">"A32142"</definedName>
    <definedName name="FDD_128_5" hidden="1">"A32508"</definedName>
    <definedName name="FDD_128_6" hidden="1">"A32873"</definedName>
    <definedName name="FDD_128_7" hidden="1">"A33238"</definedName>
    <definedName name="FDD_128_8" hidden="1">"A33603"</definedName>
    <definedName name="FDD_128_9" hidden="1">"A33969"</definedName>
    <definedName name="FDD_129_0" hidden="1">"A30681"</definedName>
    <definedName name="FDD_129_1" hidden="1">"A31047"</definedName>
    <definedName name="FDD_129_10" hidden="1">"A34334"</definedName>
    <definedName name="FDD_129_11" hidden="1">"A34699"</definedName>
    <definedName name="FDD_129_12" hidden="1">"A35064"</definedName>
    <definedName name="FDD_129_13" hidden="1">"A35430"</definedName>
    <definedName name="FDD_129_14" hidden="1">"A35795"</definedName>
    <definedName name="FDD_129_2" hidden="1">"A31412"</definedName>
    <definedName name="FDD_129_3" hidden="1">"A31777"</definedName>
    <definedName name="FDD_129_4" hidden="1">"A32142"</definedName>
    <definedName name="FDD_129_5" hidden="1">"A32508"</definedName>
    <definedName name="FDD_129_6" hidden="1">"A32873"</definedName>
    <definedName name="FDD_129_7" hidden="1">"A33238"</definedName>
    <definedName name="FDD_129_8" hidden="1">"A33603"</definedName>
    <definedName name="FDD_129_9" hidden="1">"A33969"</definedName>
    <definedName name="FDD_13_0" hidden="1">"A25569"</definedName>
    <definedName name="FDD_130_0" hidden="1">"A30681"</definedName>
    <definedName name="FDD_130_1" hidden="1">"A31047"</definedName>
    <definedName name="FDD_130_10" hidden="1">"A34334"</definedName>
    <definedName name="FDD_130_11" hidden="1">"A34699"</definedName>
    <definedName name="FDD_130_12" hidden="1">"A35064"</definedName>
    <definedName name="FDD_130_13" hidden="1">"A35430"</definedName>
    <definedName name="FDD_130_14" hidden="1">"A35795"</definedName>
    <definedName name="FDD_130_2" hidden="1">"A31412"</definedName>
    <definedName name="FDD_130_3" hidden="1">"A31777"</definedName>
    <definedName name="FDD_130_4" hidden="1">"A32142"</definedName>
    <definedName name="FDD_130_5" hidden="1">"A32508"</definedName>
    <definedName name="FDD_130_6" hidden="1">"A32873"</definedName>
    <definedName name="FDD_130_7" hidden="1">"A33238"</definedName>
    <definedName name="FDD_130_8" hidden="1">"A33603"</definedName>
    <definedName name="FDD_130_9" hidden="1">"A33969"</definedName>
    <definedName name="FDD_131_0" hidden="1">"A30681"</definedName>
    <definedName name="FDD_131_1" hidden="1">"A31047"</definedName>
    <definedName name="FDD_131_10" hidden="1">"A34334"</definedName>
    <definedName name="FDD_131_11" hidden="1">"A34699"</definedName>
    <definedName name="FDD_131_12" hidden="1">"A35064"</definedName>
    <definedName name="FDD_131_13" hidden="1">"A35430"</definedName>
    <definedName name="FDD_131_14" hidden="1">"A35795"</definedName>
    <definedName name="FDD_131_2" hidden="1">"A31412"</definedName>
    <definedName name="FDD_131_3" hidden="1">"A31777"</definedName>
    <definedName name="FDD_131_4" hidden="1">"A32142"</definedName>
    <definedName name="FDD_131_5" hidden="1">"A32508"</definedName>
    <definedName name="FDD_131_6" hidden="1">"A32873"</definedName>
    <definedName name="FDD_131_7" hidden="1">"A33238"</definedName>
    <definedName name="FDD_131_8" hidden="1">"A33603"</definedName>
    <definedName name="FDD_131_9" hidden="1">"A33969"</definedName>
    <definedName name="FDD_132_0" hidden="1">"U30681"</definedName>
    <definedName name="FDD_132_1" hidden="1">"U31047"</definedName>
    <definedName name="FDD_132_10" hidden="1">"U34334"</definedName>
    <definedName name="FDD_132_11" hidden="1">"U34699"</definedName>
    <definedName name="FDD_132_12" hidden="1">"U35064"</definedName>
    <definedName name="FDD_132_13" hidden="1">"U35430"</definedName>
    <definedName name="FDD_132_14" hidden="1">"U35795"</definedName>
    <definedName name="FDD_132_2" hidden="1">"U31412"</definedName>
    <definedName name="FDD_132_3" hidden="1">"U31777"</definedName>
    <definedName name="FDD_132_4" hidden="1">"U32142"</definedName>
    <definedName name="FDD_132_5" hidden="1">"U32508"</definedName>
    <definedName name="FDD_132_6" hidden="1">"U32873"</definedName>
    <definedName name="FDD_132_7" hidden="1">"U33238"</definedName>
    <definedName name="FDD_132_8" hidden="1">"U33603"</definedName>
    <definedName name="FDD_132_9" hidden="1">"U33969"</definedName>
    <definedName name="FDD_133_0" hidden="1">"A30681"</definedName>
    <definedName name="FDD_133_1" hidden="1">"A31047"</definedName>
    <definedName name="FDD_133_10" hidden="1">"A34334"</definedName>
    <definedName name="FDD_133_11" hidden="1">"A34699"</definedName>
    <definedName name="FDD_133_12" hidden="1">"A35064"</definedName>
    <definedName name="FDD_133_13" hidden="1">"A35430"</definedName>
    <definedName name="FDD_133_14" hidden="1">"A35795"</definedName>
    <definedName name="FDD_133_2" hidden="1">"A31412"</definedName>
    <definedName name="FDD_133_3" hidden="1">"A31777"</definedName>
    <definedName name="FDD_133_4" hidden="1">"A32142"</definedName>
    <definedName name="FDD_133_5" hidden="1">"A32508"</definedName>
    <definedName name="FDD_133_6" hidden="1">"A32873"</definedName>
    <definedName name="FDD_133_7" hidden="1">"A33238"</definedName>
    <definedName name="FDD_133_8" hidden="1">"A33603"</definedName>
    <definedName name="FDD_133_9" hidden="1">"A33969"</definedName>
    <definedName name="FDD_134_0" hidden="1">"A30681"</definedName>
    <definedName name="FDD_134_1" hidden="1">"A31047"</definedName>
    <definedName name="FDD_134_10" hidden="1">"A34334"</definedName>
    <definedName name="FDD_134_11" hidden="1">"A34699"</definedName>
    <definedName name="FDD_134_12" hidden="1">"A35064"</definedName>
    <definedName name="FDD_134_13" hidden="1">"A35430"</definedName>
    <definedName name="FDD_134_14" hidden="1">"A35795"</definedName>
    <definedName name="FDD_134_2" hidden="1">"A31412"</definedName>
    <definedName name="FDD_134_3" hidden="1">"A31777"</definedName>
    <definedName name="FDD_134_4" hidden="1">"A32142"</definedName>
    <definedName name="FDD_134_5" hidden="1">"A32508"</definedName>
    <definedName name="FDD_134_6" hidden="1">"A32873"</definedName>
    <definedName name="FDD_134_7" hidden="1">"A33238"</definedName>
    <definedName name="FDD_134_8" hidden="1">"A33603"</definedName>
    <definedName name="FDD_134_9" hidden="1">"A33969"</definedName>
    <definedName name="FDD_135_0" hidden="1">"A30681"</definedName>
    <definedName name="FDD_135_1" hidden="1">"A31047"</definedName>
    <definedName name="FDD_135_10" hidden="1">"A34334"</definedName>
    <definedName name="FDD_135_11" hidden="1">"A34699"</definedName>
    <definedName name="FDD_135_12" hidden="1">"A35064"</definedName>
    <definedName name="FDD_135_13" hidden="1">"A35430"</definedName>
    <definedName name="FDD_135_14" hidden="1">"A35795"</definedName>
    <definedName name="FDD_135_2" hidden="1">"A31412"</definedName>
    <definedName name="FDD_135_3" hidden="1">"A31777"</definedName>
    <definedName name="FDD_135_4" hidden="1">"A32142"</definedName>
    <definedName name="FDD_135_5" hidden="1">"A32508"</definedName>
    <definedName name="FDD_135_6" hidden="1">"A32873"</definedName>
    <definedName name="FDD_135_7" hidden="1">"A33238"</definedName>
    <definedName name="FDD_135_8" hidden="1">"A33603"</definedName>
    <definedName name="FDD_135_9" hidden="1">"A33969"</definedName>
    <definedName name="FDD_136_0" hidden="1">"A30681"</definedName>
    <definedName name="FDD_136_1" hidden="1">"A31047"</definedName>
    <definedName name="FDD_136_10" hidden="1">"A34334"</definedName>
    <definedName name="FDD_136_11" hidden="1">"A34699"</definedName>
    <definedName name="FDD_136_12" hidden="1">"A35064"</definedName>
    <definedName name="FDD_136_13" hidden="1">"A35430"</definedName>
    <definedName name="FDD_136_14" hidden="1">"A35795"</definedName>
    <definedName name="FDD_136_2" hidden="1">"A31412"</definedName>
    <definedName name="FDD_136_3" hidden="1">"A31777"</definedName>
    <definedName name="FDD_136_4" hidden="1">"A32142"</definedName>
    <definedName name="FDD_136_5" hidden="1">"A32508"</definedName>
    <definedName name="FDD_136_6" hidden="1">"A32873"</definedName>
    <definedName name="FDD_136_7" hidden="1">"A33238"</definedName>
    <definedName name="FDD_136_8" hidden="1">"A33603"</definedName>
    <definedName name="FDD_136_9" hidden="1">"A33969"</definedName>
    <definedName name="FDD_137_0" hidden="1">"A30681"</definedName>
    <definedName name="FDD_137_1" hidden="1">"A31047"</definedName>
    <definedName name="FDD_137_10" hidden="1">"A34334"</definedName>
    <definedName name="FDD_137_11" hidden="1">"A34699"</definedName>
    <definedName name="FDD_137_12" hidden="1">"A35064"</definedName>
    <definedName name="FDD_137_13" hidden="1">"A35430"</definedName>
    <definedName name="FDD_137_14" hidden="1">"A35795"</definedName>
    <definedName name="FDD_137_2" hidden="1">"A31412"</definedName>
    <definedName name="FDD_137_3" hidden="1">"A31777"</definedName>
    <definedName name="FDD_137_4" hidden="1">"A32142"</definedName>
    <definedName name="FDD_137_5" hidden="1">"A32508"</definedName>
    <definedName name="FDD_137_6" hidden="1">"A32873"</definedName>
    <definedName name="FDD_137_7" hidden="1">"A33238"</definedName>
    <definedName name="FDD_137_8" hidden="1">"A33603"</definedName>
    <definedName name="FDD_137_9" hidden="1">"A33969"</definedName>
    <definedName name="FDD_138_0" hidden="1">"A30681"</definedName>
    <definedName name="FDD_138_1" hidden="1">"A31047"</definedName>
    <definedName name="FDD_138_10" hidden="1">"A34334"</definedName>
    <definedName name="FDD_138_11" hidden="1">"A34699"</definedName>
    <definedName name="FDD_138_12" hidden="1">"A35064"</definedName>
    <definedName name="FDD_138_13" hidden="1">"A35430"</definedName>
    <definedName name="FDD_138_14" hidden="1">"A35795"</definedName>
    <definedName name="FDD_138_2" hidden="1">"A31412"</definedName>
    <definedName name="FDD_138_3" hidden="1">"A31777"</definedName>
    <definedName name="FDD_138_4" hidden="1">"A32142"</definedName>
    <definedName name="FDD_138_5" hidden="1">"A32508"</definedName>
    <definedName name="FDD_138_6" hidden="1">"A32873"</definedName>
    <definedName name="FDD_138_7" hidden="1">"A33238"</definedName>
    <definedName name="FDD_138_8" hidden="1">"A33603"</definedName>
    <definedName name="FDD_138_9" hidden="1">"A33969"</definedName>
    <definedName name="FDD_139_0" hidden="1">"A30681"</definedName>
    <definedName name="FDD_139_1" hidden="1">"A31047"</definedName>
    <definedName name="FDD_139_10" hidden="1">"U34334"</definedName>
    <definedName name="FDD_139_11" hidden="1">"U34699"</definedName>
    <definedName name="FDD_139_12" hidden="1">"U35064"</definedName>
    <definedName name="FDD_139_13" hidden="1">"U35430"</definedName>
    <definedName name="FDD_139_14" hidden="1">"U35795"</definedName>
    <definedName name="FDD_139_2" hidden="1">"A31412"</definedName>
    <definedName name="FDD_139_3" hidden="1">"U31777"</definedName>
    <definedName name="FDD_139_4" hidden="1">"U32142"</definedName>
    <definedName name="FDD_139_5" hidden="1">"U32508"</definedName>
    <definedName name="FDD_139_6" hidden="1">"U32873"</definedName>
    <definedName name="FDD_139_7" hidden="1">"U33238"</definedName>
    <definedName name="FDD_139_8" hidden="1">"U33603"</definedName>
    <definedName name="FDD_139_9" hidden="1">"U33969"</definedName>
    <definedName name="FDD_14_0" hidden="1">"A25569"</definedName>
    <definedName name="FDD_140_0" hidden="1">"A25569"</definedName>
    <definedName name="FDD_141_0" hidden="1">"A30681"</definedName>
    <definedName name="FDD_141_1" hidden="1">"A31047"</definedName>
    <definedName name="FDD_141_10" hidden="1">"A34334"</definedName>
    <definedName name="FDD_141_11" hidden="1">"A34699"</definedName>
    <definedName name="FDD_141_12" hidden="1">"A35064"</definedName>
    <definedName name="FDD_141_13" hidden="1">"A35430"</definedName>
    <definedName name="FDD_141_14" hidden="1">"A35795"</definedName>
    <definedName name="FDD_141_2" hidden="1">"A31412"</definedName>
    <definedName name="FDD_141_3" hidden="1">"A31777"</definedName>
    <definedName name="FDD_141_4" hidden="1">"A32142"</definedName>
    <definedName name="FDD_141_5" hidden="1">"A32508"</definedName>
    <definedName name="FDD_141_6" hidden="1">"A32873"</definedName>
    <definedName name="FDD_141_7" hidden="1">"A33238"</definedName>
    <definedName name="FDD_141_8" hidden="1">"A33603"</definedName>
    <definedName name="FDD_141_9" hidden="1">"A33969"</definedName>
    <definedName name="FDD_142_0" hidden="1">"A30681"</definedName>
    <definedName name="FDD_142_1" hidden="1">"A31047"</definedName>
    <definedName name="FDD_142_10" hidden="1">"A34334"</definedName>
    <definedName name="FDD_142_11" hidden="1">"A34699"</definedName>
    <definedName name="FDD_142_12" hidden="1">"A35064"</definedName>
    <definedName name="FDD_142_13" hidden="1">"A35430"</definedName>
    <definedName name="FDD_142_14" hidden="1">"A35795"</definedName>
    <definedName name="FDD_142_2" hidden="1">"A31412"</definedName>
    <definedName name="FDD_142_3" hidden="1">"A31777"</definedName>
    <definedName name="FDD_142_4" hidden="1">"A32142"</definedName>
    <definedName name="FDD_142_5" hidden="1">"A32508"</definedName>
    <definedName name="FDD_142_6" hidden="1">"A32873"</definedName>
    <definedName name="FDD_142_7" hidden="1">"A33238"</definedName>
    <definedName name="FDD_142_8" hidden="1">"A33603"</definedName>
    <definedName name="FDD_142_9" hidden="1">"A33969"</definedName>
    <definedName name="FDD_143_0" hidden="1">"A30681"</definedName>
    <definedName name="FDD_143_1" hidden="1">"A31047"</definedName>
    <definedName name="FDD_143_10" hidden="1">"A34334"</definedName>
    <definedName name="FDD_143_11" hidden="1">"A34699"</definedName>
    <definedName name="FDD_143_12" hidden="1">"A35064"</definedName>
    <definedName name="FDD_143_13" hidden="1">"A35430"</definedName>
    <definedName name="FDD_143_14" hidden="1">"A35795"</definedName>
    <definedName name="FDD_143_2" hidden="1">"A31412"</definedName>
    <definedName name="FDD_143_3" hidden="1">"A31777"</definedName>
    <definedName name="FDD_143_4" hidden="1">"A32142"</definedName>
    <definedName name="FDD_143_5" hidden="1">"A32508"</definedName>
    <definedName name="FDD_143_6" hidden="1">"A32873"</definedName>
    <definedName name="FDD_143_7" hidden="1">"A33238"</definedName>
    <definedName name="FDD_143_8" hidden="1">"A33603"</definedName>
    <definedName name="FDD_143_9" hidden="1">"A33969"</definedName>
    <definedName name="FDD_144_0" hidden="1">"A30681"</definedName>
    <definedName name="FDD_144_1" hidden="1">"A31047"</definedName>
    <definedName name="FDD_144_10" hidden="1">"A34334"</definedName>
    <definedName name="FDD_144_11" hidden="1">"A34699"</definedName>
    <definedName name="FDD_144_12" hidden="1">"A35064"</definedName>
    <definedName name="FDD_144_13" hidden="1">"A35430"</definedName>
    <definedName name="FDD_144_14" hidden="1">"A35795"</definedName>
    <definedName name="FDD_144_2" hidden="1">"A31412"</definedName>
    <definedName name="FDD_144_3" hidden="1">"A31777"</definedName>
    <definedName name="FDD_144_4" hidden="1">"A32142"</definedName>
    <definedName name="FDD_144_5" hidden="1">"A32508"</definedName>
    <definedName name="FDD_144_6" hidden="1">"A32873"</definedName>
    <definedName name="FDD_144_7" hidden="1">"A33238"</definedName>
    <definedName name="FDD_144_8" hidden="1">"A33603"</definedName>
    <definedName name="FDD_144_9" hidden="1">"A33969"</definedName>
    <definedName name="FDD_145_0" hidden="1">"A30681"</definedName>
    <definedName name="FDD_145_1" hidden="1">"A31047"</definedName>
    <definedName name="FDD_145_10" hidden="1">"A34334"</definedName>
    <definedName name="FDD_145_11" hidden="1">"A34699"</definedName>
    <definedName name="FDD_145_12" hidden="1">"A35064"</definedName>
    <definedName name="FDD_145_13" hidden="1">"A35430"</definedName>
    <definedName name="FDD_145_14" hidden="1">"A35795"</definedName>
    <definedName name="FDD_145_2" hidden="1">"A31412"</definedName>
    <definedName name="FDD_145_3" hidden="1">"A31777"</definedName>
    <definedName name="FDD_145_4" hidden="1">"A32142"</definedName>
    <definedName name="FDD_145_5" hidden="1">"A32508"</definedName>
    <definedName name="FDD_145_6" hidden="1">"A32873"</definedName>
    <definedName name="FDD_145_7" hidden="1">"A33238"</definedName>
    <definedName name="FDD_145_8" hidden="1">"A33603"</definedName>
    <definedName name="FDD_145_9" hidden="1">"A33969"</definedName>
    <definedName name="FDD_146_0" hidden="1">"A30681"</definedName>
    <definedName name="FDD_146_1" hidden="1">"A31047"</definedName>
    <definedName name="FDD_146_10" hidden="1">"A34334"</definedName>
    <definedName name="FDD_146_11" hidden="1">"A34699"</definedName>
    <definedName name="FDD_146_12" hidden="1">"A35064"</definedName>
    <definedName name="FDD_146_13" hidden="1">"A35430"</definedName>
    <definedName name="FDD_146_14" hidden="1">"A35795"</definedName>
    <definedName name="FDD_146_2" hidden="1">"A31412"</definedName>
    <definedName name="FDD_146_3" hidden="1">"A31777"</definedName>
    <definedName name="FDD_146_4" hidden="1">"A32142"</definedName>
    <definedName name="FDD_146_5" hidden="1">"A32508"</definedName>
    <definedName name="FDD_146_6" hidden="1">"A32873"</definedName>
    <definedName name="FDD_146_7" hidden="1">"A33238"</definedName>
    <definedName name="FDD_146_8" hidden="1">"A33603"</definedName>
    <definedName name="FDD_146_9" hidden="1">"A33969"</definedName>
    <definedName name="FDD_147_0" hidden="1">"U30681"</definedName>
    <definedName name="FDD_147_1" hidden="1">"U31047"</definedName>
    <definedName name="FDD_147_10" hidden="1">"U34334"</definedName>
    <definedName name="FDD_147_11" hidden="1">"U34699"</definedName>
    <definedName name="FDD_147_12" hidden="1">"U35064"</definedName>
    <definedName name="FDD_147_13" hidden="1">"U35430"</definedName>
    <definedName name="FDD_147_14" hidden="1">"U35795"</definedName>
    <definedName name="FDD_147_2" hidden="1">"U31412"</definedName>
    <definedName name="FDD_147_3" hidden="1">"U31777"</definedName>
    <definedName name="FDD_147_4" hidden="1">"U32142"</definedName>
    <definedName name="FDD_147_5" hidden="1">"U32508"</definedName>
    <definedName name="FDD_147_6" hidden="1">"U32873"</definedName>
    <definedName name="FDD_147_7" hidden="1">"U33238"</definedName>
    <definedName name="FDD_147_8" hidden="1">"U33603"</definedName>
    <definedName name="FDD_147_9" hidden="1">"U33969"</definedName>
    <definedName name="FDD_148_0" hidden="1">"A30681"</definedName>
    <definedName name="FDD_148_1" hidden="1">"A31047"</definedName>
    <definedName name="FDD_148_10" hidden="1">"A34334"</definedName>
    <definedName name="FDD_148_11" hidden="1">"A34699"</definedName>
    <definedName name="FDD_148_12" hidden="1">"A35064"</definedName>
    <definedName name="FDD_148_13" hidden="1">"A35430"</definedName>
    <definedName name="FDD_148_14" hidden="1">"A35795"</definedName>
    <definedName name="FDD_148_2" hidden="1">"A31412"</definedName>
    <definedName name="FDD_148_3" hidden="1">"A31777"</definedName>
    <definedName name="FDD_148_4" hidden="1">"A32142"</definedName>
    <definedName name="FDD_148_5" hidden="1">"A32508"</definedName>
    <definedName name="FDD_148_6" hidden="1">"A32873"</definedName>
    <definedName name="FDD_148_7" hidden="1">"A33238"</definedName>
    <definedName name="FDD_148_8" hidden="1">"A33603"</definedName>
    <definedName name="FDD_148_9" hidden="1">"A33969"</definedName>
    <definedName name="FDD_149_0" hidden="1">"U30681"</definedName>
    <definedName name="FDD_149_1" hidden="1">"U31047"</definedName>
    <definedName name="FDD_149_10" hidden="1">"U34334"</definedName>
    <definedName name="FDD_149_11" hidden="1">"U34699"</definedName>
    <definedName name="FDD_149_12" hidden="1">"U35064"</definedName>
    <definedName name="FDD_149_13" hidden="1">"U35430"</definedName>
    <definedName name="FDD_149_14" hidden="1">"A35795"</definedName>
    <definedName name="FDD_149_2" hidden="1">"U31412"</definedName>
    <definedName name="FDD_149_3" hidden="1">"U31777"</definedName>
    <definedName name="FDD_149_4" hidden="1">"U32142"</definedName>
    <definedName name="FDD_149_5" hidden="1">"U32508"</definedName>
    <definedName name="FDD_149_6" hidden="1">"U32873"</definedName>
    <definedName name="FDD_149_7" hidden="1">"U33238"</definedName>
    <definedName name="FDD_149_8" hidden="1">"U33603"</definedName>
    <definedName name="FDD_149_9" hidden="1">"U33969"</definedName>
    <definedName name="FDD_15_0" hidden="1">"A25569"</definedName>
    <definedName name="FDD_151_0" hidden="1">"A30681"</definedName>
    <definedName name="FDD_151_1" hidden="1">"A31047"</definedName>
    <definedName name="FDD_151_10" hidden="1">"A34334"</definedName>
    <definedName name="FDD_151_11" hidden="1">"A34699"</definedName>
    <definedName name="FDD_151_12" hidden="1">"A35064"</definedName>
    <definedName name="FDD_151_13" hidden="1">"A35430"</definedName>
    <definedName name="FDD_151_14" hidden="1">"A35795"</definedName>
    <definedName name="FDD_151_2" hidden="1">"A31412"</definedName>
    <definedName name="FDD_151_3" hidden="1">"A31777"</definedName>
    <definedName name="FDD_151_4" hidden="1">"A32142"</definedName>
    <definedName name="FDD_151_5" hidden="1">"A32508"</definedName>
    <definedName name="FDD_151_6" hidden="1">"A32873"</definedName>
    <definedName name="FDD_151_7" hidden="1">"A33238"</definedName>
    <definedName name="FDD_151_8" hidden="1">"A33603"</definedName>
    <definedName name="FDD_151_9" hidden="1">"A33969"</definedName>
    <definedName name="FDD_152_0" hidden="1">"A30681"</definedName>
    <definedName name="FDD_152_1" hidden="1">"A31047"</definedName>
    <definedName name="FDD_152_10" hidden="1">"A34334"</definedName>
    <definedName name="FDD_152_11" hidden="1">"A34699"</definedName>
    <definedName name="FDD_152_12" hidden="1">"A35064"</definedName>
    <definedName name="FDD_152_13" hidden="1">"A35430"</definedName>
    <definedName name="FDD_152_14" hidden="1">"A35795"</definedName>
    <definedName name="FDD_152_15" hidden="1">"E36160"</definedName>
    <definedName name="FDD_152_2" hidden="1">"A31412"</definedName>
    <definedName name="FDD_152_3" hidden="1">"A31777"</definedName>
    <definedName name="FDD_152_4" hidden="1">"A32142"</definedName>
    <definedName name="FDD_152_5" hidden="1">"A32508"</definedName>
    <definedName name="FDD_152_6" hidden="1">"A32873"</definedName>
    <definedName name="FDD_152_7" hidden="1">"A33238"</definedName>
    <definedName name="FDD_152_8" hidden="1">"A33603"</definedName>
    <definedName name="FDD_152_9" hidden="1">"A33969"</definedName>
    <definedName name="FDD_153_0" hidden="1">"A30681"</definedName>
    <definedName name="FDD_153_1" hidden="1">"A31047"</definedName>
    <definedName name="FDD_153_10" hidden="1">"A34334"</definedName>
    <definedName name="FDD_153_11" hidden="1">"A34699"</definedName>
    <definedName name="FDD_153_12" hidden="1">"A35064"</definedName>
    <definedName name="FDD_153_13" hidden="1">"A35430"</definedName>
    <definedName name="FDD_153_14" hidden="1">"A35795"</definedName>
    <definedName name="FDD_153_2" hidden="1">"A31412"</definedName>
    <definedName name="FDD_153_3" hidden="1">"A31777"</definedName>
    <definedName name="FDD_153_4" hidden="1">"A32142"</definedName>
    <definedName name="FDD_153_5" hidden="1">"A32508"</definedName>
    <definedName name="FDD_153_6" hidden="1">"A32873"</definedName>
    <definedName name="FDD_153_7" hidden="1">"A33238"</definedName>
    <definedName name="FDD_153_8" hidden="1">"A33603"</definedName>
    <definedName name="FDD_153_9" hidden="1">"A33969"</definedName>
    <definedName name="FDD_154_0" hidden="1">"A30681"</definedName>
    <definedName name="FDD_154_1" hidden="1">"A31047"</definedName>
    <definedName name="FDD_154_10" hidden="1">"A34334"</definedName>
    <definedName name="FDD_154_11" hidden="1">"A34699"</definedName>
    <definedName name="FDD_154_12" hidden="1">"A35064"</definedName>
    <definedName name="FDD_154_13" hidden="1">"A35430"</definedName>
    <definedName name="FDD_154_14" hidden="1">"A35795"</definedName>
    <definedName name="FDD_154_2" hidden="1">"A31412"</definedName>
    <definedName name="FDD_154_3" hidden="1">"A31777"</definedName>
    <definedName name="FDD_154_4" hidden="1">"A32142"</definedName>
    <definedName name="FDD_154_5" hidden="1">"A32508"</definedName>
    <definedName name="FDD_154_6" hidden="1">"A32873"</definedName>
    <definedName name="FDD_154_7" hidden="1">"A33238"</definedName>
    <definedName name="FDD_154_8" hidden="1">"A33603"</definedName>
    <definedName name="FDD_154_9" hidden="1">"A33969"</definedName>
    <definedName name="FDD_155_0" hidden="1">"A25569"</definedName>
    <definedName name="FDD_156_0" hidden="1">"A30681"</definedName>
    <definedName name="FDD_156_1" hidden="1">"A31047"</definedName>
    <definedName name="FDD_156_10" hidden="1">"A34334"</definedName>
    <definedName name="FDD_156_11" hidden="1">"A34699"</definedName>
    <definedName name="FDD_156_12" hidden="1">"A35064"</definedName>
    <definedName name="FDD_156_13" hidden="1">"A35430"</definedName>
    <definedName name="FDD_156_14" hidden="1">"A35795"</definedName>
    <definedName name="FDD_156_15" hidden="1">"E36160"</definedName>
    <definedName name="FDD_156_2" hidden="1">"A31412"</definedName>
    <definedName name="FDD_156_3" hidden="1">"A31777"</definedName>
    <definedName name="FDD_156_4" hidden="1">"A32142"</definedName>
    <definedName name="FDD_156_5" hidden="1">"A32508"</definedName>
    <definedName name="FDD_156_6" hidden="1">"A32873"</definedName>
    <definedName name="FDD_156_7" hidden="1">"A33238"</definedName>
    <definedName name="FDD_156_8" hidden="1">"A33603"</definedName>
    <definedName name="FDD_156_9" hidden="1">"A33969"</definedName>
    <definedName name="FDD_157_0" hidden="1">"A30681"</definedName>
    <definedName name="FDD_157_1" hidden="1">"A31047"</definedName>
    <definedName name="FDD_157_10" hidden="1">"A34334"</definedName>
    <definedName name="FDD_157_11" hidden="1">"A34699"</definedName>
    <definedName name="FDD_157_12" hidden="1">"A35064"</definedName>
    <definedName name="FDD_157_13" hidden="1">"A35430"</definedName>
    <definedName name="FDD_157_14" hidden="1">"A35795"</definedName>
    <definedName name="FDD_157_2" hidden="1">"A31412"</definedName>
    <definedName name="FDD_157_3" hidden="1">"A31777"</definedName>
    <definedName name="FDD_157_4" hidden="1">"A32142"</definedName>
    <definedName name="FDD_157_5" hidden="1">"A32508"</definedName>
    <definedName name="FDD_157_6" hidden="1">"A32873"</definedName>
    <definedName name="FDD_157_7" hidden="1">"A33238"</definedName>
    <definedName name="FDD_157_8" hidden="1">"A33603"</definedName>
    <definedName name="FDD_157_9" hidden="1">"A33969"</definedName>
    <definedName name="FDD_158_0" hidden="1">"A30681"</definedName>
    <definedName name="FDD_158_1" hidden="1">"A31047"</definedName>
    <definedName name="FDD_158_10" hidden="1">"A34334"</definedName>
    <definedName name="FDD_158_11" hidden="1">"A34699"</definedName>
    <definedName name="FDD_158_12" hidden="1">"A35064"</definedName>
    <definedName name="FDD_158_13" hidden="1">"A35430"</definedName>
    <definedName name="FDD_158_14" hidden="1">"A35795"</definedName>
    <definedName name="FDD_158_15" hidden="1">"E36160"</definedName>
    <definedName name="FDD_158_2" hidden="1">"A31412"</definedName>
    <definedName name="FDD_158_3" hidden="1">"A31777"</definedName>
    <definedName name="FDD_158_4" hidden="1">"A32142"</definedName>
    <definedName name="FDD_158_5" hidden="1">"A32508"</definedName>
    <definedName name="FDD_158_6" hidden="1">"A32873"</definedName>
    <definedName name="FDD_158_7" hidden="1">"A33238"</definedName>
    <definedName name="FDD_158_8" hidden="1">"A33603"</definedName>
    <definedName name="FDD_158_9" hidden="1">"A33969"</definedName>
    <definedName name="FDD_159_0" hidden="1">"A30681"</definedName>
    <definedName name="FDD_159_1" hidden="1">"A31047"</definedName>
    <definedName name="FDD_159_10" hidden="1">"A34334"</definedName>
    <definedName name="FDD_159_11" hidden="1">"A34699"</definedName>
    <definedName name="FDD_159_12" hidden="1">"A35064"</definedName>
    <definedName name="FDD_159_13" hidden="1">"A35430"</definedName>
    <definedName name="FDD_159_14" hidden="1">"A35795"</definedName>
    <definedName name="FDD_159_2" hidden="1">"A31412"</definedName>
    <definedName name="FDD_159_3" hidden="1">"A31777"</definedName>
    <definedName name="FDD_159_4" hidden="1">"A32142"</definedName>
    <definedName name="FDD_159_5" hidden="1">"A32508"</definedName>
    <definedName name="FDD_159_6" hidden="1">"A32873"</definedName>
    <definedName name="FDD_159_7" hidden="1">"A33238"</definedName>
    <definedName name="FDD_159_8" hidden="1">"A33603"</definedName>
    <definedName name="FDD_159_9" hidden="1">"A33969"</definedName>
    <definedName name="FDD_16_0" hidden="1">"A25569"</definedName>
    <definedName name="FDD_160_0" hidden="1">"A30681"</definedName>
    <definedName name="FDD_160_1" hidden="1">"A31047"</definedName>
    <definedName name="FDD_160_10" hidden="1">"A34334"</definedName>
    <definedName name="FDD_160_11" hidden="1">"A34699"</definedName>
    <definedName name="FDD_160_12" hidden="1">"A35064"</definedName>
    <definedName name="FDD_160_13" hidden="1">"A35430"</definedName>
    <definedName name="FDD_160_14" hidden="1">"A35795"</definedName>
    <definedName name="FDD_160_15" hidden="1">"E36160"</definedName>
    <definedName name="FDD_160_2" hidden="1">"A31412"</definedName>
    <definedName name="FDD_160_3" hidden="1">"A31777"</definedName>
    <definedName name="FDD_160_4" hidden="1">"A32142"</definedName>
    <definedName name="FDD_160_5" hidden="1">"A32508"</definedName>
    <definedName name="FDD_160_6" hidden="1">"A32873"</definedName>
    <definedName name="FDD_160_7" hidden="1">"A33238"</definedName>
    <definedName name="FDD_160_8" hidden="1">"A33603"</definedName>
    <definedName name="FDD_160_9" hidden="1">"A33969"</definedName>
    <definedName name="FDD_161_0" hidden="1">"A30681"</definedName>
    <definedName name="FDD_161_1" hidden="1">"A31047"</definedName>
    <definedName name="FDD_161_10" hidden="1">"A34334"</definedName>
    <definedName name="FDD_161_11" hidden="1">"A34699"</definedName>
    <definedName name="FDD_161_12" hidden="1">"A35064"</definedName>
    <definedName name="FDD_161_13" hidden="1">"A35430"</definedName>
    <definedName name="FDD_161_14" hidden="1">"A35795"</definedName>
    <definedName name="FDD_161_2" hidden="1">"A31412"</definedName>
    <definedName name="FDD_161_3" hidden="1">"A31777"</definedName>
    <definedName name="FDD_161_4" hidden="1">"A32142"</definedName>
    <definedName name="FDD_161_5" hidden="1">"A32508"</definedName>
    <definedName name="FDD_161_6" hidden="1">"A32873"</definedName>
    <definedName name="FDD_161_7" hidden="1">"A33238"</definedName>
    <definedName name="FDD_161_8" hidden="1">"A33603"</definedName>
    <definedName name="FDD_161_9" hidden="1">"A33969"</definedName>
    <definedName name="FDD_162_0" hidden="1">"A30681"</definedName>
    <definedName name="FDD_162_1" hidden="1">"A31047"</definedName>
    <definedName name="FDD_162_10" hidden="1">"A34334"</definedName>
    <definedName name="FDD_162_11" hidden="1">"A34699"</definedName>
    <definedName name="FDD_162_12" hidden="1">"A35064"</definedName>
    <definedName name="FDD_162_13" hidden="1">"A35430"</definedName>
    <definedName name="FDD_162_14" hidden="1">"A35795"</definedName>
    <definedName name="FDD_162_2" hidden="1">"A31412"</definedName>
    <definedName name="FDD_162_3" hidden="1">"A31777"</definedName>
    <definedName name="FDD_162_4" hidden="1">"A32142"</definedName>
    <definedName name="FDD_162_5" hidden="1">"A32508"</definedName>
    <definedName name="FDD_162_6" hidden="1">"A32873"</definedName>
    <definedName name="FDD_162_7" hidden="1">"A33238"</definedName>
    <definedName name="FDD_162_8" hidden="1">"A33603"</definedName>
    <definedName name="FDD_162_9" hidden="1">"A33969"</definedName>
    <definedName name="FDD_163_0" hidden="1">"A30681"</definedName>
    <definedName name="FDD_163_1" hidden="1">"A31047"</definedName>
    <definedName name="FDD_163_10" hidden="1">"A34334"</definedName>
    <definedName name="FDD_163_11" hidden="1">"A34699"</definedName>
    <definedName name="FDD_163_12" hidden="1">"A35064"</definedName>
    <definedName name="FDD_163_13" hidden="1">"A35430"</definedName>
    <definedName name="FDD_163_14" hidden="1">"A35795"</definedName>
    <definedName name="FDD_163_2" hidden="1">"A31412"</definedName>
    <definedName name="FDD_163_3" hidden="1">"A31777"</definedName>
    <definedName name="FDD_163_4" hidden="1">"A32142"</definedName>
    <definedName name="FDD_163_5" hidden="1">"A32508"</definedName>
    <definedName name="FDD_163_6" hidden="1">"A32873"</definedName>
    <definedName name="FDD_163_7" hidden="1">"A33238"</definedName>
    <definedName name="FDD_163_8" hidden="1">"A33603"</definedName>
    <definedName name="FDD_163_9" hidden="1">"A33969"</definedName>
    <definedName name="FDD_164_0" hidden="1">"A25569"</definedName>
    <definedName name="FDD_165_0" hidden="1">"A30681"</definedName>
    <definedName name="FDD_165_1" hidden="1">"A31047"</definedName>
    <definedName name="FDD_165_10" hidden="1">"A34334"</definedName>
    <definedName name="FDD_165_11" hidden="1">"A34699"</definedName>
    <definedName name="FDD_165_12" hidden="1">"A35064"</definedName>
    <definedName name="FDD_165_13" hidden="1">"A35430"</definedName>
    <definedName name="FDD_165_14" hidden="1">"A35795"</definedName>
    <definedName name="FDD_165_2" hidden="1">"A31412"</definedName>
    <definedName name="FDD_165_3" hidden="1">"A31777"</definedName>
    <definedName name="FDD_165_4" hidden="1">"A32142"</definedName>
    <definedName name="FDD_165_5" hidden="1">"A32508"</definedName>
    <definedName name="FDD_165_6" hidden="1">"A32873"</definedName>
    <definedName name="FDD_165_7" hidden="1">"A33238"</definedName>
    <definedName name="FDD_165_8" hidden="1">"A33603"</definedName>
    <definedName name="FDD_165_9" hidden="1">"A33969"</definedName>
    <definedName name="FDD_166_0" hidden="1">"A30681"</definedName>
    <definedName name="FDD_166_1" hidden="1">"A31047"</definedName>
    <definedName name="FDD_166_10" hidden="1">"A34334"</definedName>
    <definedName name="FDD_166_11" hidden="1">"A34699"</definedName>
    <definedName name="FDD_166_12" hidden="1">"A35064"</definedName>
    <definedName name="FDD_166_13" hidden="1">"A35430"</definedName>
    <definedName name="FDD_166_14" hidden="1">"A35795"</definedName>
    <definedName name="FDD_166_2" hidden="1">"A31412"</definedName>
    <definedName name="FDD_166_3" hidden="1">"A31777"</definedName>
    <definedName name="FDD_166_4" hidden="1">"A32142"</definedName>
    <definedName name="FDD_166_5" hidden="1">"A32508"</definedName>
    <definedName name="FDD_166_6" hidden="1">"A32873"</definedName>
    <definedName name="FDD_166_7" hidden="1">"A33238"</definedName>
    <definedName name="FDD_166_8" hidden="1">"A33603"</definedName>
    <definedName name="FDD_166_9" hidden="1">"A33969"</definedName>
    <definedName name="FDD_167_0" hidden="1">"A30681"</definedName>
    <definedName name="FDD_167_1" hidden="1">"A31047"</definedName>
    <definedName name="FDD_167_10" hidden="1">"A34334"</definedName>
    <definedName name="FDD_167_11" hidden="1">"A34699"</definedName>
    <definedName name="FDD_167_12" hidden="1">"A35064"</definedName>
    <definedName name="FDD_167_13" hidden="1">"A35430"</definedName>
    <definedName name="FDD_167_14" hidden="1">"A35795"</definedName>
    <definedName name="FDD_167_2" hidden="1">"A31412"</definedName>
    <definedName name="FDD_167_3" hidden="1">"A31777"</definedName>
    <definedName name="FDD_167_4" hidden="1">"A32142"</definedName>
    <definedName name="FDD_167_5" hidden="1">"A32508"</definedName>
    <definedName name="FDD_167_6" hidden="1">"A32873"</definedName>
    <definedName name="FDD_167_7" hidden="1">"A33238"</definedName>
    <definedName name="FDD_167_8" hidden="1">"A33603"</definedName>
    <definedName name="FDD_167_9" hidden="1">"A33969"</definedName>
    <definedName name="FDD_168_0" hidden="1">"E36160"</definedName>
    <definedName name="FDD_168_1" hidden="1">"E36525"</definedName>
    <definedName name="FDD_168_2" hidden="1">"E36891"</definedName>
    <definedName name="FDD_169_0" hidden="1">"A30681"</definedName>
    <definedName name="FDD_169_1" hidden="1">"A31047"</definedName>
    <definedName name="FDD_169_10" hidden="1">"A34334"</definedName>
    <definedName name="FDD_169_11" hidden="1">"A34699"</definedName>
    <definedName name="FDD_169_12" hidden="1">"A35064"</definedName>
    <definedName name="FDD_169_13" hidden="1">"A35430"</definedName>
    <definedName name="FDD_169_14" hidden="1">"A35795"</definedName>
    <definedName name="FDD_169_2" hidden="1">"A31412"</definedName>
    <definedName name="FDD_169_3" hidden="1">"A31777"</definedName>
    <definedName name="FDD_169_4" hidden="1">"A32142"</definedName>
    <definedName name="FDD_169_5" hidden="1">"A32508"</definedName>
    <definedName name="FDD_169_6" hidden="1">"A32873"</definedName>
    <definedName name="FDD_169_7" hidden="1">"A33238"</definedName>
    <definedName name="FDD_169_8" hidden="1">"A33603"</definedName>
    <definedName name="FDD_169_9" hidden="1">"A33969"</definedName>
    <definedName name="FDD_17_0" hidden="1">"A25569"</definedName>
    <definedName name="FDD_170_0" hidden="1">"A30681"</definedName>
    <definedName name="FDD_170_1" hidden="1">"A31047"</definedName>
    <definedName name="FDD_170_10" hidden="1">"A34334"</definedName>
    <definedName name="FDD_170_11" hidden="1">"A34699"</definedName>
    <definedName name="FDD_170_12" hidden="1">"A35064"</definedName>
    <definedName name="FDD_170_13" hidden="1">"A35430"</definedName>
    <definedName name="FDD_170_14" hidden="1">"A35795"</definedName>
    <definedName name="FDD_170_2" hidden="1">"A31412"</definedName>
    <definedName name="FDD_170_3" hidden="1">"A31777"</definedName>
    <definedName name="FDD_170_4" hidden="1">"A32142"</definedName>
    <definedName name="FDD_170_5" hidden="1">"A32508"</definedName>
    <definedName name="FDD_170_6" hidden="1">"A32873"</definedName>
    <definedName name="FDD_170_7" hidden="1">"A33238"</definedName>
    <definedName name="FDD_170_8" hidden="1">"A33603"</definedName>
    <definedName name="FDD_170_9" hidden="1">"A33969"</definedName>
    <definedName name="FDD_171_0" hidden="1">"A30681"</definedName>
    <definedName name="FDD_171_1" hidden="1">"A31047"</definedName>
    <definedName name="FDD_171_10" hidden="1">"A34334"</definedName>
    <definedName name="FDD_171_11" hidden="1">"A34699"</definedName>
    <definedName name="FDD_171_12" hidden="1">"A35064"</definedName>
    <definedName name="FDD_171_13" hidden="1">"A35430"</definedName>
    <definedName name="FDD_171_14" hidden="1">"A35795"</definedName>
    <definedName name="FDD_171_2" hidden="1">"A31412"</definedName>
    <definedName name="FDD_171_3" hidden="1">"A31777"</definedName>
    <definedName name="FDD_171_4" hidden="1">"A32142"</definedName>
    <definedName name="FDD_171_5" hidden="1">"A32508"</definedName>
    <definedName name="FDD_171_6" hidden="1">"A32873"</definedName>
    <definedName name="FDD_171_7" hidden="1">"A33238"</definedName>
    <definedName name="FDD_171_8" hidden="1">"A33603"</definedName>
    <definedName name="FDD_171_9" hidden="1">"A33969"</definedName>
    <definedName name="FDD_172_0" hidden="1">"A30681"</definedName>
    <definedName name="FDD_172_1" hidden="1">"A31047"</definedName>
    <definedName name="FDD_172_10" hidden="1">"A34334"</definedName>
    <definedName name="FDD_172_11" hidden="1">"A34699"</definedName>
    <definedName name="FDD_172_12" hidden="1">"A35064"</definedName>
    <definedName name="FDD_172_13" hidden="1">"A35430"</definedName>
    <definedName name="FDD_172_14" hidden="1">"A35795"</definedName>
    <definedName name="FDD_172_2" hidden="1">"A31412"</definedName>
    <definedName name="FDD_172_3" hidden="1">"A31777"</definedName>
    <definedName name="FDD_172_4" hidden="1">"A32142"</definedName>
    <definedName name="FDD_172_5" hidden="1">"A32508"</definedName>
    <definedName name="FDD_172_6" hidden="1">"A32873"</definedName>
    <definedName name="FDD_172_7" hidden="1">"A33238"</definedName>
    <definedName name="FDD_172_8" hidden="1">"A33603"</definedName>
    <definedName name="FDD_172_9" hidden="1">"A33969"</definedName>
    <definedName name="FDD_173_0" hidden="1">"A30681"</definedName>
    <definedName name="FDD_173_1" hidden="1">"A31047"</definedName>
    <definedName name="FDD_173_10" hidden="1">"A34334"</definedName>
    <definedName name="FDD_173_11" hidden="1">"A34699"</definedName>
    <definedName name="FDD_173_12" hidden="1">"A35064"</definedName>
    <definedName name="FDD_173_13" hidden="1">"A35430"</definedName>
    <definedName name="FDD_173_14" hidden="1">"A35795"</definedName>
    <definedName name="FDD_173_2" hidden="1">"A31412"</definedName>
    <definedName name="FDD_173_3" hidden="1">"A31777"</definedName>
    <definedName name="FDD_173_4" hidden="1">"A32142"</definedName>
    <definedName name="FDD_173_5" hidden="1">"A32508"</definedName>
    <definedName name="FDD_173_6" hidden="1">"A32873"</definedName>
    <definedName name="FDD_173_7" hidden="1">"A33238"</definedName>
    <definedName name="FDD_173_8" hidden="1">"A33603"</definedName>
    <definedName name="FDD_173_9" hidden="1">"A33969"</definedName>
    <definedName name="FDD_174_0" hidden="1">"A30681"</definedName>
    <definedName name="FDD_174_1" hidden="1">"A31047"</definedName>
    <definedName name="FDD_174_10" hidden="1">"A34334"</definedName>
    <definedName name="FDD_174_11" hidden="1">"A34699"</definedName>
    <definedName name="FDD_174_12" hidden="1">"A35064"</definedName>
    <definedName name="FDD_174_13" hidden="1">"A35430"</definedName>
    <definedName name="FDD_174_14" hidden="1">"A35795"</definedName>
    <definedName name="FDD_174_2" hidden="1">"A31412"</definedName>
    <definedName name="FDD_174_3" hidden="1">"A31777"</definedName>
    <definedName name="FDD_174_4" hidden="1">"A32142"</definedName>
    <definedName name="FDD_174_5" hidden="1">"A32508"</definedName>
    <definedName name="FDD_174_6" hidden="1">"A32873"</definedName>
    <definedName name="FDD_174_7" hidden="1">"A33238"</definedName>
    <definedName name="FDD_174_8" hidden="1">"A33603"</definedName>
    <definedName name="FDD_174_9" hidden="1">"A33969"</definedName>
    <definedName name="FDD_175_0" hidden="1">"E36160"</definedName>
    <definedName name="FDD_175_1" hidden="1">"E36525"</definedName>
    <definedName name="FDD_175_2" hidden="1">"E36891"</definedName>
    <definedName name="FDD_176_0" hidden="1">"E36160"</definedName>
    <definedName name="FDD_176_1" hidden="1">"E36525"</definedName>
    <definedName name="FDD_176_2" hidden="1">"E36891"</definedName>
    <definedName name="FDD_177_0" hidden="1">"E36160"</definedName>
    <definedName name="FDD_177_1" hidden="1">"E36525"</definedName>
    <definedName name="FDD_177_2" hidden="1">"E36891"</definedName>
    <definedName name="FDD_178_0" hidden="1">"E36160"</definedName>
    <definedName name="FDD_178_1" hidden="1">"E36525"</definedName>
    <definedName name="FDD_178_2" hidden="1">"E36891"</definedName>
    <definedName name="FDD_179_0" hidden="1">"E36160"</definedName>
    <definedName name="FDD_179_1" hidden="1">"E36525"</definedName>
    <definedName name="FDD_179_2" hidden="1">"E36891"</definedName>
    <definedName name="FDD_18_0" hidden="1">"A25569"</definedName>
    <definedName name="FDD_180_0" hidden="1">"E36160"</definedName>
    <definedName name="FDD_180_1" hidden="1">"E36525"</definedName>
    <definedName name="FDD_180_2" hidden="1">"E36891"</definedName>
    <definedName name="FDD_181_0" hidden="1">"E36160"</definedName>
    <definedName name="FDD_181_1" hidden="1">"E36525"</definedName>
    <definedName name="FDD_181_2" hidden="1">"E36891"</definedName>
    <definedName name="FDD_182_0" hidden="1">"E36160"</definedName>
    <definedName name="FDD_182_1" hidden="1">"E36525"</definedName>
    <definedName name="FDD_182_2" hidden="1">"E36891"</definedName>
    <definedName name="FDD_183_0" hidden="1">"E36160"</definedName>
    <definedName name="FDD_183_1" hidden="1">"E36525"</definedName>
    <definedName name="FDD_183_2" hidden="1">"E36891"</definedName>
    <definedName name="FDD_184_0" hidden="1">"E36160"</definedName>
    <definedName name="FDD_184_1" hidden="1">"E36525"</definedName>
    <definedName name="FDD_184_2" hidden="1">"E36891"</definedName>
    <definedName name="FDD_185_0" hidden="1">"E36160"</definedName>
    <definedName name="FDD_185_1" hidden="1">"E36525"</definedName>
    <definedName name="FDD_185_2" hidden="1">"E36891"</definedName>
    <definedName name="FDD_186_0" hidden="1">"E36160"</definedName>
    <definedName name="FDD_186_1" hidden="1">"E36525"</definedName>
    <definedName name="FDD_186_2" hidden="1">"E36891"</definedName>
    <definedName name="FDD_187_0" hidden="1">"E36160"</definedName>
    <definedName name="FDD_187_1" hidden="1">"E36525"</definedName>
    <definedName name="FDD_187_2" hidden="1">"E36891"</definedName>
    <definedName name="FDD_188_0" hidden="1">"A30681"</definedName>
    <definedName name="FDD_188_1" hidden="1">"A31047"</definedName>
    <definedName name="FDD_188_10" hidden="1">"A34334"</definedName>
    <definedName name="FDD_188_11" hidden="1">"A34699"</definedName>
    <definedName name="FDD_188_12" hidden="1">"A35064"</definedName>
    <definedName name="FDD_188_13" hidden="1">"A35430"</definedName>
    <definedName name="FDD_188_14" hidden="1">"A35795"</definedName>
    <definedName name="FDD_188_2" hidden="1">"A31412"</definedName>
    <definedName name="FDD_188_3" hidden="1">"A31777"</definedName>
    <definedName name="FDD_188_4" hidden="1">"A32142"</definedName>
    <definedName name="FDD_188_5" hidden="1">"A32508"</definedName>
    <definedName name="FDD_188_6" hidden="1">"A32873"</definedName>
    <definedName name="FDD_188_7" hidden="1">"A33238"</definedName>
    <definedName name="FDD_188_8" hidden="1">"A33603"</definedName>
    <definedName name="FDD_188_9" hidden="1">"A33969"</definedName>
    <definedName name="FDD_189_0" hidden="1">"A30681"</definedName>
    <definedName name="FDD_189_1" hidden="1">"A31047"</definedName>
    <definedName name="FDD_189_10" hidden="1">"A34334"</definedName>
    <definedName name="FDD_189_11" hidden="1">"A34699"</definedName>
    <definedName name="FDD_189_12" hidden="1">"A35064"</definedName>
    <definedName name="FDD_189_13" hidden="1">"A35430"</definedName>
    <definedName name="FDD_189_14" hidden="1">"A35795"</definedName>
    <definedName name="FDD_189_2" hidden="1">"A31412"</definedName>
    <definedName name="FDD_189_3" hidden="1">"A31777"</definedName>
    <definedName name="FDD_189_4" hidden="1">"A32142"</definedName>
    <definedName name="FDD_189_5" hidden="1">"A32508"</definedName>
    <definedName name="FDD_189_6" hidden="1">"A32873"</definedName>
    <definedName name="FDD_189_7" hidden="1">"A33238"</definedName>
    <definedName name="FDD_189_8" hidden="1">"A33603"</definedName>
    <definedName name="FDD_189_9" hidden="1">"A33969"</definedName>
    <definedName name="FDD_19_0" hidden="1">"A25569"</definedName>
    <definedName name="FDD_190_0" hidden="1">"A30681"</definedName>
    <definedName name="FDD_190_1" hidden="1">"A31047"</definedName>
    <definedName name="FDD_190_10" hidden="1">"A34334"</definedName>
    <definedName name="FDD_190_11" hidden="1">"A34699"</definedName>
    <definedName name="FDD_190_12" hidden="1">"A35064"</definedName>
    <definedName name="FDD_190_13" hidden="1">"A35430"</definedName>
    <definedName name="FDD_190_14" hidden="1">"A35795"</definedName>
    <definedName name="FDD_190_2" hidden="1">"A31412"</definedName>
    <definedName name="FDD_190_3" hidden="1">"A31777"</definedName>
    <definedName name="FDD_190_4" hidden="1">"A32142"</definedName>
    <definedName name="FDD_190_5" hidden="1">"A32508"</definedName>
    <definedName name="FDD_190_6" hidden="1">"A32873"</definedName>
    <definedName name="FDD_190_7" hidden="1">"A33238"</definedName>
    <definedName name="FDD_190_8" hidden="1">"A33603"</definedName>
    <definedName name="FDD_190_9" hidden="1">"A33969"</definedName>
    <definedName name="FDD_191_0" hidden="1">"A30681"</definedName>
    <definedName name="FDD_191_1" hidden="1">"A31047"</definedName>
    <definedName name="FDD_191_10" hidden="1">"A34334"</definedName>
    <definedName name="FDD_191_11" hidden="1">"A34699"</definedName>
    <definedName name="FDD_191_12" hidden="1">"A35064"</definedName>
    <definedName name="FDD_191_13" hidden="1">"A35430"</definedName>
    <definedName name="FDD_191_14" hidden="1">"A35795"</definedName>
    <definedName name="FDD_191_2" hidden="1">"A31412"</definedName>
    <definedName name="FDD_191_3" hidden="1">"A31777"</definedName>
    <definedName name="FDD_191_4" hidden="1">"A32142"</definedName>
    <definedName name="FDD_191_5" hidden="1">"A32508"</definedName>
    <definedName name="FDD_191_6" hidden="1">"A32873"</definedName>
    <definedName name="FDD_191_7" hidden="1">"A33238"</definedName>
    <definedName name="FDD_191_8" hidden="1">"A33603"</definedName>
    <definedName name="FDD_191_9" hidden="1">"A33969"</definedName>
    <definedName name="FDD_192_0" hidden="1">"E36160"</definedName>
    <definedName name="FDD_192_1" hidden="1">"E36525"</definedName>
    <definedName name="FDD_192_2" hidden="1">"E36891"</definedName>
    <definedName name="FDD_193_0" hidden="1">"A30681"</definedName>
    <definedName name="FDD_193_1" hidden="1">"A31047"</definedName>
    <definedName name="FDD_193_10" hidden="1">"A34334"</definedName>
    <definedName name="FDD_193_11" hidden="1">"A34699"</definedName>
    <definedName name="FDD_193_12" hidden="1">"A35064"</definedName>
    <definedName name="FDD_193_13" hidden="1">"A35430"</definedName>
    <definedName name="FDD_193_14" hidden="1">"A35795"</definedName>
    <definedName name="FDD_193_2" hidden="1">"A31412"</definedName>
    <definedName name="FDD_193_3" hidden="1">"A31777"</definedName>
    <definedName name="FDD_193_4" hidden="1">"A32142"</definedName>
    <definedName name="FDD_193_5" hidden="1">"A32508"</definedName>
    <definedName name="FDD_193_6" hidden="1">"A32873"</definedName>
    <definedName name="FDD_193_7" hidden="1">"A33238"</definedName>
    <definedName name="FDD_193_8" hidden="1">"A33603"</definedName>
    <definedName name="FDD_193_9" hidden="1">"A33969"</definedName>
    <definedName name="FDD_194_0" hidden="1">"A30681"</definedName>
    <definedName name="FDD_194_1" hidden="1">"A31047"</definedName>
    <definedName name="FDD_194_10" hidden="1">"A34334"</definedName>
    <definedName name="FDD_194_11" hidden="1">"A34699"</definedName>
    <definedName name="FDD_194_12" hidden="1">"A35064"</definedName>
    <definedName name="FDD_194_13" hidden="1">"A35430"</definedName>
    <definedName name="FDD_194_14" hidden="1">"A35795"</definedName>
    <definedName name="FDD_194_2" hidden="1">"A31412"</definedName>
    <definedName name="FDD_194_3" hidden="1">"A31777"</definedName>
    <definedName name="FDD_194_4" hidden="1">"A32142"</definedName>
    <definedName name="FDD_194_5" hidden="1">"A32508"</definedName>
    <definedName name="FDD_194_6" hidden="1">"A32873"</definedName>
    <definedName name="FDD_194_7" hidden="1">"A33238"</definedName>
    <definedName name="FDD_194_8" hidden="1">"A33603"</definedName>
    <definedName name="FDD_194_9" hidden="1">"A33969"</definedName>
    <definedName name="FDD_195_0" hidden="1">"A30681"</definedName>
    <definedName name="FDD_195_1" hidden="1">"A31047"</definedName>
    <definedName name="FDD_195_10" hidden="1">"A34334"</definedName>
    <definedName name="FDD_195_11" hidden="1">"A34699"</definedName>
    <definedName name="FDD_195_12" hidden="1">"A35064"</definedName>
    <definedName name="FDD_195_13" hidden="1">"A35430"</definedName>
    <definedName name="FDD_195_14" hidden="1">"A35795"</definedName>
    <definedName name="FDD_195_2" hidden="1">"A31412"</definedName>
    <definedName name="FDD_195_3" hidden="1">"A31777"</definedName>
    <definedName name="FDD_195_4" hidden="1">"A32142"</definedName>
    <definedName name="FDD_195_5" hidden="1">"A32508"</definedName>
    <definedName name="FDD_195_6" hidden="1">"A32873"</definedName>
    <definedName name="FDD_195_7" hidden="1">"A33238"</definedName>
    <definedName name="FDD_195_8" hidden="1">"A33603"</definedName>
    <definedName name="FDD_195_9" hidden="1">"A33969"</definedName>
    <definedName name="FDD_196_0" hidden="1">"E36160"</definedName>
    <definedName name="FDD_196_1" hidden="1">"E36525"</definedName>
    <definedName name="FDD_196_2" hidden="1">"E36891"</definedName>
    <definedName name="FDD_197_0" hidden="1">"A30681"</definedName>
    <definedName name="FDD_197_1" hidden="1">"A31047"</definedName>
    <definedName name="FDD_197_10" hidden="1">"A34334"</definedName>
    <definedName name="FDD_197_11" hidden="1">"A34699"</definedName>
    <definedName name="FDD_197_12" hidden="1">"A35064"</definedName>
    <definedName name="FDD_197_13" hidden="1">"A35430"</definedName>
    <definedName name="FDD_197_14" hidden="1">"A35795"</definedName>
    <definedName name="FDD_197_2" hidden="1">"A31412"</definedName>
    <definedName name="FDD_197_3" hidden="1">"A31777"</definedName>
    <definedName name="FDD_197_4" hidden="1">"A32142"</definedName>
    <definedName name="FDD_197_5" hidden="1">"A32508"</definedName>
    <definedName name="FDD_197_6" hidden="1">"A32873"</definedName>
    <definedName name="FDD_197_7" hidden="1">"A33238"</definedName>
    <definedName name="FDD_197_8" hidden="1">"A33603"</definedName>
    <definedName name="FDD_197_9" hidden="1">"A33969"</definedName>
    <definedName name="FDD_198_0" hidden="1">"A30681"</definedName>
    <definedName name="FDD_198_1" hidden="1">"A31047"</definedName>
    <definedName name="FDD_198_10" hidden="1">"U34334"</definedName>
    <definedName name="FDD_198_11" hidden="1">"U34699"</definedName>
    <definedName name="FDD_198_12" hidden="1">"U35064"</definedName>
    <definedName name="FDD_198_13" hidden="1">"U35430"</definedName>
    <definedName name="FDD_198_14" hidden="1">"U35795"</definedName>
    <definedName name="FDD_198_2" hidden="1">"A31412"</definedName>
    <definedName name="FDD_198_3" hidden="1">"U31777"</definedName>
    <definedName name="FDD_198_4" hidden="1">"U32142"</definedName>
    <definedName name="FDD_198_5" hidden="1">"U32508"</definedName>
    <definedName name="FDD_198_6" hidden="1">"U32873"</definedName>
    <definedName name="FDD_198_7" hidden="1">"U33238"</definedName>
    <definedName name="FDD_198_8" hidden="1">"U33603"</definedName>
    <definedName name="FDD_198_9" hidden="1">"U33969"</definedName>
    <definedName name="FDD_199_0" hidden="1">"E36160"</definedName>
    <definedName name="FDD_199_1" hidden="1">"E36525"</definedName>
    <definedName name="FDD_199_2" hidden="1">"E36891"</definedName>
    <definedName name="FDD_2_0" hidden="1">"A25569"</definedName>
    <definedName name="FDD_20_0" hidden="1">"A25569"</definedName>
    <definedName name="FDD_200_0" hidden="1">"E36160"</definedName>
    <definedName name="FDD_200_1" hidden="1">"E36525"</definedName>
    <definedName name="FDD_200_2" hidden="1">"E36891"</definedName>
    <definedName name="FDD_201_0" hidden="1">"A30681"</definedName>
    <definedName name="FDD_201_1" hidden="1">"A31047"</definedName>
    <definedName name="FDD_201_10" hidden="1">"A34334"</definedName>
    <definedName name="FDD_201_11" hidden="1">"A34699"</definedName>
    <definedName name="FDD_201_12" hidden="1">"A35064"</definedName>
    <definedName name="FDD_201_13" hidden="1">"A35430"</definedName>
    <definedName name="FDD_201_14" hidden="1">"A35795"</definedName>
    <definedName name="FDD_201_2" hidden="1">"A31412"</definedName>
    <definedName name="FDD_201_3" hidden="1">"A31777"</definedName>
    <definedName name="FDD_201_4" hidden="1">"A32142"</definedName>
    <definedName name="FDD_201_5" hidden="1">"A32508"</definedName>
    <definedName name="FDD_201_6" hidden="1">"A32873"</definedName>
    <definedName name="FDD_201_7" hidden="1">"A33238"</definedName>
    <definedName name="FDD_201_8" hidden="1">"A33603"</definedName>
    <definedName name="FDD_201_9" hidden="1">"A33969"</definedName>
    <definedName name="FDD_202_0" hidden="1">"A30681"</definedName>
    <definedName name="FDD_202_1" hidden="1">"A31047"</definedName>
    <definedName name="FDD_202_10" hidden="1">"A34334"</definedName>
    <definedName name="FDD_202_11" hidden="1">"A34699"</definedName>
    <definedName name="FDD_202_12" hidden="1">"A35064"</definedName>
    <definedName name="FDD_202_13" hidden="1">"A35430"</definedName>
    <definedName name="FDD_202_14" hidden="1">"A35795"</definedName>
    <definedName name="FDD_202_2" hidden="1">"A31412"</definedName>
    <definedName name="FDD_202_3" hidden="1">"A31777"</definedName>
    <definedName name="FDD_202_4" hidden="1">"A32142"</definedName>
    <definedName name="FDD_202_5" hidden="1">"A32508"</definedName>
    <definedName name="FDD_202_6" hidden="1">"A32873"</definedName>
    <definedName name="FDD_202_7" hidden="1">"A33238"</definedName>
    <definedName name="FDD_202_8" hidden="1">"A33603"</definedName>
    <definedName name="FDD_202_9" hidden="1">"A33969"</definedName>
    <definedName name="FDD_203_0" hidden="1">"E36160"</definedName>
    <definedName name="FDD_203_1" hidden="1">"E36525"</definedName>
    <definedName name="FDD_203_2" hidden="1">"E36891"</definedName>
    <definedName name="FDD_204_0" hidden="1">"A25569"</definedName>
    <definedName name="FDD_205_0" hidden="1">"A25569"</definedName>
    <definedName name="FDD_206_0" hidden="1">"A25569"</definedName>
    <definedName name="FDD_207_0" hidden="1">"A25569"</definedName>
    <definedName name="FDD_208_0" hidden="1">"E36160"</definedName>
    <definedName name="FDD_208_1" hidden="1">"E36525"</definedName>
    <definedName name="FDD_208_2" hidden="1">"E36891"</definedName>
    <definedName name="FDD_209_0" hidden="1">"A25569"</definedName>
    <definedName name="FDD_21_0" hidden="1">"A25569"</definedName>
    <definedName name="FDD_210_0" hidden="1">"A25569"</definedName>
    <definedName name="FDD_211_0" hidden="1">"A25569"</definedName>
    <definedName name="FDD_212_0" hidden="1">"A25569"</definedName>
    <definedName name="FDD_213_0" hidden="1">"E36160"</definedName>
    <definedName name="FDD_213_1" hidden="1">"E36525"</definedName>
    <definedName name="FDD_213_2" hidden="1">"E36891"</definedName>
    <definedName name="FDD_214_0" hidden="1">"A25569"</definedName>
    <definedName name="FDD_215_0" hidden="1">"A25569"</definedName>
    <definedName name="FDD_216_0" hidden="1">"A25569"</definedName>
    <definedName name="FDD_217_0" hidden="1">"A25569"</definedName>
    <definedName name="FDD_218_0" hidden="1">"E36160"</definedName>
    <definedName name="FDD_218_1" hidden="1">"E36525"</definedName>
    <definedName name="FDD_218_2" hidden="1">"E36891"</definedName>
    <definedName name="FDD_219_0" hidden="1">"U25569"</definedName>
    <definedName name="FDD_22_0" hidden="1">"A25569"</definedName>
    <definedName name="FDD_220_0" hidden="1">"U25569"</definedName>
    <definedName name="FDD_221_0" hidden="1">"U25569"</definedName>
    <definedName name="FDD_222_0" hidden="1">"U25569"</definedName>
    <definedName name="FDD_223_0" hidden="1">"E36160"</definedName>
    <definedName name="FDD_223_1" hidden="1">"E36525"</definedName>
    <definedName name="FDD_223_2" hidden="1">"E36891"</definedName>
    <definedName name="FDD_224_0" hidden="1">"A25569"</definedName>
    <definedName name="FDD_225_0" hidden="1">"A25569"</definedName>
    <definedName name="FDD_226_0" hidden="1">"A25569"</definedName>
    <definedName name="FDD_227_0" hidden="1">"A25569"</definedName>
    <definedName name="FDD_228_0" hidden="1">"E36160"</definedName>
    <definedName name="FDD_228_1" hidden="1">"E36525"</definedName>
    <definedName name="FDD_228_2" hidden="1">"E36891"</definedName>
    <definedName name="FDD_229_0" hidden="1">"A25569"</definedName>
    <definedName name="FDD_23_0" hidden="1">"A25569"</definedName>
    <definedName name="FDD_230_0" hidden="1">"A25569"</definedName>
    <definedName name="FDD_231_0" hidden="1">"A25569"</definedName>
    <definedName name="FDD_232_0" hidden="1">"A25569"</definedName>
    <definedName name="FDD_233_0" hidden="1">"A25569"</definedName>
    <definedName name="FDD_234_0" hidden="1">"A25569"</definedName>
    <definedName name="FDD_235_0" hidden="1">"A25569"</definedName>
    <definedName name="FDD_236_0" hidden="1">"A25569"</definedName>
    <definedName name="FDD_237_0" hidden="1">"A25569"</definedName>
    <definedName name="FDD_238_0" hidden="1">"A30681"</definedName>
    <definedName name="FDD_238_1" hidden="1">"A31047"</definedName>
    <definedName name="FDD_238_10" hidden="1">"A34334"</definedName>
    <definedName name="FDD_238_11" hidden="1">"A34699"</definedName>
    <definedName name="FDD_238_12" hidden="1">"A35064"</definedName>
    <definedName name="FDD_238_13" hidden="1">"A35430"</definedName>
    <definedName name="FDD_238_14" hidden="1">"A35795"</definedName>
    <definedName name="FDD_238_2" hidden="1">"A31412"</definedName>
    <definedName name="FDD_238_3" hidden="1">"A31777"</definedName>
    <definedName name="FDD_238_4" hidden="1">"A32142"</definedName>
    <definedName name="FDD_238_5" hidden="1">"A32508"</definedName>
    <definedName name="FDD_238_6" hidden="1">"A32873"</definedName>
    <definedName name="FDD_238_7" hidden="1">"A33238"</definedName>
    <definedName name="FDD_238_8" hidden="1">"A33603"</definedName>
    <definedName name="FDD_238_9" hidden="1">"A33969"</definedName>
    <definedName name="FDD_24_0" hidden="1">"A25569"</definedName>
    <definedName name="FDD_243_0" hidden="1">"E36160"</definedName>
    <definedName name="FDD_243_1" hidden="1">"E36525"</definedName>
    <definedName name="FDD_243_2" hidden="1">"E36891"</definedName>
    <definedName name="FDD_244_0" hidden="1">"A25569"</definedName>
    <definedName name="FDD_245_0" hidden="1">"A25569"</definedName>
    <definedName name="FDD_246_0" hidden="1">"A25569"</definedName>
    <definedName name="FDD_247_0" hidden="1">"A25569"</definedName>
    <definedName name="FDD_248_0" hidden="1">"E36160"</definedName>
    <definedName name="FDD_248_1" hidden="1">"E36525"</definedName>
    <definedName name="FDD_248_2" hidden="1">"E36891"</definedName>
    <definedName name="FDD_249_0" hidden="1">"A25569"</definedName>
    <definedName name="FDD_25_0" hidden="1">"A25569"</definedName>
    <definedName name="FDD_250_0" hidden="1">"A25569"</definedName>
    <definedName name="FDD_251_0" hidden="1">"A25569"</definedName>
    <definedName name="FDD_252_0" hidden="1">"A25569"</definedName>
    <definedName name="FDD_253_0" hidden="1">"E36160"</definedName>
    <definedName name="FDD_253_1" hidden="1">"E36525"</definedName>
    <definedName name="FDD_253_2" hidden="1">"E36891"</definedName>
    <definedName name="FDD_254_0" hidden="1">"E36160"</definedName>
    <definedName name="FDD_254_1" hidden="1">"E36525"</definedName>
    <definedName name="FDD_254_2" hidden="1">"E36891"</definedName>
    <definedName name="FDD_255_0" hidden="1">"E36160"</definedName>
    <definedName name="FDD_255_1" hidden="1">"E36525"</definedName>
    <definedName name="FDD_255_2" hidden="1">"E36891"</definedName>
    <definedName name="FDD_256_0" hidden="1">"U36160"</definedName>
    <definedName name="FDD_256_1" hidden="1">"U36525"</definedName>
    <definedName name="FDD_256_2" hidden="1">"U36891"</definedName>
    <definedName name="FDD_257_0" hidden="1">"E36160"</definedName>
    <definedName name="FDD_257_1" hidden="1">"E36525"</definedName>
    <definedName name="FDD_257_2" hidden="1">"E36891"</definedName>
    <definedName name="FDD_258_0" hidden="1">"E36160"</definedName>
    <definedName name="FDD_258_1" hidden="1">"E36525"</definedName>
    <definedName name="FDD_258_2" hidden="1">"E36891"</definedName>
    <definedName name="FDD_259_0" hidden="1">"E36160"</definedName>
    <definedName name="FDD_259_1" hidden="1">"E36525"</definedName>
    <definedName name="FDD_259_2" hidden="1">"E36891"</definedName>
    <definedName name="FDD_26_0" hidden="1">"A25569"</definedName>
    <definedName name="FDD_260_0" hidden="1">"E36160"</definedName>
    <definedName name="FDD_260_1" hidden="1">"E36525"</definedName>
    <definedName name="FDD_260_2" hidden="1">"E36891"</definedName>
    <definedName name="FDD_261_0" hidden="1">"E36160"</definedName>
    <definedName name="FDD_261_1" hidden="1">"E36525"</definedName>
    <definedName name="FDD_261_2" hidden="1">"E36891"</definedName>
    <definedName name="FDD_264_0" hidden="1">"E36160"</definedName>
    <definedName name="FDD_264_1" hidden="1">"E36525"</definedName>
    <definedName name="FDD_264_2" hidden="1">"E36891"</definedName>
    <definedName name="FDD_265_0" hidden="1">"A25569"</definedName>
    <definedName name="FDD_266_0" hidden="1">"A25569"</definedName>
    <definedName name="FDD_267_0" hidden="1">"A25569"</definedName>
    <definedName name="FDD_268_0" hidden="1">"A25569"</definedName>
    <definedName name="FDD_269_0" hidden="1">"E36160"</definedName>
    <definedName name="FDD_269_1" hidden="1">"E36525"</definedName>
    <definedName name="FDD_269_2" hidden="1">"E36891"</definedName>
    <definedName name="FDD_27_0" hidden="1">"A25569"</definedName>
    <definedName name="FDD_270_0" hidden="1">"A25569"</definedName>
    <definedName name="FDD_271_0" hidden="1">"A25569"</definedName>
    <definedName name="FDD_272_0" hidden="1">"A25569"</definedName>
    <definedName name="FDD_273_0" hidden="1">"A25569"</definedName>
    <definedName name="FDD_274_0" hidden="1">"E36160"</definedName>
    <definedName name="FDD_274_1" hidden="1">"E36525"</definedName>
    <definedName name="FDD_274_2" hidden="1">"E36891"</definedName>
    <definedName name="FDD_275_0" hidden="1">"A25569"</definedName>
    <definedName name="FDD_276_0" hidden="1">"A25569"</definedName>
    <definedName name="FDD_277_0" hidden="1">"A25569"</definedName>
    <definedName name="FDD_278_0" hidden="1">"A25569"</definedName>
    <definedName name="FDD_279_0" hidden="1">"E36160"</definedName>
    <definedName name="FDD_279_1" hidden="1">"E36525"</definedName>
    <definedName name="FDD_279_2" hidden="1">"E36891"</definedName>
    <definedName name="FDD_28_0" hidden="1">"A25569"</definedName>
    <definedName name="FDD_280_0" hidden="1">"E36160"</definedName>
    <definedName name="FDD_280_1" hidden="1">"E36525"</definedName>
    <definedName name="FDD_280_2" hidden="1">"E36891"</definedName>
    <definedName name="FDD_281_0" hidden="1">"E36160"</definedName>
    <definedName name="FDD_281_1" hidden="1">"E36525"</definedName>
    <definedName name="FDD_281_2" hidden="1">"E36891"</definedName>
    <definedName name="FDD_282_0" hidden="1">"E36160"</definedName>
    <definedName name="FDD_282_1" hidden="1">"E36525"</definedName>
    <definedName name="FDD_282_2" hidden="1">"E36891"</definedName>
    <definedName name="FDD_283_0" hidden="1">"E36160"</definedName>
    <definedName name="FDD_283_1" hidden="1">"E36525"</definedName>
    <definedName name="FDD_283_2" hidden="1">"E36891"</definedName>
    <definedName name="FDD_284_0" hidden="1">"A30681"</definedName>
    <definedName name="FDD_284_1" hidden="1">"A31047"</definedName>
    <definedName name="FDD_284_10" hidden="1">"A34334"</definedName>
    <definedName name="FDD_284_11" hidden="1">"A34699"</definedName>
    <definedName name="FDD_284_12" hidden="1">"A35064"</definedName>
    <definedName name="FDD_284_13" hidden="1">"A35430"</definedName>
    <definedName name="FDD_284_14" hidden="1">"A35795"</definedName>
    <definedName name="FDD_284_2" hidden="1">"A31412"</definedName>
    <definedName name="FDD_284_3" hidden="1">"A31777"</definedName>
    <definedName name="FDD_284_4" hidden="1">"A32142"</definedName>
    <definedName name="FDD_284_5" hidden="1">"A32508"</definedName>
    <definedName name="FDD_284_6" hidden="1">"A32873"</definedName>
    <definedName name="FDD_284_7" hidden="1">"A33238"</definedName>
    <definedName name="FDD_284_8" hidden="1">"A33603"</definedName>
    <definedName name="FDD_284_9" hidden="1">"A33969"</definedName>
    <definedName name="FDD_285_0" hidden="1">"A35795"</definedName>
    <definedName name="FDD_285_1" hidden="1">"E36160"</definedName>
    <definedName name="FDD_285_10" hidden="1">"E39447"</definedName>
    <definedName name="FDD_285_11" hidden="1">"E39813"</definedName>
    <definedName name="FDD_285_12" hidden="1">"E40178"</definedName>
    <definedName name="FDD_285_13" hidden="1">"E40543"</definedName>
    <definedName name="FDD_285_14" hidden="1">"E40908"</definedName>
    <definedName name="FDD_285_15" hidden="1">"E41274"</definedName>
    <definedName name="FDD_285_16" hidden="1">"E41639"</definedName>
    <definedName name="FDD_285_17" hidden="1">"E42004"</definedName>
    <definedName name="FDD_285_18" hidden="1">"E42369"</definedName>
    <definedName name="FDD_285_19" hidden="1">"E42735"</definedName>
    <definedName name="FDD_285_2" hidden="1">"E36525"</definedName>
    <definedName name="FDD_285_20" hidden="1">"E43100"</definedName>
    <definedName name="FDD_285_21" hidden="1">"E43465"</definedName>
    <definedName name="FDD_285_22" hidden="1">"E43830"</definedName>
    <definedName name="FDD_285_23" hidden="1">"E44196"</definedName>
    <definedName name="FDD_285_24" hidden="1">"E44561"</definedName>
    <definedName name="FDD_285_25" hidden="1">"E44926"</definedName>
    <definedName name="FDD_285_3" hidden="1">"E36891"</definedName>
    <definedName name="FDD_285_4" hidden="1">"E37256"</definedName>
    <definedName name="FDD_285_5" hidden="1">"E37621"</definedName>
    <definedName name="FDD_285_6" hidden="1">"E37986"</definedName>
    <definedName name="FDD_285_7" hidden="1">"E38352"</definedName>
    <definedName name="FDD_285_8" hidden="1">"E38717"</definedName>
    <definedName name="FDD_285_9" hidden="1">"E39082"</definedName>
    <definedName name="FDD_286_0" hidden="1">"E36160"</definedName>
    <definedName name="FDD_286_1" hidden="1">"E36525"</definedName>
    <definedName name="FDD_286_10" hidden="1">"E39813"</definedName>
    <definedName name="FDD_286_11" hidden="1">"E40178"</definedName>
    <definedName name="FDD_286_12" hidden="1">"E40543"</definedName>
    <definedName name="FDD_286_13" hidden="1">"E40908"</definedName>
    <definedName name="FDD_286_14" hidden="1">"E41274"</definedName>
    <definedName name="FDD_286_15" hidden="1">"E41639"</definedName>
    <definedName name="FDD_286_16" hidden="1">"E42004"</definedName>
    <definedName name="FDD_286_17" hidden="1">"E42369"</definedName>
    <definedName name="FDD_286_18" hidden="1">"E42735"</definedName>
    <definedName name="FDD_286_19" hidden="1">"E43100"</definedName>
    <definedName name="FDD_286_2" hidden="1">"E36891"</definedName>
    <definedName name="FDD_286_20" hidden="1">"E43465"</definedName>
    <definedName name="FDD_286_21" hidden="1">"E43830"</definedName>
    <definedName name="FDD_286_22" hidden="1">"E44196"</definedName>
    <definedName name="FDD_286_23" hidden="1">"E44561"</definedName>
    <definedName name="FDD_286_24" hidden="1">"E44926"</definedName>
    <definedName name="FDD_286_3" hidden="1">"E37256"</definedName>
    <definedName name="FDD_286_4" hidden="1">"E37621"</definedName>
    <definedName name="FDD_286_5" hidden="1">"E37986"</definedName>
    <definedName name="FDD_286_6" hidden="1">"E38352"</definedName>
    <definedName name="FDD_286_7" hidden="1">"E38717"</definedName>
    <definedName name="FDD_286_8" hidden="1">"E39082"</definedName>
    <definedName name="FDD_286_9" hidden="1">"E39447"</definedName>
    <definedName name="FDD_287_0" hidden="1">"A25569"</definedName>
    <definedName name="FDD_288_0" hidden="1">"A25569"</definedName>
    <definedName name="FDD_289_0" hidden="1">"A36890"</definedName>
    <definedName name="FDD_29_0" hidden="1">"A25569"</definedName>
    <definedName name="FDD_290_0" hidden="1">"A36890"</definedName>
    <definedName name="FDD_291_0" hidden="1">"A25569"</definedName>
    <definedName name="FDD_295_0" hidden="1">"U25569"</definedName>
    <definedName name="FDD_296_0" hidden="1">"A25569"</definedName>
    <definedName name="FDD_297_0" hidden="1">"A25569"</definedName>
    <definedName name="FDD_298_0" hidden="1">"A25569"</definedName>
    <definedName name="FDD_299_0" hidden="1">"A25569"</definedName>
    <definedName name="FDD_3_0" hidden="1">"A25569"</definedName>
    <definedName name="FDD_30_0" hidden="1">"A25569"</definedName>
    <definedName name="FDD_300_0" hidden="1">"U25569"</definedName>
    <definedName name="FDD_301_0" hidden="1">"U35795"</definedName>
    <definedName name="FDD_301_1" hidden="1">"U36160"</definedName>
    <definedName name="FDD_301_2" hidden="1">"U36525"</definedName>
    <definedName name="FDD_302_0" hidden="1">"U35795"</definedName>
    <definedName name="FDD_302_1" hidden="1">"U36160"</definedName>
    <definedName name="FDD_302_2" hidden="1">"U36525"</definedName>
    <definedName name="FDD_303_0" hidden="1">"U35795"</definedName>
    <definedName name="FDD_303_1" hidden="1">"U36160"</definedName>
    <definedName name="FDD_303_2" hidden="1">"U36525"</definedName>
    <definedName name="FDD_304_0" hidden="1">"U35795"</definedName>
    <definedName name="FDD_304_1" hidden="1">"U36160"</definedName>
    <definedName name="FDD_304_2" hidden="1">"U36525"</definedName>
    <definedName name="FDD_305_0" hidden="1">"A30681"</definedName>
    <definedName name="FDD_305_1" hidden="1">"A31047"</definedName>
    <definedName name="FDD_305_10" hidden="1">"U34334"</definedName>
    <definedName name="FDD_305_11" hidden="1">"U34699"</definedName>
    <definedName name="FDD_305_12" hidden="1">"U35064"</definedName>
    <definedName name="FDD_305_13" hidden="1">"U35430"</definedName>
    <definedName name="FDD_305_14" hidden="1">"U35795"</definedName>
    <definedName name="FDD_305_2" hidden="1">"A31412"</definedName>
    <definedName name="FDD_305_3" hidden="1">"U31777"</definedName>
    <definedName name="FDD_305_4" hidden="1">"U32142"</definedName>
    <definedName name="FDD_305_5" hidden="1">"U32508"</definedName>
    <definedName name="FDD_305_6" hidden="1">"U32873"</definedName>
    <definedName name="FDD_305_7" hidden="1">"U33238"</definedName>
    <definedName name="FDD_305_8" hidden="1">"U33603"</definedName>
    <definedName name="FDD_305_9" hidden="1">"U33969"</definedName>
    <definedName name="FDD_306_0" hidden="1">"U35795"</definedName>
    <definedName name="FDD_306_1" hidden="1">"E36160"</definedName>
    <definedName name="FDD_306_2" hidden="1">"U36525"</definedName>
    <definedName name="FDD_307_0" hidden="1">"A35795"</definedName>
    <definedName name="FDD_307_1" hidden="1">"U36160"</definedName>
    <definedName name="FDD_307_2" hidden="1">"U36525"</definedName>
    <definedName name="FDD_31_0" hidden="1">"A25569"</definedName>
    <definedName name="FDD_32_0" hidden="1">"A25569"</definedName>
    <definedName name="FDD_33_0" hidden="1">"A25569"</definedName>
    <definedName name="FDD_34_0" hidden="1">"A25569"</definedName>
    <definedName name="FDD_35_0" hidden="1">"A25569"</definedName>
    <definedName name="FDD_36_0" hidden="1">"A25569"</definedName>
    <definedName name="FDD_37_0" hidden="1">"A25569"</definedName>
    <definedName name="FDD_38_0" hidden="1">"A25569"</definedName>
    <definedName name="FDD_39_0" hidden="1">"A25569"</definedName>
    <definedName name="FDD_4_0" hidden="1">"A25569"</definedName>
    <definedName name="FDD_40_0" hidden="1">"A25569"</definedName>
    <definedName name="FDD_41_0" hidden="1">"U25569"</definedName>
    <definedName name="FDD_42_0" hidden="1">"U25569"</definedName>
    <definedName name="FDD_43_0" hidden="1">"A25569"</definedName>
    <definedName name="FDD_44_0" hidden="1">"A30681"</definedName>
    <definedName name="FDD_44_1" hidden="1">"A31047"</definedName>
    <definedName name="FDD_44_10" hidden="1">"A34334"</definedName>
    <definedName name="FDD_44_11" hidden="1">"A34699"</definedName>
    <definedName name="FDD_44_12" hidden="1">"A35064"</definedName>
    <definedName name="FDD_44_13" hidden="1">"A35430"</definedName>
    <definedName name="FDD_44_14" hidden="1">"A35795"</definedName>
    <definedName name="FDD_44_2" hidden="1">"A31412"</definedName>
    <definedName name="FDD_44_3" hidden="1">"A31777"</definedName>
    <definedName name="FDD_44_4" hidden="1">"A32142"</definedName>
    <definedName name="FDD_44_5" hidden="1">"A32508"</definedName>
    <definedName name="FDD_44_6" hidden="1">"A32873"</definedName>
    <definedName name="FDD_44_7" hidden="1">"A33238"</definedName>
    <definedName name="FDD_44_8" hidden="1">"A33603"</definedName>
    <definedName name="FDD_44_9" hidden="1">"A33969"</definedName>
    <definedName name="FDD_45_0" hidden="1">"A30681"</definedName>
    <definedName name="FDD_45_1" hidden="1">"A31047"</definedName>
    <definedName name="FDD_45_10" hidden="1">"A34334"</definedName>
    <definedName name="FDD_45_11" hidden="1">"A34699"</definedName>
    <definedName name="FDD_45_12" hidden="1">"A35064"</definedName>
    <definedName name="FDD_45_13" hidden="1">"A35430"</definedName>
    <definedName name="FDD_45_14" hidden="1">"A35795"</definedName>
    <definedName name="FDD_45_2" hidden="1">"A31412"</definedName>
    <definedName name="FDD_45_3" hidden="1">"A31777"</definedName>
    <definedName name="FDD_45_4" hidden="1">"A32142"</definedName>
    <definedName name="FDD_45_5" hidden="1">"A32508"</definedName>
    <definedName name="FDD_45_6" hidden="1">"A32873"</definedName>
    <definedName name="FDD_45_7" hidden="1">"A33238"</definedName>
    <definedName name="FDD_45_8" hidden="1">"A33603"</definedName>
    <definedName name="FDD_45_9" hidden="1">"A33969"</definedName>
    <definedName name="FDD_46_0" hidden="1">"A30681"</definedName>
    <definedName name="FDD_46_1" hidden="1">"A31047"</definedName>
    <definedName name="FDD_46_10" hidden="1">"A34334"</definedName>
    <definedName name="FDD_46_11" hidden="1">"A34699"</definedName>
    <definedName name="FDD_46_12" hidden="1">"A35064"</definedName>
    <definedName name="FDD_46_13" hidden="1">"A35430"</definedName>
    <definedName name="FDD_46_14" hidden="1">"A35795"</definedName>
    <definedName name="FDD_46_2" hidden="1">"A31412"</definedName>
    <definedName name="FDD_46_3" hidden="1">"A31777"</definedName>
    <definedName name="FDD_46_4" hidden="1">"A32142"</definedName>
    <definedName name="FDD_46_5" hidden="1">"A32508"</definedName>
    <definedName name="FDD_46_6" hidden="1">"A32873"</definedName>
    <definedName name="FDD_46_7" hidden="1">"A33238"</definedName>
    <definedName name="FDD_46_8" hidden="1">"A33603"</definedName>
    <definedName name="FDD_46_9" hidden="1">"A33969"</definedName>
    <definedName name="FDD_47_0" hidden="1">"A30681"</definedName>
    <definedName name="FDD_47_1" hidden="1">"A31047"</definedName>
    <definedName name="FDD_47_10" hidden="1">"A34334"</definedName>
    <definedName name="FDD_47_11" hidden="1">"A34699"</definedName>
    <definedName name="FDD_47_12" hidden="1">"A35064"</definedName>
    <definedName name="FDD_47_13" hidden="1">"A35430"</definedName>
    <definedName name="FDD_47_14" hidden="1">"A35795"</definedName>
    <definedName name="FDD_47_2" hidden="1">"A31412"</definedName>
    <definedName name="FDD_47_3" hidden="1">"A31777"</definedName>
    <definedName name="FDD_47_4" hidden="1">"A32142"</definedName>
    <definedName name="FDD_47_5" hidden="1">"A32508"</definedName>
    <definedName name="FDD_47_6" hidden="1">"A32873"</definedName>
    <definedName name="FDD_47_7" hidden="1">"A33238"</definedName>
    <definedName name="FDD_47_8" hidden="1">"A33603"</definedName>
    <definedName name="FDD_47_9" hidden="1">"A33969"</definedName>
    <definedName name="FDD_48_0" hidden="1">"A30681"</definedName>
    <definedName name="FDD_48_1" hidden="1">"A31047"</definedName>
    <definedName name="FDD_48_10" hidden="1">"A34334"</definedName>
    <definedName name="FDD_48_11" hidden="1">"A34699"</definedName>
    <definedName name="FDD_48_12" hidden="1">"A35064"</definedName>
    <definedName name="FDD_48_13" hidden="1">"A35430"</definedName>
    <definedName name="FDD_48_14" hidden="1">"A35795"</definedName>
    <definedName name="FDD_48_2" hidden="1">"A31412"</definedName>
    <definedName name="FDD_48_3" hidden="1">"A31777"</definedName>
    <definedName name="FDD_48_4" hidden="1">"A32142"</definedName>
    <definedName name="FDD_48_5" hidden="1">"A32508"</definedName>
    <definedName name="FDD_48_6" hidden="1">"A32873"</definedName>
    <definedName name="FDD_48_7" hidden="1">"A33238"</definedName>
    <definedName name="FDD_48_8" hidden="1">"A33603"</definedName>
    <definedName name="FDD_48_9" hidden="1">"A33969"</definedName>
    <definedName name="FDD_49_0" hidden="1">"A30681"</definedName>
    <definedName name="FDD_49_1" hidden="1">"A31047"</definedName>
    <definedName name="FDD_49_10" hidden="1">"A34334"</definedName>
    <definedName name="FDD_49_11" hidden="1">"A34699"</definedName>
    <definedName name="FDD_49_12" hidden="1">"A35064"</definedName>
    <definedName name="FDD_49_13" hidden="1">"A35430"</definedName>
    <definedName name="FDD_49_14" hidden="1">"A35795"</definedName>
    <definedName name="FDD_49_2" hidden="1">"A31412"</definedName>
    <definedName name="FDD_49_3" hidden="1">"A31777"</definedName>
    <definedName name="FDD_49_4" hidden="1">"A32142"</definedName>
    <definedName name="FDD_49_5" hidden="1">"A32508"</definedName>
    <definedName name="FDD_49_6" hidden="1">"A32873"</definedName>
    <definedName name="FDD_49_7" hidden="1">"A33238"</definedName>
    <definedName name="FDD_49_8" hidden="1">"A33603"</definedName>
    <definedName name="FDD_49_9" hidden="1">"A33969"</definedName>
    <definedName name="FDD_5_0" hidden="1">"A25569"</definedName>
    <definedName name="FDD_50_0" hidden="1">"A30681"</definedName>
    <definedName name="FDD_50_1" hidden="1">"A31047"</definedName>
    <definedName name="FDD_50_10" hidden="1">"A34334"</definedName>
    <definedName name="FDD_50_11" hidden="1">"A34699"</definedName>
    <definedName name="FDD_50_12" hidden="1">"A35064"</definedName>
    <definedName name="FDD_50_13" hidden="1">"A35430"</definedName>
    <definedName name="FDD_50_14" hidden="1">"A35795"</definedName>
    <definedName name="FDD_50_2" hidden="1">"A31412"</definedName>
    <definedName name="FDD_50_3" hidden="1">"A31777"</definedName>
    <definedName name="FDD_50_4" hidden="1">"A32142"</definedName>
    <definedName name="FDD_50_5" hidden="1">"A32508"</definedName>
    <definedName name="FDD_50_6" hidden="1">"A32873"</definedName>
    <definedName name="FDD_50_7" hidden="1">"A33238"</definedName>
    <definedName name="FDD_50_8" hidden="1">"A33603"</definedName>
    <definedName name="FDD_50_9" hidden="1">"A33969"</definedName>
    <definedName name="FDD_51_0" hidden="1">"A30681"</definedName>
    <definedName name="FDD_51_1" hidden="1">"A31047"</definedName>
    <definedName name="FDD_51_10" hidden="1">"A34334"</definedName>
    <definedName name="FDD_51_11" hidden="1">"A34699"</definedName>
    <definedName name="FDD_51_12" hidden="1">"A35064"</definedName>
    <definedName name="FDD_51_13" hidden="1">"A35430"</definedName>
    <definedName name="FDD_51_14" hidden="1">"A35795"</definedName>
    <definedName name="FDD_51_2" hidden="1">"A31412"</definedName>
    <definedName name="FDD_51_3" hidden="1">"A31777"</definedName>
    <definedName name="FDD_51_4" hidden="1">"A32142"</definedName>
    <definedName name="FDD_51_5" hidden="1">"A32508"</definedName>
    <definedName name="FDD_51_6" hidden="1">"A32873"</definedName>
    <definedName name="FDD_51_7" hidden="1">"A33238"</definedName>
    <definedName name="FDD_51_8" hidden="1">"A33603"</definedName>
    <definedName name="FDD_51_9" hidden="1">"A33969"</definedName>
    <definedName name="FDD_52_0" hidden="1">"A30681"</definedName>
    <definedName name="FDD_52_1" hidden="1">"A31047"</definedName>
    <definedName name="FDD_52_10" hidden="1">"A34334"</definedName>
    <definedName name="FDD_52_11" hidden="1">"A34699"</definedName>
    <definedName name="FDD_52_12" hidden="1">"A35064"</definedName>
    <definedName name="FDD_52_13" hidden="1">"A35430"</definedName>
    <definedName name="FDD_52_14" hidden="1">"A35795"</definedName>
    <definedName name="FDD_52_2" hidden="1">"A31412"</definedName>
    <definedName name="FDD_52_3" hidden="1">"A31777"</definedName>
    <definedName name="FDD_52_4" hidden="1">"A32142"</definedName>
    <definedName name="FDD_52_5" hidden="1">"A32508"</definedName>
    <definedName name="FDD_52_6" hidden="1">"A32873"</definedName>
    <definedName name="FDD_52_7" hidden="1">"A33238"</definedName>
    <definedName name="FDD_52_8" hidden="1">"A33603"</definedName>
    <definedName name="FDD_52_9" hidden="1">"A33969"</definedName>
    <definedName name="FDD_53_0" hidden="1">"U30681"</definedName>
    <definedName name="FDD_53_1" hidden="1">"A31047"</definedName>
    <definedName name="FDD_53_10" hidden="1">"A34334"</definedName>
    <definedName name="FDD_53_11" hidden="1">"A34699"</definedName>
    <definedName name="FDD_53_12" hidden="1">"A35064"</definedName>
    <definedName name="FDD_53_13" hidden="1">"A35430"</definedName>
    <definedName name="FDD_53_14" hidden="1">"A35795"</definedName>
    <definedName name="FDD_53_2" hidden="1">"A31412"</definedName>
    <definedName name="FDD_53_3" hidden="1">"A31777"</definedName>
    <definedName name="FDD_53_4" hidden="1">"A32142"</definedName>
    <definedName name="FDD_53_5" hidden="1">"A32508"</definedName>
    <definedName name="FDD_53_6" hidden="1">"A32873"</definedName>
    <definedName name="FDD_53_7" hidden="1">"A33238"</definedName>
    <definedName name="FDD_53_8" hidden="1">"A33603"</definedName>
    <definedName name="FDD_53_9" hidden="1">"A33969"</definedName>
    <definedName name="FDD_54_0" hidden="1">"A30681"</definedName>
    <definedName name="FDD_54_1" hidden="1">"A31047"</definedName>
    <definedName name="FDD_54_10" hidden="1">"A34334"</definedName>
    <definedName name="FDD_54_11" hidden="1">"A34699"</definedName>
    <definedName name="FDD_54_12" hidden="1">"A35064"</definedName>
    <definedName name="FDD_54_13" hidden="1">"A35430"</definedName>
    <definedName name="FDD_54_14" hidden="1">"A35795"</definedName>
    <definedName name="FDD_54_2" hidden="1">"A31412"</definedName>
    <definedName name="FDD_54_3" hidden="1">"A31777"</definedName>
    <definedName name="FDD_54_4" hidden="1">"A32142"</definedName>
    <definedName name="FDD_54_5" hidden="1">"A32508"</definedName>
    <definedName name="FDD_54_6" hidden="1">"A32873"</definedName>
    <definedName name="FDD_54_7" hidden="1">"A33238"</definedName>
    <definedName name="FDD_54_8" hidden="1">"A33603"</definedName>
    <definedName name="FDD_54_9" hidden="1">"A33969"</definedName>
    <definedName name="FDD_55_0" hidden="1">"A30681"</definedName>
    <definedName name="FDD_55_1" hidden="1">"A31047"</definedName>
    <definedName name="FDD_55_10" hidden="1">"A34334"</definedName>
    <definedName name="FDD_55_11" hidden="1">"A34699"</definedName>
    <definedName name="FDD_55_12" hidden="1">"A35064"</definedName>
    <definedName name="FDD_55_13" hidden="1">"A35430"</definedName>
    <definedName name="FDD_55_14" hidden="1">"A35795"</definedName>
    <definedName name="FDD_55_2" hidden="1">"A31412"</definedName>
    <definedName name="FDD_55_3" hidden="1">"A31777"</definedName>
    <definedName name="FDD_55_4" hidden="1">"A32142"</definedName>
    <definedName name="FDD_55_5" hidden="1">"A32508"</definedName>
    <definedName name="FDD_55_6" hidden="1">"A32873"</definedName>
    <definedName name="FDD_55_7" hidden="1">"A33238"</definedName>
    <definedName name="FDD_55_8" hidden="1">"A33603"</definedName>
    <definedName name="FDD_55_9" hidden="1">"A33969"</definedName>
    <definedName name="FDD_56_0" hidden="1">"A30681"</definedName>
    <definedName name="FDD_56_1" hidden="1">"A31047"</definedName>
    <definedName name="FDD_56_10" hidden="1">"A34334"</definedName>
    <definedName name="FDD_56_11" hidden="1">"A34699"</definedName>
    <definedName name="FDD_56_12" hidden="1">"A35064"</definedName>
    <definedName name="FDD_56_13" hidden="1">"A35430"</definedName>
    <definedName name="FDD_56_14" hidden="1">"A35795"</definedName>
    <definedName name="FDD_56_2" hidden="1">"A31412"</definedName>
    <definedName name="FDD_56_3" hidden="1">"A31777"</definedName>
    <definedName name="FDD_56_4" hidden="1">"A32142"</definedName>
    <definedName name="FDD_56_5" hidden="1">"A32508"</definedName>
    <definedName name="FDD_56_6" hidden="1">"A32873"</definedName>
    <definedName name="FDD_56_7" hidden="1">"A33238"</definedName>
    <definedName name="FDD_56_8" hidden="1">"A33603"</definedName>
    <definedName name="FDD_56_9" hidden="1">"A33969"</definedName>
    <definedName name="FDD_57_0" hidden="1">"A30681"</definedName>
    <definedName name="FDD_57_1" hidden="1">"A31047"</definedName>
    <definedName name="FDD_57_10" hidden="1">"A34334"</definedName>
    <definedName name="FDD_57_11" hidden="1">"A34699"</definedName>
    <definedName name="FDD_57_12" hidden="1">"A35064"</definedName>
    <definedName name="FDD_57_13" hidden="1">"A35430"</definedName>
    <definedName name="FDD_57_14" hidden="1">"A35795"</definedName>
    <definedName name="FDD_57_2" hidden="1">"A31412"</definedName>
    <definedName name="FDD_57_3" hidden="1">"A31777"</definedName>
    <definedName name="FDD_57_4" hidden="1">"A32142"</definedName>
    <definedName name="FDD_57_5" hidden="1">"A32508"</definedName>
    <definedName name="FDD_57_6" hidden="1">"A32873"</definedName>
    <definedName name="FDD_57_7" hidden="1">"A33238"</definedName>
    <definedName name="FDD_57_8" hidden="1">"A33603"</definedName>
    <definedName name="FDD_57_9" hidden="1">"A33969"</definedName>
    <definedName name="FDD_58_0" hidden="1">"A30681"</definedName>
    <definedName name="FDD_58_1" hidden="1">"A31047"</definedName>
    <definedName name="FDD_58_10" hidden="1">"A34334"</definedName>
    <definedName name="FDD_58_11" hidden="1">"A34699"</definedName>
    <definedName name="FDD_58_12" hidden="1">"A35064"</definedName>
    <definedName name="FDD_58_13" hidden="1">"A35430"</definedName>
    <definedName name="FDD_58_14" hidden="1">"A35795"</definedName>
    <definedName name="FDD_58_2" hidden="1">"A31412"</definedName>
    <definedName name="FDD_58_3" hidden="1">"A31777"</definedName>
    <definedName name="FDD_58_4" hidden="1">"A32142"</definedName>
    <definedName name="FDD_58_5" hidden="1">"A32508"</definedName>
    <definedName name="FDD_58_6" hidden="1">"A32873"</definedName>
    <definedName name="FDD_58_7" hidden="1">"A33238"</definedName>
    <definedName name="FDD_58_8" hidden="1">"A33603"</definedName>
    <definedName name="FDD_58_9" hidden="1">"A33969"</definedName>
    <definedName name="FDD_59_0" hidden="1">"A30681"</definedName>
    <definedName name="FDD_59_1" hidden="1">"A31047"</definedName>
    <definedName name="FDD_59_10" hidden="1">"A34334"</definedName>
    <definedName name="FDD_59_11" hidden="1">"A34699"</definedName>
    <definedName name="FDD_59_12" hidden="1">"A35064"</definedName>
    <definedName name="FDD_59_13" hidden="1">"A35430"</definedName>
    <definedName name="FDD_59_14" hidden="1">"A35795"</definedName>
    <definedName name="FDD_59_2" hidden="1">"A31412"</definedName>
    <definedName name="FDD_59_3" hidden="1">"A31777"</definedName>
    <definedName name="FDD_59_4" hidden="1">"A32142"</definedName>
    <definedName name="FDD_59_5" hidden="1">"A32508"</definedName>
    <definedName name="FDD_59_6" hidden="1">"A32873"</definedName>
    <definedName name="FDD_59_7" hidden="1">"A33238"</definedName>
    <definedName name="FDD_59_8" hidden="1">"A33603"</definedName>
    <definedName name="FDD_59_9" hidden="1">"A33969"</definedName>
    <definedName name="FDD_6_0" hidden="1">"A25569"</definedName>
    <definedName name="FDD_60_0" hidden="1">"A30681"</definedName>
    <definedName name="FDD_60_1" hidden="1">"A31047"</definedName>
    <definedName name="FDD_60_10" hidden="1">"A34334"</definedName>
    <definedName name="FDD_60_11" hidden="1">"A34699"</definedName>
    <definedName name="FDD_60_12" hidden="1">"A35064"</definedName>
    <definedName name="FDD_60_13" hidden="1">"A35430"</definedName>
    <definedName name="FDD_60_14" hidden="1">"A35795"</definedName>
    <definedName name="FDD_60_2" hidden="1">"A31412"</definedName>
    <definedName name="FDD_60_3" hidden="1">"A31777"</definedName>
    <definedName name="FDD_60_4" hidden="1">"A32142"</definedName>
    <definedName name="FDD_60_5" hidden="1">"A32508"</definedName>
    <definedName name="FDD_60_6" hidden="1">"A32873"</definedName>
    <definedName name="FDD_60_7" hidden="1">"A33238"</definedName>
    <definedName name="FDD_60_8" hidden="1">"A33603"</definedName>
    <definedName name="FDD_60_9" hidden="1">"A33969"</definedName>
    <definedName name="FDD_61_0" hidden="1">"A30681"</definedName>
    <definedName name="FDD_61_1" hidden="1">"A31047"</definedName>
    <definedName name="FDD_61_10" hidden="1">"A34334"</definedName>
    <definedName name="FDD_61_11" hidden="1">"A34699"</definedName>
    <definedName name="FDD_61_12" hidden="1">"A35064"</definedName>
    <definedName name="FDD_61_13" hidden="1">"A35430"</definedName>
    <definedName name="FDD_61_14" hidden="1">"A35795"</definedName>
    <definedName name="FDD_61_2" hidden="1">"A31412"</definedName>
    <definedName name="FDD_61_3" hidden="1">"A31777"</definedName>
    <definedName name="FDD_61_4" hidden="1">"A32142"</definedName>
    <definedName name="FDD_61_5" hidden="1">"A32508"</definedName>
    <definedName name="FDD_61_6" hidden="1">"A32873"</definedName>
    <definedName name="FDD_61_7" hidden="1">"A33238"</definedName>
    <definedName name="FDD_61_8" hidden="1">"A33603"</definedName>
    <definedName name="FDD_61_9" hidden="1">"A33969"</definedName>
    <definedName name="FDD_62_0" hidden="1">"A30681"</definedName>
    <definedName name="FDD_62_1" hidden="1">"A31047"</definedName>
    <definedName name="FDD_62_10" hidden="1">"A34334"</definedName>
    <definedName name="FDD_62_11" hidden="1">"A34699"</definedName>
    <definedName name="FDD_62_12" hidden="1">"A35064"</definedName>
    <definedName name="FDD_62_13" hidden="1">"A35430"</definedName>
    <definedName name="FDD_62_14" hidden="1">"A35795"</definedName>
    <definedName name="FDD_62_2" hidden="1">"A31412"</definedName>
    <definedName name="FDD_62_3" hidden="1">"A31777"</definedName>
    <definedName name="FDD_62_4" hidden="1">"A32142"</definedName>
    <definedName name="FDD_62_5" hidden="1">"A32508"</definedName>
    <definedName name="FDD_62_6" hidden="1">"A32873"</definedName>
    <definedName name="FDD_62_7" hidden="1">"A33238"</definedName>
    <definedName name="FDD_62_8" hidden="1">"A33603"</definedName>
    <definedName name="FDD_62_9" hidden="1">"A33969"</definedName>
    <definedName name="FDD_63_0" hidden="1">"A30681"</definedName>
    <definedName name="FDD_63_1" hidden="1">"A31047"</definedName>
    <definedName name="FDD_63_10" hidden="1">"A34334"</definedName>
    <definedName name="FDD_63_11" hidden="1">"A34699"</definedName>
    <definedName name="FDD_63_12" hidden="1">"A35064"</definedName>
    <definedName name="FDD_63_13" hidden="1">"A35430"</definedName>
    <definedName name="FDD_63_14" hidden="1">"A35795"</definedName>
    <definedName name="FDD_63_2" hidden="1">"A31412"</definedName>
    <definedName name="FDD_63_3" hidden="1">"A31777"</definedName>
    <definedName name="FDD_63_4" hidden="1">"A32142"</definedName>
    <definedName name="FDD_63_5" hidden="1">"A32508"</definedName>
    <definedName name="FDD_63_6" hidden="1">"A32873"</definedName>
    <definedName name="FDD_63_7" hidden="1">"A33238"</definedName>
    <definedName name="FDD_63_8" hidden="1">"A33603"</definedName>
    <definedName name="FDD_63_9" hidden="1">"A33969"</definedName>
    <definedName name="FDD_64_0" hidden="1">"A30681"</definedName>
    <definedName name="FDD_64_1" hidden="1">"A31047"</definedName>
    <definedName name="FDD_64_10" hidden="1">"A34334"</definedName>
    <definedName name="FDD_64_11" hidden="1">"A34699"</definedName>
    <definedName name="FDD_64_12" hidden="1">"A35064"</definedName>
    <definedName name="FDD_64_13" hidden="1">"A35430"</definedName>
    <definedName name="FDD_64_14" hidden="1">"A35795"</definedName>
    <definedName name="FDD_64_2" hidden="1">"A31412"</definedName>
    <definedName name="FDD_64_3" hidden="1">"A31777"</definedName>
    <definedName name="FDD_64_4" hidden="1">"A32142"</definedName>
    <definedName name="FDD_64_5" hidden="1">"A32508"</definedName>
    <definedName name="FDD_64_6" hidden="1">"A32873"</definedName>
    <definedName name="FDD_64_7" hidden="1">"A33238"</definedName>
    <definedName name="FDD_64_8" hidden="1">"A33603"</definedName>
    <definedName name="FDD_64_9" hidden="1">"A33969"</definedName>
    <definedName name="FDD_65_0" hidden="1">"A30681"</definedName>
    <definedName name="FDD_65_1" hidden="1">"A31047"</definedName>
    <definedName name="FDD_65_10" hidden="1">"A34334"</definedName>
    <definedName name="FDD_65_11" hidden="1">"A34699"</definedName>
    <definedName name="FDD_65_12" hidden="1">"A35064"</definedName>
    <definedName name="FDD_65_13" hidden="1">"A35430"</definedName>
    <definedName name="FDD_65_14" hidden="1">"A35795"</definedName>
    <definedName name="FDD_65_2" hidden="1">"A31412"</definedName>
    <definedName name="FDD_65_3" hidden="1">"A31777"</definedName>
    <definedName name="FDD_65_4" hidden="1">"A32142"</definedName>
    <definedName name="FDD_65_5" hidden="1">"A32508"</definedName>
    <definedName name="FDD_65_6" hidden="1">"A32873"</definedName>
    <definedName name="FDD_65_7" hidden="1">"A33238"</definedName>
    <definedName name="FDD_65_8" hidden="1">"A33603"</definedName>
    <definedName name="FDD_65_9" hidden="1">"A33969"</definedName>
    <definedName name="FDD_66_0" hidden="1">"A30681"</definedName>
    <definedName name="FDD_66_1" hidden="1">"A31047"</definedName>
    <definedName name="FDD_66_10" hidden="1">"A34334"</definedName>
    <definedName name="FDD_66_11" hidden="1">"A34699"</definedName>
    <definedName name="FDD_66_12" hidden="1">"A35064"</definedName>
    <definedName name="FDD_66_13" hidden="1">"A35430"</definedName>
    <definedName name="FDD_66_14" hidden="1">"A35795"</definedName>
    <definedName name="FDD_66_2" hidden="1">"A31412"</definedName>
    <definedName name="FDD_66_3" hidden="1">"A31777"</definedName>
    <definedName name="FDD_66_4" hidden="1">"A32142"</definedName>
    <definedName name="FDD_66_5" hidden="1">"A32508"</definedName>
    <definedName name="FDD_66_6" hidden="1">"A32873"</definedName>
    <definedName name="FDD_66_7" hidden="1">"A33238"</definedName>
    <definedName name="FDD_66_8" hidden="1">"A33603"</definedName>
    <definedName name="FDD_66_9" hidden="1">"A33969"</definedName>
    <definedName name="FDD_67_0" hidden="1">"A30681"</definedName>
    <definedName name="FDD_67_1" hidden="1">"A31047"</definedName>
    <definedName name="FDD_67_10" hidden="1">"A34334"</definedName>
    <definedName name="FDD_67_11" hidden="1">"A34699"</definedName>
    <definedName name="FDD_67_12" hidden="1">"A35064"</definedName>
    <definedName name="FDD_67_13" hidden="1">"A35430"</definedName>
    <definedName name="FDD_67_14" hidden="1">"A35795"</definedName>
    <definedName name="FDD_67_2" hidden="1">"A31412"</definedName>
    <definedName name="FDD_67_3" hidden="1">"A31777"</definedName>
    <definedName name="FDD_67_4" hidden="1">"A32142"</definedName>
    <definedName name="FDD_67_5" hidden="1">"A32508"</definedName>
    <definedName name="FDD_67_6" hidden="1">"A32873"</definedName>
    <definedName name="FDD_67_7" hidden="1">"A33238"</definedName>
    <definedName name="FDD_67_8" hidden="1">"A33603"</definedName>
    <definedName name="FDD_67_9" hidden="1">"A33969"</definedName>
    <definedName name="FDD_68_0" hidden="1">"A30681"</definedName>
    <definedName name="FDD_68_1" hidden="1">"A31047"</definedName>
    <definedName name="FDD_68_10" hidden="1">"A34334"</definedName>
    <definedName name="FDD_68_11" hidden="1">"A34699"</definedName>
    <definedName name="FDD_68_12" hidden="1">"A35064"</definedName>
    <definedName name="FDD_68_13" hidden="1">"A35430"</definedName>
    <definedName name="FDD_68_14" hidden="1">"A35795"</definedName>
    <definedName name="FDD_68_2" hidden="1">"A31412"</definedName>
    <definedName name="FDD_68_3" hidden="1">"A31777"</definedName>
    <definedName name="FDD_68_4" hidden="1">"A32142"</definedName>
    <definedName name="FDD_68_5" hidden="1">"A32508"</definedName>
    <definedName name="FDD_68_6" hidden="1">"A32873"</definedName>
    <definedName name="FDD_68_7" hidden="1">"A33238"</definedName>
    <definedName name="FDD_68_8" hidden="1">"A33603"</definedName>
    <definedName name="FDD_68_9" hidden="1">"A33969"</definedName>
    <definedName name="FDD_69_0" hidden="1">"U30681"</definedName>
    <definedName name="FDD_69_1" hidden="1">"A31047"</definedName>
    <definedName name="FDD_69_10" hidden="1">"A34334"</definedName>
    <definedName name="FDD_69_11" hidden="1">"A34699"</definedName>
    <definedName name="FDD_69_12" hidden="1">"A35064"</definedName>
    <definedName name="FDD_69_13" hidden="1">"A35430"</definedName>
    <definedName name="FDD_69_14" hidden="1">"A35795"</definedName>
    <definedName name="FDD_69_2" hidden="1">"A31412"</definedName>
    <definedName name="FDD_69_3" hidden="1">"A31777"</definedName>
    <definedName name="FDD_69_4" hidden="1">"A32142"</definedName>
    <definedName name="FDD_69_5" hidden="1">"A32508"</definedName>
    <definedName name="FDD_69_6" hidden="1">"A32873"</definedName>
    <definedName name="FDD_69_7" hidden="1">"A33238"</definedName>
    <definedName name="FDD_69_8" hidden="1">"A33603"</definedName>
    <definedName name="FDD_69_9" hidden="1">"A33969"</definedName>
    <definedName name="FDD_7_0" hidden="1">"A25569"</definedName>
    <definedName name="FDD_70_0" hidden="1">"A30681"</definedName>
    <definedName name="FDD_70_1" hidden="1">"A31047"</definedName>
    <definedName name="FDD_70_10" hidden="1">"A34334"</definedName>
    <definedName name="FDD_70_11" hidden="1">"A34699"</definedName>
    <definedName name="FDD_70_12" hidden="1">"A35064"</definedName>
    <definedName name="FDD_70_13" hidden="1">"A35430"</definedName>
    <definedName name="FDD_70_14" hidden="1">"A35795"</definedName>
    <definedName name="FDD_70_2" hidden="1">"A31412"</definedName>
    <definedName name="FDD_70_3" hidden="1">"A31777"</definedName>
    <definedName name="FDD_70_4" hidden="1">"A32142"</definedName>
    <definedName name="FDD_70_5" hidden="1">"A32508"</definedName>
    <definedName name="FDD_70_6" hidden="1">"A32873"</definedName>
    <definedName name="FDD_70_7" hidden="1">"A33238"</definedName>
    <definedName name="FDD_70_8" hidden="1">"A33603"</definedName>
    <definedName name="FDD_70_9" hidden="1">"A33969"</definedName>
    <definedName name="FDD_71_0" hidden="1">"A30681"</definedName>
    <definedName name="FDD_71_1" hidden="1">"A31047"</definedName>
    <definedName name="FDD_71_10" hidden="1">"A34334"</definedName>
    <definedName name="FDD_71_11" hidden="1">"A34699"</definedName>
    <definedName name="FDD_71_12" hidden="1">"A35064"</definedName>
    <definedName name="FDD_71_13" hidden="1">"A35430"</definedName>
    <definedName name="FDD_71_14" hidden="1">"A35795"</definedName>
    <definedName name="FDD_71_2" hidden="1">"A31412"</definedName>
    <definedName name="FDD_71_3" hidden="1">"A31777"</definedName>
    <definedName name="FDD_71_4" hidden="1">"A32142"</definedName>
    <definedName name="FDD_71_5" hidden="1">"A32508"</definedName>
    <definedName name="FDD_71_6" hidden="1">"A32873"</definedName>
    <definedName name="FDD_71_7" hidden="1">"A33238"</definedName>
    <definedName name="FDD_71_8" hidden="1">"A33603"</definedName>
    <definedName name="FDD_71_9" hidden="1">"A33969"</definedName>
    <definedName name="FDD_72_0" hidden="1">"A30681"</definedName>
    <definedName name="FDD_72_1" hidden="1">"A31047"</definedName>
    <definedName name="FDD_72_10" hidden="1">"A34334"</definedName>
    <definedName name="FDD_72_11" hidden="1">"A34699"</definedName>
    <definedName name="FDD_72_12" hidden="1">"A35064"</definedName>
    <definedName name="FDD_72_13" hidden="1">"A35430"</definedName>
    <definedName name="FDD_72_14" hidden="1">"A35795"</definedName>
    <definedName name="FDD_72_2" hidden="1">"A31412"</definedName>
    <definedName name="FDD_72_3" hidden="1">"A31777"</definedName>
    <definedName name="FDD_72_4" hidden="1">"A32142"</definedName>
    <definedName name="FDD_72_5" hidden="1">"A32508"</definedName>
    <definedName name="FDD_72_6" hidden="1">"A32873"</definedName>
    <definedName name="FDD_72_7" hidden="1">"A33238"</definedName>
    <definedName name="FDD_72_8" hidden="1">"A33603"</definedName>
    <definedName name="FDD_72_9" hidden="1">"A33969"</definedName>
    <definedName name="FDD_73_0" hidden="1">"A30681"</definedName>
    <definedName name="FDD_73_1" hidden="1">"A31047"</definedName>
    <definedName name="FDD_73_10" hidden="1">"A34334"</definedName>
    <definedName name="FDD_73_11" hidden="1">"A34699"</definedName>
    <definedName name="FDD_73_12" hidden="1">"A35064"</definedName>
    <definedName name="FDD_73_13" hidden="1">"A35430"</definedName>
    <definedName name="FDD_73_14" hidden="1">"A35795"</definedName>
    <definedName name="FDD_73_2" hidden="1">"A31412"</definedName>
    <definedName name="FDD_73_3" hidden="1">"A31777"</definedName>
    <definedName name="FDD_73_4" hidden="1">"A32142"</definedName>
    <definedName name="FDD_73_5" hidden="1">"A32508"</definedName>
    <definedName name="FDD_73_6" hidden="1">"A32873"</definedName>
    <definedName name="FDD_73_7" hidden="1">"A33238"</definedName>
    <definedName name="FDD_73_8" hidden="1">"A33603"</definedName>
    <definedName name="FDD_73_9" hidden="1">"A33969"</definedName>
    <definedName name="FDD_74_0" hidden="1">"A30681"</definedName>
    <definedName name="FDD_74_1" hidden="1">"A31047"</definedName>
    <definedName name="FDD_74_10" hidden="1">"A34334"</definedName>
    <definedName name="FDD_74_11" hidden="1">"A34699"</definedName>
    <definedName name="FDD_74_12" hidden="1">"A35064"</definedName>
    <definedName name="FDD_74_13" hidden="1">"A35430"</definedName>
    <definedName name="FDD_74_14" hidden="1">"A35795"</definedName>
    <definedName name="FDD_74_2" hidden="1">"A31412"</definedName>
    <definedName name="FDD_74_3" hidden="1">"A31777"</definedName>
    <definedName name="FDD_74_4" hidden="1">"A32142"</definedName>
    <definedName name="FDD_74_5" hidden="1">"A32508"</definedName>
    <definedName name="FDD_74_6" hidden="1">"A32873"</definedName>
    <definedName name="FDD_74_7" hidden="1">"A33238"</definedName>
    <definedName name="FDD_74_8" hidden="1">"A33603"</definedName>
    <definedName name="FDD_74_9" hidden="1">"A33969"</definedName>
    <definedName name="FDD_75_0" hidden="1">"A30681"</definedName>
    <definedName name="FDD_75_1" hidden="1">"A31047"</definedName>
    <definedName name="FDD_75_10" hidden="1">"A34334"</definedName>
    <definedName name="FDD_75_11" hidden="1">"A34699"</definedName>
    <definedName name="FDD_75_12" hidden="1">"A35064"</definedName>
    <definedName name="FDD_75_13" hidden="1">"A35430"</definedName>
    <definedName name="FDD_75_14" hidden="1">"A35795"</definedName>
    <definedName name="FDD_75_2" hidden="1">"A31412"</definedName>
    <definedName name="FDD_75_3" hidden="1">"A31777"</definedName>
    <definedName name="FDD_75_4" hidden="1">"A32142"</definedName>
    <definedName name="FDD_75_5" hidden="1">"A32508"</definedName>
    <definedName name="FDD_75_6" hidden="1">"A32873"</definedName>
    <definedName name="FDD_75_7" hidden="1">"A33238"</definedName>
    <definedName name="FDD_75_8" hidden="1">"A33603"</definedName>
    <definedName name="FDD_75_9" hidden="1">"A33969"</definedName>
    <definedName name="FDD_76_0" hidden="1">"A30681"</definedName>
    <definedName name="FDD_76_1" hidden="1">"A31047"</definedName>
    <definedName name="FDD_76_10" hidden="1">"A34334"</definedName>
    <definedName name="FDD_76_11" hidden="1">"A34699"</definedName>
    <definedName name="FDD_76_12" hidden="1">"A35064"</definedName>
    <definedName name="FDD_76_13" hidden="1">"A35430"</definedName>
    <definedName name="FDD_76_14" hidden="1">"A35795"</definedName>
    <definedName name="FDD_76_2" hidden="1">"A31412"</definedName>
    <definedName name="FDD_76_3" hidden="1">"A31777"</definedName>
    <definedName name="FDD_76_4" hidden="1">"A32142"</definedName>
    <definedName name="FDD_76_5" hidden="1">"A32508"</definedName>
    <definedName name="FDD_76_6" hidden="1">"A32873"</definedName>
    <definedName name="FDD_76_7" hidden="1">"A33238"</definedName>
    <definedName name="FDD_76_8" hidden="1">"A33603"</definedName>
    <definedName name="FDD_76_9" hidden="1">"A33969"</definedName>
    <definedName name="FDD_77_0" hidden="1">"A30681"</definedName>
    <definedName name="FDD_77_1" hidden="1">"A31047"</definedName>
    <definedName name="FDD_77_10" hidden="1">"A34334"</definedName>
    <definedName name="FDD_77_11" hidden="1">"A34699"</definedName>
    <definedName name="FDD_77_12" hidden="1">"A35064"</definedName>
    <definedName name="FDD_77_13" hidden="1">"A35430"</definedName>
    <definedName name="FDD_77_14" hidden="1">"A35795"</definedName>
    <definedName name="FDD_77_2" hidden="1">"A31412"</definedName>
    <definedName name="FDD_77_3" hidden="1">"A31777"</definedName>
    <definedName name="FDD_77_4" hidden="1">"A32142"</definedName>
    <definedName name="FDD_77_5" hidden="1">"A32508"</definedName>
    <definedName name="FDD_77_6" hidden="1">"A32873"</definedName>
    <definedName name="FDD_77_7" hidden="1">"A33238"</definedName>
    <definedName name="FDD_77_8" hidden="1">"A33603"</definedName>
    <definedName name="FDD_77_9" hidden="1">"A33969"</definedName>
    <definedName name="FDD_78_0" hidden="1">"A30681"</definedName>
    <definedName name="FDD_78_1" hidden="1">"A31047"</definedName>
    <definedName name="FDD_78_10" hidden="1">"A34334"</definedName>
    <definedName name="FDD_78_11" hidden="1">"A34699"</definedName>
    <definedName name="FDD_78_12" hidden="1">"A35064"</definedName>
    <definedName name="FDD_78_13" hidden="1">"A35430"</definedName>
    <definedName name="FDD_78_14" hidden="1">"A35795"</definedName>
    <definedName name="FDD_78_2" hidden="1">"A31412"</definedName>
    <definedName name="FDD_78_3" hidden="1">"A31777"</definedName>
    <definedName name="FDD_78_4" hidden="1">"A32142"</definedName>
    <definedName name="FDD_78_5" hidden="1">"A32508"</definedName>
    <definedName name="FDD_78_6" hidden="1">"A32873"</definedName>
    <definedName name="FDD_78_7" hidden="1">"A33238"</definedName>
    <definedName name="FDD_78_8" hidden="1">"A33603"</definedName>
    <definedName name="FDD_78_9" hidden="1">"A33969"</definedName>
    <definedName name="FDD_79_0" hidden="1">"A30681"</definedName>
    <definedName name="FDD_79_1" hidden="1">"A31047"</definedName>
    <definedName name="FDD_79_10" hidden="1">"A34334"</definedName>
    <definedName name="FDD_79_11" hidden="1">"A34699"</definedName>
    <definedName name="FDD_79_12" hidden="1">"A35064"</definedName>
    <definedName name="FDD_79_13" hidden="1">"A35430"</definedName>
    <definedName name="FDD_79_14" hidden="1">"A35795"</definedName>
    <definedName name="FDD_79_2" hidden="1">"A31412"</definedName>
    <definedName name="FDD_79_3" hidden="1">"A31777"</definedName>
    <definedName name="FDD_79_4" hidden="1">"A32142"</definedName>
    <definedName name="FDD_79_5" hidden="1">"A32508"</definedName>
    <definedName name="FDD_79_6" hidden="1">"A32873"</definedName>
    <definedName name="FDD_79_7" hidden="1">"A33238"</definedName>
    <definedName name="FDD_79_8" hidden="1">"A33603"</definedName>
    <definedName name="FDD_79_9" hidden="1">"A33969"</definedName>
    <definedName name="FDD_8_0" hidden="1">"A25569"</definedName>
    <definedName name="FDD_80_0" hidden="1">"A30681"</definedName>
    <definedName name="FDD_80_1" hidden="1">"A31047"</definedName>
    <definedName name="FDD_80_10" hidden="1">"A34334"</definedName>
    <definedName name="FDD_80_11" hidden="1">"A34699"</definedName>
    <definedName name="FDD_80_12" hidden="1">"A35064"</definedName>
    <definedName name="FDD_80_13" hidden="1">"A35430"</definedName>
    <definedName name="FDD_80_14" hidden="1">"A35795"</definedName>
    <definedName name="FDD_80_2" hidden="1">"A31412"</definedName>
    <definedName name="FDD_80_3" hidden="1">"A31777"</definedName>
    <definedName name="FDD_80_4" hidden="1">"A32142"</definedName>
    <definedName name="FDD_80_5" hidden="1">"A32508"</definedName>
    <definedName name="FDD_80_6" hidden="1">"A32873"</definedName>
    <definedName name="FDD_80_7" hidden="1">"A33238"</definedName>
    <definedName name="FDD_80_8" hidden="1">"A33603"</definedName>
    <definedName name="FDD_80_9" hidden="1">"A33969"</definedName>
    <definedName name="FDD_81_0" hidden="1">"A30681"</definedName>
    <definedName name="FDD_81_1" hidden="1">"A31047"</definedName>
    <definedName name="FDD_81_10" hidden="1">"A34334"</definedName>
    <definedName name="FDD_81_11" hidden="1">"A34699"</definedName>
    <definedName name="FDD_81_12" hidden="1">"A35064"</definedName>
    <definedName name="FDD_81_13" hidden="1">"A35430"</definedName>
    <definedName name="FDD_81_14" hidden="1">"A35795"</definedName>
    <definedName name="FDD_81_2" hidden="1">"A31412"</definedName>
    <definedName name="FDD_81_3" hidden="1">"A31777"</definedName>
    <definedName name="FDD_81_4" hidden="1">"A32142"</definedName>
    <definedName name="FDD_81_5" hidden="1">"A32508"</definedName>
    <definedName name="FDD_81_6" hidden="1">"A32873"</definedName>
    <definedName name="FDD_81_7" hidden="1">"A33238"</definedName>
    <definedName name="FDD_81_8" hidden="1">"A33603"</definedName>
    <definedName name="FDD_81_9" hidden="1">"A33969"</definedName>
    <definedName name="FDD_82_0" hidden="1">"A30681"</definedName>
    <definedName name="FDD_82_1" hidden="1">"A31047"</definedName>
    <definedName name="FDD_82_10" hidden="1">"A34334"</definedName>
    <definedName name="FDD_82_11" hidden="1">"A34699"</definedName>
    <definedName name="FDD_82_12" hidden="1">"A35064"</definedName>
    <definedName name="FDD_82_13" hidden="1">"A35430"</definedName>
    <definedName name="FDD_82_14" hidden="1">"A35795"</definedName>
    <definedName name="FDD_82_2" hidden="1">"A31412"</definedName>
    <definedName name="FDD_82_3" hidden="1">"A31777"</definedName>
    <definedName name="FDD_82_4" hidden="1">"A32142"</definedName>
    <definedName name="FDD_82_5" hidden="1">"A32508"</definedName>
    <definedName name="FDD_82_6" hidden="1">"A32873"</definedName>
    <definedName name="FDD_82_7" hidden="1">"A33238"</definedName>
    <definedName name="FDD_82_8" hidden="1">"A33603"</definedName>
    <definedName name="FDD_82_9" hidden="1">"A33969"</definedName>
    <definedName name="FDD_83_0" hidden="1">"A30681"</definedName>
    <definedName name="FDD_83_1" hidden="1">"A31047"</definedName>
    <definedName name="FDD_83_10" hidden="1">"A34334"</definedName>
    <definedName name="FDD_83_11" hidden="1">"A34699"</definedName>
    <definedName name="FDD_83_12" hidden="1">"A35064"</definedName>
    <definedName name="FDD_83_13" hidden="1">"A35430"</definedName>
    <definedName name="FDD_83_14" hidden="1">"A35795"</definedName>
    <definedName name="FDD_83_2" hidden="1">"A31412"</definedName>
    <definedName name="FDD_83_3" hidden="1">"A31777"</definedName>
    <definedName name="FDD_83_4" hidden="1">"A32142"</definedName>
    <definedName name="FDD_83_5" hidden="1">"A32508"</definedName>
    <definedName name="FDD_83_6" hidden="1">"A32873"</definedName>
    <definedName name="FDD_83_7" hidden="1">"A33238"</definedName>
    <definedName name="FDD_83_8" hidden="1">"A33603"</definedName>
    <definedName name="FDD_83_9" hidden="1">"A33969"</definedName>
    <definedName name="FDD_84_0" hidden="1">"A30681"</definedName>
    <definedName name="FDD_84_1" hidden="1">"A31047"</definedName>
    <definedName name="FDD_84_10" hidden="1">"A34334"</definedName>
    <definedName name="FDD_84_11" hidden="1">"A34699"</definedName>
    <definedName name="FDD_84_12" hidden="1">"A35064"</definedName>
    <definedName name="FDD_84_13" hidden="1">"A35430"</definedName>
    <definedName name="FDD_84_14" hidden="1">"A35795"</definedName>
    <definedName name="FDD_84_2" hidden="1">"A31412"</definedName>
    <definedName name="FDD_84_3" hidden="1">"A31777"</definedName>
    <definedName name="FDD_84_4" hidden="1">"A32142"</definedName>
    <definedName name="FDD_84_5" hidden="1">"A32508"</definedName>
    <definedName name="FDD_84_6" hidden="1">"A32873"</definedName>
    <definedName name="FDD_84_7" hidden="1">"A33238"</definedName>
    <definedName name="FDD_84_8" hidden="1">"A33603"</definedName>
    <definedName name="FDD_84_9" hidden="1">"A33969"</definedName>
    <definedName name="FDD_85_0" hidden="1">"A30681"</definedName>
    <definedName name="FDD_85_1" hidden="1">"A31047"</definedName>
    <definedName name="FDD_85_10" hidden="1">"A34334"</definedName>
    <definedName name="FDD_85_11" hidden="1">"A34699"</definedName>
    <definedName name="FDD_85_12" hidden="1">"A35064"</definedName>
    <definedName name="FDD_85_13" hidden="1">"A35430"</definedName>
    <definedName name="FDD_85_14" hidden="1">"A35795"</definedName>
    <definedName name="FDD_85_2" hidden="1">"A31412"</definedName>
    <definedName name="FDD_85_3" hidden="1">"A31777"</definedName>
    <definedName name="FDD_85_4" hidden="1">"A32142"</definedName>
    <definedName name="FDD_85_5" hidden="1">"A32508"</definedName>
    <definedName name="FDD_85_6" hidden="1">"A32873"</definedName>
    <definedName name="FDD_85_7" hidden="1">"A33238"</definedName>
    <definedName name="FDD_85_8" hidden="1">"A33603"</definedName>
    <definedName name="FDD_85_9" hidden="1">"A33969"</definedName>
    <definedName name="FDD_86_0" hidden="1">"A30681"</definedName>
    <definedName name="FDD_86_1" hidden="1">"A31047"</definedName>
    <definedName name="FDD_86_10" hidden="1">"A34334"</definedName>
    <definedName name="FDD_86_11" hidden="1">"A34699"</definedName>
    <definedName name="FDD_86_12" hidden="1">"A35064"</definedName>
    <definedName name="FDD_86_13" hidden="1">"A35430"</definedName>
    <definedName name="FDD_86_14" hidden="1">"A35795"</definedName>
    <definedName name="FDD_86_2" hidden="1">"A31412"</definedName>
    <definedName name="FDD_86_3" hidden="1">"A31777"</definedName>
    <definedName name="FDD_86_4" hidden="1">"A32142"</definedName>
    <definedName name="FDD_86_5" hidden="1">"A32508"</definedName>
    <definedName name="FDD_86_6" hidden="1">"A32873"</definedName>
    <definedName name="FDD_86_7" hidden="1">"A33238"</definedName>
    <definedName name="FDD_86_8" hidden="1">"A33603"</definedName>
    <definedName name="FDD_86_9" hidden="1">"A33969"</definedName>
    <definedName name="FDD_87_0" hidden="1">"A30681"</definedName>
    <definedName name="FDD_87_1" hidden="1">"A31047"</definedName>
    <definedName name="FDD_87_10" hidden="1">"A34334"</definedName>
    <definedName name="FDD_87_11" hidden="1">"A34699"</definedName>
    <definedName name="FDD_87_12" hidden="1">"A35064"</definedName>
    <definedName name="FDD_87_13" hidden="1">"A35430"</definedName>
    <definedName name="FDD_87_14" hidden="1">"A35795"</definedName>
    <definedName name="FDD_87_2" hidden="1">"A31412"</definedName>
    <definedName name="FDD_87_3" hidden="1">"A31777"</definedName>
    <definedName name="FDD_87_4" hidden="1">"A32142"</definedName>
    <definedName name="FDD_87_5" hidden="1">"A32508"</definedName>
    <definedName name="FDD_87_6" hidden="1">"A32873"</definedName>
    <definedName name="FDD_87_7" hidden="1">"A33238"</definedName>
    <definedName name="FDD_87_8" hidden="1">"A33603"</definedName>
    <definedName name="FDD_87_9" hidden="1">"A33969"</definedName>
    <definedName name="FDD_88_0" hidden="1">"A30681"</definedName>
    <definedName name="FDD_88_1" hidden="1">"A31047"</definedName>
    <definedName name="FDD_88_10" hidden="1">"A34334"</definedName>
    <definedName name="FDD_88_11" hidden="1">"A34699"</definedName>
    <definedName name="FDD_88_12" hidden="1">"A35064"</definedName>
    <definedName name="FDD_88_13" hidden="1">"A35430"</definedName>
    <definedName name="FDD_88_14" hidden="1">"A35795"</definedName>
    <definedName name="FDD_88_2" hidden="1">"A31412"</definedName>
    <definedName name="FDD_88_3" hidden="1">"A31777"</definedName>
    <definedName name="FDD_88_4" hidden="1">"A32142"</definedName>
    <definedName name="FDD_88_5" hidden="1">"A32508"</definedName>
    <definedName name="FDD_88_6" hidden="1">"A32873"</definedName>
    <definedName name="FDD_88_7" hidden="1">"A33238"</definedName>
    <definedName name="FDD_88_8" hidden="1">"A33603"</definedName>
    <definedName name="FDD_88_9" hidden="1">"A33969"</definedName>
    <definedName name="FDD_89_0" hidden="1">"A30681"</definedName>
    <definedName name="FDD_89_1" hidden="1">"A31047"</definedName>
    <definedName name="FDD_89_10" hidden="1">"A34334"</definedName>
    <definedName name="FDD_89_11" hidden="1">"A34699"</definedName>
    <definedName name="FDD_89_12" hidden="1">"A35064"</definedName>
    <definedName name="FDD_89_13" hidden="1">"A35430"</definedName>
    <definedName name="FDD_89_14" hidden="1">"A35795"</definedName>
    <definedName name="FDD_89_2" hidden="1">"A31412"</definedName>
    <definedName name="FDD_89_3" hidden="1">"A31777"</definedName>
    <definedName name="FDD_89_4" hidden="1">"A32142"</definedName>
    <definedName name="FDD_89_5" hidden="1">"A32508"</definedName>
    <definedName name="FDD_89_6" hidden="1">"A32873"</definedName>
    <definedName name="FDD_89_7" hidden="1">"A33238"</definedName>
    <definedName name="FDD_89_8" hidden="1">"A33603"</definedName>
    <definedName name="FDD_89_9" hidden="1">"A33969"</definedName>
    <definedName name="FDD_9_0" hidden="1">"A25569"</definedName>
    <definedName name="FDD_90_0" hidden="1">"A30681"</definedName>
    <definedName name="FDD_90_1" hidden="1">"A31047"</definedName>
    <definedName name="FDD_90_10" hidden="1">"A34334"</definedName>
    <definedName name="FDD_90_11" hidden="1">"A34699"</definedName>
    <definedName name="FDD_90_12" hidden="1">"A35064"</definedName>
    <definedName name="FDD_90_13" hidden="1">"A35430"</definedName>
    <definedName name="FDD_90_14" hidden="1">"A35795"</definedName>
    <definedName name="FDD_90_2" hidden="1">"A31412"</definedName>
    <definedName name="FDD_90_3" hidden="1">"A31777"</definedName>
    <definedName name="FDD_90_4" hidden="1">"A32142"</definedName>
    <definedName name="FDD_90_5" hidden="1">"A32508"</definedName>
    <definedName name="FDD_90_6" hidden="1">"A32873"</definedName>
    <definedName name="FDD_90_7" hidden="1">"A33238"</definedName>
    <definedName name="FDD_90_8" hidden="1">"A33603"</definedName>
    <definedName name="FDD_90_9" hidden="1">"A33969"</definedName>
    <definedName name="FDD_91_0" hidden="1">"A30681"</definedName>
    <definedName name="FDD_91_1" hidden="1">"A31047"</definedName>
    <definedName name="FDD_91_10" hidden="1">"A34334"</definedName>
    <definedName name="FDD_91_11" hidden="1">"A34699"</definedName>
    <definedName name="FDD_91_12" hidden="1">"A35064"</definedName>
    <definedName name="FDD_91_13" hidden="1">"A35430"</definedName>
    <definedName name="FDD_91_14" hidden="1">"A35795"</definedName>
    <definedName name="FDD_91_2" hidden="1">"A31412"</definedName>
    <definedName name="FDD_91_3" hidden="1">"A31777"</definedName>
    <definedName name="FDD_91_4" hidden="1">"A32142"</definedName>
    <definedName name="FDD_91_5" hidden="1">"A32508"</definedName>
    <definedName name="FDD_91_6" hidden="1">"A32873"</definedName>
    <definedName name="FDD_91_7" hidden="1">"A33238"</definedName>
    <definedName name="FDD_91_8" hidden="1">"A33603"</definedName>
    <definedName name="FDD_91_9" hidden="1">"A33969"</definedName>
    <definedName name="FDD_92_0" hidden="1">"A30681"</definedName>
    <definedName name="FDD_92_1" hidden="1">"A31047"</definedName>
    <definedName name="FDD_92_10" hidden="1">"A34334"</definedName>
    <definedName name="FDD_92_11" hidden="1">"A34699"</definedName>
    <definedName name="FDD_92_12" hidden="1">"A35064"</definedName>
    <definedName name="FDD_92_13" hidden="1">"A35430"</definedName>
    <definedName name="FDD_92_14" hidden="1">"A35795"</definedName>
    <definedName name="FDD_92_2" hidden="1">"A31412"</definedName>
    <definedName name="FDD_92_3" hidden="1">"A31777"</definedName>
    <definedName name="FDD_92_4" hidden="1">"A32142"</definedName>
    <definedName name="FDD_92_5" hidden="1">"A32508"</definedName>
    <definedName name="FDD_92_6" hidden="1">"A32873"</definedName>
    <definedName name="FDD_92_7" hidden="1">"A33238"</definedName>
    <definedName name="FDD_92_8" hidden="1">"A33603"</definedName>
    <definedName name="FDD_92_9" hidden="1">"A33969"</definedName>
    <definedName name="FDD_93_0" hidden="1">"A30681"</definedName>
    <definedName name="FDD_93_1" hidden="1">"A31047"</definedName>
    <definedName name="FDD_93_10" hidden="1">"A34334"</definedName>
    <definedName name="FDD_93_11" hidden="1">"A34699"</definedName>
    <definedName name="FDD_93_12" hidden="1">"A35064"</definedName>
    <definedName name="FDD_93_13" hidden="1">"A35430"</definedName>
    <definedName name="FDD_93_14" hidden="1">"A35795"</definedName>
    <definedName name="FDD_93_2" hidden="1">"A31412"</definedName>
    <definedName name="FDD_93_3" hidden="1">"A31777"</definedName>
    <definedName name="FDD_93_4" hidden="1">"A32142"</definedName>
    <definedName name="FDD_93_5" hidden="1">"A32508"</definedName>
    <definedName name="FDD_93_6" hidden="1">"A32873"</definedName>
    <definedName name="FDD_93_7" hidden="1">"A33238"</definedName>
    <definedName name="FDD_93_8" hidden="1">"A33603"</definedName>
    <definedName name="FDD_93_9" hidden="1">"A33969"</definedName>
    <definedName name="FDD_94_0" hidden="1">"A30681"</definedName>
    <definedName name="FDD_94_1" hidden="1">"A31047"</definedName>
    <definedName name="FDD_94_10" hidden="1">"A34334"</definedName>
    <definedName name="FDD_94_11" hidden="1">"A34699"</definedName>
    <definedName name="FDD_94_12" hidden="1">"A35064"</definedName>
    <definedName name="FDD_94_13" hidden="1">"A35430"</definedName>
    <definedName name="FDD_94_14" hidden="1">"A35795"</definedName>
    <definedName name="FDD_94_2" hidden="1">"A31412"</definedName>
    <definedName name="FDD_94_3" hidden="1">"A31777"</definedName>
    <definedName name="FDD_94_4" hidden="1">"A32142"</definedName>
    <definedName name="FDD_94_5" hidden="1">"A32508"</definedName>
    <definedName name="FDD_94_6" hidden="1">"A32873"</definedName>
    <definedName name="FDD_94_7" hidden="1">"A33238"</definedName>
    <definedName name="FDD_94_8" hidden="1">"A33603"</definedName>
    <definedName name="FDD_94_9" hidden="1">"A33969"</definedName>
    <definedName name="FDD_95_0" hidden="1">"A30681"</definedName>
    <definedName name="FDD_95_1" hidden="1">"A31047"</definedName>
    <definedName name="FDD_95_10" hidden="1">"A34334"</definedName>
    <definedName name="FDD_95_11" hidden="1">"A34699"</definedName>
    <definedName name="FDD_95_12" hidden="1">"A35064"</definedName>
    <definedName name="FDD_95_13" hidden="1">"A35430"</definedName>
    <definedName name="FDD_95_14" hidden="1">"A35795"</definedName>
    <definedName name="FDD_95_2" hidden="1">"A31412"</definedName>
    <definedName name="FDD_95_3" hidden="1">"A31777"</definedName>
    <definedName name="FDD_95_4" hidden="1">"A32142"</definedName>
    <definedName name="FDD_95_5" hidden="1">"A32508"</definedName>
    <definedName name="FDD_95_6" hidden="1">"A32873"</definedName>
    <definedName name="FDD_95_7" hidden="1">"A33238"</definedName>
    <definedName name="FDD_95_8" hidden="1">"A33603"</definedName>
    <definedName name="FDD_95_9" hidden="1">"A33969"</definedName>
    <definedName name="FDD_96_0" hidden="1">"U30681"</definedName>
    <definedName name="FDD_96_1" hidden="1">"A31047"</definedName>
    <definedName name="FDD_96_10" hidden="1">"A34334"</definedName>
    <definedName name="FDD_96_11" hidden="1">"A34699"</definedName>
    <definedName name="FDD_96_12" hidden="1">"A35064"</definedName>
    <definedName name="FDD_96_13" hidden="1">"A35430"</definedName>
    <definedName name="FDD_96_14" hidden="1">"A35795"</definedName>
    <definedName name="FDD_96_2" hidden="1">"A31412"</definedName>
    <definedName name="FDD_96_3" hidden="1">"A31777"</definedName>
    <definedName name="FDD_96_4" hidden="1">"A32142"</definedName>
    <definedName name="FDD_96_5" hidden="1">"A32508"</definedName>
    <definedName name="FDD_96_6" hidden="1">"A32873"</definedName>
    <definedName name="FDD_96_7" hidden="1">"A33238"</definedName>
    <definedName name="FDD_96_8" hidden="1">"A33603"</definedName>
    <definedName name="FDD_96_9" hidden="1">"A33969"</definedName>
    <definedName name="FDD_97_0" hidden="1">"U30681"</definedName>
    <definedName name="FDD_97_1" hidden="1">"A31047"</definedName>
    <definedName name="FDD_97_10" hidden="1">"A34334"</definedName>
    <definedName name="FDD_97_11" hidden="1">"A34699"</definedName>
    <definedName name="FDD_97_12" hidden="1">"A35064"</definedName>
    <definedName name="FDD_97_13" hidden="1">"A35430"</definedName>
    <definedName name="FDD_97_14" hidden="1">"A35795"</definedName>
    <definedName name="FDD_97_2" hidden="1">"A31412"</definedName>
    <definedName name="FDD_97_3" hidden="1">"A31777"</definedName>
    <definedName name="FDD_97_4" hidden="1">"A32142"</definedName>
    <definedName name="FDD_97_5" hidden="1">"A32508"</definedName>
    <definedName name="FDD_97_6" hidden="1">"A32873"</definedName>
    <definedName name="FDD_97_7" hidden="1">"A33238"</definedName>
    <definedName name="FDD_97_8" hidden="1">"A33603"</definedName>
    <definedName name="FDD_97_9" hidden="1">"A33969"</definedName>
    <definedName name="FDD_98_0" hidden="1">"U30681"</definedName>
    <definedName name="FDD_98_1" hidden="1">"A31047"</definedName>
    <definedName name="FDD_98_10" hidden="1">"A34334"</definedName>
    <definedName name="FDD_98_11" hidden="1">"A34699"</definedName>
    <definedName name="FDD_98_12" hidden="1">"A35064"</definedName>
    <definedName name="FDD_98_13" hidden="1">"A35430"</definedName>
    <definedName name="FDD_98_14" hidden="1">"A35795"</definedName>
    <definedName name="FDD_98_2" hidden="1">"A31412"</definedName>
    <definedName name="FDD_98_3" hidden="1">"A31777"</definedName>
    <definedName name="FDD_98_4" hidden="1">"A32142"</definedName>
    <definedName name="FDD_98_5" hidden="1">"A32508"</definedName>
    <definedName name="FDD_98_6" hidden="1">"A32873"</definedName>
    <definedName name="FDD_98_7" hidden="1">"A33238"</definedName>
    <definedName name="FDD_98_8" hidden="1">"A33603"</definedName>
    <definedName name="FDD_98_9" hidden="1">"A33969"</definedName>
    <definedName name="FDD_99_0" hidden="1">"U30681"</definedName>
    <definedName name="FDD_99_1" hidden="1">"A31047"</definedName>
    <definedName name="FDD_99_10" hidden="1">"A34334"</definedName>
    <definedName name="FDD_99_11" hidden="1">"A34699"</definedName>
    <definedName name="FDD_99_12" hidden="1">"A35064"</definedName>
    <definedName name="FDD_99_13" hidden="1">"A35430"</definedName>
    <definedName name="FDD_99_14" hidden="1">"A35795"</definedName>
    <definedName name="FDD_99_2" hidden="1">"A31412"</definedName>
    <definedName name="FDD_99_3" hidden="1">"A31777"</definedName>
    <definedName name="FDD_99_4" hidden="1">"A32142"</definedName>
    <definedName name="FDD_99_5" hidden="1">"A32508"</definedName>
    <definedName name="FDD_99_6" hidden="1">"A32873"</definedName>
    <definedName name="FDD_99_7" hidden="1">"A33238"</definedName>
    <definedName name="FDD_99_8" hidden="1">"A33603"</definedName>
    <definedName name="FDD_99_9" hidden="1">"A33969"</definedName>
    <definedName name="FiveYearGrowthRate" localSheetId="10">IndexInformation!$B$16</definedName>
    <definedName name="FollowingYearEPS" localSheetId="10">IndexInformation!$B$15</definedName>
    <definedName name="FollowingYearTotalRevenue" localSheetId="10">IndexInformation!$B$14</definedName>
    <definedName name="FollowingYearTotalRevenueActual" localSheetId="10">IndexInformation!$B$34</definedName>
    <definedName name="fsd" hidden="1">{"Cover",#N/A,FALSE,"Cover";"Summary",#N/A,FALSE,"Summarpage"}</definedName>
    <definedName name="gfd"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Goodwill_Amortization">25</definedName>
    <definedName name="GWyears">40</definedName>
    <definedName name="help" localSheetId="1" hidden="1">{"'RCIM'!$E$128"}</definedName>
    <definedName name="help" hidden="1">{"'RCIM'!$E$128"}</definedName>
    <definedName name="hjhjhj" localSheetId="1" hidden="1">{#N/A,#N/A,FALSE,"Index";"Stmts_Qtrs",#N/A,FALSE,"Summary";"Stmts_24 mo",#N/A,FALSE,"Summary";"Summary_24",#N/A,FALSE,"Revenue";"Month_24",#N/A,FALSE,"Engineering";"Month_24",#N/A,FALSE,"Marketing";"Month_24",#N/A,FALSE,"G &amp; A";"Month_24",#N/A,FALSE,"Manufacturing"}</definedName>
    <definedName name="hjhjhj" hidden="1">{#N/A,#N/A,FALSE,"Index";"Stmts_Qtrs",#N/A,FALSE,"Summary";"Stmts_24 mo",#N/A,FALSE,"Summary";"Summary_24",#N/A,FALSE,"Revenue";"Month_24",#N/A,FALSE,"Engineering";"Month_24",#N/A,FALSE,"Marketing";"Month_24",#N/A,FALSE,"G &amp; A";"Month_24",#N/A,FALSE,"Manufacturing"}</definedName>
    <definedName name="hjhjhj_1" hidden="1">{#N/A,#N/A,FALSE,"Index";"Stmts_Qtrs",#N/A,FALSE,"Summary";"Stmts_24 mo",#N/A,FALSE,"Summary";"Summary_24",#N/A,FALSE,"Revenue";"Month_24",#N/A,FALSE,"Engineering";"Month_24",#N/A,FALSE,"Marketing";"Month_24",#N/A,FALSE,"G &amp; A";"Month_24",#N/A,FALSE,"Manufacturing"}</definedName>
    <definedName name="hjhjhj1" localSheetId="1" hidden="1">{#N/A,#N/A,FALSE,"Index";"Stmts_Qtrs",#N/A,FALSE,"Summary";"Stmts_24 mo",#N/A,FALSE,"Summary";"Summary_24",#N/A,FALSE,"Revenue";"Month_24",#N/A,FALSE,"Engineering";"Month_24",#N/A,FALSE,"Marketing";"Month_24",#N/A,FALSE,"G &amp; A";"Month_24",#N/A,FALSE,"Manufacturing"}</definedName>
    <definedName name="hjhjhj1" hidden="1">{#N/A,#N/A,FALSE,"Index";"Stmts_Qtrs",#N/A,FALSE,"Summary";"Stmts_24 mo",#N/A,FALSE,"Summary";"Summary_24",#N/A,FALSE,"Revenue";"Month_24",#N/A,FALSE,"Engineering";"Month_24",#N/A,FALSE,"Marketing";"Month_24",#N/A,FALSE,"G &amp; A";"Month_24",#N/A,FALSE,"Manufacturing"}</definedName>
    <definedName name="hjhjhj1_1" hidden="1">{#N/A,#N/A,FALSE,"Index";"Stmts_Qtrs",#N/A,FALSE,"Summary";"Stmts_24 mo",#N/A,FALSE,"Summary";"Summary_24",#N/A,FALSE,"Revenue";"Month_24",#N/A,FALSE,"Engineering";"Month_24",#N/A,FALSE,"Marketing";"Month_24",#N/A,FALSE,"G &amp; A";"Month_24",#N/A,FALSE,"Manufacturing"}</definedName>
    <definedName name="hjhjhj2" hidden="1">{#N/A,#N/A,FALSE,"Index";"Stmts_Qtrs",#N/A,FALSE,"Summary";"Stmts_24 mo",#N/A,FALSE,"Summary";"Summary_24",#N/A,FALSE,"Revenue";"Month_24",#N/A,FALSE,"Engineering";"Month_24",#N/A,FALSE,"Marketing";"Month_24",#N/A,FALSE,"G &amp; A";"Month_24",#N/A,FALSE,"Manufacturing"}</definedName>
    <definedName name="hjhjhj2_1" hidden="1">{#N/A,#N/A,FALSE,"Index";"Stmts_Qtrs",#N/A,FALSE,"Summary";"Stmts_24 mo",#N/A,FALSE,"Summary";"Summary_24",#N/A,FALSE,"Revenue";"Month_24",#N/A,FALSE,"Engineering";"Month_24",#N/A,FALSE,"Marketing";"Month_24",#N/A,FALSE,"G &amp; A";"Month_24",#N/A,FALSE,"Manufacturing"}</definedName>
    <definedName name="HL" localSheetId="11">ModPubIndex!$A$8</definedName>
    <definedName name="hn.ExtDb" hidden="1">FALSE</definedName>
    <definedName name="hn.ModelType" hidden="1">"DEAL"</definedName>
    <definedName name="hn.ModelVersion" hidden="1">1</definedName>
    <definedName name="hn.NoUpload" hidden="1">0</definedName>
    <definedName name="hn.Version">"Version 2.14"</definedName>
    <definedName name="HTML_CodePage" hidden="1">1252</definedName>
    <definedName name="HTML_Control" localSheetId="1" hidden="1">{"'Segment'!$A$1:$J$45"}</definedName>
    <definedName name="HTML_Control" hidden="1">{"'Asm'!$E$1:$AX$53"}</definedName>
    <definedName name="HTML_Description" hidden="1">""</definedName>
    <definedName name="HTML_Email" hidden="1">""</definedName>
    <definedName name="HTML_Header" localSheetId="1" hidden="1">""</definedName>
    <definedName name="HTML_Header" hidden="1">"Asm"</definedName>
    <definedName name="HTML_LastUpdate" localSheetId="1" hidden="1">""</definedName>
    <definedName name="HTML_LastUpdate" hidden="1">"10/12/98"</definedName>
    <definedName name="HTML_LineAfter" hidden="1">FALSE</definedName>
    <definedName name="HTML_LineBefore" hidden="1">FALSE</definedName>
    <definedName name="HTML_Name" localSheetId="1" hidden="1">""</definedName>
    <definedName name="HTML_Name" hidden="1">"Tom Stone"</definedName>
    <definedName name="HTML_OBDlg2" hidden="1">TRUE</definedName>
    <definedName name="HTML_OBDlg4" hidden="1">TRUE</definedName>
    <definedName name="HTML_OS" hidden="1">0</definedName>
    <definedName name="HTML_PathFile" localSheetId="1" hidden="1">"J:\carpente\Releases\Q2-00\segment2Q-00.htm"</definedName>
    <definedName name="HTML_PathFile" hidden="1">"f:\Finance\MyHTML.htm"</definedName>
    <definedName name="HTML_Title" localSheetId="1" hidden="1">"Segment and Supplemental Information"</definedName>
    <definedName name="HTML_Title" hidden="1">"PlanRpts220"</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2_10" hidden="1">""</definedName>
    <definedName name="HTML2_11" hidden="1">1</definedName>
    <definedName name="HTML2_12" hidden="1">"F:\USERS\ECON\Census95\Int\T9ST.htm"</definedName>
    <definedName name="HTML2_2" hidden="1">1</definedName>
    <definedName name="HTML2_3" hidden="1">""</definedName>
    <definedName name="HTML2_4" hidden="1">""</definedName>
    <definedName name="HTML2_5" hidden="1">""</definedName>
    <definedName name="HTML2_6" hidden="1">-4146</definedName>
    <definedName name="HTML2_7" hidden="1">-4146</definedName>
    <definedName name="HTML2_8" hidden="1">"2/17/98"</definedName>
    <definedName name="HTML2_9" hidden="1">"BPH"</definedName>
    <definedName name="HTML3_10" hidden="1">""</definedName>
    <definedName name="HTML3_11" hidden="1">1</definedName>
    <definedName name="HTML3_12" hidden="1">"F:\USERS\ECON\Census95\Int\T9st.htm"</definedName>
    <definedName name="HTML3_2" hidden="1">1</definedName>
    <definedName name="HTML3_3" hidden="1">""</definedName>
    <definedName name="HTML3_4" hidden="1">""</definedName>
    <definedName name="HTML3_5" hidden="1">""</definedName>
    <definedName name="HTML3_6" hidden="1">-4146</definedName>
    <definedName name="HTML3_7" hidden="1">-4146</definedName>
    <definedName name="HTML3_8" hidden="1">"2/17/98"</definedName>
    <definedName name="HTML3_9" hidden="1">"BPH"</definedName>
    <definedName name="HTMLCount" hidden="1">1</definedName>
    <definedName name="IncomeEPSFullyDiluted">0</definedName>
    <definedName name="IncomeEPSPrimary">0</definedName>
    <definedName name="IncomeEPSRegular">0</definedName>
    <definedName name="IND" localSheetId="11">ModPubIndex!$A$9</definedName>
    <definedName name="Industry" localSheetId="0">ImportantDisclosures!$A$12</definedName>
    <definedName name="IndustryId">IndexInformation!$B$40</definedName>
    <definedName name="IndustryRating" localSheetId="0">ImportantDisclosures!$A$13</definedName>
    <definedName name="input" localSheetId="1">{"0.614608629108408";"0.089";"0.07";"0.036";"0.09";"0.39";"0.177761404547907";"0.116071428571429";"0.708";"0.0556964285714285";"0.127160714285714"}</definedName>
    <definedName name="input">{"0.614608629108408";"0.089";"0.07";"0.036";"0.09";"0.39";"0.177761404547907";"0.116071428571429";"0.708";"0.0556964285714285";"0.127160714285714"}</definedName>
    <definedName name="Int_exp">8%</definedName>
    <definedName name="Investments" localSheetId="1">BS_LongTermInvestments</definedName>
    <definedName name="Investments">BS_LongTermInvestments</definedName>
    <definedName name="IQ_1_4_CONSTRUCTION_GROSS_LOANS_FFIEC" hidden="1">"c13402"</definedName>
    <definedName name="IQ_1_4_CONSTRUCTION_LL_REC_DOM_FFIEC" hidden="1">"c12899"</definedName>
    <definedName name="IQ_1_4_CONSTRUCTION_LOAN_COMMITMENTS_UNUSED_FFIEC" hidden="1">"c13244"</definedName>
    <definedName name="IQ_1_4_CONSTRUCTION_LOANS_DUE_30_89_FFIEC" hidden="1">"c13257"</definedName>
    <definedName name="IQ_1_4_CONSTRUCTION_LOANS_DUE_90_FFIEC" hidden="1">"c13285"</definedName>
    <definedName name="IQ_1_4_CONSTRUCTION_LOANS_NON_ACCRUAL_FFIEC" hidden="1">"c13311"</definedName>
    <definedName name="IQ_1_4_CONSTRUCTION_RISK_BASED_FFIEC" hidden="1">"c13423"</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RES_DOM_FFIEC" hidden="1">"c15269"</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BS_AVAIL_SALE_FFIEC" hidden="1">"c12802"</definedName>
    <definedName name="IQ_ABS_FFIEC" hidden="1">"c12788"</definedName>
    <definedName name="IQ_ABS_INVEST_SECURITIES_FFIEC" hidden="1">"c13461"</definedName>
    <definedName name="IQ_ABS_PERIOD" hidden="1">"c13823"</definedName>
    <definedName name="IQ_ABS_PERIOD_EST" hidden="1">"c16122"</definedName>
    <definedName name="IQ_ACCEPTANCES_OTHER_FOREIGN_BANKS_LL_REC_FFIEC" hidden="1">"c15293"</definedName>
    <definedName name="IQ_ACCEPTANCES_OTHER_US_BANKS_LL_REC_FFIEC" hidden="1">"c15292"</definedName>
    <definedName name="IQ_ACCOUNT_CHANGE" hidden="1">"c1449"</definedName>
    <definedName name="IQ_ACCOUNT_CODE_INTEREST_PENALTIES" hidden="1">"c15741"</definedName>
    <definedName name="IQ_ACCOUNTING_FFIEC" hidden="1">"c13054"</definedName>
    <definedName name="IQ_ACCOUNTING_STANDARD" hidden="1">"c4539"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RUED_INTEREST_RECEIVABLE_FFIEC" hidden="1">"c12842"</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_WIRELESS_SUB" hidden="1">"c2125"</definedName>
    <definedName name="IQ_ACQ_COSTS_CAPITALIZED" hidden="1">"c5"</definedName>
    <definedName name="IQ_ACQUIRE_REAL_ESTATE_CF" hidden="1">"c6"</definedName>
    <definedName name="IQ_ACQUIRED_BY_REPORTING_BANK_FDIC" hidden="1">"c6535"</definedName>
    <definedName name="IQ_ACQUISITION_COST_SUB" hidden="1">"c15807"</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hidden="1">"c1344"</definedName>
    <definedName name="IQ_ADD_TAX_POSITIONS_CURRENT_YR" hidden="1">"c15733"</definedName>
    <definedName name="IQ_ADD_TAX_POSITIONS_PRIOR_YRS" hidden="1">"c15735"</definedName>
    <definedName name="IQ_ADDIN" hidden="1">"AUTO"</definedName>
    <definedName name="IQ_ADDITIONAL_NON_INT_INC_FDIC" hidden="1">"c6574"</definedName>
    <definedName name="IQ_ADDITIONS_NON_ACCRUAL_ASSET_DURING_QTR_FFIEC" hidden="1">"c15349"</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DVERTISING_MARKETING_EXPENSES_FFIEC" hidden="1">"c13048"</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DILUTED" hidden="1">"c16188"</definedName>
    <definedName name="IQ_AFFO_PER_SHARE_BASIC" hidden="1">"c8869"</definedName>
    <definedName name="IQ_AFFO_PER_SHARE_DILUTED" hidden="1">"c8870"</definedName>
    <definedName name="IQ_AFS_INVEST_SECURITIES_FFIEC" hidden="1">"c13456"</definedName>
    <definedName name="IQ_AFS_SECURITIES_TIER_1_FFIEC" hidden="1">"c13343"</definedName>
    <definedName name="IQ_AFTER_TAX_INCOME_FDIC" hidden="1">"c6583"</definedName>
    <definedName name="IQ_AG_PROD_FARM_LOANS_DOM_QUARTERLY_AVG_FFIEC" hidden="1">"c15477"</definedName>
    <definedName name="IQ_AGENCY" hidden="1">"c8960"</definedName>
    <definedName name="IQ_AGENCY_INVEST_SECURITIES_FFIEC" hidden="1">"c13458"</definedName>
    <definedName name="IQ_AGG_CORPORATE_SHARES" hidden="1">"c13781"</definedName>
    <definedName name="IQ_AGG_CORPORATE_VALUE" hidden="1">"c13774"</definedName>
    <definedName name="IQ_AGG_ESOP_SHARES" hidden="1">"c13782"</definedName>
    <definedName name="IQ_AGG_ESOP_VALUE" hidden="1">"c13775"</definedName>
    <definedName name="IQ_AGG_FOUNDATION_SHARES" hidden="1">"c13783"</definedName>
    <definedName name="IQ_AGG_FOUNDATION_VALUE" hidden="1">"c13776"</definedName>
    <definedName name="IQ_AGG_HEDGEFUND_SHARES" hidden="1">"c13785"</definedName>
    <definedName name="IQ_AGG_HEDGEFUND_VALUE" hidden="1">"c13778"</definedName>
    <definedName name="IQ_AGG_INSIDER_SHARES" hidden="1">"c13780"</definedName>
    <definedName name="IQ_AGG_INSIDER_VALUE" hidden="1">"c13773"</definedName>
    <definedName name="IQ_AGG_INSTITUTIONAL_SHARES" hidden="1">"c13779"</definedName>
    <definedName name="IQ_AGG_INSTITUTIONAL_VALUE" hidden="1">"c13772"</definedName>
    <definedName name="IQ_AGG_OTHER_SHARES" hidden="1">"c13784"</definedName>
    <definedName name="IQ_AGG_OTHER_VALUE" hidden="1">"c13777"</definedName>
    <definedName name="IQ_AGRICULTURAL_GROSS_LOANS_FFIEC" hidden="1">"c13413"</definedName>
    <definedName name="IQ_AGRICULTURAL_LOANS_FOREIGN_FFIEC" hidden="1">"c13481"</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GRICULTURAL_RISK_BASED_FFIEC" hidden="1">"c13434"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_OTHER_DEPOSITS_FOREIGN_DEP_FFIEC" hidden="1">"c15347"</definedName>
    <definedName name="IQ_ALL_OTHER_INVEST_UNCONSOL_SUBS_FFIEC" hidden="1">"c15275"</definedName>
    <definedName name="IQ_ALL_OTHER_LEASES_CHARGE_OFFS_FFIEC" hidden="1">"c13185"</definedName>
    <definedName name="IQ_ALL_OTHER_LEASES_RECOV_FFIEC" hidden="1">"c13207"</definedName>
    <definedName name="IQ_ALL_OTHER_LOANS_CHARGE_OFFS_FFIEC" hidden="1">"c13183"</definedName>
    <definedName name="IQ_ALL_OTHER_LOANS_RECOV_FFIEC" hidden="1">"c13205"</definedName>
    <definedName name="IQ_ALL_OTHER_TRADING_LIABILITIES_DOM_FFIEC" hidden="1">"c12942"</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_LL_LOSSES_FFIEC" hidden="1">"c12810"</definedName>
    <definedName name="IQ_ALLOWABLE_T2_CAPITAL_FFIEC" hidden="1">"c13150"</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CREDIT_LOSSES_OFF_BS_FFIEC" hidden="1">"c12871"</definedName>
    <definedName name="IQ_ALLOWANCE_LL_LOSSES_T2_FFIEC" hidden="1">"c13146"</definedName>
    <definedName name="IQ_ALLOWANCE_NON_PERF_LOANS" hidden="1">"c25"</definedName>
    <definedName name="IQ_ALLOWANCE_TOTAL_LOANS" hidden="1">"c26"</definedName>
    <definedName name="IQ_AMENDED_BALANCE_PREVIOUS_YR_FDIC" hidden="1">"c6499"</definedName>
    <definedName name="IQ_AMORT_EXP_IMPAIRMENT_OTHER_INTANGIBLE_ASSETS_FFIEC" hidden="1">"c13026"</definedName>
    <definedName name="IQ_AMORT_EXPENSE_FDIC" hidden="1">"c6677"</definedName>
    <definedName name="IQ_AMORTIZATION" hidden="1">"c1591"</definedName>
    <definedName name="IQ_AMORTIZED_COST_FDIC" hidden="1">"c6426"</definedName>
    <definedName name="IQ_AMOUNT_FINANCIAL_LOC_CONVEYED_FFIEC" hidden="1">"c13250"</definedName>
    <definedName name="IQ_AMOUNT_PERFORMANCE_LOC_CONVEYED_FFIEC" hidden="1">"c13252"</definedName>
    <definedName name="IQ_AMT_OUT" hidden="1">"c2145"</definedName>
    <definedName name="IQ_ANALYST_DET_EST" hidden="1">"c12043"</definedName>
    <definedName name="IQ_ANALYST_DET_EST_THOM" hidden="1">"c12071"</definedName>
    <definedName name="IQ_ANALYST_EMAIL" hidden="1">"c13738"</definedName>
    <definedName name="IQ_ANALYST_NAME" hidden="1">"c13736"</definedName>
    <definedName name="IQ_ANALYST_NON_PER_DET_EST" hidden="1">"c12755"</definedName>
    <definedName name="IQ_ANALYST_NON_PER_DET_EST_THOM" hidden="1">"c12759"</definedName>
    <definedName name="IQ_ANALYST_PHONE" hidden="1">"c13737"</definedName>
    <definedName name="IQ_ANALYST_START_DATE" hidden="1">"c13740"</definedName>
    <definedName name="IQ_ANNU_DISTRIBUTION_UNIT" hidden="1">"c3004"</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NNUITY_SALES_FEES_COMMISSIONS_FFIEC" hidden="1">"c13007"</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PPLICABLE_INCOME_TAXES_FTE_FFIEC" hidden="1">"c13853"</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RPU_ANALOG_CABLE" hidden="1">"c2864"</definedName>
    <definedName name="IQ_ARPU_BASIC_CABLE" hidden="1">"c2866"</definedName>
    <definedName name="IQ_ARPU_BBAND" hidden="1">"c2867"</definedName>
    <definedName name="IQ_ARPU_DIG_CABLE" hidden="1">"c2865"</definedName>
    <definedName name="IQ_ARPU_PHONE" hidden="1">"c2868"</definedName>
    <definedName name="IQ_ARPU_POSTPAID_WIRELESS" hidden="1">"c15758"</definedName>
    <definedName name="IQ_ARPU_PREPAID_WIRELESS" hidden="1">"c15759"</definedName>
    <definedName name="IQ_ARPU_RETAIL_WIRELESS" hidden="1">"c15760"</definedName>
    <definedName name="IQ_ARPU_SATELLITE" hidden="1">"c15790"</definedName>
    <definedName name="IQ_ARPU_TOTAL" hidden="1">"c2869"</definedName>
    <definedName name="IQ_ARPU_WHOLESALE_WIRELESS" hidden="1">"c15761"</definedName>
    <definedName name="IQ_ARPU_WIRELESS"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SUPPLE" hidden="1">"c13812"</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FAIR_VALUE" hidden="1">"c13843"</definedName>
    <definedName name="IQ_ASSETS_HELD_FDIC" hidden="1">"c6305"</definedName>
    <definedName name="IQ_ASSETS_LEVEL_1" hidden="1">"c13839"</definedName>
    <definedName name="IQ_ASSETS_LEVEL_2" hidden="1">"c13840"</definedName>
    <definedName name="IQ_ASSETS_LEVEL_3" hidden="1">"c13841"</definedName>
    <definedName name="IQ_ASSETS_NAME_AP" hidden="1">"c8921"</definedName>
    <definedName name="IQ_ASSETS_NAME_AP_ABS" hidden="1">"c8940"</definedName>
    <definedName name="IQ_ASSETS_NETTING_OTHER_ADJUSTMENTS" hidden="1">"c13842"</definedName>
    <definedName name="IQ_ASSETS_OPER_LEASE_DEPR" hidden="1">"c2070"</definedName>
    <definedName name="IQ_ASSETS_OPER_LEASE_GROSS" hidden="1">"c2071"</definedName>
    <definedName name="IQ_ASSETS_PER_EMPLOYEE_FDIC" hidden="1">"c6737"</definedName>
    <definedName name="IQ_ASSETS_REPRICE_ASSETS_TOT_FFIEC" hidden="1">"c13454"</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IGNED_RESERVES_COAL" hidden="1">"c15912"</definedName>
    <definedName name="IQ_ASSIGNED_RESERVES_TO_TOTAL_RESERVES_COAL" hidden="1">"c15955"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LOSSES" hidden="1">"c15870"</definedName>
    <definedName name="IQ_ASSUMED_PC_EARNED" hidden="1">"c2746"</definedName>
    <definedName name="IQ_ASSUMED_PREMIUMS_EARNED_GROSS_PREMIUMS_EARNED" hidden="1">"c15886"</definedName>
    <definedName name="IQ_ASSUMED_PREMIUMS_WRITTEN_GROSS_PREMIUMS_WRITTEN" hidden="1">"c15884"</definedName>
    <definedName name="IQ_ASSUMED_WRITTEN" hidden="1">"c2725"</definedName>
    <definedName name="IQ_ATM_FEES_FFIEC" hidden="1">"c13042"</definedName>
    <definedName name="IQ_ATM_INTERCHANGE_EXPENSES_FFIEC" hidden="1">"c13056"</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LOANS_TOTAL_LOANS" hidden="1">"c15713"</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_FOR_SALE_FAIR_VALUE_TOT_FFIEC" hidden="1">"c15399"</definedName>
    <definedName name="IQ_AVAIL_FOR_SALE_LEVEL_1_FFIEC" hidden="1">"c15421"</definedName>
    <definedName name="IQ_AVAIL_FOR_SALE_LEVEL_2_FFIEC" hidden="1">"c15434"</definedName>
    <definedName name="IQ_AVAIL_FOR_SALE_LEVEL_3_FFIEC" hidden="1">"c15447"</definedName>
    <definedName name="IQ_AVAILABLE_FOR_SALE_FDIC" hidden="1">"c6409"</definedName>
    <definedName name="IQ_AVAILABLE_SALE_SEC_FFIEC" hidden="1">"c12791"</definedName>
    <definedName name="IQ_AVERAGE_ASSETS_FDIC" hidden="1">"c6362"</definedName>
    <definedName name="IQ_AVERAGE_ASSETS_QUART_FDIC" hidden="1">"c6363"</definedName>
    <definedName name="IQ_AVERAGE_DEPOSITS" hidden="1">"c15256"</definedName>
    <definedName name="IQ_AVERAGE_EARNING_ASSETS_FDIC" hidden="1">"c6748"</definedName>
    <definedName name="IQ_AVERAGE_EQUITY_FDIC" hidden="1">"c6749"</definedName>
    <definedName name="IQ_AVERAGE_INTEREST_BEARING_DEPOSITS" hidden="1">"c15254"</definedName>
    <definedName name="IQ_AVERAGE_LOANS_FDIC" hidden="1">"c6750"</definedName>
    <definedName name="IQ_AVERAGE_LOANS_HFI" hidden="1">"c15251"</definedName>
    <definedName name="IQ_AVERAGE_LOANS_HFS" hidden="1">"c15252"</definedName>
    <definedName name="IQ_AVERAGE_NON_INTEREST_BEARING_DEPOSITS" hidden="1">"c15255"</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 hidden="1">"c4455"</definedName>
    <definedName name="IQ_AVG_INDUSTRY_REC_CIQ" hidden="1">"c4984"</definedName>
    <definedName name="IQ_AVG_INDUSTRY_REC_NO" hidden="1">"c4454"</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INV_HOMEBUILDING" hidden="1">"c15812"</definedName>
    <definedName name="IQ_AVG_INV_HOMES" hidden="1">"c15810"</definedName>
    <definedName name="IQ_AVG_INV_LAND_LOTS" hidden="1">"c15811"</definedName>
    <definedName name="IQ_AVG_MKTCAP" hidden="1">"c80"</definedName>
    <definedName name="IQ_AVG_PRICE" hidden="1">"c81"</definedName>
    <definedName name="IQ_AVG_PRICE_TARGET" hidden="1">"c82"</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TOTAL_ASSETS_LEVERAGE_CAPITAL_FFIEC" hidden="1">"c13159"</definedName>
    <definedName name="IQ_AVG_TOTAL_ASSETS_LEVERAGE_RATIO_FFIEC" hidden="1">"c13154"</definedName>
    <definedName name="IQ_AVG_VOLUME" hidden="1">"c1346"</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 hidden="1">"c8353"</definedName>
    <definedName name="IQ_BALANCE_GOODS_APR_FC_UNUSED_UNUSED_UNUSED" hidden="1">"c8353"</definedName>
    <definedName name="IQ_BALANCE_GOODS_APR_UNUSED" hidden="1">"c7473"</definedName>
    <definedName name="IQ_BALANCE_GOODS_APR_UNUSED_UNUSED_UNUSED" hidden="1">"c7473"</definedName>
    <definedName name="IQ_BALANCE_GOODS_FC_UNUSED" hidden="1">"c7693"</definedName>
    <definedName name="IQ_BALANCE_GOODS_FC_UNUSED_UNUSED_UNUSED" hidden="1">"c7693"</definedName>
    <definedName name="IQ_BALANCE_GOODS_POP_FC_UNUSED" hidden="1">"c7913"</definedName>
    <definedName name="IQ_BALANCE_GOODS_POP_FC_UNUSED_UNUSED_UNUSED" hidden="1">"c7913"</definedName>
    <definedName name="IQ_BALANCE_GOODS_POP_UNUSED" hidden="1">"c7033"</definedName>
    <definedName name="IQ_BALANCE_GOODS_POP_UNUSED_UNUSED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 hidden="1">"c6813"</definedName>
    <definedName name="IQ_BALANCE_GOODS_UNUSED_UNUSED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 hidden="1">"c8133"</definedName>
    <definedName name="IQ_BALANCE_GOODS_YOY_FC_UNUSED_UNUSED_UNUSED" hidden="1">"c8133"</definedName>
    <definedName name="IQ_BALANCE_GOODS_YOY_UNUSED" hidden="1">"c7253"</definedName>
    <definedName name="IQ_BALANCE_GOODS_YOY_UNUSED_UNUSED_UNUSED" hidden="1">"c7253"</definedName>
    <definedName name="IQ_BALANCE_SERV_APR_FC_UNUSED" hidden="1">"c8355"</definedName>
    <definedName name="IQ_BALANCE_SERV_APR_FC_UNUSED_UNUSED_UNUSED" hidden="1">"c8355"</definedName>
    <definedName name="IQ_BALANCE_SERV_APR_UNUSED" hidden="1">"c7475"</definedName>
    <definedName name="IQ_BALANCE_SERV_APR_UNUSED_UNUSED_UNUSED" hidden="1">"c7475"</definedName>
    <definedName name="IQ_BALANCE_SERV_FC_UNUSED" hidden="1">"c7695"</definedName>
    <definedName name="IQ_BALANCE_SERV_FC_UNUSED_UNUSED_UNUSED" hidden="1">"c7695"</definedName>
    <definedName name="IQ_BALANCE_SERV_POP_FC_UNUSED" hidden="1">"c7915"</definedName>
    <definedName name="IQ_BALANCE_SERV_POP_FC_UNUSED_UNUSED_UNUSED" hidden="1">"c7915"</definedName>
    <definedName name="IQ_BALANCE_SERV_POP_UNUSED" hidden="1">"c7035"</definedName>
    <definedName name="IQ_BALANCE_SERV_POP_UNUSED_UNUSED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 hidden="1">"c6815"</definedName>
    <definedName name="IQ_BALANCE_SERV_UNUSED_UNUSED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 hidden="1">"c8135"</definedName>
    <definedName name="IQ_BALANCE_SERV_YOY_FC_UNUSED_UNUSED_UNUSED" hidden="1">"c8135"</definedName>
    <definedName name="IQ_BALANCE_SERV_YOY_UNUSED" hidden="1">"c7255"</definedName>
    <definedName name="IQ_BALANCE_SERV_YOY_UNUSED_UNUSED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 hidden="1">"c8357"</definedName>
    <definedName name="IQ_BALANCE_TRADE_APR_FC_UNUSED_UNUSED_UNUSED" hidden="1">"c8357"</definedName>
    <definedName name="IQ_BALANCE_TRADE_APR_UNUSED" hidden="1">"c7477"</definedName>
    <definedName name="IQ_BALANCE_TRADE_APR_UNUSED_UNUSED_UNUSED" hidden="1">"c7477"</definedName>
    <definedName name="IQ_BALANCE_TRADE_FC_UNUSED" hidden="1">"c7697"</definedName>
    <definedName name="IQ_BALANCE_TRADE_FC_UNUSED_UNUSED_UNUSED" hidden="1">"c7697"</definedName>
    <definedName name="IQ_BALANCE_TRADE_POP_FC_UNUSED" hidden="1">"c7917"</definedName>
    <definedName name="IQ_BALANCE_TRADE_POP_FC_UNUSED_UNUSED_UNUSED" hidden="1">"c7917"</definedName>
    <definedName name="IQ_BALANCE_TRADE_POP_UNUSED" hidden="1">"c7037"</definedName>
    <definedName name="IQ_BALANCE_TRADE_POP_UNUSED_UNUSED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 hidden="1">"c6817"</definedName>
    <definedName name="IQ_BALANCE_TRADE_UNUSED_UNUSED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 hidden="1">"c8137"</definedName>
    <definedName name="IQ_BALANCE_TRADE_YOY_FC_UNUSED_UNUSED_UNUSED" hidden="1">"c8137"</definedName>
    <definedName name="IQ_BALANCE_TRADE_YOY_UNUSED" hidden="1">"c7257"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LOAN_LIST" hidden="1">"c13507"</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ING_FEES_OPERATING_INC_FFIEC" hidden="1">"c13386"</definedName>
    <definedName name="IQ_BANKS_FOREIGN_COUNTRIES_NON_TRANS_ACCTS_FFIEC" hidden="1">"c15326"</definedName>
    <definedName name="IQ_BANKS_FOREIGN_COUNTRIES_TOTAL_DEPOSITS_FDIC" hidden="1">"c6475"</definedName>
    <definedName name="IQ_BANKS_FOREIGN_COUNTRIES_TRANS_ACCTS_FFIEC" hidden="1">"c15318"</definedName>
    <definedName name="IQ_BASE_RENT" hidden="1">"c16017"</definedName>
    <definedName name="IQ_BASE_RENT_OPERATING_LEASE_EXPIRING_AFTER_FIVE" hidden="1">"c16107"</definedName>
    <definedName name="IQ_BASE_RENT_OPERATING_LEASE_EXPIRING_CY" hidden="1">"c16101"</definedName>
    <definedName name="IQ_BASE_RENT_OPERATING_LEASE_EXPIRING_CY1" hidden="1">"c16102"</definedName>
    <definedName name="IQ_BASE_RENT_OPERATING_LEASE_EXPIRING_CY2" hidden="1">"c16103"</definedName>
    <definedName name="IQ_BASE_RENT_OPERATING_LEASE_EXPIRING_CY3" hidden="1">"c16104"</definedName>
    <definedName name="IQ_BASE_RENT_OPERATING_LEASE_EXPIRING_CY4" hidden="1">"c16105"</definedName>
    <definedName name="IQ_BASE_RENT_OPERATING_LEASE_EXPIRING_NEXT_FIVE" hidden="1">"c16106"</definedName>
    <definedName name="IQ_BASE_RENT_OPERATING_LEASE_EXPIRING_TOTAL" hidden="1">"c16108"</definedName>
    <definedName name="IQ_BASE_RENT_RENTAL_REVENUE" hidden="1">"c16062"</definedName>
    <definedName name="IQ_BASIC_EPS_EXCL" hidden="1">"c85"</definedName>
    <definedName name="IQ_BASIC_EPS_INCL" hidden="1">"c86"</definedName>
    <definedName name="IQ_BASIC_NAV_SHARES" hidden="1">"c16012"</definedName>
    <definedName name="IQ_BASIC_NORMAL_EPS" hidden="1">"c1592"</definedName>
    <definedName name="IQ_BASIC_OUTSTANDING_CURRENT_EST" hidden="1">"c4128"</definedName>
    <definedName name="IQ_BASIC_OUTSTANDING_CURRENT_HIGH_EST" hidden="1">"c4129"</definedName>
    <definedName name="IQ_BASIC_OUTSTANDING_CURRENT_LOW_EST" hidden="1">"c4130"</definedName>
    <definedName name="IQ_BASIC_OUTSTANDING_CURRENT_MEDIAN_EST" hidden="1">"c4131"</definedName>
    <definedName name="IQ_BASIC_OUTSTANDING_CURRENT_NUM_EST" hidden="1">"c4132"</definedName>
    <definedName name="IQ_BASIC_OUTSTANDING_CURRENT_STDDEV_EST" hidden="1">"c4133"</definedName>
    <definedName name="IQ_BASIC_OUTSTANDING_EST" hidden="1">"c4134"</definedName>
    <definedName name="IQ_BASIC_OUTSTANDING_HIGH_EST" hidden="1">"c4135"</definedName>
    <definedName name="IQ_BASIC_OUTSTANDING_LOW_EST" hidden="1">"c4136"</definedName>
    <definedName name="IQ_BASIC_OUTSTANDING_MEDIAN_EST" hidden="1">"c4137"</definedName>
    <definedName name="IQ_BASIC_OUTSTANDING_NUM_EST" hidden="1">"c4138"</definedName>
    <definedName name="IQ_BASIC_OUTSTANDING_STDDEV_EST" hidden="1">"c4139"</definedName>
    <definedName name="IQ_BASIC_WEIGHT" hidden="1">"c87"</definedName>
    <definedName name="IQ_BASIC_WEIGHT_EST" hidden="1">"c4140"</definedName>
    <definedName name="IQ_BASIC_WEIGHT_GUIDANCE" hidden="1">"c4141"</definedName>
    <definedName name="IQ_BASIC_WEIGHT_HIGH_EST" hidden="1">"c4142"</definedName>
    <definedName name="IQ_BASIC_WEIGHT_LOW_EST" hidden="1">"c4143"</definedName>
    <definedName name="IQ_BASIC_WEIGHT_MEDIAN_EST" hidden="1">"c4144"</definedName>
    <definedName name="IQ_BASIC_WEIGHT_NUM_EST" hidden="1">"c4145"</definedName>
    <definedName name="IQ_BASIC_WEIGHT_STDDEV_EST" hidden="1">"c4146"</definedName>
    <definedName name="IQ_BENCHMARK_SECURITY" hidden="1">"c2154"</definedName>
    <definedName name="IQ_BENCHMARK_SPRD" hidden="1">"c2153"</definedName>
    <definedName name="IQ_BENCHMARK_YIELD" hidden="1">"c8955"</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ALL_OTHER_COMP" hidden="1">"c18992"</definedName>
    <definedName name="IQ_BOARD_MEMBER_ANNUAL_CASH_COMP" hidden="1">"c18993"</definedName>
    <definedName name="IQ_BOARD_MEMBER_AS_REPORTED_COMP" hidden="1">"c18997"</definedName>
    <definedName name="IQ_BOARD_MEMBER_AS_REPORTED_DIRECTOR_COMP" hidden="1">"c19009"</definedName>
    <definedName name="IQ_BOARD_MEMBER_ASSISTANT_EMAIL" hidden="1">"c15179"</definedName>
    <definedName name="IQ_BOARD_MEMBER_ASSISTANT_FAX" hidden="1">"c15181"</definedName>
    <definedName name="IQ_BOARD_MEMBER_ASSISTANT_NAME" hidden="1">"c15178"</definedName>
    <definedName name="IQ_BOARD_MEMBER_ASSISTANT_PHONE" hidden="1">"c15180"</definedName>
    <definedName name="IQ_BOARD_MEMBER_BACKGROUND" hidden="1">"c2101"</definedName>
    <definedName name="IQ_BOARD_MEMBER_BONUS" hidden="1">"c18988"</definedName>
    <definedName name="IQ_BOARD_MEMBER_CALCULATED_COMP" hidden="1">"c18995"</definedName>
    <definedName name="IQ_BOARD_MEMBER_CHANGE_PENSION" hidden="1">"c19010"</definedName>
    <definedName name="IQ_BOARD_MEMBER_DIRECT_FAX" hidden="1">"c15176"</definedName>
    <definedName name="IQ_BOARD_MEMBER_DIRECT_PHONE" hidden="1">"c15175"</definedName>
    <definedName name="IQ_BOARD_MEMBER_DIRECTOR_BONUS" hidden="1">"c19004"</definedName>
    <definedName name="IQ_BOARD_MEMBER_DIRECTOR_CHANGE_PENSION" hidden="1">"c19005"</definedName>
    <definedName name="IQ_BOARD_MEMBER_DIRECTOR_FEE" hidden="1">"c19001"</definedName>
    <definedName name="IQ_BOARD_MEMBER_DIRECTOR_NON_EQUITY_COMP" hidden="1">"c19006"</definedName>
    <definedName name="IQ_BOARD_MEMBER_DIRECTOR_OPTION_AWARDS" hidden="1">"c19002"</definedName>
    <definedName name="IQ_BOARD_MEMBER_DIRECTOR_OTHER" hidden="1">"c19003"</definedName>
    <definedName name="IQ_BOARD_MEMBER_DIRECTOR_STOCK_AWARDS" hidden="1">"c19007"</definedName>
    <definedName name="IQ_BOARD_MEMBER_DIRECTOR_STOCK_GRANTS" hidden="1">"c19034"</definedName>
    <definedName name="IQ_BOARD_MEMBER_DIRECTOR_STOCK_OPTIONS" hidden="1">"c19008"</definedName>
    <definedName name="IQ_BOARD_MEMBER_EMAIL" hidden="1">"c15177"</definedName>
    <definedName name="IQ_BOARD_MEMBER_EQUITY_INCENTIVE" hidden="1">"c19030"</definedName>
    <definedName name="IQ_BOARD_MEMBER_EST_PAYMENTS_CHANGE_CONTROL" hidden="1">"c18999"</definedName>
    <definedName name="IQ_BOARD_MEMBER_EST_PAYMENTS_TERMINATION" hidden="1">"c19011"</definedName>
    <definedName name="IQ_BOARD_MEMBER_EXERCISABLE_OPTIONS" hidden="1">"c19014"</definedName>
    <definedName name="IQ_BOARD_MEMBER_EXERCISABLE_VALUES" hidden="1">"c19015"</definedName>
    <definedName name="IQ_BOARD_MEMBER_EXERCISED_OPTIONS" hidden="1">"c19012"</definedName>
    <definedName name="IQ_BOARD_MEMBER_EXERCISED_VALUES" hidden="1">"c19013"</definedName>
    <definedName name="IQ_BOARD_MEMBER_ID" hidden="1">"c13756"</definedName>
    <definedName name="IQ_BOARD_MEMBER_LT_INCENTIVE" hidden="1">"c18991"</definedName>
    <definedName name="IQ_BOARD_MEMBER_MAIN_FAX" hidden="1">"c15174"</definedName>
    <definedName name="IQ_BOARD_MEMBER_MAIN_PHONE" hidden="1">"c15173"</definedName>
    <definedName name="IQ_BOARD_MEMBER_MARKET_VALUE_SHARES_NOT_VESTED" hidden="1">"c19029"</definedName>
    <definedName name="IQ_BOARD_MEMBER_NON_EQUITY_INCENTIVE" hidden="1">"c19000"</definedName>
    <definedName name="IQ_BOARD_MEMBER_NUM_SHARED_NOT_VESTED" hidden="1">"c19028"</definedName>
    <definedName name="IQ_BOARD_MEMBER_NUM_SHARES_ACQUIRED" hidden="1">"c19026"</definedName>
    <definedName name="IQ_BOARD_MEMBER_OFFICE_ADDRESS" hidden="1">"c15172"</definedName>
    <definedName name="IQ_BOARD_MEMBER_OPTION_AWARDS" hidden="1">"c18996"</definedName>
    <definedName name="IQ_BOARD_MEMBER_OPTION_MARKET_PRICE" hidden="1">"c19025"</definedName>
    <definedName name="IQ_BOARD_MEMBER_OPTION_PRICE" hidden="1">"c19024"</definedName>
    <definedName name="IQ_BOARD_MEMBER_OTHER_ANNUAL_COMP" hidden="1">"c18989"</definedName>
    <definedName name="IQ_BOARD_MEMBER_OTHER_COMP" hidden="1">"c18998"</definedName>
    <definedName name="IQ_BOARD_MEMBER_RESTRICTED_STOCK_COMP" hidden="1">"c18990"</definedName>
    <definedName name="IQ_BOARD_MEMBER_SALARY" hidden="1">"c18987"</definedName>
    <definedName name="IQ_BOARD_MEMBER_ST_COMP" hidden="1">"c18994"</definedName>
    <definedName name="IQ_BOARD_MEMBER_TITLE" hidden="1">"c97"</definedName>
    <definedName name="IQ_BOARD_MEMBER_TOTAL_NUM_STOCK_AWARDS" hidden="1">"c19033"</definedName>
    <definedName name="IQ_BOARD_MEMBER_TOTAL_OPTIONS" hidden="1">"c19022"</definedName>
    <definedName name="IQ_BOARD_MEMBER_TOTAL_STOCK_VALUE" hidden="1">"c19032"</definedName>
    <definedName name="IQ_BOARD_MEMBER_TOTAL_VALUE_OPTIONS" hidden="1">"c19023"</definedName>
    <definedName name="IQ_BOARD_MEMBER_UNCLASSIFIED_OPTIONS" hidden="1">"c19018"</definedName>
    <definedName name="IQ_BOARD_MEMBER_UNCLASSIFIED_OPTIONS_VALUE" hidden="1">"c19019"</definedName>
    <definedName name="IQ_BOARD_MEMBER_UNEARNED_STOCK_VALUE" hidden="1">"c19031"</definedName>
    <definedName name="IQ_BOARD_MEMBER_UNEXERCISABLE_OPTIONS" hidden="1">"c19016"</definedName>
    <definedName name="IQ_BOARD_MEMBER_UNEXERCISABLE_VALUES" hidden="1">"c19017"</definedName>
    <definedName name="IQ_BOARD_MEMBER_UNEXERCISED_UNEARNED_OPTIONS" hidden="1">"c19020"</definedName>
    <definedName name="IQ_BOARD_MEMBER_UNEXERCISED_UNEARNED_OPTIONS_VALUE" hidden="1">"c19021"</definedName>
    <definedName name="IQ_BOARD_MEMBER_VALUE_VESTING" hidden="1">"c19027"</definedName>
    <definedName name="IQ_BOND_COUPON" hidden="1">"c2183"</definedName>
    <definedName name="IQ_BOND_COUPON_TYPE" hidden="1">"c2184"</definedName>
    <definedName name="IQ_BOND_LIST" hidden="1">"c13505"</definedName>
    <definedName name="IQ_BOND_PRICE" hidden="1">"c2162"</definedName>
    <definedName name="IQ_BORROWED_MONEY_QUARTERLY_AVG_FFIEC" hidden="1">"c13091"</definedName>
    <definedName name="IQ_BORROWINGS_LESS_1YR_ASSETS_TOT_FFIEC" hidden="1">"c13450"</definedName>
    <definedName name="IQ_BR_FILING_DATE" hidden="1">"c16223"</definedName>
    <definedName name="IQ_BR_FILING_TYPE" hidden="1">"c16224"</definedName>
    <definedName name="IQ_BR_PLAN_APPROVE_DATE" hidden="1">"c16226"</definedName>
    <definedName name="IQ_BR_PLAN_CONFIRM" hidden="1">"c16225"</definedName>
    <definedName name="IQ_BROK_COMISSION" hidden="1">"c98"</definedName>
    <definedName name="IQ_BROK_COMMISSION" hidden="1">"c3514"</definedName>
    <definedName name="IQ_BROKER_DEPOSIT_LESS_THAN_100000_1_YR_LESS_FFIEC" hidden="1">"c15307"</definedName>
    <definedName name="IQ_BROKER_DEPOSIT_LESS_THAN_100000_1_YR_MORE_FFIEC" hidden="1">"c15308"</definedName>
    <definedName name="IQ_BROKER_DEPOSIT_LESS_THAN_100000_FFIEC" hidden="1">"c15306"</definedName>
    <definedName name="IQ_BROKER_DEPOSIT_MORE_THAN_100000_1_YR_LESS_FFIEC" hidden="1">"c15310"</definedName>
    <definedName name="IQ_BROKER_DEPOSIT_MORE_THAN_100000_1_YR_MORE_FFIEC" hidden="1">"c15311"</definedName>
    <definedName name="IQ_BROKER_DEPOSIT_MORE_THAN_100000_FFIEC" hidden="1">"c15309"</definedName>
    <definedName name="IQ_BROKERED_DEPOSITS_FDIC" hidden="1">"c6486"</definedName>
    <definedName name="IQ_BUDGET_BALANCE_APR_FC_UNUSED" hidden="1">"c8359"</definedName>
    <definedName name="IQ_BUDGET_BALANCE_APR_FC_UNUSED_UNUSED_UNUSED" hidden="1">"c8359"</definedName>
    <definedName name="IQ_BUDGET_BALANCE_APR_UNUSED" hidden="1">"c7479"</definedName>
    <definedName name="IQ_BUDGET_BALANCE_APR_UNUSED_UNUSED_UNUSED" hidden="1">"c7479"</definedName>
    <definedName name="IQ_BUDGET_BALANCE_FC_UNUSED" hidden="1">"c7699"</definedName>
    <definedName name="IQ_BUDGET_BALANCE_FC_UNUSED_UNUSED_UNUSED" hidden="1">"c7699"</definedName>
    <definedName name="IQ_BUDGET_BALANCE_POP_FC_UNUSED" hidden="1">"c7919"</definedName>
    <definedName name="IQ_BUDGET_BALANCE_POP_FC_UNUSED_UNUSED_UNUSED" hidden="1">"c7919"</definedName>
    <definedName name="IQ_BUDGET_BALANCE_POP_UNUSED" hidden="1">"c7039"</definedName>
    <definedName name="IQ_BUDGET_BALANCE_POP_UNUSED_UNUSED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 hidden="1">"c6819"</definedName>
    <definedName name="IQ_BUDGET_BALANCE_UNUSED_UNUSED_UNUSED" hidden="1">"c6819"</definedName>
    <definedName name="IQ_BUDGET_BALANCE_YOY_FC_UNUSED" hidden="1">"c8139"</definedName>
    <definedName name="IQ_BUDGET_BALANCE_YOY_FC_UNUSED_UNUSED_UNUSED" hidden="1">"c8139"</definedName>
    <definedName name="IQ_BUDGET_BALANCE_YOY_UNUSED" hidden="1">"c7259"</definedName>
    <definedName name="IQ_BUDGET_BALANCE_YOY_UNUSED_UNUSED_UNUSED" hidden="1">"c7259"</definedName>
    <definedName name="IQ_BUDGET_RECEIPTS_APR_FC_UNUSED" hidden="1">"c8361"</definedName>
    <definedName name="IQ_BUDGET_RECEIPTS_APR_FC_UNUSED_UNUSED_UNUSED" hidden="1">"c8361"</definedName>
    <definedName name="IQ_BUDGET_RECEIPTS_APR_UNUSED" hidden="1">"c7481"</definedName>
    <definedName name="IQ_BUDGET_RECEIPTS_APR_UNUSED_UNUSED_UNUSED" hidden="1">"c7481"</definedName>
    <definedName name="IQ_BUDGET_RECEIPTS_FC_UNUSED" hidden="1">"c7701"</definedName>
    <definedName name="IQ_BUDGET_RECEIPTS_FC_UNUSED_UNUSED_UNUSED" hidden="1">"c7701"</definedName>
    <definedName name="IQ_BUDGET_RECEIPTS_POP_FC_UNUSED" hidden="1">"c7921"</definedName>
    <definedName name="IQ_BUDGET_RECEIPTS_POP_FC_UNUSED_UNUSED_UNUSED" hidden="1">"c7921"</definedName>
    <definedName name="IQ_BUDGET_RECEIPTS_POP_UNUSED" hidden="1">"c7041"</definedName>
    <definedName name="IQ_BUDGET_RECEIPTS_POP_UNUSED_UNUSED_UNUSED" hidden="1">"c7041"</definedName>
    <definedName name="IQ_BUDGET_RECEIPTS_UNUSED" hidden="1">"c6821"</definedName>
    <definedName name="IQ_BUDGET_RECEIPTS_UNUSED_UNUSED_UNUSED" hidden="1">"c6821"</definedName>
    <definedName name="IQ_BUDGET_RECEIPTS_YOY_FC_UNUSED" hidden="1">"c8141"</definedName>
    <definedName name="IQ_BUDGET_RECEIPTS_YOY_FC_UNUSED_UNUSED_UNUSED" hidden="1">"c8141"</definedName>
    <definedName name="IQ_BUDGET_RECEIPTS_YOY_UNUSED" hidden="1">"c7261"</definedName>
    <definedName name="IQ_BUDGET_RECEIPTS_YOY_UNUSED_UNUSED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DESCRIPTION" hidden="1">"c15589"</definedName>
    <definedName name="IQ_BUS_SEG_DESCRIPTION_ABS" hidden="1">"c15577"</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IC" hidden="1">"c15588"</definedName>
    <definedName name="IQ_BUS_SEG_NAIC_ABS" hidden="1">"c15576"</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PRIMARY_GIC" hidden="1">"c15584"</definedName>
    <definedName name="IQ_BUS_SEG_PRIMARY_GIC_ABS" hidden="1">"c15572"</definedName>
    <definedName name="IQ_BUS_SEG_PRIMARY_SIC" hidden="1">"c15586"</definedName>
    <definedName name="IQ_BUS_SEG_PRIMARY_SIC_ABS" hidden="1">"c15574"</definedName>
    <definedName name="IQ_BUS_SEG_REV" hidden="1">"c4068"</definedName>
    <definedName name="IQ_BUS_SEG_REV_ABS" hidden="1">"c4090"</definedName>
    <definedName name="IQ_BUS_SEG_REV_TOTAL" hidden="1">"c4106"</definedName>
    <definedName name="IQ_BUS_SEG_SECONDARY_GIC" hidden="1">"c15585"</definedName>
    <definedName name="IQ_BUS_SEG_SECONDARY_GIC_ABS" hidden="1">"c15573"</definedName>
    <definedName name="IQ_BUS_SEG_SECONDARY_SIC" hidden="1">"c15587"</definedName>
    <definedName name="IQ_BUS_SEG_SECONDARY_SIC_ABS" hidden="1">"c15575"</definedName>
    <definedName name="IQ_BUSINESS_COMBINATIONS_FFIEC" hidden="1">"c12967"</definedName>
    <definedName name="IQ_BUSINESS_DESCRIPTION" hidden="1">"c322"</definedName>
    <definedName name="IQ_BV_ACT_OR_EST_CIQ" hidden="1">"c5068"</definedName>
    <definedName name="IQ_BV_EST" hidden="1">"c5624"</definedName>
    <definedName name="IQ_BV_HIGH_EST" hidden="1">"c5626"</definedName>
    <definedName name="IQ_BV_LOW_EST" hidden="1">"c5627"</definedName>
    <definedName name="IQ_BV_MEDIAN_EST" hidden="1">"c5625"</definedName>
    <definedName name="IQ_BV_NUM_EST" hidden="1">"c5628"</definedName>
    <definedName name="IQ_BV_OVER_SHARES" hidden="1">"c1349"</definedName>
    <definedName name="IQ_BV_SHARE" hidden="1">"c100"</definedName>
    <definedName name="IQ_BV_SHARE_ACT_OR_EST" hidden="1">"c3587"</definedName>
    <definedName name="IQ_BV_SHARE_ACT_OR_EST_THOM" hidden="1">"c5312"</definedName>
    <definedName name="IQ_BV_SHARE_DET_EST" hidden="1">"c12047"</definedName>
    <definedName name="IQ_BV_SHARE_DET_EST_CURRENCY" hidden="1">"c12456"</definedName>
    <definedName name="IQ_BV_SHARE_DET_EST_CURRENCY_THOM" hidden="1">"c12476"</definedName>
    <definedName name="IQ_BV_SHARE_DET_EST_DATE" hidden="1">"c12200"</definedName>
    <definedName name="IQ_BV_SHARE_DET_EST_DATE_THOM" hidden="1">"c12225"</definedName>
    <definedName name="IQ_BV_SHARE_DET_EST_INCL" hidden="1">"c12339"</definedName>
    <definedName name="IQ_BV_SHARE_DET_EST_INCL_THOM" hidden="1">"c12359"</definedName>
    <definedName name="IQ_BV_SHARE_DET_EST_ORIGIN" hidden="1">"c12573"</definedName>
    <definedName name="IQ_BV_SHARE_DET_EST_ORIGIN_THOM" hidden="1">"c12595"</definedName>
    <definedName name="IQ_BV_SHARE_DET_EST_THOM" hidden="1">"c12075"</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 hidden="1">"c5629"</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BUS_PHONE" hidden="1">"c15773"</definedName>
    <definedName name="IQ_CABLE_SUBS_DIG" hidden="1">"c2856"</definedName>
    <definedName name="IQ_CABLE_SUBS_LONG_DIST_PHONE" hidden="1">"c15775"</definedName>
    <definedName name="IQ_CABLE_SUBS_NON_VIDEO" hidden="1">"c2860"</definedName>
    <definedName name="IQ_CABLE_SUBS_PHONE" hidden="1">"c2859"</definedName>
    <definedName name="IQ_CABLE_SUBS_RES_PHONE" hidden="1">"c15772"</definedName>
    <definedName name="IQ_CABLE_SUBS_SATELITE" hidden="1">"c15771"</definedName>
    <definedName name="IQ_CABLE_SUBS_TOTAL" hidden="1">"c2862"</definedName>
    <definedName name="IQ_CABLE_SUBS_WHOLE_PHONE" hidden="1">"c15774"</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Q_EST_REUT" hidden="1">"c6800"</definedName>
    <definedName name="IQ_CAL_Q_EST_THOM" hidden="1">"c6804"</definedName>
    <definedName name="IQ_CAL_Y" hidden="1">"c102"</definedName>
    <definedName name="IQ_CAL_Y_EST" hidden="1">"c6797"</definedName>
    <definedName name="IQ_CAL_Y_EST_CIQ" hidden="1">"c6809"</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INVEST_CABLE" hidden="1">"c15794"</definedName>
    <definedName name="IQ_CAP_INVEST_COMMERCIAL" hidden="1">"c15800"</definedName>
    <definedName name="IQ_CAP_INVEST_CUST_PREMISE_EQUIP" hidden="1">"c15795"</definedName>
    <definedName name="IQ_CAP_INVEST_LINE_EXTENSIONS" hidden="1">"c15797"</definedName>
    <definedName name="IQ_CAP_INVEST_SCALABLE_INFRASTRUCTURE" hidden="1">"c15796"</definedName>
    <definedName name="IQ_CAP_INVEST_SUPPORT" hidden="1">"c15799"</definedName>
    <definedName name="IQ_CAP_INVEST_UPGRADE_REBUILD" hidden="1">"c15798"</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DET_EST" hidden="1">"c12048"</definedName>
    <definedName name="IQ_CAPEX_DET_EST_CURRENCY" hidden="1">"c12457"</definedName>
    <definedName name="IQ_CAPEX_DET_EST_CURRENCY_THOM" hidden="1">"c12477"</definedName>
    <definedName name="IQ_CAPEX_DET_EST_DATE" hidden="1">"c12201"</definedName>
    <definedName name="IQ_CAPEX_DET_EST_DATE_THOM" hidden="1">"c12226"</definedName>
    <definedName name="IQ_CAPEX_DET_EST_INCL" hidden="1">"c12340"</definedName>
    <definedName name="IQ_CAPEX_DET_EST_INCL_THOM" hidden="1">"c12360"</definedName>
    <definedName name="IQ_CAPEX_DET_EST_ORIGIN" hidden="1">"c12765"</definedName>
    <definedName name="IQ_CAPEX_DET_EST_ORIGIN_THOM" hidden="1">"c12596"</definedName>
    <definedName name="IQ_CAPEX_DET_EST_THOM" hidden="1">"c12076"</definedName>
    <definedName name="IQ_CAPEX_EST" hidden="1">"c3523"</definedName>
    <definedName name="IQ_CAPEX_EST_THOM" hidden="1">"c5502"</definedName>
    <definedName name="IQ_CAPEX_FIN" hidden="1">"c112"</definedName>
    <definedName name="IQ_CAPEX_GUIDANCE" hidden="1">"c4150"</definedName>
    <definedName name="IQ_CAPEX_GUIDANCE_CIQ" hidden="1">"c4562"</definedName>
    <definedName name="IQ_CAPEX_GUIDANCE_CIQ_COL" hidden="1">"c11211"</definedName>
    <definedName name="IQ_CAPEX_HIGH_EST" hidden="1">"c3524"</definedName>
    <definedName name="IQ_CAPEX_HIGH_EST_THOM" hidden="1">"c5504"</definedName>
    <definedName name="IQ_CAPEX_HIGH_GUIDANCE" hidden="1">"c4180"</definedName>
    <definedName name="IQ_CAPEX_HIGH_GUIDANCE_CIQ" hidden="1">"c4592"</definedName>
    <definedName name="IQ_CAPEX_HIGH_GUIDANCE_CIQ_COL" hidden="1">"c11241"</definedName>
    <definedName name="IQ_CAPEX_INS" hidden="1">"c113"</definedName>
    <definedName name="IQ_CAPEX_LOW_EST" hidden="1">"c3525"</definedName>
    <definedName name="IQ_CAPEX_LOW_EST_THOM" hidden="1">"c5505"</definedName>
    <definedName name="IQ_CAPEX_LOW_GUIDANCE" hidden="1">"c4220"</definedName>
    <definedName name="IQ_CAPEX_LOW_GUIDANCE_CIQ" hidden="1">"c4632"</definedName>
    <definedName name="IQ_CAPEX_LOW_GUIDANCE_CIQ_COL" hidden="1">"c11281"</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PCT_REV" hidden="1">"c19144"</definedName>
    <definedName name="IQ_CAPEX_STDDEV_EST" hidden="1">"c3522"</definedName>
    <definedName name="IQ_CAPEX_STDDEV_EST_THOM" hidden="1">"c5507"</definedName>
    <definedName name="IQ_CAPEX_UTI" hidden="1">"c114"</definedName>
    <definedName name="IQ_CAPITAL_ALLOCATION_ADJUSTMENT_FOREIGN_FFIEC" hidden="1">"c15389"</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_UNDER_MANAGE" hidden="1">"c18929"</definedName>
    <definedName name="IQ_CAPITAL_UNDER_MANAGE_CURRENCY" hidden="1">"c19171"</definedName>
    <definedName name="IQ_CAPITAL_UNDER_MANAGE_DATE" hidden="1">"c18930"</definedName>
    <definedName name="IQ_CAPITALIZED_INTEREST" localSheetId="1" hidden="1">"c3460"</definedName>
    <definedName name="IQ_CAPITALIZED_INTEREST" hidden="1">"c2076"</definedName>
    <definedName name="IQ_CAPITALIZED_INTEREST_1"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localSheetId="1" hidden="1">"c116"</definedName>
    <definedName name="IQ_CASH_ACQUIRE_CF" hidden="1">"c1630"</definedName>
    <definedName name="IQ_CASH_BALANCES_DUE_FFIEC" hidden="1">"c12773"</definedName>
    <definedName name="IQ_CASH_BANKS_FOREIGN_COUNTRIES_DOM_FFIEC" hidden="1">"c15289"</definedName>
    <definedName name="IQ_CASH_COLLECTION_UNPOSTED_DEBITS_CURRENCY_FFIEC" hidden="1">"c15279"</definedName>
    <definedName name="IQ_CASH_COLLECTION_UNPOSTED_DEBITS_DOM_FFIEC" hidden="1">"c15286"</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ER_SUB" hidden="1">"c15763"</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EPOSITORY_INSTIT_US_DOM_FFIEC" hidden="1">"c15288"</definedName>
    <definedName name="IQ_CASH_DIVIDENDS_NET_INCOME_FDIC" hidden="1">"c6738"</definedName>
    <definedName name="IQ_CASH_DUE_BANKS" hidden="1">"c1351"</definedName>
    <definedName name="IQ_CASH_DUE_OTHER_FED_RESERVE_BANKS_DOM_FFIEC" hidden="1">"c15290"</definedName>
    <definedName name="IQ_CASH_DUE_OTHER_FED_RESERVE_BANKS_FFIEC" hidden="1">"c15284"</definedName>
    <definedName name="IQ_CASH_DUE_US_BRANCH_FOREIGN_BANK_FFIEC" hidden="1">"c15280"</definedName>
    <definedName name="IQ_CASH_EPS_ACT_OR_EST" hidden="1">"c5638"</definedName>
    <definedName name="IQ_CASH_EPS_ACT_OR_EST_THOM" hidden="1">"c5646"</definedName>
    <definedName name="IQ_CASH_EPS_DET_EST_CURRENCY_THOM" hidden="1">"c12478"</definedName>
    <definedName name="IQ_CASH_EPS_DET_EST_DATE_THOM" hidden="1">"c12227"</definedName>
    <definedName name="IQ_CASH_EPS_DET_EST_INCL_THOM" hidden="1">"c12361"</definedName>
    <definedName name="IQ_CASH_EPS_DET_EST_ORIGIN_THOM" hidden="1">"c12597"</definedName>
    <definedName name="IQ_CASH_EPS_DET_EST_THOM" hidden="1">"c12077"</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 hidden="1">"c4154"</definedName>
    <definedName name="IQ_CASH_FLOW_ACT_OR_EST_CIQ" hidden="1">"c4566"</definedName>
    <definedName name="IQ_CASH_FLOW_EST" hidden="1">"c4153"</definedName>
    <definedName name="IQ_CASH_FLOW_GUIDANCE" hidden="1">"c4155"</definedName>
    <definedName name="IQ_CASH_FLOW_GUIDANCE_CIQ" hidden="1">"c4567"</definedName>
    <definedName name="IQ_CASH_FLOW_GUIDANCE_CIQ_COL" hidden="1">"c11216"</definedName>
    <definedName name="IQ_CASH_FLOW_HIGH_EST" hidden="1">"c4156"</definedName>
    <definedName name="IQ_CASH_FLOW_HIGH_GUIDANCE" hidden="1">"c4201"</definedName>
    <definedName name="IQ_CASH_FLOW_HIGH_GUIDANCE_CIQ" hidden="1">"c4613"</definedName>
    <definedName name="IQ_CASH_FLOW_HIGH_GUIDANCE_CIQ_COL" hidden="1">"c11262"</definedName>
    <definedName name="IQ_CASH_FLOW_LOW_EST" hidden="1">"c4157"</definedName>
    <definedName name="IQ_CASH_FLOW_LOW_GUIDANCE" hidden="1">"c4241"</definedName>
    <definedName name="IQ_CASH_FLOW_LOW_GUIDANCE_CIQ" hidden="1">"c4653"</definedName>
    <definedName name="IQ_CASH_FLOW_LOW_GUIDANCE_CIQ_COL" hidden="1">"c11302"</definedName>
    <definedName name="IQ_CASH_FLOW_MEDIAN_EST" hidden="1">"c4158"</definedName>
    <definedName name="IQ_CASH_FLOW_NUM_EST" hidden="1">"c4159"</definedName>
    <definedName name="IQ_CASH_FLOW_STDDEV_EST" hidden="1">"c4160"</definedName>
    <definedName name="IQ_CASH_FOREIGN_BRANCH_OTHER_US_BANKS_FFIEC" hidden="1">"c15282"</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NET" hidden="1">"c12753"</definedName>
    <definedName name="IQ_CASH_INTEREST_OPER" hidden="1">"c6293"</definedName>
    <definedName name="IQ_CASH_INTEREST_RECEIVED" hidden="1">"c12754"</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 hidden="1">"c4164"</definedName>
    <definedName name="IQ_CASH_OPER_ACT_OR_EST_CIQ" hidden="1">"c4576"</definedName>
    <definedName name="IQ_CASH_OPER_AP" hidden="1">"c8888"</definedName>
    <definedName name="IQ_CASH_OPER_AP_ABS" hidden="1">"c8907"</definedName>
    <definedName name="IQ_CASH_OPER_EST" hidden="1">"c4163"</definedName>
    <definedName name="IQ_CASH_OPER_GUIDANCE" hidden="1">"c4165"</definedName>
    <definedName name="IQ_CASH_OPER_GUIDANCE_CIQ" hidden="1">"c4577"</definedName>
    <definedName name="IQ_CASH_OPER_GUIDANCE_CIQ_COL" hidden="1">"c11226"</definedName>
    <definedName name="IQ_CASH_OPER_HIGH_EST" hidden="1">"c4166"</definedName>
    <definedName name="IQ_CASH_OPER_HIGH_GUIDANCE" hidden="1">"c4185"</definedName>
    <definedName name="IQ_CASH_OPER_HIGH_GUIDANCE_CIQ" hidden="1">"c4597"</definedName>
    <definedName name="IQ_CASH_OPER_HIGH_GUIDANCE_CIQ_COL" hidden="1">"c11246"</definedName>
    <definedName name="IQ_CASH_OPER_LOW_EST" hidden="1">"c4244"</definedName>
    <definedName name="IQ_CASH_OPER_LOW_GUIDANCE" hidden="1">"c4225"</definedName>
    <definedName name="IQ_CASH_OPER_LOW_GUIDANCE_CIQ" hidden="1">"c4637"</definedName>
    <definedName name="IQ_CASH_OPER_LOW_GUIDANCE_CIQ_COL" hidden="1">"c11286"</definedName>
    <definedName name="IQ_CASH_OPER_MEDIAN_EST" hidden="1">"c4245"</definedName>
    <definedName name="IQ_CASH_OPER_NAME_AP" hidden="1">"c8926"</definedName>
    <definedName name="IQ_CASH_OPER_NAME_AP_ABS" hidden="1">"c8945"</definedName>
    <definedName name="IQ_CASH_OPER_NUM_EST" hidden="1">"c4246"</definedName>
    <definedName name="IQ_CASH_OPER_STDDEV_EST" hidden="1">"c4247"</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OTHER_BANKS_FOREIGN_COUNTRIES_FFIEC" hidden="1">"c15283"</definedName>
    <definedName name="IQ_CASH_OTHER_US_COMM_BANK_DEP_INSTIT_FFIEC" hidden="1">"c15281"</definedName>
    <definedName name="IQ_CASH_SEGREG" hidden="1">"c123"</definedName>
    <definedName name="IQ_CASH_SHARE" hidden="1">"c1911"</definedName>
    <definedName name="IQ_CASH_ST" hidden="1">"c1355"</definedName>
    <definedName name="IQ_CASH_ST_INVEST" hidden="1">"c124"</definedName>
    <definedName name="IQ_CASH_ST_INVEST_EST" hidden="1">"c4249"</definedName>
    <definedName name="IQ_CASH_ST_INVEST_GUIDANCE" hidden="1">"c4250"</definedName>
    <definedName name="IQ_CASH_ST_INVEST_GUIDANCE_CIQ" hidden="1">"c4776"</definedName>
    <definedName name="IQ_CASH_ST_INVEST_GUIDANCE_CIQ_COL" hidden="1">"c11423"</definedName>
    <definedName name="IQ_CASH_ST_INVEST_HIGH_EST" hidden="1">"c4251"</definedName>
    <definedName name="IQ_CASH_ST_INVEST_HIGH_GUIDANCE" hidden="1">"c4195"</definedName>
    <definedName name="IQ_CASH_ST_INVEST_HIGH_GUIDANCE_CIQ" hidden="1">"c4607"</definedName>
    <definedName name="IQ_CASH_ST_INVEST_HIGH_GUIDANCE_CIQ_COL" hidden="1">"c11256"</definedName>
    <definedName name="IQ_CASH_ST_INVEST_LOW_EST" hidden="1">"c4252"</definedName>
    <definedName name="IQ_CASH_ST_INVEST_LOW_GUIDANCE" hidden="1">"c4235"</definedName>
    <definedName name="IQ_CASH_ST_INVEST_LOW_GUIDANCE_CIQ" hidden="1">"c4647"</definedName>
    <definedName name="IQ_CASH_ST_INVEST_LOW_GUIDANCE_CIQ_COL" hidden="1">"c11296"</definedName>
    <definedName name="IQ_CASH_ST_INVEST_MEDIAN_EST" hidden="1">"c4253"</definedName>
    <definedName name="IQ_CASH_ST_INVEST_NUM_EST" hidden="1">"c4254"</definedName>
    <definedName name="IQ_CASH_ST_INVEST_STDDEV_EST" hidden="1">"c4255"</definedName>
    <definedName name="IQ_CASH_STRUCTURED_PRODUCTS_AVAIL_SALE_FFIEC" hidden="1">"c15263"</definedName>
    <definedName name="IQ_CASH_STRUCTURED_PRODUCTS_FFIEC" hidden="1">"c15260"</definedName>
    <definedName name="IQ_CASH_TAXES" hidden="1">"c125"</definedName>
    <definedName name="IQ_CASH_TAXES_FINAN" hidden="1">"c6292"</definedName>
    <definedName name="IQ_CASH_TAXES_INVEST" hidden="1">"c6291"</definedName>
    <definedName name="IQ_CASH_TAXES_OPER" hidden="1">"c6290"</definedName>
    <definedName name="IQ_CATASTROPHIC_LOSS_RATIO" hidden="1">"c15881"</definedName>
    <definedName name="IQ_CCE_FDIC" hidden="1">"c6296"</definedName>
    <definedName name="IQ_CDS_5YR_CIQID" hidden="1">"c11751"</definedName>
    <definedName name="IQ_CDS_ASK" hidden="1">"c6027"</definedName>
    <definedName name="IQ_CDS_BID" hidden="1">"c6026"</definedName>
    <definedName name="IQ_CDS_COUPON" hidden="1">"c15234"</definedName>
    <definedName name="IQ_CDS_CURRENCY" hidden="1">"c6031"</definedName>
    <definedName name="IQ_CDS_DERIVATIVES_BENEFICIARY_FFIEC" hidden="1">"c13119"</definedName>
    <definedName name="IQ_CDS_DERIVATIVES_GUARANTOR_FFIEC" hidden="1">"c13112"</definedName>
    <definedName name="IQ_CDS_EVAL_DATE" hidden="1">"c6029"</definedName>
    <definedName name="IQ_CDS_LIST" hidden="1">"c13510"</definedName>
    <definedName name="IQ_CDS_LOAN_LIST" hidden="1">"c13518"</definedName>
    <definedName name="IQ_CDS_MID" hidden="1">"c6028"</definedName>
    <definedName name="IQ_CDS_NAME" hidden="1">"c6034"</definedName>
    <definedName name="IQ_CDS_NEXT_SERIES_ID" hidden="1">"c15231"</definedName>
    <definedName name="IQ_CDS_PREV_SERIES_ID" hidden="1">"c15232"</definedName>
    <definedName name="IQ_CDS_PRICE_TYPE" hidden="1">"c15233"</definedName>
    <definedName name="IQ_CDS_SENIOR_LIST" hidden="1">"c13508"</definedName>
    <definedName name="IQ_CDS_SUB_LIST" hidden="1">"c13509"</definedName>
    <definedName name="IQ_CDS_TERM" hidden="1">"c6030"</definedName>
    <definedName name="IQ_CDS_TYPE" hidden="1">"c6025"</definedName>
    <definedName name="IQ_CEDED_AH_EARNED" hidden="1">"c2743"</definedName>
    <definedName name="IQ_CEDED_CLAIM_ADJ_EXP_RESERVE_BOP" hidden="1">"c15875"</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LOSSES" hidden="1">"c15872"</definedName>
    <definedName name="IQ_CEDED_PC_EARNED" hidden="1">"c2748"</definedName>
    <definedName name="IQ_CEDED_PREMIUMS_EARNED_GROSS_PREMIUMS_EARNED" hidden="1">"c15887"</definedName>
    <definedName name="IQ_CEDED_PREMIUMS_WRITTEN_GROSS_PREMIUMS_WRITTEN" hidden="1">"c15885"</definedName>
    <definedName name="IQ_CEDED_WRITTEN" hidden="1">"c2727"</definedName>
    <definedName name="IQ_CEO_ID" hidden="1">"c15210"</definedName>
    <definedName name="IQ_CEO_NAME" hidden="1">"c15209"</definedName>
    <definedName name="IQ_CERTIFIED_OFFICIAL_CHECKS_TRANS_ACCTS_FFIEC" hidden="1">"c15320"</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O_ID" hidden="1">"c15212"</definedName>
    <definedName name="IQ_CFO_NAME" hidden="1">"c15211"</definedName>
    <definedName name="IQ_CFPS_ACT_OR_EST" hidden="1">"c2217"</definedName>
    <definedName name="IQ_CFPS_ACT_OR_EST_THOM" hidden="1">"c5301"</definedName>
    <definedName name="IQ_CFPS_DET_EST" hidden="1">"c12049"</definedName>
    <definedName name="IQ_CFPS_DET_EST_CURRENCY" hidden="1">"c12458"</definedName>
    <definedName name="IQ_CFPS_DET_EST_CURRENCY_THOM" hidden="1">"c12479"</definedName>
    <definedName name="IQ_CFPS_DET_EST_DATE" hidden="1">"c12202"</definedName>
    <definedName name="IQ_CFPS_DET_EST_DATE_THOM" hidden="1">"c12228"</definedName>
    <definedName name="IQ_CFPS_DET_EST_INCL" hidden="1">"c12341"</definedName>
    <definedName name="IQ_CFPS_DET_EST_INCL_THOM" hidden="1">"c12362"</definedName>
    <definedName name="IQ_CFPS_DET_EST_ORIGIN" hidden="1">"c12575"</definedName>
    <definedName name="IQ_CFPS_DET_EST_ORIGIN_THOM" hidden="1">"c12598"</definedName>
    <definedName name="IQ_CFPS_DET_EST_THOM" hidden="1">"c12078"</definedName>
    <definedName name="IQ_CFPS_EST" hidden="1">"c1667"</definedName>
    <definedName name="IQ_CFPS_EST_THOM" hidden="1">"c4006"</definedName>
    <definedName name="IQ_CFPS_GUIDANCE" hidden="1">"c4256"</definedName>
    <definedName name="IQ_CFPS_GUIDANCE_CIQ" hidden="1">"c4782"</definedName>
    <definedName name="IQ_CFPS_GUIDANCE_CIQ_COL" hidden="1">"c11429"</definedName>
    <definedName name="IQ_CFPS_HIGH_EST" hidden="1">"c1669"</definedName>
    <definedName name="IQ_CFPS_HIGH_EST_THOM" hidden="1">"c4008"</definedName>
    <definedName name="IQ_CFPS_HIGH_GUIDANCE" hidden="1">"c4167"</definedName>
    <definedName name="IQ_CFPS_HIGH_GUIDANCE_CIQ" hidden="1">"c4579"</definedName>
    <definedName name="IQ_CFPS_HIGH_GUIDANCE_CIQ_COL" hidden="1">"c11228"</definedName>
    <definedName name="IQ_CFPS_LOW_EST" hidden="1">"c1670"</definedName>
    <definedName name="IQ_CFPS_LOW_EST_THOM" hidden="1">"c4009"</definedName>
    <definedName name="IQ_CFPS_LOW_GUIDANCE" hidden="1">"c4207"</definedName>
    <definedName name="IQ_CFPS_LOW_GUIDANCE_CIQ" hidden="1">"c4619"</definedName>
    <definedName name="IQ_CFPS_LOW_GUIDANCE_CIQ_COL" hidden="1">"c11268"</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IRMAN_ID" hidden="1">"c15218"</definedName>
    <definedName name="IQ_CHAIRMAN_NAME" hidden="1">"c15217"</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F_TAX_TOTAL" hidden="1">"c15557"</definedName>
    <definedName name="IQ_CHANGE_DEPOSIT_ACCT" hidden="1">"c148"</definedName>
    <definedName name="IQ_CHANGE_FAIR_VALUE_FINANCIAL_LIAB_T1_FFIEC" hidden="1">"c13138"</definedName>
    <definedName name="IQ_CHANGE_FAIR_VALUE_OPTIONS_FFIEC" hidden="1">"c13045"</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 hidden="1">"c8500"</definedName>
    <definedName name="IQ_CHANGE_INVENT_REAL_APR_FC_UNUSED_UNUSED_UNUSED" hidden="1">"c8500"</definedName>
    <definedName name="IQ_CHANGE_INVENT_REAL_APR_UNUSED" hidden="1">"c7620"</definedName>
    <definedName name="IQ_CHANGE_INVENT_REAL_APR_UNUSED_UNUSED_UNUSED" hidden="1">"c7620"</definedName>
    <definedName name="IQ_CHANGE_INVENT_REAL_FC_UNUSED" hidden="1">"c7840"</definedName>
    <definedName name="IQ_CHANGE_INVENT_REAL_FC_UNUSED_UNUSED_UNUSED" hidden="1">"c7840"</definedName>
    <definedName name="IQ_CHANGE_INVENT_REAL_POP_FC_UNUSED" hidden="1">"c8060"</definedName>
    <definedName name="IQ_CHANGE_INVENT_REAL_POP_FC_UNUSED_UNUSED_UNUSED" hidden="1">"c8060"</definedName>
    <definedName name="IQ_CHANGE_INVENT_REAL_POP_UNUSED" hidden="1">"c7180"</definedName>
    <definedName name="IQ_CHANGE_INVENT_REAL_POP_UNUSED_UNUSED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 hidden="1">"c6960"</definedName>
    <definedName name="IQ_CHANGE_INVENT_REAL_UNUSED_UNUSED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 hidden="1">"c8280"</definedName>
    <definedName name="IQ_CHANGE_INVENT_REAL_YOY_FC_UNUSED_UNUSED_UNUSED" hidden="1">"c8280"</definedName>
    <definedName name="IQ_CHANGE_INVENT_REAL_YOY_UNUSED" hidden="1">"c7400"</definedName>
    <definedName name="IQ_CHANGE_INVENT_REAL_YOY_UNUSED_UNUSED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UNRECOG_TAX_BENEFIT_1_YR_MAX" hidden="1">"c15747"</definedName>
    <definedName name="IQ_CHANGE_UNRECOG_TAX_BENEFIT_1_YR_MIN" hidden="1">"c15746"</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HURN_BASIC_CABLE" hidden="1">"c2871"</definedName>
    <definedName name="IQ_CHURN_BBAND" hidden="1">"c2872"</definedName>
    <definedName name="IQ_CHURN_DIG_CABLE" hidden="1">"c2870"</definedName>
    <definedName name="IQ_CHURN_PHONE" hidden="1">"c2873"</definedName>
    <definedName name="IQ_CHURN_POSTPAID_WIRELESS" hidden="1">"c2121"</definedName>
    <definedName name="IQ_CHURN_PREPAID_WIRELESS" hidden="1">"c2120"</definedName>
    <definedName name="IQ_CHURN_SATELLITE" hidden="1">"c15791"</definedName>
    <definedName name="IQ_CHURN_TOTAL" hidden="1">"c2874"</definedName>
    <definedName name="IQ_CHURN_TOTAL_WIRELESS" hidden="1">"c2122"</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IMS_ADJUSTMENT_EXP_PC_FFIEC" hidden="1">"c13100"</definedName>
    <definedName name="IQ_CLASS_MARKETCAP" hidden="1">"c13512"</definedName>
    <definedName name="IQ_CLASS_SHARESOUTSTANDING" hidden="1">"c13513"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D_END_1_4_FAM_LOANS_TOT_LOANS_FFIEC" hidden="1">"c13866"</definedName>
    <definedName name="IQ_CLOSED_END_1_4_FIRST_LIENS_TRADING_DOM_FFIEC" hidden="1">"c12928"</definedName>
    <definedName name="IQ_CLOSED_END_1_4_JR_LIENS_LL_REC_DOM_FFIEC" hidden="1">"c12904"</definedName>
    <definedName name="IQ_CLOSED_END_1_4_JUNIOR_LIENS_TRADING_DOM_FFIEC" hidden="1">"c12929"</definedName>
    <definedName name="IQ_CLOSED_END_SEC_1_4_1ST_LIENS_CHARGE_OFFS_FFIEC" hidden="1">"c13169"</definedName>
    <definedName name="IQ_CLOSED_END_SEC_1_4_1ST_LIENS_DUE_30_89_FFIEC" hidden="1">"c13261"</definedName>
    <definedName name="IQ_CLOSED_END_SEC_1_4_1ST_LIENS_DUE_90_FFIEC" hidden="1">"c13289"</definedName>
    <definedName name="IQ_CLOSED_END_SEC_1_4_1ST_LIENS_NON_ACCRUAL_FFIEC" hidden="1">"c13315"</definedName>
    <definedName name="IQ_CLOSED_END_SEC_1_4_1ST_LIENS_RECOV_FFIEC" hidden="1">"c13191"</definedName>
    <definedName name="IQ_CLOSED_END_SEC_1_4_JR_LIENS_CHARGE_OFFS_FFIEC" hidden="1">"c13170"</definedName>
    <definedName name="IQ_CLOSED_END_SEC_1_4_JR_LIENS_DUE_30_89_FFIEC" hidden="1">"c13262"</definedName>
    <definedName name="IQ_CLOSED_END_SEC_1_4_JR_LIENS_DUE_90_FFIEC" hidden="1">"c13290"</definedName>
    <definedName name="IQ_CLOSED_END_SEC_1_4_JR_LIENS_NON_ACCRUAL_FFIEC" hidden="1">"c13316"</definedName>
    <definedName name="IQ_CLOSED_END_SEC_1_4_JR_LIENS_RECOV_FFIEC" hidden="1">"c13192"</definedName>
    <definedName name="IQ_CLOSED_END_SEC_1_4_RESIDENT_CHARGE_OFFS_FFIEC" hidden="1">"c15397"</definedName>
    <definedName name="IQ_CLOSED_END_SEC_1_4_RESIDENT_DUE_30_89_FFIEC" hidden="1">"c15413"</definedName>
    <definedName name="IQ_CLOSED_END_SEC_1_4_RESIDENT_DUE_90_FFIEC" hidden="1">"c15417"</definedName>
    <definedName name="IQ_CLOSED_END_SEC_1_4_RESIDENT_NON_ACCRUAL_FFIEC" hidden="1">"c15460"</definedName>
    <definedName name="IQ_CLOSED_END_SEC_1_4_RESIDENT_RECOV_FFIEC" hidden="1">"c15398"</definedName>
    <definedName name="IQ_CLOSED_END_SECURED_1_4_FIRST_LIENS_LL_REC_DOM_FFIEC" hidden="1">"c12903"</definedName>
    <definedName name="IQ_CLOSED_LOANS_GROSS_LOANS_FFIEC" hidden="1">"c13399"</definedName>
    <definedName name="IQ_CLOSED_LOANS_RISK_BASED_FFIEC" hidden="1">"c13420"</definedName>
    <definedName name="IQ_CLOSEPRICE" hidden="1">"c174"</definedName>
    <definedName name="IQ_CLOSEPRICE_ADJ" hidden="1">"c2115"</definedName>
    <definedName name="IQ_CLOSEPRICE_RT" hidden="1">"CLOSE"</definedName>
    <definedName name="IQ_CMBS_ISSUED_AVAIL_SALE_FFIEC" hidden="1">"c12800"</definedName>
    <definedName name="IQ_CMBS_ISSUED_FFIEC" hidden="1">"c12786"</definedName>
    <definedName name="IQ_CMO_FDIC" hidden="1">"c6406"</definedName>
    <definedName name="IQ_CO_INVESTORS" hidden="1">"c18910"</definedName>
    <definedName name="IQ_CO_INVESTORS_ID" hidden="1">"c18911"</definedName>
    <definedName name="IQ_CO_INVESTORS_INVESTMENT" hidden="1">"c19113"</definedName>
    <definedName name="IQ_CO_INVESTORS_NUM_INVESTMENTS" hidden="1">"c19170"</definedName>
    <definedName name="IQ_COAL_SALES_TO_OPERATING_REVENUE_COAL" hidden="1">"c15954"</definedName>
    <definedName name="IQ_COGS" hidden="1">"c175"</definedName>
    <definedName name="IQ_COLLATERAL_TYPE" hidden="1">"c8954"</definedName>
    <definedName name="IQ_COLLECTION_DOMESTIC_FDIC" hidden="1">"c6387"</definedName>
    <definedName name="IQ_COM_TARGET_PRICE" hidden="1">"c13606"</definedName>
    <definedName name="IQ_COM_TARGET_PRICE_CIQ" hidden="1">"c13599"</definedName>
    <definedName name="IQ_COM_TARGET_PRICE_HIGH" hidden="1">"c13607"</definedName>
    <definedName name="IQ_COM_TARGET_PRICE_HIGH_CIQ" hidden="1">"c13600"</definedName>
    <definedName name="IQ_COM_TARGET_PRICE_LOW" hidden="1">"c13608"</definedName>
    <definedName name="IQ_COM_TARGET_PRICE_LOW_CIQ" hidden="1">"c13601"</definedName>
    <definedName name="IQ_COM_TARGET_PRICE_MEDIAN" hidden="1">"c13609"</definedName>
    <definedName name="IQ_COM_TARGET_PRICE_MEDIAN_CIQ" hidden="1">"c13602"</definedName>
    <definedName name="IQ_COM_TARGET_PRICE_NUM" hidden="1">"c13604"</definedName>
    <definedName name="IQ_COM_TARGET_PRICE_NUM_CIQ" hidden="1">"c13597"</definedName>
    <definedName name="IQ_COM_TARGET_PRICE_STDDEV" hidden="1">"c13605"</definedName>
    <definedName name="IQ_COM_TARGET_PRICE_STDDEV_CIQ" hidden="1">"c13598"</definedName>
    <definedName name="IQ_COMBINED_RATIO" hidden="1">"c176"</definedName>
    <definedName name="IQ_COMM_BANKS_OTHER_DEP_INST_US_TRANS_ACCTS_FFIEC" hidden="1">"c15317"</definedName>
    <definedName name="IQ_COMM_BANKS_OTHER_INST_US_NON_TRANS_ACCTS_FFIEC" hidden="1">"c15325"</definedName>
    <definedName name="IQ_COMM_IND_LOANS_TOT_LOANS_FFIEC" hidden="1">"c13874"</definedName>
    <definedName name="IQ_COMM_INDUSTRIAL_LL_REC_FFIEC" hidden="1">"c18880"</definedName>
    <definedName name="IQ_COMM_INDUSTRIAL_LOANS_FFIEC" hidden="1">"c12821"</definedName>
    <definedName name="IQ_COMM_INDUSTRIAL_NON_US_LL_REC_FFIEC" hidden="1">"c12888"</definedName>
    <definedName name="IQ_COMM_INDUSTRIAL_US_LL_REC_FFIEC" hidden="1">"c12887"</definedName>
    <definedName name="IQ_COMM_RE_FARM_LOANS_TOT_LOANS_FFIEC" hidden="1">"c13872"</definedName>
    <definedName name="IQ_COMM_RE_NONFARM_NONRES_TOT_LOANS_FFIEC" hidden="1">"c13871"</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DOM_QUARTERLY_AVG_FFIEC" hidden="1">"c15478"</definedName>
    <definedName name="IQ_COMMERCIAL_INDUSTRIAL_GROSS_LOANS_FFIEC" hidden="1">"c13410"</definedName>
    <definedName name="IQ_COMMERCIAL_INDUSTRIAL_LOANS_DUE_30_89_FFIEC" hidden="1">"c13271"</definedName>
    <definedName name="IQ_COMMERCIAL_INDUSTRIAL_LOANS_DUE_90_FFIEC" hidden="1">"c13297"</definedName>
    <definedName name="IQ_COMMERCIAL_INDUSTRIAL_LOANS_LL_REC_DOM_FFIEC" hidden="1">"c12910"</definedName>
    <definedName name="IQ_COMMERCIAL_INDUSTRIAL_LOANS_NET_FDIC" hidden="1">"c6317"</definedName>
    <definedName name="IQ_COMMERCIAL_INDUSTRIAL_LOANS_NON_ACCRUAL_FFIEC" hidden="1">"c13323"</definedName>
    <definedName name="IQ_COMMERCIAL_INDUSTRIAL_NET_CHARGE_OFFS_FDIC" hidden="1">"c6636"</definedName>
    <definedName name="IQ_COMMERCIAL_INDUSTRIAL_NON_US_CHARGE_OFFS_FFIEC" hidden="1">"c13179"</definedName>
    <definedName name="IQ_COMMERCIAL_INDUSTRIAL_NON_US_DUE_30_89_FFIEC" hidden="1">"c15415"</definedName>
    <definedName name="IQ_COMMERCIAL_INDUSTRIAL_NON_US_DUE_90_FFIEC" hidden="1">"c15419"</definedName>
    <definedName name="IQ_COMMERCIAL_INDUSTRIAL_NON_US_NON_ACCRUAL_FFIEC" hidden="1">"c15464"</definedName>
    <definedName name="IQ_COMMERCIAL_INDUSTRIAL_NON_US_RECOV_FFIEC" hidden="1">"c13201"</definedName>
    <definedName name="IQ_COMMERCIAL_INDUSTRIAL_RECOVERIES_FDIC" hidden="1">"c6617"</definedName>
    <definedName name="IQ_COMMERCIAL_INDUSTRIAL_RISK_BASED_FFIEC" hidden="1">"c13431"</definedName>
    <definedName name="IQ_COMMERCIAL_INDUSTRIAL_TOTAL_LOANS_FOREIGN_FDIC" hidden="1">"c6451"</definedName>
    <definedName name="IQ_COMMERCIAL_INDUSTRIAL_TRADING_DOM_FFIEC" hidden="1">"c12932"</definedName>
    <definedName name="IQ_COMMERCIAL_INDUSTRIAL_US_CHARGE_OFFS_FFIEC" hidden="1">"c13178"</definedName>
    <definedName name="IQ_COMMERCIAL_INDUSTRIAL_US_DUE_30_89_FFIEC" hidden="1">"c15414"</definedName>
    <definedName name="IQ_COMMERCIAL_INDUSTRIAL_US_DUE_90_FFIEC" hidden="1">"c15418"</definedName>
    <definedName name="IQ_COMMERCIAL_INDUSTRIAL_US_NON_ACCRUAL_FFIEC" hidden="1">"c15463"</definedName>
    <definedName name="IQ_COMMERCIAL_INDUSTRIAL_US_RECOV_FFIEC" hidden="1">"c13200"</definedName>
    <definedName name="IQ_COMMERCIAL_INVEST_CABLE_INVEST" hidden="1">"c15806"</definedName>
    <definedName name="IQ_COMMERCIAL_LOANS_TOTAL_LOANS" hidden="1">"c15709"</definedName>
    <definedName name="IQ_COMMERCIAL_MORT" hidden="1">"c179"</definedName>
    <definedName name="IQ_COMMERCIAL_OTHER_LOC_FFIEC" hidden="1">"c13253"</definedName>
    <definedName name="IQ_COMMERCIAL_PAPER_ASSETS_TOT_FFIEC" hidden="1">"c13449"</definedName>
    <definedName name="IQ_COMMERCIAL_PAPER_FFIEC" hidden="1">"c12863"</definedName>
    <definedName name="IQ_COMMERCIAL_RE_CONSTRUCTION_LAND_DEV_FDIC" hidden="1">"c6526"</definedName>
    <definedName name="IQ_COMMERCIAL_RE_GROSS_LOANS_FFIEC" hidden="1">"c13400"</definedName>
    <definedName name="IQ_COMMERCIAL_RE_LOANS_FDIC" hidden="1">"c6312"</definedName>
    <definedName name="IQ_COMMERCIAL_RE_LOANS_TOTAL_LOANS" hidden="1">"c15710"</definedName>
    <definedName name="IQ_COMMERCIAL_RE_RISK_BASED_FFIEC" hidden="1">"c13421"</definedName>
    <definedName name="IQ_COMMISS_FEES" hidden="1">"c180"</definedName>
    <definedName name="IQ_COMMISSION_DEF" hidden="1">"c181"</definedName>
    <definedName name="IQ_COMMITMENTS_BUY_SEC_OTHER_OFF_BS_FFIEC" hidden="1">"c13128"</definedName>
    <definedName name="IQ_COMMITMENTS_COMMERCIAL_RE_UNUSED_FFIEC" hidden="1">"c13243"</definedName>
    <definedName name="IQ_COMMITMENTS_MATURITY_EXCEEDING_1YR_FDIC" hidden="1">"c6531"</definedName>
    <definedName name="IQ_COMMITMENTS_NOT_SECURED_RE_FDIC" hidden="1">"c6528"</definedName>
    <definedName name="IQ_COMMITMENTS_SECURED_RE_FDIC" hidden="1">"c6527"</definedName>
    <definedName name="IQ_COMMITMENTS_SELL_SEC_OTHER_OFF_BS_FFIEC" hidden="1">"c13129"</definedName>
    <definedName name="IQ_COMMODITY_EXPOSURE_FFIEC" hidden="1">"c13061"</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MON_STOCK_FFIEC" hidden="1">"c12876"</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ICKER_NO_EXCH" hidden="1">"c15490"</definedName>
    <definedName name="IQ_COMPANY_TYPE" hidden="1">"c2096"</definedName>
    <definedName name="IQ_COMPANY_WEBSITE" hidden="1">"c220"</definedName>
    <definedName name="IQ_COMPANY_ZIP" hidden="1">"c221"</definedName>
    <definedName name="IQ_COMPETITOR_ALL" hidden="1">"c13754"</definedName>
    <definedName name="IQ_COMPETITOR_NAMED_BY_COMPANY" hidden="1">"c13751"</definedName>
    <definedName name="IQ_COMPETITOR_NAMED_BY_COMPETITOR" hidden="1">"c13752"</definedName>
    <definedName name="IQ_COMPETITOR_NAMED_BY_THIRDPARTY" hidden="1">"c13753"</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OLIDATED_ASSETS_QUARTERLY_AVG_FFIEC" hidden="1">"c13087"</definedName>
    <definedName name="IQ_CONSOLIDATED_NI_FOREIGN_FFIEC" hidden="1">"c15396"</definedName>
    <definedName name="IQ_CONST_LAND_DEV_LOANS_TOT_LOANS_FFIEC" hidden="1">"c13865"</definedName>
    <definedName name="IQ_CONST_LAND_DEVELOP_OTHER_DOM_CHARGE_OFFS_FFIEC" hidden="1">"c13628"</definedName>
    <definedName name="IQ_CONST_LAND_DEVELOP_OTHER_DOM_RECOV_FFIEC" hidden="1">"c13632"</definedName>
    <definedName name="IQ_CONSTITUENTS" hidden="1">"c19169"</definedName>
    <definedName name="IQ_CONSTRUCTION_DEV_LOANS_FDIC" hidden="1">"c6313"</definedName>
    <definedName name="IQ_CONSTRUCTION_LAND_DEV_DOM_FFIEC" hidden="1">"c15267"</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L_REC_DOM_FFIEC" hidden="1">"c12900"</definedName>
    <definedName name="IQ_CONSTRUCTION_LOANS" hidden="1">"c222"</definedName>
    <definedName name="IQ_CONSTRUCTION_LOANS_DOM_DUE_30_89_FFIEC" hidden="1">"c13256"</definedName>
    <definedName name="IQ_CONSTRUCTION_LOANS_DOM_DUE_90_FFIEC" hidden="1">"c13284"</definedName>
    <definedName name="IQ_CONSTRUCTION_LOANS_DOM_NON_ACCRUAL_FFIEC" hidden="1">"c13310"</definedName>
    <definedName name="IQ_CONSTRUCTION_LOANS_GROSS_LOANS_FFIEC" hidden="1">"c13401"</definedName>
    <definedName name="IQ_CONSTRUCTION_LOANS_TOTAL_LOANS" hidden="1">"c15711"</definedName>
    <definedName name="IQ_CONSTRUCTION_RISK_BASED_FFIEC" hidden="1">"c13422"</definedName>
    <definedName name="IQ_CONSULTING_FFIEC" hidden="1">"c13055"</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ASES_LL_REC_FFIEC" hidden="1">"c12895"</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LOANS_LL_REC_DOM_FFIEC" hidden="1">"c12911"</definedName>
    <definedName name="IQ_CONSUMER_LOANS_TOT_LOANS_FFIEC" hidden="1">"c13875"</definedName>
    <definedName name="IQ_CONSUMER_LOANS_TOTAL_LOANS" hidden="1">"c15712"</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INGENT_LIABILITIES" hidden="1">"c18873"</definedName>
    <definedName name="IQ_CONTRACT_OBLIGATION_AFTER_FIVE" hidden="1">"c15691"</definedName>
    <definedName name="IQ_CONTRACT_OBLIGATION_CY" hidden="1">"c15685"</definedName>
    <definedName name="IQ_CONTRACT_OBLIGATION_CY1" hidden="1">"c15686"</definedName>
    <definedName name="IQ_CONTRACT_OBLIGATION_CY2" hidden="1">"c15687"</definedName>
    <definedName name="IQ_CONTRACT_OBLIGATION_CY3" hidden="1">"c15688"</definedName>
    <definedName name="IQ_CONTRACT_OBLIGATION_CY4" hidden="1">"c15689"</definedName>
    <definedName name="IQ_CONTRACT_OBLIGATION_NEXT_FIVE" hidden="1">"c15690"</definedName>
    <definedName name="IQ_CONTRACT_OBLIGATION_TOTAL" hidden="1">"c15692"</definedName>
    <definedName name="IQ_CONTRACTS_OTHER_COMMODITIES_EQUITIES._FDIC" hidden="1">"c6522"</definedName>
    <definedName name="IQ_CONTRACTS_OTHER_COMMODITIES_EQUITIES_FDIC" hidden="1">"c6522"</definedName>
    <definedName name="IQ_CONTRIB_ID_DET_EST" hidden="1">"c12045"</definedName>
    <definedName name="IQ_CONTRIB_ID_DET_EST_THOM" hidden="1">"c12073"</definedName>
    <definedName name="IQ_CONTRIB_ID_NON_PER_DET_EST" hidden="1">"c13824"</definedName>
    <definedName name="IQ_CONTRIB_ID_NON_PER_DET_EST_THOM" hidden="1">"c13826"</definedName>
    <definedName name="IQ_CONTRIB_NAME_DET_EST" hidden="1">"c12046"</definedName>
    <definedName name="IQ_CONTRIB_NAME_DET_EST_THOM" hidden="1">"c12074"</definedName>
    <definedName name="IQ_CONTRIB_NAME_NON_PER_DET_EST" hidden="1">"c12760"</definedName>
    <definedName name="IQ_CONTRIB_NAME_NON_PER_DET_EST_THOM" hidden="1">"c12764"</definedName>
    <definedName name="IQ_CONTRIB_REC_DET_EST" hidden="1">"c12051"</definedName>
    <definedName name="IQ_CONTRIB_REC_DET_EST_DATE" hidden="1">"c12204"</definedName>
    <definedName name="IQ_CONTRIB_REC_DET_EST_DATE_THOM" hidden="1">"c12230"</definedName>
    <definedName name="IQ_CONTRIB_REC_DET_EST_ORIGIN" hidden="1">"c12577"</definedName>
    <definedName name="IQ_CONTRIB_REC_DET_EST_ORIGIN_THOM" hidden="1">"c12600"</definedName>
    <definedName name="IQ_CONTRIB_REC_DET_EST_THOM" hidden="1">"c12080"</definedName>
    <definedName name="IQ_CONTRIBUTOR_CIQID" hidden="1">"c13742"</definedName>
    <definedName name="IQ_CONTRIBUTOR_NAME" hidden="1">"c13735"</definedName>
    <definedName name="IQ_CONTRIBUTOR_START_DATE" hidden="1">"c13741"</definedName>
    <definedName name="IQ_CONV_DATE" hidden="1">"c2191"</definedName>
    <definedName name="IQ_CONV_EXP_DATE" hidden="1">"c3043"</definedName>
    <definedName name="IQ_CONV_PARITY" hidden="1">"c16197"</definedName>
    <definedName name="IQ_CONV_PREMIUM" hidden="1">"c2195"</definedName>
    <definedName name="IQ_CONV_PRICE" hidden="1">"c2193"</definedName>
    <definedName name="IQ_CONV_PRICE_ISSUE" hidden="1">"c16195"</definedName>
    <definedName name="IQ_CONV_PRICE_PREM_ISSUE" hidden="1">"c16196"</definedName>
    <definedName name="IQ_CONV_PRICE_PREMIUM" hidden="1">"c16198"</definedName>
    <definedName name="IQ_CONV_PT_PREMIUM" hidden="1">"c16199"</definedName>
    <definedName name="IQ_CONV_PT_PREMIUM_PCT" hidden="1">"c16200"</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SION_COMMON_FFIEC" hidden="1">"c12964"</definedName>
    <definedName name="IQ_CONVERSION_PREF_FFIEC" hidden="1">"c12962"</definedName>
    <definedName name="IQ_CONVERT" hidden="1">"c2536"</definedName>
    <definedName name="IQ_CONVERT_PCT" hidden="1">"c2537"</definedName>
    <definedName name="IQ_CONVEXITY" hidden="1">"c2182"</definedName>
    <definedName name="IQ_CONVEYED_TO_OTHERS_FDIC" hidden="1">"c6534"</definedName>
    <definedName name="IQ_COO_ID" hidden="1">"c15222"</definedName>
    <definedName name="IQ_COO_NAME" hidden="1">"c15221"</definedName>
    <definedName name="IQ_CORE_CAPITAL_RATIO_FDIC" hidden="1">"c6745"</definedName>
    <definedName name="IQ_CORE_DEPOSITS_ASSETS_TOT_FFIEC" hidden="1">"c13442"</definedName>
    <definedName name="IQ_CORE_DEPOSITS_FFIEC" hidden="1">"c13862"</definedName>
    <definedName name="IQ_CORE_DEPOSITS_TOT_DEPOSITS_FFIEC" hidden="1">"c13911"</definedName>
    <definedName name="IQ_CORE_TIER_ONE_CAPITAL" hidden="1">"c15244"</definedName>
    <definedName name="IQ_CORE_TIER_ONE_CAPITAL_RATIO" hidden="1">"c15240"</definedName>
    <definedName name="IQ_CORP_GOODS_PRICE_INDEX_APR_FC_UNUSED" hidden="1">"c8381"</definedName>
    <definedName name="IQ_CORP_GOODS_PRICE_INDEX_APR_FC_UNUSED_UNUSED_UNUSED" hidden="1">"c8381"</definedName>
    <definedName name="IQ_CORP_GOODS_PRICE_INDEX_APR_UNUSED" hidden="1">"c7501"</definedName>
    <definedName name="IQ_CORP_GOODS_PRICE_INDEX_APR_UNUSED_UNUSED_UNUSED" hidden="1">"c7501"</definedName>
    <definedName name="IQ_CORP_GOODS_PRICE_INDEX_FC_UNUSED" hidden="1">"c7721"</definedName>
    <definedName name="IQ_CORP_GOODS_PRICE_INDEX_FC_UNUSED_UNUSED_UNUSED" hidden="1">"c7721"</definedName>
    <definedName name="IQ_CORP_GOODS_PRICE_INDEX_POP_FC_UNUSED" hidden="1">"c7941"</definedName>
    <definedName name="IQ_CORP_GOODS_PRICE_INDEX_POP_FC_UNUSED_UNUSED_UNUSED" hidden="1">"c7941"</definedName>
    <definedName name="IQ_CORP_GOODS_PRICE_INDEX_POP_UNUSED" hidden="1">"c7061"</definedName>
    <definedName name="IQ_CORP_GOODS_PRICE_INDEX_POP_UNUSED_UNUSED_UNUSED" hidden="1">"c7061"</definedName>
    <definedName name="IQ_CORP_GOODS_PRICE_INDEX_UNUSED" hidden="1">"c6841"</definedName>
    <definedName name="IQ_CORP_GOODS_PRICE_INDEX_UNUSED_UNUSED_UNUSED" hidden="1">"c6841"</definedName>
    <definedName name="IQ_CORP_GOODS_PRICE_INDEX_YOY_FC_UNUSED" hidden="1">"c8161"</definedName>
    <definedName name="IQ_CORP_GOODS_PRICE_INDEX_YOY_FC_UNUSED_UNUSED_UNUSED" hidden="1">"c8161"</definedName>
    <definedName name="IQ_CORP_GOODS_PRICE_INDEX_YOY_UNUSED" hidden="1">"c7281"</definedName>
    <definedName name="IQ_CORP_GOODS_PRICE_INDEX_YOY_UNUSED_UNUSED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RPORATE_OVER_TOTAL" hidden="1">"c13767"</definedName>
    <definedName name="IQ_COST_BORROWED_FUNDS_FFIEC" hidden="1">"c13492"</definedName>
    <definedName name="IQ_COST_BORROWING" hidden="1">"c2936"</definedName>
    <definedName name="IQ_COST_BORROWINGS" hidden="1">"c225"</definedName>
    <definedName name="IQ_COST_CAPITAL_NEW_BUSINESS" hidden="1">"c9968"</definedName>
    <definedName name="IQ_COST_FOREIGN_DEPOSITS_FFIEC" hidden="1">"c13490"</definedName>
    <definedName name="IQ_COST_FUNDS" hidden="1">"c15726"</definedName>
    <definedName name="IQ_COST_FUNDS_PURCHASED_FFIEC" hidden="1">"c13491"</definedName>
    <definedName name="IQ_COST_INT_DEPOSITS_FFIEC" hidden="1">"c13489"</definedName>
    <definedName name="IQ_COST_OF_FUNDING_ASSETS_FDIC" hidden="1">"c6725"</definedName>
    <definedName name="IQ_COST_REV" hidden="1">"c226"</definedName>
    <definedName name="IQ_COST_REVENUE" hidden="1">"c1359"</definedName>
    <definedName name="IQ_COST_SALES_COAL" hidden="1">"c15933"</definedName>
    <definedName name="IQ_COST_SALES_PER_UNIT_SOLD_COAL" hidden="1">"c15944"</definedName>
    <definedName name="IQ_COST_SALES_TO_SALES_COAL" hidden="1">"c15951"</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UPON_FORMULA" hidden="1">"c8965"</definedName>
    <definedName name="IQ_COVERAGE_RATIO" hidden="1">"c15243"</definedName>
    <definedName name="IQ_COVERED_POPS" hidden="1">"c2124"</definedName>
    <definedName name="IQ_COVERED_WIRELESS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GROSS_LOANS_FFIEC" hidden="1">"c13412"</definedName>
    <definedName name="IQ_CREDIT_CARD_INTERCHANGE_FEES_FFIEC" hidden="1">"c13046"</definedName>
    <definedName name="IQ_CREDIT_CARD_LINES_FDIC" hidden="1">"c6525"</definedName>
    <definedName name="IQ_CREDIT_CARD_LINES_UNUSED_FFIEC" hidden="1">"c13242"</definedName>
    <definedName name="IQ_CREDIT_CARD_LOANS_CHARGE_OFFS_FFIEC" hidden="1">"c13180"</definedName>
    <definedName name="IQ_CREDIT_CARD_LOANS_DOM_QUARTERLY_AVG_FFIEC" hidden="1">"c15480"</definedName>
    <definedName name="IQ_CREDIT_CARD_LOANS_DUE_30_89_FFIEC" hidden="1">"c13272"</definedName>
    <definedName name="IQ_CREDIT_CARD_LOANS_DUE_90_FFIEC" hidden="1">"c13298"</definedName>
    <definedName name="IQ_CREDIT_CARD_LOANS_FDIC" hidden="1">"c6319"</definedName>
    <definedName name="IQ_CREDIT_CARD_LOANS_NON_ACCRUAL_FFIEC" hidden="1">"c13324"</definedName>
    <definedName name="IQ_CREDIT_CARD_LOANS_RECOV_FFIEC" hidden="1">"c13202"</definedName>
    <definedName name="IQ_CREDIT_CARD_NET_CHARGE_OFFS_FDIC" hidden="1">"c6654"</definedName>
    <definedName name="IQ_CREDIT_CARD_RECOVERIES_FDIC" hidden="1">"c6653"</definedName>
    <definedName name="IQ_CREDIT_CARD_RISK_BASED_FFIEC" hidden="1">"c13433"</definedName>
    <definedName name="IQ_CREDIT_CARDS_CONSUMER_LOANS_FFIEC" hidden="1">"c12822"</definedName>
    <definedName name="IQ_CREDIT_CARDS_LL_REC_FFIEC" hidden="1">"c12889"</definedName>
    <definedName name="IQ_CREDIT_CARDS_LOANS_TRADING_DOM_FFIEC" hidden="1">"c12933"</definedName>
    <definedName name="IQ_CREDIT_EXPOSURE" hidden="1">"c10038"</definedName>
    <definedName name="IQ_CREDIT_EXPOSURE_FFIEC" hidden="1">"c13062"</definedName>
    <definedName name="IQ_CREDIT_LOSS_CF" hidden="1">"c232"</definedName>
    <definedName name="IQ_CREDIT_LOSS_PROVISION_NET_CHARGE_OFFS_FDIC" hidden="1">"c6734"</definedName>
    <definedName name="IQ_CREDIT_LOSSES_DERIVATIVES_FFIEC" hidden="1">"c13068"</definedName>
    <definedName name="IQ_CREDIT_OPTIONS_DERIVATIVES_BENEFICIARY_FFIEC" hidden="1">"c13121"</definedName>
    <definedName name="IQ_CREDIT_OPTIONS_DERIVATIVES_GUARANTOR_FFIEC" hidden="1">"c13114"</definedName>
    <definedName name="IQ_CUMULATIVE_PREFERREDS_T2_FFIEC" hidden="1">"c13145"</definedName>
    <definedName name="IQ_CUMULATIVE_SPLIT_FACTOR" hidden="1">"c2094"</definedName>
    <definedName name="IQ_CURR_ACCT_BALANCE_APR_FC_UNUSED" hidden="1">"c8387"</definedName>
    <definedName name="IQ_CURR_ACCT_BALANCE_APR_FC_UNUSED_UNUSED_UNUSED" hidden="1">"c8387"</definedName>
    <definedName name="IQ_CURR_ACCT_BALANCE_APR_UNUSED" hidden="1">"c7507"</definedName>
    <definedName name="IQ_CURR_ACCT_BALANCE_APR_UNUSED_UNUSED_UNUSED" hidden="1">"c7507"</definedName>
    <definedName name="IQ_CURR_ACCT_BALANCE_FC_UNUSED" hidden="1">"c7727"</definedName>
    <definedName name="IQ_CURR_ACCT_BALANCE_FC_UNUSED_UNUSED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 hidden="1">"c7947"</definedName>
    <definedName name="IQ_CURR_ACCT_BALANCE_POP_FC_UNUSED_UNUSED_UNUSED" hidden="1">"c7947"</definedName>
    <definedName name="IQ_CURR_ACCT_BALANCE_POP_UNUSED" hidden="1">"c7067"</definedName>
    <definedName name="IQ_CURR_ACCT_BALANCE_POP_UNUSED_UNUSED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 hidden="1">"c6847"</definedName>
    <definedName name="IQ_CURR_ACCT_BALANCE_UNUSED_UNUSED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 hidden="1">"c8167"</definedName>
    <definedName name="IQ_CURR_ACCT_BALANCE_YOY_FC_UNUSED_UNUSED_UNUSED" hidden="1">"c8167"</definedName>
    <definedName name="IQ_CURR_ACCT_BALANCE_YOY_UNUSED" hidden="1">"c7287"</definedName>
    <definedName name="IQ_CURR_ACCT_BALANCE_YOY_UNUSED_UNUSED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_TAXES" hidden="1">"c19141"</definedName>
    <definedName name="IQ_CURRENCY_COIN_DOM_FFIEC" hidden="1">"c15287"</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UST_PREMISE_EQUIP_CABLE_INVEST" hidden="1">"c15801"</definedName>
    <definedName name="IQ_CUSTOMER_LIAB_ACCEPTANCES_OUT_FFIEC" hidden="1">"c12835"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A_PROCESSING_EXP_FFIEC" hidden="1">"c13047"</definedName>
    <definedName name="IQ_DATED_DATE" hidden="1">"c2185"</definedName>
    <definedName name="IQ_DAY_COUNT" hidden="1">"c2161"</definedName>
    <definedName name="IQ_DAYS_COVER_SHORT" hidden="1">"c1578"</definedName>
    <definedName name="IQ_DAYS_DELAY" hidden="1">"c8963"</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1_5_INVEST_SECURITIES_FFIEC" hidden="1">"c13465"</definedName>
    <definedName name="IQ_DEBT_ADJ" hidden="1">"c2515"</definedName>
    <definedName name="IQ_DEBT_ADJ_PCT" hidden="1">"c2516"</definedName>
    <definedName name="IQ_DEBT_EQUITY_EST" hidden="1">"c4257"</definedName>
    <definedName name="IQ_DEBT_EQUITY_HIGH_EST" hidden="1">"c4258"</definedName>
    <definedName name="IQ_DEBT_EQUITY_LOW_EST" hidden="1">"c4259"</definedName>
    <definedName name="IQ_DEBT_EQUITY_MEDIAN_EST" hidden="1">"c4260"</definedName>
    <definedName name="IQ_DEBT_EQUITY_NUM_EST" hidden="1">"c4261"</definedName>
    <definedName name="IQ_DEBT_EQUITY_STDDEV_EST" hidden="1">"c4262"</definedName>
    <definedName name="IQ_DEBT_EQUIV_NET_PBO" hidden="1">"c2938"</definedName>
    <definedName name="IQ_DEBT_EQUIV_OPER_LEASE" hidden="1">"c2935"</definedName>
    <definedName name="IQ_DEBT_LESS_1YR_INVEST_SECURITIES_FFIEC" hidden="1">"c13464"</definedName>
    <definedName name="IQ_DEBT_MATURING_MORE_THAN_ONE_YEAR_FFIEC" hidden="1">"c13164"</definedName>
    <definedName name="IQ_DEBT_MATURING_WITHIN_ONE_YEAR_FFIEC" hidden="1">"c13163"</definedName>
    <definedName name="IQ_DEBT_SEC_OVER_5YR_INVEST_SECURITIES_FFIEC" hidden="1">"c13466"</definedName>
    <definedName name="IQ_DEBT_SECURITIES_FOREIGN_FFIEC" hidden="1">"c13484"</definedName>
    <definedName name="IQ_DEBT_SECURITIES_OTHER_ASSETS_DUE_30_89_FFIEC" hidden="1">"c13279"</definedName>
    <definedName name="IQ_DEBT_SECURITIES_OTHER_ASSETS_DUE_90_FFIEC" hidden="1">"c13305"</definedName>
    <definedName name="IQ_DEBT_SECURITIES_OTHER_ASSETS_NON_ACCRUAL_FFIEC" hidden="1">"c13331"</definedName>
    <definedName name="IQ_DECREASE_INT_EXPENSE_FFIEC" hidden="1">"c13064"</definedName>
    <definedName name="IQ_DEDUCTIONS_TOTAL_RISK_BASED_CAPITAL_FFIEC" hidden="1">"c13152"</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AULT_DATE" hidden="1">"c16220"</definedName>
    <definedName name="IQ_DEFAULT_TYPE" hidden="1">"c16219"</definedName>
    <definedName name="IQ_DEFERRED_CONTINGENT_RENT" hidden="1">"c16181"</definedName>
    <definedName name="IQ_DEFERRED_DOMESTIC_TAXES" hidden="1">"c2077"</definedName>
    <definedName name="IQ_DEFERRED_FOREIGN_TAXES" hidden="1">"c2078"</definedName>
    <definedName name="IQ_DEFERRED_INC_TAX" hidden="1">"c1447"</definedName>
    <definedName name="IQ_DEFERRED_TAX_ASSETS_FFIEC" hidden="1">"c12843"</definedName>
    <definedName name="IQ_DEFERRED_TAX_ASSETS_T1_FFIEC" hidden="1">"c13141"</definedName>
    <definedName name="IQ_DEFERRED_TAX_LIAB_FFIEC" hidden="1">"c12870"</definedName>
    <definedName name="IQ_DEFERRED_TAX_NAV" hidden="1">"c16003"</definedName>
    <definedName name="IQ_DEFERRED_TAX_NNAV" hidden="1">"c16008"</definedName>
    <definedName name="IQ_DEFERRED_TAXES" hidden="1">"c1356"</definedName>
    <definedName name="IQ_DEFERRED_TAXES_TOTAL" hidden="1">"c19142"</definedName>
    <definedName name="IQ_DELIVERED_HOMES_NEW_ORDERS" hidden="1">"c15821"</definedName>
    <definedName name="IQ_DELIVERED_HOMES_PRICE_NEW_ORDER_PRICE" hidden="1">"c15822"</definedName>
    <definedName name="IQ_DEMAND_DEP" hidden="1">"c320"</definedName>
    <definedName name="IQ_DEMAND_DEPOSITS_COMMERCIAL_BANK_SUBS_FFIEC" hidden="1">"c12945"</definedName>
    <definedName name="IQ_DEMAND_DEPOSITS_FDIC" hidden="1">"c6489"</definedName>
    <definedName name="IQ_DEMAND_DEPOSITS_TOT_DEPOSITS_FFIEC" hidden="1">"c13902"</definedName>
    <definedName name="IQ_DEPOSIT_ACCOUNTS_LESS_THAN_100K_FDIC" hidden="1">"c6494"</definedName>
    <definedName name="IQ_DEPOSIT_ACCOUNTS_MORE_THAN_100K_FDIC" hidden="1">"c6492"</definedName>
    <definedName name="IQ_DEPOSITORY_INST_ACCEPTANCES_LL_REC_DOM_FFIEC" hidden="1">"c12908"</definedName>
    <definedName name="IQ_DEPOSITORY_INST_GROSS_LOANS_FFIEC" hidden="1">"c13409"</definedName>
    <definedName name="IQ_DEPOSITORY_INST_RISK_BASED_FFIEC" hidden="1">"c13430"</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100K_MORE_ASSETS_TOT_FFIEC" hidden="1">"c13444"</definedName>
    <definedName name="IQ_DEPOSITS_DOM_FFIEC" hidden="1">"c12850"</definedName>
    <definedName name="IQ_DEPOSITS_FAIR_VALUE_TOT_FFIEC" hidden="1">"c13213"</definedName>
    <definedName name="IQ_DEPOSITS_FIN" hidden="1">"c321"</definedName>
    <definedName name="IQ_DEPOSITS_FOREIGN_BANKS_FOREIGN_AGENCIES_FFIEC" hidden="1">"c15344"</definedName>
    <definedName name="IQ_DEPOSITS_FOREIGN_FFIEC" hidden="1">"c12853"</definedName>
    <definedName name="IQ_DEPOSITS_HELD_DOMESTIC_FDIC" hidden="1">"c6340"</definedName>
    <definedName name="IQ_DEPOSITS_HELD_FOREIGN_FDIC" hidden="1">"c6341"</definedName>
    <definedName name="IQ_DEPOSITS_INTEREST_SECURITIES" hidden="1">"c5509"</definedName>
    <definedName name="IQ_DEPOSITS_LESS_100K_COMMERCIAL_BANK_SUBS_FFIEC" hidden="1">"c12948"</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LEVEL_1_FFIEC" hidden="1">"c13221"</definedName>
    <definedName name="IQ_DEPOSITS_LEVEL_2_FFIEC" hidden="1">"c13229"</definedName>
    <definedName name="IQ_DEPOSITS_LEVEL_3_FFIEC" hidden="1">"c13237"</definedName>
    <definedName name="IQ_DEPOSITS_MORE_100K_COMMERCIAL_BANK_SUBS_FFIEC" hidden="1">"c12949"</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_ASSETS_FAIR_VALUE_TOT_FFIEC" hidden="1">"c15403"</definedName>
    <definedName name="IQ_DERIVATIVE_ASSETS_LEVEL_1_FFIEC" hidden="1">"c15425"</definedName>
    <definedName name="IQ_DERIVATIVE_ASSETS_LEVEL_2_FFIEC" hidden="1">"c15438"</definedName>
    <definedName name="IQ_DERIVATIVE_ASSETS_LEVEL_3_FFIEC" hidden="1">"c15451"</definedName>
    <definedName name="IQ_DERIVATIVE_LIABILITIES_FAIR_VALUE_TOT_FFIEC" hidden="1">"c15407"</definedName>
    <definedName name="IQ_DERIVATIVE_LIABILITIES_LEVEL_1_FFIEC" hidden="1">"c15429"</definedName>
    <definedName name="IQ_DERIVATIVE_LIABILITIES_LEVEL_2_FFIEC" hidden="1">"c15442"</definedName>
    <definedName name="IQ_DERIVATIVE_LIABILITIES_LEVEL_3_FFIEC" hidden="1">"c15455"</definedName>
    <definedName name="IQ_DERIVATIVES_FDIC" hidden="1">"c6523"</definedName>
    <definedName name="IQ_DERIVATIVES_NEGATIVE_FAIR_VALUE_DOM_FFIEC" hidden="1">"c12943"</definedName>
    <definedName name="IQ_DERIVATIVES_NEGATIVE_VALUE_FFIEC" hidden="1">"c12861"</definedName>
    <definedName name="IQ_DERIVATIVES_POS_FAIR_VALUE_FFIEC" hidden="1">"c12827"</definedName>
    <definedName name="IQ_DERIVATIVES_POSITIVE_FAIR_VALUE_TRADING_DOM_FFIEC" hidden="1">"c12938"</definedName>
    <definedName name="IQ_DESCRIPTION_LONG" hidden="1">"c1520"</definedName>
    <definedName name="IQ_DEVELOP_LAND" hidden="1">"c323"</definedName>
    <definedName name="IQ_DEVELOPMENT_EXPENSE" hidden="1">"c16040"</definedName>
    <definedName name="IQ_DEVELOPMENT_REVENUE" hidden="1">"c16024"</definedName>
    <definedName name="IQ_DIC" hidden="1">"c13834"</definedName>
    <definedName name="IQ_DIFF_LASTCLOSE_TARGET_PRICE" hidden="1">"c1854"</definedName>
    <definedName name="IQ_DIFF_LASTCLOSE_TARGET_PRICE_CIQ" hidden="1">"c4767"</definedName>
    <definedName name="IQ_DIFF_LASTCLOSE_TARGET_PRICE_THOM" hidden="1">"c5278"</definedName>
    <definedName name="IQ_DIG_SUB_BASIC_SUB" hidden="1">"c16202"</definedName>
    <definedName name="IQ_DIG_SUB_VIDEO_SUB" hidden="1">"c15788"</definedName>
    <definedName name="IQ_DIGITAL_SUB_TOTAL_HOMES_PASSED" hidden="1">"c15769"</definedName>
    <definedName name="IQ_DIGITAL_VIDEO_PENETRATION" hidden="1">"c15768"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OUTSTANDING_CURRENT_EST" hidden="1">"c4263"</definedName>
    <definedName name="IQ_DILUT_OUTSTANDING_CURRENT_HIGH_EST" hidden="1">"c4264"</definedName>
    <definedName name="IQ_DILUT_OUTSTANDING_CURRENT_LOW_EST" hidden="1">"c4265"</definedName>
    <definedName name="IQ_DILUT_OUTSTANDING_CURRENT_MEDIAN_EST" hidden="1">"c4266"</definedName>
    <definedName name="IQ_DILUT_OUTSTANDING_CURRENT_NUM_EST" hidden="1">"c4267"</definedName>
    <definedName name="IQ_DILUT_OUTSTANDING_CURRENT_STDDEV_EST" hidden="1">"c4268"</definedName>
    <definedName name="IQ_DILUT_WEIGHT" hidden="1">"c326"</definedName>
    <definedName name="IQ_DILUT_WEIGHT_EST" hidden="1">"c4269"</definedName>
    <definedName name="IQ_DILUT_WEIGHT_GUIDANCE" hidden="1">"c4270"</definedName>
    <definedName name="IQ_DILUT_WEIGHT_HIGH_EST" hidden="1">"c4271"</definedName>
    <definedName name="IQ_DILUT_WEIGHT_LOW_EST" hidden="1">"c4272"</definedName>
    <definedName name="IQ_DILUT_WEIGHT_MEDIAN_EST" hidden="1">"c4273"</definedName>
    <definedName name="IQ_DILUT_WEIGHT_NUM_EST" hidden="1">"c4274"</definedName>
    <definedName name="IQ_DILUT_WEIGHT_STDDEV_EST" hidden="1">"c4275"</definedName>
    <definedName name="IQ_DILUTED_EPRA_NAV" hidden="1">"c16005"</definedName>
    <definedName name="IQ_DILUTED_EPRA_NAV_SHARE_RE" hidden="1">"c16014"</definedName>
    <definedName name="IQ_DILUTED_EPRA_NNAV" hidden="1">"c16010"</definedName>
    <definedName name="IQ_DILUTED_EPRA_NNAV_SHARE_RE" hidden="1">"c16015"</definedName>
    <definedName name="IQ_DILUTED_NAV_RE" hidden="1">"c15998"</definedName>
    <definedName name="IQ_DILUTED_NAV_SHARE_RE" hidden="1">"c16013"</definedName>
    <definedName name="IQ_DILUTED_NAV_SHARES" hidden="1">"c16016"</definedName>
    <definedName name="IQ_DILUTION_EFFECT_NAV" hidden="1">"c15997"</definedName>
    <definedName name="IQ_DIRECT_AH_EARNED" hidden="1">"c2740"</definedName>
    <definedName name="IQ_DIRECT_EARNED" hidden="1">"c2730"</definedName>
    <definedName name="IQ_DIRECT_INDIRECT_RE_VENTURES_FFIEC" hidden="1">"c15266"</definedName>
    <definedName name="IQ_DIRECT_INDIRECT_RE_VENTURES_UNCONSOL_FFIEC" hidden="1">"c15274"</definedName>
    <definedName name="IQ_DIRECT_LIFE_EARNED" hidden="1">"c2735"</definedName>
    <definedName name="IQ_DIRECT_LIFE_IN_FORCE" hidden="1">"c2765"</definedName>
    <definedName name="IQ_DIRECT_LOSSES" hidden="1">"c15869"</definedName>
    <definedName name="IQ_DIRECT_PC_EARNED" hidden="1">"c2745"</definedName>
    <definedName name="IQ_DIRECT_WRITTEN" hidden="1">"c2724"</definedName>
    <definedName name="IQ_DIRECTORS_FEES_FFIEC" hidden="1">"c13049"</definedName>
    <definedName name="IQ_DISALLOWED_DEFERRED_TAX_ASSETS_FFIEC" hidden="1">"c13157"</definedName>
    <definedName name="IQ_DISALLOWED_GOODWILL_INTANGIBLE_ASSETS_FFIEC" hidden="1">"c13155"</definedName>
    <definedName name="IQ_DISALLOWED_GOODWILL_INTANGIBLES_T1_FFIEC" hidden="1">"c13137"</definedName>
    <definedName name="IQ_DISALLOWED_SERVICING_ASSETS_FFIEC" hidden="1">"c13156"</definedName>
    <definedName name="IQ_DISALLOWED_SERVICING_ASSETS_T1_FFIEC" hidden="1">"c13140"</definedName>
    <definedName name="IQ_DISCONT_OPER" hidden="1">"c1367"</definedName>
    <definedName name="IQ_DISCOUNT_RATE_PENSION_DOMESTIC" hidden="1">"c327"</definedName>
    <definedName name="IQ_DISCOUNT_RATE_PENSION_FOREIGN" hidden="1">"c328"</definedName>
    <definedName name="IQ_DISCRETIONARY_CAPEX" hidden="1">"c16183"</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 hidden="1">"c4278"</definedName>
    <definedName name="IQ_DISTRIBUTABLE_CASH_ACT_OR_EST_CIQ" hidden="1">"c4803"</definedName>
    <definedName name="IQ_DISTRIBUTABLE_CASH_EST" hidden="1">"c4277"</definedName>
    <definedName name="IQ_DISTRIBUTABLE_CASH_GUIDANCE" hidden="1">"c4279"</definedName>
    <definedName name="IQ_DISTRIBUTABLE_CASH_GUIDANCE_CIQ" hidden="1">"c4804"</definedName>
    <definedName name="IQ_DISTRIBUTABLE_CASH_GUIDANCE_CIQ_COL" hidden="1">"c11451"</definedName>
    <definedName name="IQ_DISTRIBUTABLE_CASH_HIGH_EST" hidden="1">"c4280"</definedName>
    <definedName name="IQ_DISTRIBUTABLE_CASH_HIGH_GUIDANCE" hidden="1">"c4198"</definedName>
    <definedName name="IQ_DISTRIBUTABLE_CASH_HIGH_GUIDANCE_CIQ" hidden="1">"c4610"</definedName>
    <definedName name="IQ_DISTRIBUTABLE_CASH_HIGH_GUIDANCE_CIQ_COL" hidden="1">"c11259"</definedName>
    <definedName name="IQ_DISTRIBUTABLE_CASH_LOW_EST" hidden="1">"c4281"</definedName>
    <definedName name="IQ_DISTRIBUTABLE_CASH_LOW_GUIDANCE" hidden="1">"c4238"</definedName>
    <definedName name="IQ_DISTRIBUTABLE_CASH_LOW_GUIDANCE_CIQ" hidden="1">"c4650"</definedName>
    <definedName name="IQ_DISTRIBUTABLE_CASH_LOW_GUIDANCE_CIQ_COL" hidden="1">"c11299"</definedName>
    <definedName name="IQ_DISTRIBUTABLE_CASH_MEDIAN_EST" hidden="1">"c4282"</definedName>
    <definedName name="IQ_DISTRIBUTABLE_CASH_NUM_EST" hidden="1">"c4283"</definedName>
    <definedName name="IQ_DISTRIBUTABLE_CASH_PAYOUT" hidden="1">"c3005"</definedName>
    <definedName name="IQ_DISTRIBUTABLE_CASH_PER_SHARE_DILUTED" hidden="1">"c16191"</definedName>
    <definedName name="IQ_DISTRIBUTABLE_CASH_SHARE" hidden="1">"c3003"</definedName>
    <definedName name="IQ_DISTRIBUTABLE_CASH_SHARE_ACT_OR_EST" hidden="1">"c4286"</definedName>
    <definedName name="IQ_DISTRIBUTABLE_CASH_SHARE_ACT_OR_EST_CIQ" hidden="1">"c4811"</definedName>
    <definedName name="IQ_DISTRIBUTABLE_CASH_SHARE_EST" hidden="1">"c4285"</definedName>
    <definedName name="IQ_DISTRIBUTABLE_CASH_SHARE_GUIDANCE" hidden="1">"c4287"</definedName>
    <definedName name="IQ_DISTRIBUTABLE_CASH_SHARE_GUIDANCE_CIQ" hidden="1">"c4812"</definedName>
    <definedName name="IQ_DISTRIBUTABLE_CASH_SHARE_GUIDANCE_CIQ_COL" hidden="1">"c11459"</definedName>
    <definedName name="IQ_DISTRIBUTABLE_CASH_SHARE_HIGH_EST" hidden="1">"c4288"</definedName>
    <definedName name="IQ_DISTRIBUTABLE_CASH_SHARE_HIGH_GUIDANCE" hidden="1">"c4199"</definedName>
    <definedName name="IQ_DISTRIBUTABLE_CASH_SHARE_HIGH_GUIDANCE_CIQ" hidden="1">"c4611"</definedName>
    <definedName name="IQ_DISTRIBUTABLE_CASH_SHARE_HIGH_GUIDANCE_CIQ_COL" hidden="1">"c11260"</definedName>
    <definedName name="IQ_DISTRIBUTABLE_CASH_SHARE_LOW_EST" hidden="1">"c4289"</definedName>
    <definedName name="IQ_DISTRIBUTABLE_CASH_SHARE_LOW_GUIDANCE" hidden="1">"c4239"</definedName>
    <definedName name="IQ_DISTRIBUTABLE_CASH_SHARE_LOW_GUIDANCE_CIQ" hidden="1">"c4651"</definedName>
    <definedName name="IQ_DISTRIBUTABLE_CASH_SHARE_LOW_GUIDANCE_CIQ_COL" hidden="1">"c11300"</definedName>
    <definedName name="IQ_DISTRIBUTABLE_CASH_SHARE_MEDIAN_EST" hidden="1">"c4290"</definedName>
    <definedName name="IQ_DISTRIBUTABLE_CASH_SHARE_NUM_EST" hidden="1">"c4291"</definedName>
    <definedName name="IQ_DISTRIBUTABLE_CASH_SHARE_STDDEV_EST" hidden="1">"c4292"</definedName>
    <definedName name="IQ_DISTRIBUTABLE_CASH_SHARES_BASIC" hidden="1">"c16189"</definedName>
    <definedName name="IQ_DISTRIBUTABLE_CASH_SHARES_DILUTED" hidden="1">"c16190"</definedName>
    <definedName name="IQ_DISTRIBUTABLE_CASH_STDDEV_EST" hidden="1">"c4294"</definedName>
    <definedName name="IQ_DIV_AMOUNT" hidden="1">"c3041"</definedName>
    <definedName name="IQ_DIV_PAYMENT_DATE" localSheetId="1" hidden="1">"c2205"</definedName>
    <definedName name="IQ_DIV_PAYMENT_DATE" hidden="1">"c2106"</definedName>
    <definedName name="IQ_DIV_PAYMENT_TYPE" hidden="1">"c12752"</definedName>
    <definedName name="IQ_DIV_RECORD_DATE" localSheetId="1" hidden="1">"c2204"</definedName>
    <definedName name="IQ_DIV_RECORD_DATE" hidden="1">"c2105"</definedName>
    <definedName name="IQ_DIV_SHARE" hidden="1">"c330"</definedName>
    <definedName name="IQ_DIVEST_CF" hidden="1">"c331"</definedName>
    <definedName name="IQ_DIVID_SHARE" hidden="1">"c1366"</definedName>
    <definedName name="IQ_DIVIDEND_EST" hidden="1">"c4296"</definedName>
    <definedName name="IQ_DIVIDEND_HIGH_EST" hidden="1">"c4297"</definedName>
    <definedName name="IQ_DIVIDEND_LOW_EST" hidden="1">"c4298"</definedName>
    <definedName name="IQ_DIVIDEND_MEDIAN_EST" hidden="1">"c4299"</definedName>
    <definedName name="IQ_DIVIDEND_NUM_EST" hidden="1">"c4300"</definedName>
    <definedName name="IQ_DIVIDEND_STDDEV_EST" hidden="1">"c4301"</definedName>
    <definedName name="IQ_DIVIDEND_YIELD" hidden="1">"c332"</definedName>
    <definedName name="IQ_DIVIDENDS_DECLARED_COMMON_FDIC" hidden="1">"c6659"</definedName>
    <definedName name="IQ_DIVIDENDS_DECLARED_COMMON_FFIEC" hidden="1">"c12969"</definedName>
    <definedName name="IQ_DIVIDENDS_DECLARED_PREFERRED_FDIC" hidden="1">"c6658"</definedName>
    <definedName name="IQ_DIVIDENDS_DECLARED_PREFERRED_FFIEC" hidden="1">"c12968"</definedName>
    <definedName name="IQ_DIVIDENDS_FDIC" hidden="1">"c6660"</definedName>
    <definedName name="IQ_DIVIDENDS_NET_INCOME_FFIEC" hidden="1">"c13349"</definedName>
    <definedName name="IQ_DIVIDENDS_PAID_DECLARED_PERIOD_COVERED" hidden="1">"c9960"</definedName>
    <definedName name="IQ_DIVIDENDS_PAID_DECLARED_PERIOD_GROUP" hidden="1">"c9946"</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OM_OFFICE_DEPOSITS_TOT_DEPOSITS_FFIEC" hidden="1">"c13910"</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DET_EST" hidden="1">"c12052"</definedName>
    <definedName name="IQ_DPS_DET_EST_CURRENCY" hidden="1">"c12459"</definedName>
    <definedName name="IQ_DPS_DET_EST_CURRENCY_THOM" hidden="1">"c12480"</definedName>
    <definedName name="IQ_DPS_DET_EST_DATE" hidden="1">"c12205"</definedName>
    <definedName name="IQ_DPS_DET_EST_DATE_THOM" hidden="1">"c12231"</definedName>
    <definedName name="IQ_DPS_DET_EST_INCL" hidden="1">"c12342"</definedName>
    <definedName name="IQ_DPS_DET_EST_INCL_THOM" hidden="1">"c12363"</definedName>
    <definedName name="IQ_DPS_DET_EST_ORIGIN" hidden="1">"c12578"</definedName>
    <definedName name="IQ_DPS_DET_EST_ORIGIN_THOM" hidden="1">"c12601"</definedName>
    <definedName name="IQ_DPS_DET_EST_THOM" hidden="1">"c12081"</definedName>
    <definedName name="IQ_DPS_EST" hidden="1">"c1674"</definedName>
    <definedName name="IQ_DPS_EST_BOTTOM_UP" hidden="1">"c5493"</definedName>
    <definedName name="IQ_DPS_EST_THOM" hidden="1">"c4013"</definedName>
    <definedName name="IQ_DPS_GUIDANCE" hidden="1">"c4302"</definedName>
    <definedName name="IQ_DPS_GUIDANCE_CIQ" hidden="1">"c4827"</definedName>
    <definedName name="IQ_DPS_GUIDANCE_CIQ_COL" hidden="1">"c11474"</definedName>
    <definedName name="IQ_DPS_HIGH_EST" hidden="1">"c1676"</definedName>
    <definedName name="IQ_DPS_HIGH_EST_THOM" hidden="1">"c4015"</definedName>
    <definedName name="IQ_DPS_HIGH_GUIDANCE" hidden="1">"c4168"</definedName>
    <definedName name="IQ_DPS_HIGH_GUIDANCE_CIQ" hidden="1">"c4580"</definedName>
    <definedName name="IQ_DPS_HIGH_GUIDANCE_CIQ_COL" hidden="1">"c11229"</definedName>
    <definedName name="IQ_DPS_LOW_EST" hidden="1">"c1677"</definedName>
    <definedName name="IQ_DPS_LOW_EST_THOM" hidden="1">"c4016"</definedName>
    <definedName name="IQ_DPS_LOW_GUIDANCE" hidden="1">"c4208"</definedName>
    <definedName name="IQ_DPS_LOW_GUIDANCE_CIQ" hidden="1">"c4620"</definedName>
    <definedName name="IQ_DPS_LOW_GUIDANCE_CIQ_COL" hidden="1">"c11269"</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INT_BEAR_LIABILITIES" hidden="1">"c15703"</definedName>
    <definedName name="IQ_EARNING_ASSET_YIELD" hidden="1">"c343"</definedName>
    <definedName name="IQ_EARNING_ASSETS_AVG_ASSETS_FFIEC" hidden="1">"c13354"</definedName>
    <definedName name="IQ_EARNING_ASSETS_FDIC" hidden="1">"c6360"</definedName>
    <definedName name="IQ_EARNING_ASSETS_QUARTERLY_AVG_FFIEC" hidden="1">"c13086"</definedName>
    <definedName name="IQ_EARNING_ASSETS_REPRICE_ASSETS_TOT_FFIEC" hidden="1">"c13451"</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ANNOUNCE_DATE_REUT" hidden="1">"c5314"</definedName>
    <definedName name="IQ_EARNINGS_ANNOUNCE_DATE_THOM" hidden="1">"c5093"</definedName>
    <definedName name="IQ_EARNINGS_CO_FFIEC" hidden="1">"c13032"</definedName>
    <definedName name="IQ_EARNINGS_CONT_OPS_HOMEBUILDING_SALES" hidden="1">"c15817"</definedName>
    <definedName name="IQ_EARNINGS_COVERAGE_LOSSES_FFIEC" hidden="1">"c13351"</definedName>
    <definedName name="IQ_EARNINGS_COVERAGE_NET_CHARGE_OFFS_FDIC" hidden="1">"c6735"</definedName>
    <definedName name="IQ_EARNINGS_LIFE_INSURANCE_FFIEC" hidden="1">"c13041"</definedName>
    <definedName name="IQ_EARNINGS_PERIOD_COVERED" hidden="1">"c9958"</definedName>
    <definedName name="IQ_EARNINGS_PERIOD_GROUP" hidden="1">"c9944"</definedName>
    <definedName name="IQ_EBIT" hidden="1">"c352"</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DET_EST" hidden="1">"c12053"</definedName>
    <definedName name="IQ_EBIT_DET_EST_CURRENCY" hidden="1">"c12460"</definedName>
    <definedName name="IQ_EBIT_DET_EST_CURRENCY_THOM" hidden="1">"c12481"</definedName>
    <definedName name="IQ_EBIT_DET_EST_DATE" hidden="1">"c12206"</definedName>
    <definedName name="IQ_EBIT_DET_EST_DATE_THOM" hidden="1">"c12232"</definedName>
    <definedName name="IQ_EBIT_DET_EST_INCL" hidden="1">"c12343"</definedName>
    <definedName name="IQ_EBIT_DET_EST_INCL_THOM" hidden="1">"c12364"</definedName>
    <definedName name="IQ_EBIT_DET_EST_ORIGIN" hidden="1">"c12579"</definedName>
    <definedName name="IQ_EBIT_DET_EST_ORIGIN_THOM" hidden="1">"c12602"</definedName>
    <definedName name="IQ_EBIT_DET_EST_THOM" hidden="1">"c12082"</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UIDANCE" hidden="1">"c4303"</definedName>
    <definedName name="IQ_EBIT_GUIDANCE_CIQ" hidden="1">"c4828"</definedName>
    <definedName name="IQ_EBIT_GUIDANCE_CIQ_COL" hidden="1">"c11475"</definedName>
    <definedName name="IQ_EBIT_GW_ACT_OR_EST" hidden="1">"c4306"</definedName>
    <definedName name="IQ_EBIT_GW_EST" hidden="1">"c4305"</definedName>
    <definedName name="IQ_EBIT_GW_GUIDANCE" hidden="1">"c4307"</definedName>
    <definedName name="IQ_EBIT_GW_GUIDANCE_CIQ" hidden="1">"c4832"</definedName>
    <definedName name="IQ_EBIT_GW_GUIDANCE_CIQ_COL" hidden="1">"c11479"</definedName>
    <definedName name="IQ_EBIT_GW_HIGH_EST" hidden="1">"c4308"</definedName>
    <definedName name="IQ_EBIT_GW_HIGH_GUIDANCE" hidden="1">"c4171"</definedName>
    <definedName name="IQ_EBIT_GW_HIGH_GUIDANCE_CIQ" hidden="1">"c4583"</definedName>
    <definedName name="IQ_EBIT_GW_HIGH_GUIDANCE_CIQ_COL" hidden="1">"c11232"</definedName>
    <definedName name="IQ_EBIT_GW_LOW_EST" hidden="1">"c4309"</definedName>
    <definedName name="IQ_EBIT_GW_LOW_GUIDANCE" hidden="1">"c4211"</definedName>
    <definedName name="IQ_EBIT_GW_LOW_GUIDANCE_CIQ" hidden="1">"c4623"</definedName>
    <definedName name="IQ_EBIT_GW_LOW_GUIDANCE_CIQ_COL" hidden="1">"c11272"</definedName>
    <definedName name="IQ_EBIT_GW_MEDIAN_EST" hidden="1">"c4310"</definedName>
    <definedName name="IQ_EBIT_GW_NUM_EST" hidden="1">"c4311"</definedName>
    <definedName name="IQ_EBIT_GW_STDDEV_EST" hidden="1">"c4312"</definedName>
    <definedName name="IQ_EBIT_HIGH_EST" hidden="1">"c1683"</definedName>
    <definedName name="IQ_EBIT_HIGH_EST_THOM" hidden="1">"c5107"</definedName>
    <definedName name="IQ_EBIT_HIGH_GUIDANCE" hidden="1">"c4172"</definedName>
    <definedName name="IQ_EBIT_HIGH_GUIDANCE_CIQ" hidden="1">"c4584"</definedName>
    <definedName name="IQ_EBIT_HIGH_GUIDANCE_CIQ_COL" hidden="1">"c11233"</definedName>
    <definedName name="IQ_EBIT_HOMEBUILDING_SALES" hidden="1">"c15815"</definedName>
    <definedName name="IQ_EBIT_INT" hidden="1">"c360"</definedName>
    <definedName name="IQ_EBIT_LOW_EST" hidden="1">"c1684"</definedName>
    <definedName name="IQ_EBIT_LOW_EST_THOM" hidden="1">"c5108"</definedName>
    <definedName name="IQ_EBIT_LOW_GUIDANCE" hidden="1">"c4212"</definedName>
    <definedName name="IQ_EBIT_LOW_GUIDANCE_CIQ" hidden="1">"c4624"</definedName>
    <definedName name="IQ_EBIT_LOW_GUIDANCE_CIQ_COL" hidden="1">"c11273"</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"c1369"</definedName>
    <definedName name="IQ_EBIT_SBC_ACT_OR_EST" hidden="1">"c4316"</definedName>
    <definedName name="IQ_EBIT_SBC_ACT_OR_EST_CIQ" hidden="1">"c4841"</definedName>
    <definedName name="IQ_EBIT_SBC_EST" hidden="1">"c4315"</definedName>
    <definedName name="IQ_EBIT_SBC_GUIDANCE" hidden="1">"c4317"</definedName>
    <definedName name="IQ_EBIT_SBC_GUIDANCE_CIQ" hidden="1">"c4842"</definedName>
    <definedName name="IQ_EBIT_SBC_GUIDANCE_CIQ_COL" hidden="1">"c11489"</definedName>
    <definedName name="IQ_EBIT_SBC_GW_ACT_OR_EST" hidden="1">"c4320"</definedName>
    <definedName name="IQ_EBIT_SBC_GW_ACT_OR_EST_CIQ" hidden="1">"c4845"</definedName>
    <definedName name="IQ_EBIT_SBC_GW_EST" hidden="1">"c4319"</definedName>
    <definedName name="IQ_EBIT_SBC_GW_GUIDANCE" hidden="1">"c4321"</definedName>
    <definedName name="IQ_EBIT_SBC_GW_GUIDANCE_CIQ" hidden="1">"c4846"</definedName>
    <definedName name="IQ_EBIT_SBC_GW_GUIDANCE_CIQ_COL" hidden="1">"c11493"</definedName>
    <definedName name="IQ_EBIT_SBC_GW_HIGH_EST" hidden="1">"c4322"</definedName>
    <definedName name="IQ_EBIT_SBC_GW_HIGH_GUIDANCE" hidden="1">"c4193"</definedName>
    <definedName name="IQ_EBIT_SBC_GW_HIGH_GUIDANCE_CIQ" hidden="1">"c4605"</definedName>
    <definedName name="IQ_EBIT_SBC_GW_HIGH_GUIDANCE_CIQ_COL" hidden="1">"c11254"</definedName>
    <definedName name="IQ_EBIT_SBC_GW_LOW_EST" hidden="1">"c4323"</definedName>
    <definedName name="IQ_EBIT_SBC_GW_LOW_GUIDANCE" hidden="1">"c4233"</definedName>
    <definedName name="IQ_EBIT_SBC_GW_LOW_GUIDANCE_CIQ" hidden="1">"c4645"</definedName>
    <definedName name="IQ_EBIT_SBC_GW_LOW_GUIDANCE_CIQ_COL" hidden="1">"c11294"</definedName>
    <definedName name="IQ_EBIT_SBC_GW_MEDIAN_EST" hidden="1">"c4324"</definedName>
    <definedName name="IQ_EBIT_SBC_GW_NUM_EST" hidden="1">"c4325"</definedName>
    <definedName name="IQ_EBIT_SBC_GW_STDDEV_EST" hidden="1">"c4326"</definedName>
    <definedName name="IQ_EBIT_SBC_HIGH_EST" hidden="1">"c4328"</definedName>
    <definedName name="IQ_EBIT_SBC_HIGH_GUIDANCE" hidden="1">"c4192"</definedName>
    <definedName name="IQ_EBIT_SBC_HIGH_GUIDANCE_CIQ" hidden="1">"c4604"</definedName>
    <definedName name="IQ_EBIT_SBC_HIGH_GUIDANCE_CIQ_COL" hidden="1">"c11253"</definedName>
    <definedName name="IQ_EBIT_SBC_LOW_EST" hidden="1">"c4329"</definedName>
    <definedName name="IQ_EBIT_SBC_LOW_GUIDANCE" hidden="1">"c4232"</definedName>
    <definedName name="IQ_EBIT_SBC_LOW_GUIDANCE_CIQ" hidden="1">"c4644"</definedName>
    <definedName name="IQ_EBIT_SBC_LOW_GUIDANCE_CIQ_COL" hidden="1">"c11293"</definedName>
    <definedName name="IQ_EBIT_SBC_MEDIAN_EST" hidden="1">"c4330"</definedName>
    <definedName name="IQ_EBIT_SBC_NUM_EST" hidden="1">"c4331"</definedName>
    <definedName name="IQ_EBIT_SBC_STDDEV_EST" hidden="1">"c4332"</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ACT_OR_EST_THOM" hidden="1">"c5300"</definedName>
    <definedName name="IQ_EBITDA_CAPEX" hidden="1">"c19143"</definedName>
    <definedName name="IQ_EBITDA_CAPEX_INT" hidden="1">"c368"</definedName>
    <definedName name="IQ_EBITDA_CAPEX_OVER_TOTAL_IE" hidden="1">"c1370"</definedName>
    <definedName name="IQ_EBITDA_DET_EST" hidden="1">"c12054"</definedName>
    <definedName name="IQ_EBITDA_DET_EST_CURRENCY" hidden="1">"c12461"</definedName>
    <definedName name="IQ_EBITDA_DET_EST_CURRENCY_THOM" hidden="1">"c12482"</definedName>
    <definedName name="IQ_EBITDA_DET_EST_DATE" hidden="1">"c12207"</definedName>
    <definedName name="IQ_EBITDA_DET_EST_DATE_THOM" hidden="1">"c12233"</definedName>
    <definedName name="IQ_EBITDA_DET_EST_INCL" hidden="1">"c12344"</definedName>
    <definedName name="IQ_EBITDA_DET_EST_INCL_THOM" hidden="1">"c12365"</definedName>
    <definedName name="IQ_EBITDA_DET_EST_ORIGIN" hidden="1">"c12580"</definedName>
    <definedName name="IQ_EBITDA_DET_EST_ORIGIN_THOM" hidden="1">"c12603"</definedName>
    <definedName name="IQ_EBITDA_DET_EST_THOM" hidden="1">"c12083"</definedName>
    <definedName name="IQ_EBITDA_EQ_INC" hidden="1">"c3496"</definedName>
    <definedName name="IQ_EBITDA_EQ_INC_EXCL_SBC" hidden="1">"c3500"</definedName>
    <definedName name="IQ_EBITDA_EST" hidden="1">"c369"</definedName>
    <definedName name="IQ_EBITDA_EST_CIQ" hidden="1">"c3622"</definedName>
    <definedName name="IQ_EBITDA_EST_REUT" hidden="1">"c3640"</definedName>
    <definedName name="IQ_EBITDA_EST_THOM" hidden="1">"c3658"</definedName>
    <definedName name="IQ_EBITDA_EXCL_SBC" hidden="1">"c3081"</definedName>
    <definedName name="IQ_EBITDA_GUIDANCE" hidden="1">"c4334"</definedName>
    <definedName name="IQ_EBITDA_GUIDANCE_CIQ" hidden="1">"c4859"</definedName>
    <definedName name="IQ_EBITDA_GUIDANCE_CIQ_COL" hidden="1">"c11506"</definedName>
    <definedName name="IQ_EBITDA_HIGH_EST" hidden="1">"c370"</definedName>
    <definedName name="IQ_EBITDA_HIGH_EST_CIQ" hidden="1">"c3624"</definedName>
    <definedName name="IQ_EBITDA_HIGH_EST_REUT" hidden="1">"c3642"</definedName>
    <definedName name="IQ_EBITDA_HIGH_EST_THOM" hidden="1">"c3660"</definedName>
    <definedName name="IQ_EBITDA_HIGH_GUIDANCE" hidden="1">"c4170"</definedName>
    <definedName name="IQ_EBITDA_HIGH_GUIDANCE_CIQ" hidden="1">"c4582"</definedName>
    <definedName name="IQ_EBITDA_HIGH_GUIDANCE_CIQ_COL" hidden="1">"c11231"</definedName>
    <definedName name="IQ_EBITDA_HOMEBUILDING_SALES" hidden="1">"c15814"</definedName>
    <definedName name="IQ_EBITDA_INT" hidden="1">"c373"</definedName>
    <definedName name="IQ_EBITDA_LOW_EST" hidden="1">"c371"</definedName>
    <definedName name="IQ_EBITDA_LOW_EST_CIQ" hidden="1">"c3625"</definedName>
    <definedName name="IQ_EBITDA_LOW_EST_REUT" hidden="1">"c3643"</definedName>
    <definedName name="IQ_EBITDA_LOW_EST_THOM" hidden="1">"c3661"</definedName>
    <definedName name="IQ_EBITDA_LOW_GUIDANCE" hidden="1">"c4210"</definedName>
    <definedName name="IQ_EBITDA_LOW_GUIDANCE_CIQ" hidden="1">"c4622"</definedName>
    <definedName name="IQ_EBITDA_LOW_GUIDANCE_CIQ_COL" hidden="1">"c11271"</definedName>
    <definedName name="IQ_EBITDA_MARGIN" hidden="1">"c372"</definedName>
    <definedName name="IQ_EBITDA_MEDIAN_EST" hidden="1">"c1663"</definedName>
    <definedName name="IQ_EBITDA_MEDIAN_EST_CIQ" hidden="1">"c3623"</definedName>
    <definedName name="IQ_EBITDA_MEDIAN_EST_REUT" hidden="1">"c3641"</definedName>
    <definedName name="IQ_EBITDA_MEDIAN_EST_THOM" hidden="1">"c3659"</definedName>
    <definedName name="IQ_EBITDA_NUM_EST" hidden="1">"c374"</definedName>
    <definedName name="IQ_EBITDA_NUM_EST_CIQ" hidden="1">"c3626"</definedName>
    <definedName name="IQ_EBITDA_NUM_EST_REUT" hidden="1">"c3644"</definedName>
    <definedName name="IQ_EBITDA_NUM_EST_THOM" hidden="1">"c3662"</definedName>
    <definedName name="IQ_EBITDA_OVER_TOTAL_IE" hidden="1">"c1371"</definedName>
    <definedName name="IQ_EBITDA_SBC_ACT_OR_EST" hidden="1">"c4337"</definedName>
    <definedName name="IQ_EBITDA_SBC_ACT_OR_EST_CIQ" hidden="1">"c4862"</definedName>
    <definedName name="IQ_EBITDA_SBC_EST" hidden="1">"c4336"</definedName>
    <definedName name="IQ_EBITDA_SBC_GUIDANCE" hidden="1">"c4338"</definedName>
    <definedName name="IQ_EBITDA_SBC_GUIDANCE_CIQ" hidden="1">"c4863"</definedName>
    <definedName name="IQ_EBITDA_SBC_GUIDANCE_CIQ_COL" hidden="1">"c11510"</definedName>
    <definedName name="IQ_EBITDA_SBC_HIGH_EST" hidden="1">"c4339"</definedName>
    <definedName name="IQ_EBITDA_SBC_HIGH_GUIDANCE" hidden="1">"c4194"</definedName>
    <definedName name="IQ_EBITDA_SBC_HIGH_GUIDANCE_CIQ" hidden="1">"c4606"</definedName>
    <definedName name="IQ_EBITDA_SBC_HIGH_GUIDANCE_CIQ_COL" hidden="1">"c11255"</definedName>
    <definedName name="IQ_EBITDA_SBC_LOW_EST" hidden="1">"c4340"</definedName>
    <definedName name="IQ_EBITDA_SBC_LOW_GUIDANCE" hidden="1">"c4234"</definedName>
    <definedName name="IQ_EBITDA_SBC_LOW_GUIDANCE_CIQ" hidden="1">"c4646"</definedName>
    <definedName name="IQ_EBITDA_SBC_LOW_GUIDANCE_CIQ_COL" hidden="1">"c11295"</definedName>
    <definedName name="IQ_EBITDA_SBC_MEDIAN_EST" hidden="1">"c4341"</definedName>
    <definedName name="IQ_EBITDA_SBC_NUM_EST" hidden="1">"c4342"</definedName>
    <definedName name="IQ_EBITDA_SBC_STDDEV_EST" hidden="1">"c4343"</definedName>
    <definedName name="IQ_EBITDA_STDDEV_EST" hidden="1">"c375"</definedName>
    <definedName name="IQ_EBITDA_STDDEV_EST_CIQ" hidden="1">"c3627"</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FIEC" hidden="1">"c13029"</definedName>
    <definedName name="IQ_EBT_FIN" hidden="1">"c386"</definedName>
    <definedName name="IQ_EBT_FTE_FFIEC" hidden="1">"c13037"</definedName>
    <definedName name="IQ_EBT_GAAP_GUIDANCE" hidden="1">"c4345"</definedName>
    <definedName name="IQ_EBT_GAAP_GUIDANCE_CIQ" hidden="1">"c4870"</definedName>
    <definedName name="IQ_EBT_GAAP_GUIDANCE_CIQ_COL" hidden="1">"c11517"</definedName>
    <definedName name="IQ_EBT_GAAP_HIGH_GUIDANCE" hidden="1">"c4174"</definedName>
    <definedName name="IQ_EBT_GAAP_HIGH_GUIDANCE_CIQ" hidden="1">"c4586"</definedName>
    <definedName name="IQ_EBT_GAAP_HIGH_GUIDANCE_CIQ_COL" hidden="1">"c11235"</definedName>
    <definedName name="IQ_EBT_GAAP_LOW_GUIDANCE" hidden="1">"c4214"</definedName>
    <definedName name="IQ_EBT_GAAP_LOW_GUIDANCE_CIQ" hidden="1">"c4626"</definedName>
    <definedName name="IQ_EBT_GAAP_LOW_GUIDANCE_CIQ_COL" hidden="1">"c11275"</definedName>
    <definedName name="IQ_EBT_GUIDANCE" hidden="1">"c4346"</definedName>
    <definedName name="IQ_EBT_GUIDANCE_CIQ" hidden="1">"c4871"</definedName>
    <definedName name="IQ_EBT_GUIDANCE_CIQ_COL" hidden="1">"c11518"</definedName>
    <definedName name="IQ_EBT_GW_GUIDANCE" hidden="1">"c4347"</definedName>
    <definedName name="IQ_EBT_GW_GUIDANCE_CIQ" hidden="1">"c4872"</definedName>
    <definedName name="IQ_EBT_GW_GUIDANCE_CIQ_COL" hidden="1">"c11519"</definedName>
    <definedName name="IQ_EBT_GW_HIGH_GUIDANCE" hidden="1">"c4175"</definedName>
    <definedName name="IQ_EBT_GW_HIGH_GUIDANCE_CIQ" hidden="1">"c4587"</definedName>
    <definedName name="IQ_EBT_GW_HIGH_GUIDANCE_CIQ_COL" hidden="1">"c11236"</definedName>
    <definedName name="IQ_EBT_GW_LOW_GUIDANCE" hidden="1">"c4215"</definedName>
    <definedName name="IQ_EBT_GW_LOW_GUIDANCE_CIQ" hidden="1">"c4627"</definedName>
    <definedName name="IQ_EBT_GW_LOW_GUIDANCE_CIQ_COL" hidden="1">"c11276"</definedName>
    <definedName name="IQ_EBT_HIGH_GUIDANCE" hidden="1">"c4173"</definedName>
    <definedName name="IQ_EBT_HIGH_GUIDANCE_CIQ" hidden="1">"c4585"</definedName>
    <definedName name="IQ_EBT_HIGH_GUIDANCE_CIQ_COL" hidden="1">"c11234"</definedName>
    <definedName name="IQ_EBT_HOMEBUILDING_SALES" hidden="1">"c15816"</definedName>
    <definedName name="IQ_EBT_INCL_MARGIN" hidden="1">"c387"</definedName>
    <definedName name="IQ_EBT_INS" hidden="1">"c388"</definedName>
    <definedName name="IQ_EBT_LOW_GUIDANCE" hidden="1">"c4213"</definedName>
    <definedName name="IQ_EBT_LOW_GUIDANCE_CIQ" hidden="1">"c4625"</definedName>
    <definedName name="IQ_EBT_LOW_GUIDANCE_CIQ_COL" hidden="1">"c11274"</definedName>
    <definedName name="IQ_EBT_RE" hidden="1">"c6215"</definedName>
    <definedName name="IQ_EBT_REIT" hidden="1">"c389"</definedName>
    <definedName name="IQ_EBT_SBC_ACT_OR_EST" hidden="1">"c4350"</definedName>
    <definedName name="IQ_EBT_SBC_ACT_OR_EST_CIQ" hidden="1">"c4875"</definedName>
    <definedName name="IQ_EBT_SBC_EST" hidden="1">"c4349"</definedName>
    <definedName name="IQ_EBT_SBC_GUIDANCE" hidden="1">"c4351"</definedName>
    <definedName name="IQ_EBT_SBC_GUIDANCE_CIQ" hidden="1">"c4876"</definedName>
    <definedName name="IQ_EBT_SBC_GUIDANCE_CIQ_COL" hidden="1">"c11523"</definedName>
    <definedName name="IQ_EBT_SBC_GW_ACT_OR_EST" hidden="1">"c4354"</definedName>
    <definedName name="IQ_EBT_SBC_GW_ACT_OR_EST_CIQ" hidden="1">"c4879"</definedName>
    <definedName name="IQ_EBT_SBC_GW_EST" hidden="1">"c4353"</definedName>
    <definedName name="IQ_EBT_SBC_GW_GUIDANCE" hidden="1">"c4355"</definedName>
    <definedName name="IQ_EBT_SBC_GW_GUIDANCE_CIQ" hidden="1">"c4880"</definedName>
    <definedName name="IQ_EBT_SBC_GW_GUIDANCE_CIQ_COL" hidden="1">"c11527"</definedName>
    <definedName name="IQ_EBT_SBC_GW_HIGH_EST" hidden="1">"c4356"</definedName>
    <definedName name="IQ_EBT_SBC_GW_HIGH_GUIDANCE" hidden="1">"c4191"</definedName>
    <definedName name="IQ_EBT_SBC_GW_HIGH_GUIDANCE_CIQ" hidden="1">"c4603"</definedName>
    <definedName name="IQ_EBT_SBC_GW_HIGH_GUIDANCE_CIQ_COL" hidden="1">"c11252"</definedName>
    <definedName name="IQ_EBT_SBC_GW_LOW_EST" hidden="1">"c4357"</definedName>
    <definedName name="IQ_EBT_SBC_GW_LOW_GUIDANCE" hidden="1">"c4231"</definedName>
    <definedName name="IQ_EBT_SBC_GW_LOW_GUIDANCE_CIQ" hidden="1">"c4643"</definedName>
    <definedName name="IQ_EBT_SBC_GW_LOW_GUIDANCE_CIQ_COL" hidden="1">"c11292"</definedName>
    <definedName name="IQ_EBT_SBC_GW_MEDIAN_EST" hidden="1">"c4358"</definedName>
    <definedName name="IQ_EBT_SBC_GW_NUM_EST" hidden="1">"c4359"</definedName>
    <definedName name="IQ_EBT_SBC_GW_STDDEV_EST" hidden="1">"c4360"</definedName>
    <definedName name="IQ_EBT_SBC_HIGH_EST" hidden="1">"c4362"</definedName>
    <definedName name="IQ_EBT_SBC_HIGH_GUIDANCE" hidden="1">"c4190"</definedName>
    <definedName name="IQ_EBT_SBC_HIGH_GUIDANCE_CIQ" hidden="1">"c4602"</definedName>
    <definedName name="IQ_EBT_SBC_HIGH_GUIDANCE_CIQ_COL" hidden="1">"c11251"</definedName>
    <definedName name="IQ_EBT_SBC_LOW_EST" hidden="1">"c4363"</definedName>
    <definedName name="IQ_EBT_SBC_LOW_GUIDANCE" hidden="1">"c4230"</definedName>
    <definedName name="IQ_EBT_SBC_LOW_GUIDANCE_CIQ" hidden="1">"c4642"</definedName>
    <definedName name="IQ_EBT_SBC_LOW_GUIDANCE_CIQ_COL" hidden="1">"c11291"</definedName>
    <definedName name="IQ_EBT_SBC_MEDIAN_EST" hidden="1">"c4364"</definedName>
    <definedName name="IQ_EBT_SBC_NUM_EST" hidden="1">"c4365"</definedName>
    <definedName name="IQ_EBT_SBC_STDDEV_EST" hidden="1">"c4366"</definedName>
    <definedName name="IQ_EBT_SUBTOTAL_AP" hidden="1">"c8982"</definedName>
    <definedName name="IQ_EBT_UTI" hidden="1">"c390"</definedName>
    <definedName name="IQ_ECO_METRIC_6825_UNUSED" hidden="1">"c6825"</definedName>
    <definedName name="IQ_ECO_METRIC_6825_UNUSED_UNUSED_UNUSED" hidden="1">"c6825"</definedName>
    <definedName name="IQ_ECO_METRIC_6839_UNUSED" hidden="1">"c6839"</definedName>
    <definedName name="IQ_ECO_METRIC_6839_UNUSED_UNUSED_UNUSED" hidden="1">"c6839"</definedName>
    <definedName name="IQ_ECO_METRIC_6896_UNUSED" hidden="1">"c6896"</definedName>
    <definedName name="IQ_ECO_METRIC_6896_UNUSED_UNUSED_UNUSED" hidden="1">"c6896"</definedName>
    <definedName name="IQ_ECO_METRIC_6897_UNUSED" hidden="1">"c6897"</definedName>
    <definedName name="IQ_ECO_METRIC_6897_UNUSED_UNUSED_UNUSED" hidden="1">"c6897"</definedName>
    <definedName name="IQ_ECO_METRIC_6927" hidden="1">"c6927"</definedName>
    <definedName name="IQ_ECO_METRIC_6988_UNUSED" hidden="1">"c6988"</definedName>
    <definedName name="IQ_ECO_METRIC_6988_UNUSED_UNUSED_UNUSED" hidden="1">"c6988"</definedName>
    <definedName name="IQ_ECO_METRIC_7045_UNUSED" hidden="1">"c7045"</definedName>
    <definedName name="IQ_ECO_METRIC_7045_UNUSED_UNUSED_UNUSED" hidden="1">"c7045"</definedName>
    <definedName name="IQ_ECO_METRIC_7059_UNUSED" hidden="1">"c7059"</definedName>
    <definedName name="IQ_ECO_METRIC_7059_UNUSED_UNUSED_UNUSED" hidden="1">"c7059"</definedName>
    <definedName name="IQ_ECO_METRIC_7116_UNUSED" hidden="1">"c7116"</definedName>
    <definedName name="IQ_ECO_METRIC_7116_UNUSED_UNUSED_UNUSED" hidden="1">"c7116"</definedName>
    <definedName name="IQ_ECO_METRIC_7117_UNUSED" hidden="1">"c7117"</definedName>
    <definedName name="IQ_ECO_METRIC_7117_UNUSED_UNUSED_UNUSED" hidden="1">"c7117"</definedName>
    <definedName name="IQ_ECO_METRIC_7147" hidden="1">"c7147"</definedName>
    <definedName name="IQ_ECO_METRIC_7208_UNUSED" hidden="1">"c7208"</definedName>
    <definedName name="IQ_ECO_METRIC_7208_UNUSED_UNUSED_UNUSED" hidden="1">"c7208"</definedName>
    <definedName name="IQ_ECO_METRIC_7265_UNUSED" hidden="1">"c7265"</definedName>
    <definedName name="IQ_ECO_METRIC_7265_UNUSED_UNUSED_UNUSED" hidden="1">"c7265"</definedName>
    <definedName name="IQ_ECO_METRIC_7279_UNUSED" hidden="1">"c7279"</definedName>
    <definedName name="IQ_ECO_METRIC_7279_UNUSED_UNUSED_UNUSED" hidden="1">"c7279"</definedName>
    <definedName name="IQ_ECO_METRIC_7336_UNUSED" hidden="1">"c7336"</definedName>
    <definedName name="IQ_ECO_METRIC_7336_UNUSED_UNUSED_UNUSED" hidden="1">"c7336"</definedName>
    <definedName name="IQ_ECO_METRIC_7337_UNUSED" hidden="1">"c7337"</definedName>
    <definedName name="IQ_ECO_METRIC_7337_UNUSED_UNUSED_UNUSED" hidden="1">"c7337"</definedName>
    <definedName name="IQ_ECO_METRIC_7367" hidden="1">"c7367"</definedName>
    <definedName name="IQ_ECO_METRIC_7428_UNUSED" hidden="1">"c7428"</definedName>
    <definedName name="IQ_ECO_METRIC_7428_UNUSED_UNUSED_UNUSED" hidden="1">"c7428"</definedName>
    <definedName name="IQ_ECO_METRIC_7556_UNUSED" hidden="1">"c7556"</definedName>
    <definedName name="IQ_ECO_METRIC_7556_UNUSED_UNUSED_UNUSED" hidden="1">"c7556"</definedName>
    <definedName name="IQ_ECO_METRIC_7557_UNUSED" hidden="1">"c7557"</definedName>
    <definedName name="IQ_ECO_METRIC_7557_UNUSED_UNUSED_UNUSED" hidden="1">"c7557"</definedName>
    <definedName name="IQ_ECO_METRIC_7587" hidden="1">"c7587"</definedName>
    <definedName name="IQ_ECO_METRIC_7648_UNUSED" hidden="1">"c7648"</definedName>
    <definedName name="IQ_ECO_METRIC_7648_UNUSED_UNUSED_UNUSED" hidden="1">"c7648"</definedName>
    <definedName name="IQ_ECO_METRIC_7704" hidden="1">"c7704"</definedName>
    <definedName name="IQ_ECO_METRIC_7705_UNUSED" hidden="1">"c7705"</definedName>
    <definedName name="IQ_ECO_METRIC_7705_UNUSED_UNUSED_UNUSED" hidden="1">"c7705"</definedName>
    <definedName name="IQ_ECO_METRIC_7706" hidden="1">"c7706"</definedName>
    <definedName name="IQ_ECO_METRIC_7718" hidden="1">"c7718"</definedName>
    <definedName name="IQ_ECO_METRIC_7719_UNUSED" hidden="1">"c7719"</definedName>
    <definedName name="IQ_ECO_METRIC_7719_UNUSED_UNUSED_UNUSED" hidden="1">"c7719"</definedName>
    <definedName name="IQ_ECO_METRIC_7776_UNUSED" hidden="1">"c7776"</definedName>
    <definedName name="IQ_ECO_METRIC_7776_UNUSED_UNUSED_UNUSED" hidden="1">"c7776"</definedName>
    <definedName name="IQ_ECO_METRIC_7777_UNUSED" hidden="1">"c7777"</definedName>
    <definedName name="IQ_ECO_METRIC_7777_UNUSED_UNUSED_UNUSED" hidden="1">"c7777"</definedName>
    <definedName name="IQ_ECO_METRIC_7807" hidden="1">"c7807"</definedName>
    <definedName name="IQ_ECO_METRIC_7811" hidden="1">"c7811"</definedName>
    <definedName name="IQ_ECO_METRIC_7868_UNUSED" hidden="1">"c7868"</definedName>
    <definedName name="IQ_ECO_METRIC_7868_UNUSED_UNUSED_UNUSED" hidden="1">"c7868"</definedName>
    <definedName name="IQ_ECO_METRIC_7873" hidden="1">"c7873"</definedName>
    <definedName name="IQ_ECO_METRIC_7924" hidden="1">"c7924"</definedName>
    <definedName name="IQ_ECO_METRIC_7925_UNUSED" hidden="1">"c7925"</definedName>
    <definedName name="IQ_ECO_METRIC_7925_UNUSED_UNUSED_UNUSED" hidden="1">"c7925"</definedName>
    <definedName name="IQ_ECO_METRIC_7926" hidden="1">"c7926"</definedName>
    <definedName name="IQ_ECO_METRIC_7938" hidden="1">"c7938"</definedName>
    <definedName name="IQ_ECO_METRIC_7939_UNUSED" hidden="1">"c7939"</definedName>
    <definedName name="IQ_ECO_METRIC_7939_UNUSED_UNUSED_UNUSED" hidden="1">"c7939"</definedName>
    <definedName name="IQ_ECO_METRIC_7996_UNUSED" hidden="1">"c7996"</definedName>
    <definedName name="IQ_ECO_METRIC_7996_UNUSED_UNUSED_UNUSED" hidden="1">"c7996"</definedName>
    <definedName name="IQ_ECO_METRIC_7997_UNUSED" hidden="1">"c7997"</definedName>
    <definedName name="IQ_ECO_METRIC_7997_UNUSED_UNUSED_UNUSED" hidden="1">"c7997"</definedName>
    <definedName name="IQ_ECO_METRIC_8027" hidden="1">"c8027"</definedName>
    <definedName name="IQ_ECO_METRIC_8031" hidden="1">"c8031"</definedName>
    <definedName name="IQ_ECO_METRIC_8088_UNUSED" hidden="1">"c8088"</definedName>
    <definedName name="IQ_ECO_METRIC_8088_UNUSED_UNUSED_UNUSED" hidden="1">"c8088"</definedName>
    <definedName name="IQ_ECO_METRIC_8093" hidden="1">"c8093"</definedName>
    <definedName name="IQ_ECO_METRIC_8144" hidden="1">"c8144"</definedName>
    <definedName name="IQ_ECO_METRIC_8145_UNUSED" hidden="1">"c8145"</definedName>
    <definedName name="IQ_ECO_METRIC_8145_UNUSED_UNUSED_UNUSED" hidden="1">"c8145"</definedName>
    <definedName name="IQ_ECO_METRIC_8146" hidden="1">"c8146"</definedName>
    <definedName name="IQ_ECO_METRIC_8158" hidden="1">"c8158"</definedName>
    <definedName name="IQ_ECO_METRIC_8159_UNUSED" hidden="1">"c8159"</definedName>
    <definedName name="IQ_ECO_METRIC_8159_UNUSED_UNUSED_UNUSED" hidden="1">"c8159"</definedName>
    <definedName name="IQ_ECO_METRIC_8216_UNUSED" hidden="1">"c8216"</definedName>
    <definedName name="IQ_ECO_METRIC_8216_UNUSED_UNUSED_UNUSED" hidden="1">"c8216"</definedName>
    <definedName name="IQ_ECO_METRIC_8217_UNUSED" hidden="1">"c8217"</definedName>
    <definedName name="IQ_ECO_METRIC_8217_UNUSED_UNUSED_UNUSED" hidden="1">"c8217"</definedName>
    <definedName name="IQ_ECO_METRIC_8247" hidden="1">"c8247"</definedName>
    <definedName name="IQ_ECO_METRIC_8251" hidden="1">"c8251"</definedName>
    <definedName name="IQ_ECO_METRIC_8308_UNUSED" hidden="1">"c8308"</definedName>
    <definedName name="IQ_ECO_METRIC_8308_UNUSED_UNUSED_UNUSED" hidden="1">"c8308"</definedName>
    <definedName name="IQ_ECO_METRIC_8313" hidden="1">"c8313"</definedName>
    <definedName name="IQ_ECO_METRIC_8366" hidden="1">"c8366"</definedName>
    <definedName name="IQ_ECO_METRIC_8378" hidden="1">"c8378"</definedName>
    <definedName name="IQ_ECO_METRIC_8436_UNUSED" hidden="1">"c8436"</definedName>
    <definedName name="IQ_ECO_METRIC_8436_UNUSED_UNUSED_UNUSED" hidden="1">"c8436"</definedName>
    <definedName name="IQ_ECO_METRIC_8437_UNUSED" hidden="1">"c8437"</definedName>
    <definedName name="IQ_ECO_METRIC_8437_UNUSED_UNUSED_UNUSED" hidden="1">"c8437"</definedName>
    <definedName name="IQ_ECO_METRIC_8467" hidden="1">"c8467"</definedName>
    <definedName name="IQ_ECO_METRIC_8471" hidden="1">"c8471"</definedName>
    <definedName name="IQ_ECO_METRIC_8528_UNUSED" hidden="1">"c8528"</definedName>
    <definedName name="IQ_ECO_METRIC_8528_UNUSED_UNUSED_UNUSED" hidden="1">"c8528"</definedName>
    <definedName name="IQ_ECO_METRIC_8533" hidden="1">"c8533"</definedName>
    <definedName name="IQ_ECS_AUTHORIZED_SHARES" hidden="1">"c5583"</definedName>
    <definedName name="IQ_ECS_AUTHORIZED_SHARES_ABS" hidden="1">"c5597"</definedName>
    <definedName name="IQ_ECS_AUTHORIZED_SHARES_OTHER" hidden="1">"c15613"</definedName>
    <definedName name="IQ_ECS_AUTHORIZED_SHARES_OTHER_ABS" hidden="1">"c15630"</definedName>
    <definedName name="IQ_ECS_CONVERT_FACTOR" hidden="1">"c5581"</definedName>
    <definedName name="IQ_ECS_CONVERT_FACTOR_ABS" hidden="1">"c5595"</definedName>
    <definedName name="IQ_ECS_CONVERT_FACTOR_OTHER" hidden="1">"c15611"</definedName>
    <definedName name="IQ_ECS_CONVERT_FACTOR_OTHER_ABS" hidden="1">"c15628"</definedName>
    <definedName name="IQ_ECS_CONVERT_INTO" hidden="1">"c5580"</definedName>
    <definedName name="IQ_ECS_CONVERT_INTO_ABS" hidden="1">"c5594"</definedName>
    <definedName name="IQ_ECS_CONVERT_INTO_OTHER" hidden="1">"c15610"</definedName>
    <definedName name="IQ_ECS_CONVERT_INTO_OTHER_ABS" hidden="1">"c15627"</definedName>
    <definedName name="IQ_ECS_CONVERT_PRIMARY_FACTOR" hidden="1">"c15592"</definedName>
    <definedName name="IQ_ECS_CONVERT_PRIMARY_FACTOR_ABS" hidden="1">"c15596"</definedName>
    <definedName name="IQ_ECS_CONVERT_TYPE" hidden="1">"c5579"</definedName>
    <definedName name="IQ_ECS_CONVERT_TYPE_ABS" hidden="1">"c5593"</definedName>
    <definedName name="IQ_ECS_CONVERT_TYPE_OTHER" hidden="1">"c15609"</definedName>
    <definedName name="IQ_ECS_CONVERT_TYPE_OTHER_ABS" hidden="1">"c15626"</definedName>
    <definedName name="IQ_ECS_INACTIVE_DATE" hidden="1">"c5576"</definedName>
    <definedName name="IQ_ECS_INACTIVE_DATE_ABS" hidden="1">"c5590"</definedName>
    <definedName name="IQ_ECS_INACTIVE_DATE_OTHER" hidden="1">"c15606"</definedName>
    <definedName name="IQ_ECS_INACTIVE_DATE_OTHER_ABS" hidden="1">"c15623"</definedName>
    <definedName name="IQ_ECS_NAME" hidden="1">"c5571"</definedName>
    <definedName name="IQ_ECS_NAME_ABS" hidden="1">"c5585"</definedName>
    <definedName name="IQ_ECS_NAME_OTHER" hidden="1">"c15599"</definedName>
    <definedName name="IQ_ECS_NAME_OTHER_ABS" hidden="1">"c15616"</definedName>
    <definedName name="IQ_ECS_NUM_SHAREHOLDERS" hidden="1">"c5584"</definedName>
    <definedName name="IQ_ECS_NUM_SHAREHOLDERS_ABS" hidden="1">"c5598"</definedName>
    <definedName name="IQ_ECS_NUM_SHAREHOLDERS_OTHER" hidden="1">"c15615"</definedName>
    <definedName name="IQ_ECS_NUM_SHAREHOLDERS_OTHER_ABS" hidden="1">"c15632"</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PAR_VALUE_CURRENCY_OTHER" hidden="1">"c15608"</definedName>
    <definedName name="IQ_ECS_PAR_VALUE_CURRENCY_OTHER_ABS" hidden="1">"c15625"</definedName>
    <definedName name="IQ_ECS_PAR_VALUE_OTHER" hidden="1">"c15607"</definedName>
    <definedName name="IQ_ECS_PAR_VALUE_OTHER_ABS" hidden="1">"c15624"</definedName>
    <definedName name="IQ_ECS_PARTICIPATE_FLAG" hidden="1">"c15591"</definedName>
    <definedName name="IQ_ECS_PARTICIPATE_FLAG_ABS" hidden="1">"c15595"</definedName>
    <definedName name="IQ_ECS_PARTICIPATE_FLAG_OTHER" hidden="1">"c15614"</definedName>
    <definedName name="IQ_ECS_PARTICIPATE_FLAG_OTHER_ABS" hidden="1">"c15631"</definedName>
    <definedName name="IQ_ECS_SHARES_OUT_BS_DATE" hidden="1">"c5572"</definedName>
    <definedName name="IQ_ECS_SHARES_OUT_BS_DATE_ABS" hidden="1">"c5586"</definedName>
    <definedName name="IQ_ECS_SHARES_OUT_BS_DATE_OTHER" hidden="1">"c15600"</definedName>
    <definedName name="IQ_ECS_SHARES_OUT_BS_DATE_OTHER_ABS" hidden="1">"c15617"</definedName>
    <definedName name="IQ_ECS_SHARES_OUT_FILING_DATE" hidden="1">"c5573"</definedName>
    <definedName name="IQ_ECS_SHARES_OUT_FILING_DATE_ABS" hidden="1">"c5587"</definedName>
    <definedName name="IQ_ECS_SHARES_OUT_FILING_DATE_OTHER" hidden="1">"c15601"</definedName>
    <definedName name="IQ_ECS_SHARES_OUT_FILING_DATE_OTHER_ABS" hidden="1">"c15618"</definedName>
    <definedName name="IQ_ECS_START_DATE" hidden="1">"c5575"</definedName>
    <definedName name="IQ_ECS_START_DATE_ABS" hidden="1">"c5589"</definedName>
    <definedName name="IQ_ECS_START_DATE_OTHER" hidden="1">"c15605"</definedName>
    <definedName name="IQ_ECS_START_DATE_OTHER_ABS" hidden="1">"c15622"</definedName>
    <definedName name="IQ_ECS_TICKER" hidden="1">"c15594"</definedName>
    <definedName name="IQ_ECS_TICKER_ABS" hidden="1">"c15598"</definedName>
    <definedName name="IQ_ECS_TICKER_OTHER" hidden="1">"c15603"</definedName>
    <definedName name="IQ_ECS_TICKER_OTHER_ABS" hidden="1">"c15620"</definedName>
    <definedName name="IQ_ECS_TRADING_ITEM_CIQID" hidden="1">"c15593"</definedName>
    <definedName name="IQ_ECS_TRADING_ITEM_CIQID_ABS" hidden="1">"c15597"</definedName>
    <definedName name="IQ_ECS_TRADING_ITEM_CIQID_OTHER" hidden="1">"c15602"</definedName>
    <definedName name="IQ_ECS_TRADING_ITEM_CIQID_OTHER_ABS" hidden="1">"c15619"</definedName>
    <definedName name="IQ_ECS_TYPE" hidden="1">"c5574"</definedName>
    <definedName name="IQ_ECS_TYPE_ABS" hidden="1">"c5588"</definedName>
    <definedName name="IQ_ECS_TYPE_OTHER" hidden="1">"c15604"</definedName>
    <definedName name="IQ_ECS_TYPE_OTHER_ABS" hidden="1">"c15621"</definedName>
    <definedName name="IQ_ECS_VOTING" hidden="1">"c5582"</definedName>
    <definedName name="IQ_ECS_VOTING_ABS" hidden="1">"c5596"</definedName>
    <definedName name="IQ_ECS_VOTING_OTHER" hidden="1">"c15612"</definedName>
    <definedName name="IQ_ECS_VOTING_OTHER_ABS" hidden="1">"c15629"</definedName>
    <definedName name="IQ_EFFECT_SPECIAL_CHARGE" hidden="1">"c1595"</definedName>
    <definedName name="IQ_EFFECT_TAX_RATE" hidden="1">"c1899"</definedName>
    <definedName name="IQ_EFFECTIVE_DATE" hidden="1">"c8966"</definedName>
    <definedName name="IQ_EFFICIENCY_RATIO" hidden="1">"c391"</definedName>
    <definedName name="IQ_EFFICIENCY_RATIO_FDIC" hidden="1">"c6736"</definedName>
    <definedName name="IQ_ELIMINATIONS_CONSOL_OFFICES_FOREIGN_FFIEC" hidden="1">"c15395"</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MPLOYEES_FFIEC" hidden="1">"c13035"</definedName>
    <definedName name="IQ_EMPLOYEES_UNDER_UNION_CONTRACTS" hidden="1">"c16109"</definedName>
    <definedName name="IQ_ENTERPRISE_VALUE" hidden="1">"c1348"</definedName>
    <definedName name="IQ_ENTITLEMENT_DET_EST" hidden="1">"c12044"</definedName>
    <definedName name="IQ_ENTITLEMENT_DET_EST_THOM" hidden="1">"c12072"</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CT_OR_EST_THOM" hidden="1">"c5298"</definedName>
    <definedName name="IQ_EPS_AP" hidden="1">"c8880"</definedName>
    <definedName name="IQ_EPS_AP_ABS" hidden="1">"c8899"</definedName>
    <definedName name="IQ_EPS_DET_EST" hidden="1">"c13571"</definedName>
    <definedName name="IQ_EPS_DET_EST_CURRENCY" hidden="1">"c13583"</definedName>
    <definedName name="IQ_EPS_DET_EST_CURRENCY_THOM" hidden="1">"c12484"</definedName>
    <definedName name="IQ_EPS_DET_EST_DATE" hidden="1">"c13575"</definedName>
    <definedName name="IQ_EPS_DET_EST_DATE_THOM" hidden="1">"c12235"</definedName>
    <definedName name="IQ_EPS_DET_EST_INCL" hidden="1">"c13587"</definedName>
    <definedName name="IQ_EPS_DET_EST_INCL_THOM" hidden="1">"c12367"</definedName>
    <definedName name="IQ_EPS_DET_EST_ORIGIN" hidden="1">"c13579"</definedName>
    <definedName name="IQ_EPS_DET_EST_ORIGIN_THOM" hidden="1">"c12605"</definedName>
    <definedName name="IQ_EPS_DET_EST_THOM" hidden="1">"c12085"</definedName>
    <definedName name="IQ_EPS_EST" hidden="1">"c399"</definedName>
    <definedName name="IQ_EPS_EST_BOTTOM_UP" hidden="1">"c5489"</definedName>
    <definedName name="IQ_EPS_EST_BOTTOM_UP_CIQ" hidden="1">"c12026"</definedName>
    <definedName name="IQ_EPS_EST_BOTTOM_UP_THOM" hidden="1">"c5647"</definedName>
    <definedName name="IQ_EPS_EST_CIQ" hidden="1">"c4994"</definedName>
    <definedName name="IQ_EPS_EST_REUT" hidden="1">"c5453"</definedName>
    <definedName name="IQ_EPS_EST_THOM" hidden="1">"c5290"</definedName>
    <definedName name="IQ_EPS_EXCL_GUIDANCE" hidden="1">"c4368"</definedName>
    <definedName name="IQ_EPS_EXCL_GUIDANCE_CIQ" hidden="1">"c4893"</definedName>
    <definedName name="IQ_EPS_EXCL_GUIDANCE_CIQ_COL" hidden="1">"c11540"</definedName>
    <definedName name="IQ_EPS_EXCL_HIGH_GUIDANCE" hidden="1">"c4369"</definedName>
    <definedName name="IQ_EPS_EXCL_HIGH_GUIDANCE_CIQ" hidden="1">"c4894"</definedName>
    <definedName name="IQ_EPS_EXCL_HIGH_GUIDANCE_CIQ_COL" hidden="1">"c11541"</definedName>
    <definedName name="IQ_EPS_EXCL_LOW_GUIDANCE" hidden="1">"c4204"</definedName>
    <definedName name="IQ_EPS_EXCL_LOW_GUIDANCE_CIQ" hidden="1">"c4616"</definedName>
    <definedName name="IQ_EPS_EXCL_LOW_GUIDANCE_CIQ_COL" hidden="1">"c11265"</definedName>
    <definedName name="IQ_EPS_GAAP_GUIDANCE" hidden="1">"c4370"</definedName>
    <definedName name="IQ_EPS_GAAP_GUIDANCE_CIQ" hidden="1">"c4895"</definedName>
    <definedName name="IQ_EPS_GAAP_GUIDANCE_CIQ_COL" hidden="1">"c11542"</definedName>
    <definedName name="IQ_EPS_GAAP_HIGH_GUIDANCE" hidden="1">"c4371"</definedName>
    <definedName name="IQ_EPS_GAAP_HIGH_GUIDANCE_CIQ" hidden="1">"c4896"</definedName>
    <definedName name="IQ_EPS_GAAP_HIGH_GUIDANCE_CIQ_COL" hidden="1">"c11543"</definedName>
    <definedName name="IQ_EPS_GAAP_LOW_GUIDANCE" hidden="1">"c4205"</definedName>
    <definedName name="IQ_EPS_GAAP_LOW_GUIDANCE_CIQ" hidden="1">"c4617"</definedName>
    <definedName name="IQ_EPS_GAAP_LOW_GUIDANCE_CIQ_COL" hidden="1">"c11266"</definedName>
    <definedName name="IQ_EPS_GROWTH_GUIDANCE_CIQ" hidden="1">"c32283"</definedName>
    <definedName name="IQ_EPS_GROWTH_GUIDANCE_CIQ_COL" hidden="1">"c32286"</definedName>
    <definedName name="IQ_EPS_GROWTH_HIGH_GUIDANCE_CIQ" hidden="1">"c32284"</definedName>
    <definedName name="IQ_EPS_GROWTH_HIGH_GUIDANCE_CIQ_COL" hidden="1">"c32287"</definedName>
    <definedName name="IQ_EPS_GROWTH_LOW_GUIDANCE_CIQ" hidden="1">"c32285"</definedName>
    <definedName name="IQ_EPS_GROWTH_LOW_GUIDANCE_CIQ_COL" hidden="1">"c32288"</definedName>
    <definedName name="IQ_EPS_GW_ACT_OR_EST" hidden="1">"c2223"</definedName>
    <definedName name="IQ_EPS_GW_ACT_OR_EST_CIQ" hidden="1">"c5066"</definedName>
    <definedName name="IQ_EPS_GW_DET_EST" hidden="1">"c12056"</definedName>
    <definedName name="IQ_EPS_GW_DET_EST_CURRENCY" hidden="1">"c12463"</definedName>
    <definedName name="IQ_EPS_GW_DET_EST_CURRENCY_THOM" hidden="1">"c12485"</definedName>
    <definedName name="IQ_EPS_GW_DET_EST_DATE" hidden="1">"c12209"</definedName>
    <definedName name="IQ_EPS_GW_DET_EST_DATE_THOM" hidden="1">"c12236"</definedName>
    <definedName name="IQ_EPS_GW_DET_EST_INCL" hidden="1">"c12346"</definedName>
    <definedName name="IQ_EPS_GW_DET_EST_INCL_THOM" hidden="1">"c12368"</definedName>
    <definedName name="IQ_EPS_GW_DET_EST_ORIGIN" hidden="1">"c12582"</definedName>
    <definedName name="IQ_EPS_GW_DET_EST_ORIGIN_THOM" hidden="1">"c12606"</definedName>
    <definedName name="IQ_EPS_GW_DET_EST_THOM" hidden="1">"c12086"</definedName>
    <definedName name="IQ_EPS_GW_EST" hidden="1">"c1737"</definedName>
    <definedName name="IQ_EPS_GW_EST_BOTTOM_UP" hidden="1">"c5491"</definedName>
    <definedName name="IQ_EPS_GW_EST_BOTTOM_UP_CIQ" hidden="1">"c12028"</definedName>
    <definedName name="IQ_EPS_GW_EST_CIQ" hidden="1">"c4723"</definedName>
    <definedName name="IQ_EPS_GW_EST_REUT" hidden="1">"c5389"</definedName>
    <definedName name="IQ_EPS_GW_EST_THOM" hidden="1">"c5133"</definedName>
    <definedName name="IQ_EPS_GW_GUIDANCE" hidden="1">"c4372"</definedName>
    <definedName name="IQ_EPS_GW_GUIDANCE_CIQ" hidden="1">"c4897"</definedName>
    <definedName name="IQ_EPS_GW_GUIDANCE_CIQ_COL" hidden="1">"c11544"</definedName>
    <definedName name="IQ_EPS_GW_HIGH_EST" hidden="1">"c1739"</definedName>
    <definedName name="IQ_EPS_GW_HIGH_EST_CIQ" hidden="1">"c4725"</definedName>
    <definedName name="IQ_EPS_GW_HIGH_EST_REUT" hidden="1">"c5391"</definedName>
    <definedName name="IQ_EPS_GW_HIGH_EST_THOM" hidden="1">"c5135"</definedName>
    <definedName name="IQ_EPS_GW_HIGH_GUIDANCE" hidden="1">"c4373"</definedName>
    <definedName name="IQ_EPS_GW_HIGH_GUIDANCE_CIQ" hidden="1">"c4898"</definedName>
    <definedName name="IQ_EPS_GW_HIGH_GUIDANCE_CIQ_COL" hidden="1">"c11545"</definedName>
    <definedName name="IQ_EPS_GW_LOW_EST" hidden="1">"c1740"</definedName>
    <definedName name="IQ_EPS_GW_LOW_EST_CIQ" hidden="1">"c4726"</definedName>
    <definedName name="IQ_EPS_GW_LOW_EST_REUT" hidden="1">"c5392"</definedName>
    <definedName name="IQ_EPS_GW_LOW_EST_THOM" hidden="1">"c5136"</definedName>
    <definedName name="IQ_EPS_GW_LOW_GUIDANCE" hidden="1">"c4206"</definedName>
    <definedName name="IQ_EPS_GW_LOW_GUIDANCE_CIQ" hidden="1">"c4618"</definedName>
    <definedName name="IQ_EPS_GW_LOW_GUIDANCE_CIQ_COL" hidden="1">"c11267"</definedName>
    <definedName name="IQ_EPS_GW_MEDIAN_EST" hidden="1">"c1738"</definedName>
    <definedName name="IQ_EPS_GW_MEDIAN_EST_CIQ" hidden="1">"c4724"</definedName>
    <definedName name="IQ_EPS_GW_MEDIAN_EST_REUT" hidden="1">"c5390"</definedName>
    <definedName name="IQ_EPS_GW_MEDIAN_EST_THOM" hidden="1">"c5134"</definedName>
    <definedName name="IQ_EPS_GW_NUM_EST" hidden="1">"c1741"</definedName>
    <definedName name="IQ_EPS_GW_NUM_EST_CIQ" hidden="1">"c4727"</definedName>
    <definedName name="IQ_EPS_GW_NUM_EST_REUT" hidden="1">"c5393"</definedName>
    <definedName name="IQ_EPS_GW_NUM_EST_THOM" hidden="1">"c5137"</definedName>
    <definedName name="IQ_EPS_GW_STDDEV_EST" hidden="1">"c1742"</definedName>
    <definedName name="IQ_EPS_GW_STDDEV_EST_CIQ" hidden="1">"c4728"</definedName>
    <definedName name="IQ_EPS_GW_STDDEV_EST_REUT" hidden="1">"c5394"</definedName>
    <definedName name="IQ_EPS_GW_STDDEV_EST_THOM" hidden="1">"c5138"</definedName>
    <definedName name="IQ_EPS_HIGH_EST" hidden="1">"c400"</definedName>
    <definedName name="IQ_EPS_HIGH_EST_CIQ" hidden="1">"c4995"</definedName>
    <definedName name="IQ_EPS_HIGH_EST_REUT" hidden="1">"c5454"</definedName>
    <definedName name="IQ_EPS_HIGH_EST_THOM" hidden="1">"c5291"</definedName>
    <definedName name="IQ_EPS_LOW_EST" hidden="1">"c401"</definedName>
    <definedName name="IQ_EPS_LOW_EST_CIQ" hidden="1">"c4996"</definedName>
    <definedName name="IQ_EPS_LOW_EST_REUT" hidden="1">"c5455"</definedName>
    <definedName name="IQ_EPS_LOW_EST_THOM" hidden="1">"c5292"</definedName>
    <definedName name="IQ_EPS_MEDIAN_EST" hidden="1">"c1661"</definedName>
    <definedName name="IQ_EPS_MEDIAN_EST_CIQ" hidden="1">"c4997"</definedName>
    <definedName name="IQ_EPS_MEDIAN_EST_REUT" hidden="1">"c5456"</definedName>
    <definedName name="IQ_EPS_MEDIAN_EST_THOM" hidden="1">"c5293"</definedName>
    <definedName name="IQ_EPS_NAME_AP" hidden="1">"c8918"</definedName>
    <definedName name="IQ_EPS_NAME_AP_ABS" hidden="1">"c8937"</definedName>
    <definedName name="IQ_EPS_NORM" hidden="1">"c1902"</definedName>
    <definedName name="IQ_EPS_NORM_DET_EST" hidden="1">"c12058"</definedName>
    <definedName name="IQ_EPS_NORM_DET_EST_CURRENCY" hidden="1">"c12465"</definedName>
    <definedName name="IQ_EPS_NORM_DET_EST_DATE" hidden="1">"c12211"</definedName>
    <definedName name="IQ_EPS_NORM_DET_EST_INCL" hidden="1">"c12348"</definedName>
    <definedName name="IQ_EPS_NORM_DET_EST_ORIGIN" hidden="1">"c12583"</definedName>
    <definedName name="IQ_EPS_NORM_DET_EST_ORIGIN_THOM" hidden="1">"c12607"</definedName>
    <definedName name="IQ_EPS_NORM_EST" hidden="1">"c2226"</definedName>
    <definedName name="IQ_EPS_NORM_EST_BOTTOM_UP" hidden="1">"c5490"</definedName>
    <definedName name="IQ_EPS_NORM_EST_BOTTOM_UP_CIQ" hidden="1">"c12027"</definedName>
    <definedName name="IQ_EPS_NORM_EST_CIQ" hidden="1">"c4667"</definedName>
    <definedName name="IQ_EPS_NORM_EST_REUT" hidden="1">"c5326"</definedName>
    <definedName name="IQ_EPS_NORM_HIGH_EST" hidden="1">"c2228"</definedName>
    <definedName name="IQ_EPS_NORM_HIGH_EST_CIQ" hidden="1">"c4669"</definedName>
    <definedName name="IQ_EPS_NORM_HIGH_EST_REUT" hidden="1">"c5328"</definedName>
    <definedName name="IQ_EPS_NORM_LOW_EST" hidden="1">"c2229"</definedName>
    <definedName name="IQ_EPS_NORM_LOW_EST_CIQ" hidden="1">"c4670"</definedName>
    <definedName name="IQ_EPS_NORM_LOW_EST_REUT" hidden="1">"c5329"</definedName>
    <definedName name="IQ_EPS_NORM_MEDIAN_EST" hidden="1">"c2227"</definedName>
    <definedName name="IQ_EPS_NORM_MEDIAN_EST_CIQ" hidden="1">"c4668"</definedName>
    <definedName name="IQ_EPS_NORM_MEDIAN_EST_REUT" hidden="1">"c5327"</definedName>
    <definedName name="IQ_EPS_NORM_NUM_EST" hidden="1">"c2230"</definedName>
    <definedName name="IQ_EPS_NORM_NUM_EST_CIQ" hidden="1">"c4671"</definedName>
    <definedName name="IQ_EPS_NORM_NUM_EST_REUT" hidden="1">"c5330"</definedName>
    <definedName name="IQ_EPS_NORM_STDDEV_EST" hidden="1">"c2231"</definedName>
    <definedName name="IQ_EPS_NORM_STDDEV_EST_CIQ" hidden="1">"c4672"</definedName>
    <definedName name="IQ_EPS_NORM_STDDEV_EST_REUT" hidden="1">"c5331"</definedName>
    <definedName name="IQ_EPS_NUM_EST" hidden="1">"c402"</definedName>
    <definedName name="IQ_EPS_NUM_EST_CIQ" hidden="1">"c4992"</definedName>
    <definedName name="IQ_EPS_NUM_EST_REUT" hidden="1">"c5451"</definedName>
    <definedName name="IQ_EPS_NUM_EST_THOM" hidden="1">"c5288"</definedName>
    <definedName name="IQ_EPS_REPORT_ACT_OR_EST" hidden="1">"c2224"</definedName>
    <definedName name="IQ_EPS_REPORT_ACT_OR_EST_CIQ" hidden="1">"c5067"</definedName>
    <definedName name="IQ_EPS_REPORT_ACT_OR_EST_THOM" hidden="1">"c5307"</definedName>
    <definedName name="IQ_EPS_REPORTED_DET_EST" hidden="1">"c12057"</definedName>
    <definedName name="IQ_EPS_REPORTED_DET_EST_CURRENCY" hidden="1">"c12464"</definedName>
    <definedName name="IQ_EPS_REPORTED_DET_EST_CURRENCY_THOM" hidden="1">"c12486"</definedName>
    <definedName name="IQ_EPS_REPORTED_DET_EST_DATE" hidden="1">"c12210"</definedName>
    <definedName name="IQ_EPS_REPORTED_DET_EST_DATE_THOM" hidden="1">"c12237"</definedName>
    <definedName name="IQ_EPS_REPORTED_DET_EST_INCL" hidden="1">"c12347"</definedName>
    <definedName name="IQ_EPS_REPORTED_DET_EST_INCL_THOM" hidden="1">"c12369"</definedName>
    <definedName name="IQ_EPS_REPORTED_DET_EST_ORIGIN" hidden="1">"c12772"</definedName>
    <definedName name="IQ_EPS_REPORTED_DET_EST_ORIGIN_THOM" hidden="1">"c13511"</definedName>
    <definedName name="IQ_EPS_REPORTED_DET_EST_THOM" hidden="1">"c12087"</definedName>
    <definedName name="IQ_EPS_REPORTED_EST" hidden="1">"c1744"</definedName>
    <definedName name="IQ_EPS_REPORTED_EST_BOTTOM_UP" hidden="1">"c5492"</definedName>
    <definedName name="IQ_EPS_REPORTED_EST_BOTTOM_UP_CIQ" hidden="1">"c12029"</definedName>
    <definedName name="IQ_EPS_REPORTED_EST_CIQ" hidden="1">"c4730"</definedName>
    <definedName name="IQ_EPS_REPORTED_EST_REUT" hidden="1">"c5396"</definedName>
    <definedName name="IQ_EPS_REPORTED_EST_THOM" hidden="1">"c5140"</definedName>
    <definedName name="IQ_EPS_REPORTED_HIGH_EST" hidden="1">"c1746"</definedName>
    <definedName name="IQ_EPS_REPORTED_HIGH_EST_CIQ" hidden="1">"c4732"</definedName>
    <definedName name="IQ_EPS_REPORTED_HIGH_EST_REUT" hidden="1">"c5398"</definedName>
    <definedName name="IQ_EPS_REPORTED_HIGH_EST_THOM" hidden="1">"c5142"</definedName>
    <definedName name="IQ_EPS_REPORTED_LOW_EST" hidden="1">"c1747"</definedName>
    <definedName name="IQ_EPS_REPORTED_LOW_EST_CIQ" hidden="1">"c4733"</definedName>
    <definedName name="IQ_EPS_REPORTED_LOW_EST_REUT" hidden="1">"c5399"</definedName>
    <definedName name="IQ_EPS_REPORTED_LOW_EST_THOM" hidden="1">"c5143"</definedName>
    <definedName name="IQ_EPS_REPORTED_MEDIAN_EST" hidden="1">"c1745"</definedName>
    <definedName name="IQ_EPS_REPORTED_MEDIAN_EST_CIQ" hidden="1">"c4731"</definedName>
    <definedName name="IQ_EPS_REPORTED_MEDIAN_EST_REUT" hidden="1">"c5397"</definedName>
    <definedName name="IQ_EPS_REPORTED_MEDIAN_EST_THOM" hidden="1">"c5141"</definedName>
    <definedName name="IQ_EPS_REPORTED_NUM_EST" hidden="1">"c1748"</definedName>
    <definedName name="IQ_EPS_REPORTED_NUM_EST_CIQ" hidden="1">"c4734"</definedName>
    <definedName name="IQ_EPS_REPORTED_NUM_EST_REUT" hidden="1">"c5400"</definedName>
    <definedName name="IQ_EPS_REPORTED_NUM_EST_THOM" hidden="1">"c5144"</definedName>
    <definedName name="IQ_EPS_REPORTED_STDDEV_EST" hidden="1">"c1749"</definedName>
    <definedName name="IQ_EPS_REPORTED_STDDEV_EST_CIQ" hidden="1">"c4735"</definedName>
    <definedName name="IQ_EPS_REPORTED_STDDEV_EST_REUT" hidden="1">"c5401"</definedName>
    <definedName name="IQ_EPS_REPORTED_STDDEV_EST_THOM" hidden="1">"c5145"</definedName>
    <definedName name="IQ_EPS_SBC_ACT_OR_EST" hidden="1">"c4376"</definedName>
    <definedName name="IQ_EPS_SBC_ACT_OR_EST_CIQ" hidden="1">"c4901"</definedName>
    <definedName name="IQ_EPS_SBC_EST" hidden="1">"c4375"</definedName>
    <definedName name="IQ_EPS_SBC_GUIDANCE" hidden="1">"c4377"</definedName>
    <definedName name="IQ_EPS_SBC_GUIDANCE_CIQ" hidden="1">"c4902"</definedName>
    <definedName name="IQ_EPS_SBC_GUIDANCE_CIQ_COL" hidden="1">"c11549"</definedName>
    <definedName name="IQ_EPS_SBC_GW_ACT_OR_EST" hidden="1">"c4380"</definedName>
    <definedName name="IQ_EPS_SBC_GW_ACT_OR_EST_CIQ" hidden="1">"c4905"</definedName>
    <definedName name="IQ_EPS_SBC_GW_EST" hidden="1">"c4379"</definedName>
    <definedName name="IQ_EPS_SBC_GW_GUIDANCE" hidden="1">"c4381"</definedName>
    <definedName name="IQ_EPS_SBC_GW_GUIDANCE_CIQ" hidden="1">"c4906"</definedName>
    <definedName name="IQ_EPS_SBC_GW_GUIDANCE_CIQ_COL" hidden="1">"c11553"</definedName>
    <definedName name="IQ_EPS_SBC_GW_HIGH_EST" hidden="1">"c4382"</definedName>
    <definedName name="IQ_EPS_SBC_GW_HIGH_GUIDANCE" hidden="1">"c4189"</definedName>
    <definedName name="IQ_EPS_SBC_GW_HIGH_GUIDANCE_CIQ" hidden="1">"c4601"</definedName>
    <definedName name="IQ_EPS_SBC_GW_HIGH_GUIDANCE_CIQ_COL" hidden="1">"c11250"</definedName>
    <definedName name="IQ_EPS_SBC_GW_LOW_EST" hidden="1">"c4383"</definedName>
    <definedName name="IQ_EPS_SBC_GW_LOW_GUIDANCE" hidden="1">"c4229"</definedName>
    <definedName name="IQ_EPS_SBC_GW_LOW_GUIDANCE_CIQ" hidden="1">"c4641"</definedName>
    <definedName name="IQ_EPS_SBC_GW_LOW_GUIDANCE_CIQ_COL" hidden="1">"c11290"</definedName>
    <definedName name="IQ_EPS_SBC_GW_MEDIAN_EST" hidden="1">"c4384"</definedName>
    <definedName name="IQ_EPS_SBC_GW_NUM_EST" hidden="1">"c4385"</definedName>
    <definedName name="IQ_EPS_SBC_GW_STDDEV_EST" hidden="1">"c4386"</definedName>
    <definedName name="IQ_EPS_SBC_HIGH_EST" hidden="1">"c4388"</definedName>
    <definedName name="IQ_EPS_SBC_HIGH_GUIDANCE" hidden="1">"c4188"</definedName>
    <definedName name="IQ_EPS_SBC_HIGH_GUIDANCE_CIQ" hidden="1">"c4600"</definedName>
    <definedName name="IQ_EPS_SBC_HIGH_GUIDANCE_CIQ_COL" hidden="1">"c11249"</definedName>
    <definedName name="IQ_EPS_SBC_LOW_EST" hidden="1">"c4389"</definedName>
    <definedName name="IQ_EPS_SBC_LOW_GUIDANCE" hidden="1">"c4228"</definedName>
    <definedName name="IQ_EPS_SBC_LOW_GUIDANCE_CIQ" hidden="1">"c4640"</definedName>
    <definedName name="IQ_EPS_SBC_LOW_GUIDANCE_CIQ_COL" hidden="1">"c11289"</definedName>
    <definedName name="IQ_EPS_SBC_MEDIAN_EST" hidden="1">"c4390"</definedName>
    <definedName name="IQ_EPS_SBC_NUM_EST" hidden="1">"c4391"</definedName>
    <definedName name="IQ_EPS_SBC_STDDEV_EST" hidden="1">"c4392"</definedName>
    <definedName name="IQ_EPS_STDDEV_EST" hidden="1">"c403"</definedName>
    <definedName name="IQ_EPS_STDDEV_EST_CIQ" hidden="1">"c4993"</definedName>
    <definedName name="IQ_EPS_STDDEV_EST_REUT" hidden="1">"c5452"</definedName>
    <definedName name="IQ_EPS_STDDEV_EST_THOM" hidden="1">"c5289"</definedName>
    <definedName name="IQ_EQUITY_AFFIL" hidden="1">"c1451"</definedName>
    <definedName name="IQ_EQUITY_AP" hidden="1">"c8887"</definedName>
    <definedName name="IQ_EQUITY_AP_ABS" hidden="1">"c8906"</definedName>
    <definedName name="IQ_EQUITY_ASSETS_TOT_FFIEC" hidden="1">"c13436"</definedName>
    <definedName name="IQ_EQUITY_BEG_EXCL_FFIEC" hidden="1">"c12957"</definedName>
    <definedName name="IQ_EQUITY_BEG_FFIEC" hidden="1">"c12959"</definedName>
    <definedName name="IQ_EQUITY_CAPITAL_ASSETS_FDIC" hidden="1">"c6744"</definedName>
    <definedName name="IQ_EQUITY_CAPITAL_QUARTERLY_AVG_FFIEC" hidden="1">"c13092"</definedName>
    <definedName name="IQ_EQUITY_ENDING_FFIEC" hidden="1">"c12973"</definedName>
    <definedName name="IQ_EQUITY_FDIC" hidden="1">"c6353"</definedName>
    <definedName name="IQ_EQUITY_INDEX_EXPOSURE_FFIEC" hidden="1">"c13060"</definedName>
    <definedName name="IQ_EQUITY_LIST" hidden="1">"c15158"</definedName>
    <definedName name="IQ_EQUITY_METHOD" hidden="1">"c404"</definedName>
    <definedName name="IQ_EQUITY_NAME_AP" hidden="1">"c8925"</definedName>
    <definedName name="IQ_EQUITY_NAME_AP_ABS" hidden="1">"c8944"</definedName>
    <definedName name="IQ_EQUITY_SEC_FAIR_VALUE_FFIEC" hidden="1">"c12805"</definedName>
    <definedName name="IQ_EQUITY_SEC_INVEST_SECURITIES_FFIEC" hidden="1">"c13463"</definedName>
    <definedName name="IQ_EQUITY_SECURITIES_FDIC" hidden="1">"c6304"</definedName>
    <definedName name="IQ_EQUITY_SECURITIES_QUARTERLY_AVG_FFIEC" hidden="1">"c15474"</definedName>
    <definedName name="IQ_EQUITY_SECURITIES_WITHOUT_FAIR_VALUES_FFIEC" hidden="1">"c12846"</definedName>
    <definedName name="IQ_EQUITY_SECURITY_EXPOSURES_FDIC" hidden="1">"c6664"</definedName>
    <definedName name="IQ_EQUITY_TIER_ONE_CAPITAL" hidden="1">"c15246"</definedName>
    <definedName name="IQ_EQUITY_TIER_ONE_CAPITAL_RATIO" hidden="1">"c15242"</definedName>
    <definedName name="IQ_EQV_OVER_BV" hidden="1">"c1596"</definedName>
    <definedName name="IQ_EQV_OVER_LTM_PRETAX_INC" hidden="1">"c1390"</definedName>
    <definedName name="IQ_ESOP_DEBT" hidden="1">"c1597"</definedName>
    <definedName name="IQ_ESOP_DEBT_GUARANTEED_FFIEC" hidden="1">"c12971"</definedName>
    <definedName name="IQ_ESOP_OVER_TOTAL" hidden="1">"c13768"</definedName>
    <definedName name="IQ_EST_ACT_BV" hidden="1">"c5630"</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ASH_FLOW" hidden="1">"c4394"</definedName>
    <definedName name="IQ_EST_ACT_CASH_OPER" hidden="1">"c4395"</definedName>
    <definedName name="IQ_EST_ACT_CFPS" hidden="1">"c1673"</definedName>
    <definedName name="IQ_EST_ACT_CFPS_THOM" hidden="1">"c4012"</definedName>
    <definedName name="IQ_EST_ACT_DISTRIBUTABLE_CASH" hidden="1">"c4396"</definedName>
    <definedName name="IQ_EST_ACT_DISTRIBUTABLE_CASH_SHARE" hidden="1">"c4397"</definedName>
    <definedName name="IQ_EST_ACT_DPS" hidden="1">"c1680"</definedName>
    <definedName name="IQ_EST_ACT_DPS_THOM" hidden="1">"c4019"</definedName>
    <definedName name="IQ_EST_ACT_EBIT" hidden="1">"c1687"</definedName>
    <definedName name="IQ_EST_ACT_EBIT_GW" hidden="1">"c4398"</definedName>
    <definedName name="IQ_EST_ACT_EBIT_SBC" hidden="1">"c4399"</definedName>
    <definedName name="IQ_EST_ACT_EBIT_SBC_GW" hidden="1">"c4400"</definedName>
    <definedName name="IQ_EST_ACT_EBIT_THOM" hidden="1">"c5111"</definedName>
    <definedName name="IQ_EST_ACT_EBITDA" hidden="1">"c1664"</definedName>
    <definedName name="IQ_EST_ACT_EBITDA_CIQ" hidden="1">"c3667"</definedName>
    <definedName name="IQ_EST_ACT_EBITDA_SBC" hidden="1">"c4401"</definedName>
    <definedName name="IQ_EST_ACT_EBITDA_THOM" hidden="1">"c3998"</definedName>
    <definedName name="IQ_EST_ACT_EBT_SBC" hidden="1">"c4402"</definedName>
    <definedName name="IQ_EST_ACT_EBT_SBC_GW" hidden="1">"c4403"</definedName>
    <definedName name="IQ_EST_ACT_EPS" hidden="1">"c1648"</definedName>
    <definedName name="IQ_EST_ACT_EPS_CIQ" hidden="1">"c4998"</definedName>
    <definedName name="IQ_EST_ACT_EPS_GW" hidden="1">"c1743"</definedName>
    <definedName name="IQ_EST_ACT_EPS_GW_CIQ" hidden="1">"c4729"</definedName>
    <definedName name="IQ_EST_ACT_EPS_GW_REUT" hidden="1">"c5395"</definedName>
    <definedName name="IQ_EST_ACT_EPS_GW_THOM" hidden="1">"c5139"</definedName>
    <definedName name="IQ_EST_ACT_EPS_NORM" hidden="1">"c2232"</definedName>
    <definedName name="IQ_EST_ACT_EPS_NORM_CIQ" hidden="1">"c4673"</definedName>
    <definedName name="IQ_EST_ACT_EPS_NORM_REUT" hidden="1">"c5332"</definedName>
    <definedName name="IQ_EST_ACT_EPS_REPORTED" hidden="1">"c1750"</definedName>
    <definedName name="IQ_EST_ACT_EPS_REPORTED_CIQ" hidden="1">"c4736"</definedName>
    <definedName name="IQ_EST_ACT_EPS_REPORTED_REUT" hidden="1">"c5402"</definedName>
    <definedName name="IQ_EST_ACT_EPS_REPORTED_THOM" hidden="1">"c5146"</definedName>
    <definedName name="IQ_EST_ACT_EPS_SBC" hidden="1">"c4404"</definedName>
    <definedName name="IQ_EST_ACT_EPS_SBC_GW" hidden="1">"c4405"</definedName>
    <definedName name="IQ_EST_ACT_EPS_THOM" hidden="1">"c5294"</definedName>
    <definedName name="IQ_EST_ACT_FFO" hidden="1">"c1666"</definedName>
    <definedName name="IQ_EST_ACT_FFO_ADJ" hidden="1">"c4406"</definedName>
    <definedName name="IQ_EST_ACT_FFO_SHARE" hidden="1">"c1666"</definedName>
    <definedName name="IQ_EST_ACT_FFO_SHARE_SHARE_THOM" hidden="1">"c4005"</definedName>
    <definedName name="IQ_EST_ACT_FFO_SHARE_THOM" hidden="1">"c4005"</definedName>
    <definedName name="IQ_EST_ACT_FFO_THOM" hidden="1">"c4005"</definedName>
    <definedName name="IQ_EST_ACT_GROSS_MARGIN" hidden="1">"c5553"</definedName>
    <definedName name="IQ_EST_ACT_GROSS_MARGIN_THOM" hidden="1">"c5561"</definedName>
    <definedName name="IQ_EST_ACT_MAINT_CAPEX" hidden="1">"c4408"</definedName>
    <definedName name="IQ_EST_ACT_NAV" hidden="1">"c1757"</definedName>
    <definedName name="IQ_EST_ACT_NAV_SHARE" hidden="1">"c5608"</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SBC" hidden="1">"c4409"</definedName>
    <definedName name="IQ_EST_ACT_NI_SBC_GW" hidden="1">"c4410"</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CURRING_PROFIT_SHARE" hidden="1">"c4412"</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CIQ" hidden="1">"c3666"</definedName>
    <definedName name="IQ_EST_ACT_REV_THOM" hidden="1">"c3997"</definedName>
    <definedName name="IQ_EST_BV_SHARE_DIFF" hidden="1">"c4147"</definedName>
    <definedName name="IQ_EST_BV_SHARE_SURPRISE_PERCENT" hidden="1">"c4148"</definedName>
    <definedName name="IQ_EST_CAPEX_DIFF" hidden="1">"c4149"</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APEX_SURPRISE_PERCENT" hidden="1">"c4151"</definedName>
    <definedName name="IQ_EST_CASH_FLOW_DIFF" hidden="1">"c4152"</definedName>
    <definedName name="IQ_EST_CASH_FLOW_SURPRISE_PERCENT" hidden="1">"c4161"</definedName>
    <definedName name="IQ_EST_CASH_OPER_DIFF" hidden="1">"c4162"</definedName>
    <definedName name="IQ_EST_CASH_OPER_SURPRISE_PERCENT" hidden="1">"c4248"</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CIQ" hidden="1">"c4769"</definedName>
    <definedName name="IQ_EST_CURRENCY_REUT" hidden="1">"c5437"</definedName>
    <definedName name="IQ_EST_CURRENCY_THOM" hidden="1">"c5280"</definedName>
    <definedName name="IQ_EST_DATE" hidden="1">"c1634"</definedName>
    <definedName name="IQ_EST_DATE_CIQ" hidden="1">"c4770"</definedName>
    <definedName name="IQ_EST_DATE_REUT" hidden="1">"c5438"</definedName>
    <definedName name="IQ_EST_DATE_THOM" hidden="1">"c5281"</definedName>
    <definedName name="IQ_EST_DISTRIBUTABLE_CASH_DIFF" hidden="1">"c4276"</definedName>
    <definedName name="IQ_EST_DISTRIBUTABLE_CASH_GROWTH_1YR" hidden="1">"c4413"</definedName>
    <definedName name="IQ_EST_DISTRIBUTABLE_CASH_GROWTH_2YR" hidden="1">"c4414"</definedName>
    <definedName name="IQ_EST_DISTRIBUTABLE_CASH_GROWTH_Q_1YR" hidden="1">"c4415"</definedName>
    <definedName name="IQ_EST_DISTRIBUTABLE_CASH_SEQ_GROWTH_Q" hidden="1">"c4416"</definedName>
    <definedName name="IQ_EST_DISTRIBUTABLE_CASH_SHARE_DIFF" hidden="1">"c4284"</definedName>
    <definedName name="IQ_EST_DISTRIBUTABLE_CASH_SHARE_GROWTH_1YR" hidden="1">"c4417"</definedName>
    <definedName name="IQ_EST_DISTRIBUTABLE_CASH_SHARE_GROWTH_2YR" hidden="1">"c4418"</definedName>
    <definedName name="IQ_EST_DISTRIBUTABLE_CASH_SHARE_GROWTH_Q_1YR" hidden="1">"c4419"</definedName>
    <definedName name="IQ_EST_DISTRIBUTABLE_CASH_SHARE_SEQ_GROWTH_Q" hidden="1">"c4420"</definedName>
    <definedName name="IQ_EST_DISTRIBUTABLE_CASH_SHARE_SURPRISE_PERCENT" hidden="1">"c4293"</definedName>
    <definedName name="IQ_EST_DISTRIBUTABLE_CASH_SURPRISE_PERCENT" hidden="1">"c4295"</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GW_DIFF" hidden="1">"c4304"</definedName>
    <definedName name="IQ_EST_EBIT_GW_SURPRISE_PERCENT" hidden="1">"c4313"</definedName>
    <definedName name="IQ_EST_EBIT_SBC_DIFF" hidden="1">"c4314"</definedName>
    <definedName name="IQ_EST_EBIT_SBC_GW_DIFF" hidden="1">"c4318"</definedName>
    <definedName name="IQ_EST_EBIT_SBC_GW_SURPRISE_PERCENT" hidden="1">"c4327"</definedName>
    <definedName name="IQ_EST_EBIT_SBC_SURPRISE_PERCENT" hidden="1">"c4333"</definedName>
    <definedName name="IQ_EST_EBIT_SURPRISE_PERCENT" hidden="1">"c1876"</definedName>
    <definedName name="IQ_EST_EBIT_SURPRISE_PERCENT_THOM" hidden="1">"c5193"</definedName>
    <definedName name="IQ_EST_EBITDA_DIFF" hidden="1">"c1867"</definedName>
    <definedName name="IQ_EST_EBITDA_DIFF_CIQ" hidden="1">"c3719"</definedName>
    <definedName name="IQ_EST_EBITDA_DIFF_THOM" hidden="1">"c5184"</definedName>
    <definedName name="IQ_EST_EBITDA_GROWTH_1YR" hidden="1">"c1766"</definedName>
    <definedName name="IQ_EST_EBITDA_GROWTH_1YR_CIQ" hidden="1">"c3695"</definedName>
    <definedName name="IQ_EST_EBITDA_GROWTH_1YR_THOM" hidden="1">"c5161"</definedName>
    <definedName name="IQ_EST_EBITDA_GROWTH_2YR" hidden="1">"c1767"</definedName>
    <definedName name="IQ_EST_EBITDA_GROWTH_2YR_CIQ" hidden="1">"c3696"</definedName>
    <definedName name="IQ_EST_EBITDA_GROWTH_2YR_THOM" hidden="1">"c5162"</definedName>
    <definedName name="IQ_EST_EBITDA_GROWTH_Q_1YR" hidden="1">"c1768"</definedName>
    <definedName name="IQ_EST_EBITDA_GROWTH_Q_1YR_CIQ" hidden="1">"c3697"</definedName>
    <definedName name="IQ_EST_EBITDA_GROWTH_Q_1YR_THOM" hidden="1">"c5163"</definedName>
    <definedName name="IQ_EST_EBITDA_SBC_DIFF" hidden="1">"c4335"</definedName>
    <definedName name="IQ_EST_EBITDA_SBC_SURPRISE_PERCENT" hidden="1">"c4344"</definedName>
    <definedName name="IQ_EST_EBITDA_SEQ_GROWTH_Q" hidden="1">"c1769"</definedName>
    <definedName name="IQ_EST_EBITDA_SEQ_GROWTH_Q_CIQ" hidden="1">"c3698"</definedName>
    <definedName name="IQ_EST_EBITDA_SEQ_GROWTH_Q_THOM" hidden="1">"c5164"</definedName>
    <definedName name="IQ_EST_EBITDA_SURPRISE_PERCENT" hidden="1">"c1868"</definedName>
    <definedName name="IQ_EST_EBITDA_SURPRISE_PERCENT_CIQ" hidden="1">"c3720"</definedName>
    <definedName name="IQ_EST_EBITDA_SURPRISE_PERCENT_THOM" hidden="1">"c5185"</definedName>
    <definedName name="IQ_EST_EBT_SBC_DIFF" hidden="1">"c4348"</definedName>
    <definedName name="IQ_EST_EBT_SBC_GW_DIFF" hidden="1">"c4352"</definedName>
    <definedName name="IQ_EST_EBT_SBC_GW_SURPRISE_PERCENT" hidden="1">"c4361"</definedName>
    <definedName name="IQ_EST_EBT_SBC_SURPRISE_PERCENT" hidden="1">"c4367"</definedName>
    <definedName name="IQ_EST_EPS_DIFF" hidden="1">"c1864"</definedName>
    <definedName name="IQ_EST_EPS_DIFF_CIQ" hidden="1">"c4999"</definedName>
    <definedName name="IQ_EST_EPS_DIFF_THOM" hidden="1">"c5295"</definedName>
    <definedName name="IQ_EST_EPS_GROWTH_1YR" hidden="1">"c1636"</definedName>
    <definedName name="IQ_EST_EPS_GROWTH_1YR_CIQ" hidden="1">"c3628"</definedName>
    <definedName name="IQ_EST_EPS_GROWTH_1YR_REUT" hidden="1">"c3646"</definedName>
    <definedName name="IQ_EST_EPS_GROWTH_1YR_THOM" hidden="1">"c3664"</definedName>
    <definedName name="IQ_EST_EPS_GROWTH_2YR" hidden="1">"c1637"</definedName>
    <definedName name="IQ_EST_EPS_GROWTH_2YR_CIQ" hidden="1">"c3689"</definedName>
    <definedName name="IQ_EST_EPS_GROWTH_2YR_THOM" hidden="1">"c5154"</definedName>
    <definedName name="IQ_EST_EPS_GROWTH_5YR" hidden="1">"c1655"</definedName>
    <definedName name="IQ_EST_EPS_GROWTH_5YR_BOTTOM_UP" hidden="1">"c5487"</definedName>
    <definedName name="IQ_EST_EPS_GROWTH_5YR_BOTTOM_UP_CIQ" hidden="1">"c12024"</definedName>
    <definedName name="IQ_EST_EPS_GROWTH_5YR_CIQ" hidden="1">"c3615"</definedName>
    <definedName name="IQ_EST_EPS_GROWTH_5YR_HIGH" hidden="1">"c1657"</definedName>
    <definedName name="IQ_EST_EPS_GROWTH_5YR_HIGH_CIQ" hidden="1">"c4663"</definedName>
    <definedName name="IQ_EST_EPS_GROWTH_5YR_HIGH_THOM" hidden="1">"c5101"</definedName>
    <definedName name="IQ_EST_EPS_GROWTH_5YR_LOW" hidden="1">"c1658"</definedName>
    <definedName name="IQ_EST_EPS_GROWTH_5YR_LOW_CIQ" hidden="1">"c4664"</definedName>
    <definedName name="IQ_EST_EPS_GROWTH_5YR_LOW_THOM" hidden="1">"c5102"</definedName>
    <definedName name="IQ_EST_EPS_GROWTH_5YR_MEDIAN" hidden="1">"c1656"</definedName>
    <definedName name="IQ_EST_EPS_GROWTH_5YR_MEDIAN_CIQ" hidden="1">"c5480"</definedName>
    <definedName name="IQ_EST_EPS_GROWTH_5YR_MEDIAN_THOM" hidden="1">"c5100"</definedName>
    <definedName name="IQ_EST_EPS_GROWTH_5YR_NUM" hidden="1">"c1659"</definedName>
    <definedName name="IQ_EST_EPS_GROWTH_5YR_NUM_CIQ" hidden="1">"c4665"</definedName>
    <definedName name="IQ_EST_EPS_GROWTH_5YR_NUM_THOM" hidden="1">"c5103"</definedName>
    <definedName name="IQ_EST_EPS_GROWTH_5YR_REUT" hidden="1">"c3633"</definedName>
    <definedName name="IQ_EST_EPS_GROWTH_5YR_STDDEV" hidden="1">"c1660"</definedName>
    <definedName name="IQ_EST_EPS_GROWTH_5YR_STDDEV_CIQ" hidden="1">"c4666"</definedName>
    <definedName name="IQ_EST_EPS_GROWTH_5YR_STDDEV_THOM" hidden="1">"c5104"</definedName>
    <definedName name="IQ_EST_EPS_GROWTH_5YR_THOM" hidden="1">"c3651"</definedName>
    <definedName name="IQ_EST_EPS_GROWTH_Q_1YR" hidden="1">"c1641"</definedName>
    <definedName name="IQ_EST_EPS_GROWTH_Q_1YR_CIQ" hidden="1">"c4744"</definedName>
    <definedName name="IQ_EST_EPS_GROWTH_Q_1YR_REUT" hidden="1">"c5410"</definedName>
    <definedName name="IQ_EST_EPS_GROWTH_Q_1YR_THOM" hidden="1">"c5155"</definedName>
    <definedName name="IQ_EST_EPS_GW_DIFF" hidden="1">"c1891"</definedName>
    <definedName name="IQ_EST_EPS_GW_DIFF_CIQ" hidden="1">"c4761"</definedName>
    <definedName name="IQ_EST_EPS_GW_DIFF_REUT" hidden="1">"c5429"</definedName>
    <definedName name="IQ_EST_EPS_GW_DIFF_THOM" hidden="1">"c5200"</definedName>
    <definedName name="IQ_EST_EPS_GW_SURPRISE_PERCENT" hidden="1">"c1892"</definedName>
    <definedName name="IQ_EST_EPS_GW_SURPRISE_PERCENT_CIQ" hidden="1">"c4762"</definedName>
    <definedName name="IQ_EST_EPS_GW_SURPRISE_PERCENT_REUT" hidden="1">"c5430"</definedName>
    <definedName name="IQ_EST_EPS_GW_SURPRISE_PERCENT_THOM" hidden="1">"c5201"</definedName>
    <definedName name="IQ_EST_EPS_NORM_DIFF" hidden="1">"c2247"</definedName>
    <definedName name="IQ_EST_EPS_NORM_DIFF_CIQ" hidden="1">"c4745"</definedName>
    <definedName name="IQ_EST_EPS_NORM_DIFF_REUT" hidden="1">"c5411"</definedName>
    <definedName name="IQ_EST_EPS_NORM_SURPRISE_PERCENT" hidden="1">"c2248"</definedName>
    <definedName name="IQ_EST_EPS_NORM_SURPRISE_PERCENT_CIQ" hidden="1">"c4746"</definedName>
    <definedName name="IQ_EST_EPS_NORM_SURPRISE_PERCENT_REUT" hidden="1">"c5412"</definedName>
    <definedName name="IQ_EST_EPS_REPORT_DIFF" hidden="1">"c1893"</definedName>
    <definedName name="IQ_EST_EPS_REPORT_DIFF_CIQ" hidden="1">"c4763"</definedName>
    <definedName name="IQ_EST_EPS_REPORT_DIFF_REUT" hidden="1">"c5431"</definedName>
    <definedName name="IQ_EST_EPS_REPORT_DIFF_THOM" hidden="1">"c5202"</definedName>
    <definedName name="IQ_EST_EPS_REPORT_SURPRISE_PERCENT" hidden="1">"c1894"</definedName>
    <definedName name="IQ_EST_EPS_REPORT_SURPRISE_PERCENT_CIQ" hidden="1">"c4764"</definedName>
    <definedName name="IQ_EST_EPS_REPORT_SURPRISE_PERCENT_REUT" hidden="1">"c5432"</definedName>
    <definedName name="IQ_EST_EPS_REPORT_SURPRISE_PERCENT_THOM" hidden="1">"c5203"</definedName>
    <definedName name="IQ_EST_EPS_SBC_DIFF" hidden="1">"c4374"</definedName>
    <definedName name="IQ_EST_EPS_SBC_GW_DIFF" hidden="1">"c4378"</definedName>
    <definedName name="IQ_EST_EPS_SBC_GW_SURPRISE_PERCENT" hidden="1">"c4387"</definedName>
    <definedName name="IQ_EST_EPS_SBC_SURPRISE_PERCENT" hidden="1">"c4393"</definedName>
    <definedName name="IQ_EST_EPS_SEQ_GROWTH_Q" hidden="1">"c1764"</definedName>
    <definedName name="IQ_EST_EPS_SEQ_GROWTH_Q_CIQ" hidden="1">"c3690"</definedName>
    <definedName name="IQ_EST_EPS_SEQ_GROWTH_Q_THOM" hidden="1">"c5156"</definedName>
    <definedName name="IQ_EST_EPS_SURPRISE_PERCENT" hidden="1">"c1635"</definedName>
    <definedName name="IQ_EST_EPS_SURPRISE_PERCENT_CIQ" hidden="1">"c5000"</definedName>
    <definedName name="IQ_EST_EPS_SURPRISE_PERCENT_THOM" hidden="1">"c5296"</definedName>
    <definedName name="IQ_EST_FAIR_VALUE_MORT_SERVICING_ASSETS_FFIEC" hidden="1">"c12956"</definedName>
    <definedName name="IQ_EST_FFO_ADJ_DIFF" hidden="1">"c4433"</definedName>
    <definedName name="IQ_EST_FFO_ADJ_GROWTH_1YR" hidden="1">"c4421"</definedName>
    <definedName name="IQ_EST_FFO_ADJ_GROWTH_2YR" hidden="1">"c4422"</definedName>
    <definedName name="IQ_EST_FFO_ADJ_GROWTH_Q_1YR" hidden="1">"c4423"</definedName>
    <definedName name="IQ_EST_FFO_ADJ_SEQ_GROWTH_Q" hidden="1">"c4424"</definedName>
    <definedName name="IQ_EST_FFO_ADJ_SURPRISE_PERCENT" hidden="1">"c4442"</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HARE_DIFF" hidden="1">"c1869"</definedName>
    <definedName name="IQ_EST_FFO_SHARE_DIFF_THOM" hidden="1">"c5186"</definedName>
    <definedName name="IQ_EST_FFO_SHARE_GROWTH_1YR" hidden="1">"c1770"</definedName>
    <definedName name="IQ_EST_FFO_SHARE_GROWTH_2YR" hidden="1">"c1771"</definedName>
    <definedName name="IQ_EST_FFO_SHARE_GROWTH_Q_1YR" hidden="1">"c1772"</definedName>
    <definedName name="IQ_EST_FFO_SHARE_SEQ_GROWTH_Q" hidden="1">"c1773"</definedName>
    <definedName name="IQ_EST_FFO_SHARE_SHARE_DIFF_THOM" hidden="1">"c5186"</definedName>
    <definedName name="IQ_EST_FFO_SHARE_SHARE_SURPRISE_PERCENT_THOM" hidden="1">"c5187"</definedName>
    <definedName name="IQ_EST_FFO_SHARE_SURPRISE_PERCENT" hidden="1">"c1870"</definedName>
    <definedName name="IQ_EST_FFO_SHARE_SURPRISE_PERCENT_THOM" hidden="1">"c5187"</definedName>
    <definedName name="IQ_EST_FFO_SURPRISE_PERCENT" hidden="1">"c1870"</definedName>
    <definedName name="IQ_EST_FFO_SURPRISE_PERCENT_THOM" hidden="1">"c5187"</definedName>
    <definedName name="IQ_EST_FOOTNOTE" hidden="1">"c4540"</definedName>
    <definedName name="IQ_EST_FOOTNOTE_CIQ" hidden="1">"c12022"</definedName>
    <definedName name="IQ_EST_FOOTNOTE_THOM" hidden="1">"c5313"</definedName>
    <definedName name="IQ_EST_MAINT_CAPEX_DIFF" hidden="1">"c4456"</definedName>
    <definedName name="IQ_EST_MAINT_CAPEX_GROWTH_1YR" hidden="1">"c4429"</definedName>
    <definedName name="IQ_EST_MAINT_CAPEX_GROWTH_2YR" hidden="1">"c4430"</definedName>
    <definedName name="IQ_EST_MAINT_CAPEX_GROWTH_Q_1YR" hidden="1">"c4431"</definedName>
    <definedName name="IQ_EST_MAINT_CAPEX_SEQ_GROWTH_Q" hidden="1">"c4432"</definedName>
    <definedName name="IQ_EST_MAINT_CAPEX_SURPRISE_PERCENT" hidden="1">"c4465"</definedName>
    <definedName name="IQ_EST_NAV_DIFF" hidden="1">"c1895"</definedName>
    <definedName name="IQ_EST_NAV_SHARE_SURPRISE_PERCENT" hidden="1">"c1896"</definedName>
    <definedName name="IQ_EST_NAV_SURPRISE_PERCENT" hidden="1">"c1896"</definedName>
    <definedName name="IQ_EST_NET_DEBT_DIFF" hidden="1">"c4466"</definedName>
    <definedName name="IQ_EST_NET_DEBT_SURPRISE_PERCENT" hidden="1">"c4468"</definedName>
    <definedName name="IQ_EST_NEXT_EARNINGS_DATE" hidden="1">"c13591"</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BC_DIFF" hidden="1">"c4472"</definedName>
    <definedName name="IQ_EST_NI_SBC_GW_DIFF" hidden="1">"c4476"</definedName>
    <definedName name="IQ_EST_NI_SBC_GW_SURPRISE_PERCENT" hidden="1">"c4485"</definedName>
    <definedName name="IQ_EST_NI_SBC_SURPRISE_PERCENT" hidden="1">"c4491"</definedName>
    <definedName name="IQ_EST_NI_SURPRISE_PERCENT" hidden="1">"c1886"</definedName>
    <definedName name="IQ_EST_NI_SURPRISE_PERCENT_THOM" hidden="1">"c5199"</definedName>
    <definedName name="IQ_EST_NUM_BUY" hidden="1">"c1759"</definedName>
    <definedName name="IQ_EST_NUM_HIGH_REC" hidden="1">"c5649"</definedName>
    <definedName name="IQ_EST_NUM_HIGH_REC_CIQ" hidden="1">"c3701"</definedName>
    <definedName name="IQ_EST_NUM_HIGH_REC_THOM" hidden="1">"c5166"</definedName>
    <definedName name="IQ_EST_NUM_HIGHEST_REC" hidden="1">"c5648"</definedName>
    <definedName name="IQ_EST_NUM_HIGHEST_REC_CIQ" hidden="1">"c3700"</definedName>
    <definedName name="IQ_EST_NUM_HIGHEST_REC_THOM" hidden="1">"c5165"</definedName>
    <definedName name="IQ_EST_NUM_HOLD" hidden="1">"c1761"</definedName>
    <definedName name="IQ_EST_NUM_LOW_REC" hidden="1">"c5651"</definedName>
    <definedName name="IQ_EST_NUM_LOW_REC_CIQ" hidden="1">"c3703"</definedName>
    <definedName name="IQ_EST_NUM_LOW_REC_THOM" hidden="1">"c5168"</definedName>
    <definedName name="IQ_EST_NUM_LOWEST_REC" hidden="1">"c5652"</definedName>
    <definedName name="IQ_EST_NUM_LOWEST_REC_CIQ" hidden="1">"c3704"</definedName>
    <definedName name="IQ_EST_NUM_LOWEST_REC_THOM" hidden="1">"c5169"</definedName>
    <definedName name="IQ_EST_NUM_NEUTRAL_REC" hidden="1">"c5650"</definedName>
    <definedName name="IQ_EST_NUM_NEUTRAL_REC_CIQ" hidden="1">"c3702"</definedName>
    <definedName name="IQ_EST_NUM_NEUTRAL_REC_THOM" hidden="1">"c5167"</definedName>
    <definedName name="IQ_EST_NUM_NO_OPINION" hidden="1">"c1758"</definedName>
    <definedName name="IQ_EST_NUM_NO_OPINION_CIQ" hidden="1">"c3699"</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ERIOD_ID" hidden="1">"c13923"</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CURRING_PROFIT_SHARE_DIFF" hidden="1">"c4505"</definedName>
    <definedName name="IQ_EST_RECURRING_PROFIT_SHARE_SURPRISE_PERCENT" hidden="1">"c4515"</definedName>
    <definedName name="IQ_EST_REV_DIFF" hidden="1">"c1865"</definedName>
    <definedName name="IQ_EST_REV_DIFF_CIQ" hidden="1">"c3717"</definedName>
    <definedName name="IQ_EST_REV_DIFF_THOM" hidden="1">"c5182"</definedName>
    <definedName name="IQ_EST_REV_GROWTH_1YR" hidden="1">"c1638"</definedName>
    <definedName name="IQ_EST_REV_GROWTH_1YR_CIQ" hidden="1">"c3691"</definedName>
    <definedName name="IQ_EST_REV_GROWTH_1YR_THOM" hidden="1">"c5157"</definedName>
    <definedName name="IQ_EST_REV_GROWTH_2YR" hidden="1">"c1639"</definedName>
    <definedName name="IQ_EST_REV_GROWTH_2YR_CIQ" hidden="1">"c3692"</definedName>
    <definedName name="IQ_EST_REV_GROWTH_2YR_THOM" hidden="1">"c5158"</definedName>
    <definedName name="IQ_EST_REV_GROWTH_Q_1YR" hidden="1">"c1640"</definedName>
    <definedName name="IQ_EST_REV_GROWTH_Q_1YR_CIQ" hidden="1">"c3693"</definedName>
    <definedName name="IQ_EST_REV_GROWTH_Q_1YR_THOM" hidden="1">"c5159"</definedName>
    <definedName name="IQ_EST_REV_SEQ_GROWTH_Q" hidden="1">"c1765"</definedName>
    <definedName name="IQ_EST_REV_SEQ_GROWTH_Q_CIQ" hidden="1">"c3694"</definedName>
    <definedName name="IQ_EST_REV_SEQ_GROWTH_Q_THOM" hidden="1">"c5160"</definedName>
    <definedName name="IQ_EST_REV_SURPRISE_PERCENT" hidden="1">"c1866"</definedName>
    <definedName name="IQ_EST_REV_SURPRISE_PERCENT_CIQ" hidden="1">"c3718"</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VENT_ADDRESS" hidden="1">"c19167"</definedName>
    <definedName name="IQ_EVENT_ADVISORS" hidden="1">"c19147"</definedName>
    <definedName name="IQ_EVENT_AGENDA" hidden="1">"c19168"</definedName>
    <definedName name="IQ_EVENT_CALL_DESCRIPTION" hidden="1">"c19154"</definedName>
    <definedName name="IQ_EVENT_CONTACT" hidden="1">"c19160"</definedName>
    <definedName name="IQ_EVENT_DATE" hidden="1">"c13819"</definedName>
    <definedName name="IQ_EVENT_EMAIL" hidden="1">"c19162"</definedName>
    <definedName name="IQ_EVENT_ID" hidden="1">"c13818"</definedName>
    <definedName name="IQ_EVENT_LIVE_AUDIO_DETAILS_WEBCAST_URL" hidden="1">"c19153"</definedName>
    <definedName name="IQ_EVENT_LIVE_OTHER_PASSCODE" hidden="1">"c19152"</definedName>
    <definedName name="IQ_EVENT_LIVE_OTHER_PHONE_NUMBER" hidden="1">"c19151"</definedName>
    <definedName name="IQ_EVENT_LIVE_PASSCODE" hidden="1">"c19150"</definedName>
    <definedName name="IQ_EVENT_LIVE_PHONE_NUMBER" hidden="1">"c19149"</definedName>
    <definedName name="IQ_EVENT_MARKETINDICATOR" hidden="1">"c19166"</definedName>
    <definedName name="IQ_EVENT_OTHER_CONTACT" hidden="1">"c19163"</definedName>
    <definedName name="IQ_EVENT_OTHER_CONTACT_EMAIL" hidden="1">"c19165"</definedName>
    <definedName name="IQ_EVENT_OTHER_CONTACT_PHONE" hidden="1">"c19164"</definedName>
    <definedName name="IQ_EVENT_PHONE" hidden="1">"c19161"</definedName>
    <definedName name="IQ_EVENT_REPLAY_AUDIO_DETAILS_WEBCAST_URL" hidden="1">"c19159"</definedName>
    <definedName name="IQ_EVENT_REPLAY_BEGINS" hidden="1">"c19157"</definedName>
    <definedName name="IQ_EVENT_REPLAY_ENDS" hidden="1">"c19158"</definedName>
    <definedName name="IQ_EVENT_REPLAY_PASSCODE" hidden="1">"c19156"</definedName>
    <definedName name="IQ_EVENT_REPLAY_PHONE_NUMBER" hidden="1">"c19155"</definedName>
    <definedName name="IQ_EVENT_SITUATION" hidden="1">"c19148"</definedName>
    <definedName name="IQ_EVENT_SOURCE" hidden="1">"c19146"</definedName>
    <definedName name="IQ_EVENT_TIME" hidden="1">"c13820"</definedName>
    <definedName name="IQ_EVENT_TYPE" hidden="1">"c13821"</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IMBURSE_RENTAL_REVENUE" hidden="1">"c16064"</definedName>
    <definedName name="IQ_EXP_RETURN_PENSION_DOMESTIC" hidden="1">"c407"</definedName>
    <definedName name="IQ_EXP_RETURN_PENSION_FOREIGN" hidden="1">"c408"</definedName>
    <definedName name="IQ_EXPENSE_CODE_">"019802400"</definedName>
    <definedName name="IQ_EXPENSE_REIMBURSEMENTS" hidden="1">"c16020"</definedName>
    <definedName name="IQ_EXPENSES_AP" hidden="1">"c8875"</definedName>
    <definedName name="IQ_EXPENSES_AP_ABS" hidden="1">"c8894"</definedName>
    <definedName name="IQ_EXPENSES_FIXED_ASSETS_FFIEC" hidden="1">"c13024"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LORE_DRILL_EXP_TOTAL" hidden="1">"c13850"</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 hidden="1">"c8401"</definedName>
    <definedName name="IQ_EXPORTS_APR_FC_UNUSED_UNUSED_UNUSED" hidden="1">"c8401"</definedName>
    <definedName name="IQ_EXPORTS_APR_UNUSED" hidden="1">"c7521"</definedName>
    <definedName name="IQ_EXPORTS_APR_UNUSED_UNUSED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 hidden="1">"c7741"</definedName>
    <definedName name="IQ_EXPORTS_FC_UNUSED_UNUSED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 hidden="1">"c8512"</definedName>
    <definedName name="IQ_EXPORTS_GOODS_REAL_SAAR_APR_FC_UNUSED_UNUSED_UNUSED" hidden="1">"c8512"</definedName>
    <definedName name="IQ_EXPORTS_GOODS_REAL_SAAR_APR_UNUSED" hidden="1">"c7632"</definedName>
    <definedName name="IQ_EXPORTS_GOODS_REAL_SAAR_APR_UNUSED_UNUSED_UNUSED" hidden="1">"c7632"</definedName>
    <definedName name="IQ_EXPORTS_GOODS_REAL_SAAR_FC_UNUSED" hidden="1">"c7852"</definedName>
    <definedName name="IQ_EXPORTS_GOODS_REAL_SAAR_FC_UNUSED_UNUSED_UNUSED" hidden="1">"c7852"</definedName>
    <definedName name="IQ_EXPORTS_GOODS_REAL_SAAR_POP" hidden="1">"c11931"</definedName>
    <definedName name="IQ_EXPORTS_GOODS_REAL_SAAR_POP_FC_UNUSED" hidden="1">"c8072"</definedName>
    <definedName name="IQ_EXPORTS_GOODS_REAL_SAAR_POP_FC_UNUSED_UNUSED_UNUSED" hidden="1">"c8072"</definedName>
    <definedName name="IQ_EXPORTS_GOODS_REAL_SAAR_POP_UNUSED" hidden="1">"c7192"</definedName>
    <definedName name="IQ_EXPORTS_GOODS_REAL_SAAR_POP_UNUSED_UNUSED_UNUSED" hidden="1">"c7192"</definedName>
    <definedName name="IQ_EXPORTS_GOODS_REAL_SAAR_UNUSED" hidden="1">"c6972"</definedName>
    <definedName name="IQ_EXPORTS_GOODS_REAL_SAAR_UNUSED_UNUSED_UNUSED" hidden="1">"c6972"</definedName>
    <definedName name="IQ_EXPORTS_GOODS_REAL_SAAR_YOY" hidden="1">"c11932"</definedName>
    <definedName name="IQ_EXPORTS_GOODS_REAL_SAAR_YOY_FC_UNUSED" hidden="1">"c8292"</definedName>
    <definedName name="IQ_EXPORTS_GOODS_REAL_SAAR_YOY_FC_UNUSED_UNUSED_UNUSED" hidden="1">"c8292"</definedName>
    <definedName name="IQ_EXPORTS_GOODS_REAL_SAAR_YOY_UNUSED" hidden="1">"c7412"</definedName>
    <definedName name="IQ_EXPORTS_GOODS_REAL_SAAR_YOY_UNUSED_UNUSED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 hidden="1">"c7961"</definedName>
    <definedName name="IQ_EXPORTS_POP_FC_UNUSED_UNUSED_UNUSED" hidden="1">"c7961"</definedName>
    <definedName name="IQ_EXPORTS_POP_UNUSED" hidden="1">"c7081"</definedName>
    <definedName name="IQ_EXPORTS_POP_UNUSED_UNUSED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 hidden="1">"c8516"</definedName>
    <definedName name="IQ_EXPORTS_SERVICES_REAL_SAAR_APR_FC_UNUSED_UNUSED_UNUSED" hidden="1">"c8516"</definedName>
    <definedName name="IQ_EXPORTS_SERVICES_REAL_SAAR_APR_UNUSED" hidden="1">"c7636"</definedName>
    <definedName name="IQ_EXPORTS_SERVICES_REAL_SAAR_APR_UNUSED_UNUSED_UNUSED" hidden="1">"c7636"</definedName>
    <definedName name="IQ_EXPORTS_SERVICES_REAL_SAAR_FC_UNUSED" hidden="1">"c7856"</definedName>
    <definedName name="IQ_EXPORTS_SERVICES_REAL_SAAR_FC_UNUSED_UNUSED_UNUSED" hidden="1">"c7856"</definedName>
    <definedName name="IQ_EXPORTS_SERVICES_REAL_SAAR_POP" hidden="1">"c11935"</definedName>
    <definedName name="IQ_EXPORTS_SERVICES_REAL_SAAR_POP_FC_UNUSED" hidden="1">"c8076"</definedName>
    <definedName name="IQ_EXPORTS_SERVICES_REAL_SAAR_POP_FC_UNUSED_UNUSED_UNUSED" hidden="1">"c8076"</definedName>
    <definedName name="IQ_EXPORTS_SERVICES_REAL_SAAR_POP_UNUSED" hidden="1">"c7196"</definedName>
    <definedName name="IQ_EXPORTS_SERVICES_REAL_SAAR_POP_UNUSED_UNUSED_UNUSED" hidden="1">"c7196"</definedName>
    <definedName name="IQ_EXPORTS_SERVICES_REAL_SAAR_UNUSED" hidden="1">"c6976"</definedName>
    <definedName name="IQ_EXPORTS_SERVICES_REAL_SAAR_UNUSED_UNUSED_UNUSED" hidden="1">"c6976"</definedName>
    <definedName name="IQ_EXPORTS_SERVICES_REAL_SAAR_YOY" hidden="1">"c11936"</definedName>
    <definedName name="IQ_EXPORTS_SERVICES_REAL_SAAR_YOY_FC_UNUSED" hidden="1">"c8296"</definedName>
    <definedName name="IQ_EXPORTS_SERVICES_REAL_SAAR_YOY_FC_UNUSED_UNUSED_UNUSED" hidden="1">"c8296"</definedName>
    <definedName name="IQ_EXPORTS_SERVICES_REAL_SAAR_YOY_UNUSED" hidden="1">"c7416"</definedName>
    <definedName name="IQ_EXPORTS_SERVICES_REAL_SAAR_YOY_UNUSED_UNUSED_UNUSED" hidden="1">"c7416"</definedName>
    <definedName name="IQ_EXPORTS_SERVICES_REAL_YOY" hidden="1">"c7417"</definedName>
    <definedName name="IQ_EXPORTS_SERVICES_REAL_YOY_FC" hidden="1">"c8297"</definedName>
    <definedName name="IQ_EXPORTS_UNUSED" hidden="1">"c6861"</definedName>
    <definedName name="IQ_EXPORTS_UNUSED_UNUSED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 hidden="1">"c8181"</definedName>
    <definedName name="IQ_EXPORTS_YOY_FC_UNUSED_UNUSED_UNUSED" hidden="1">"c8181"</definedName>
    <definedName name="IQ_EXPORTS_YOY_UNUSED" hidden="1">"c7301"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AVG_ASSETS_FFIEC" hidden="1">"c13369"</definedName>
    <definedName name="IQ_EXTRA_ITEMS" hidden="1">"c1459"</definedName>
    <definedName name="IQ_EXTRA_ITEMS_OTHER_ADJUSTMENTS_FOREIGN_FFIEC" hidden="1">"c15392"</definedName>
    <definedName name="IQ_EXTRAORDINARY_GAINS_FDIC" hidden="1">"c6586"</definedName>
    <definedName name="IQ_EXTRAORDINARY_ITEMS_FFIEC" hidden="1">"c13033"</definedName>
    <definedName name="IQ_FAD" hidden="1">"c8757"</definedName>
    <definedName name="IQ_FAD_PAYOUT_RATIO" hidden="1">"c8872"</definedName>
    <definedName name="IQ_FAIR_VALUE_CHANGE_INCL_EARNINGS" hidden="1">"c13849"</definedName>
    <definedName name="IQ_FAIR_VALUE_DEBT" hidden="1">"c16007"</definedName>
    <definedName name="IQ_FAIR_VALUE_FDIC" hidden="1">"c6427"</definedName>
    <definedName name="IQ_FAIR_VALUE_FIN_INSTRUMENTS_NAV" hidden="1">"c16002"</definedName>
    <definedName name="IQ_FAIR_VALUE_FIN_INSTRUMENTS_NNAV" hidden="1">"c16006"</definedName>
    <definedName name="IQ_FAIR_VALUE_TRADING_PROP" hidden="1">"c16001"</definedName>
    <definedName name="IQ_FARM_LOANS_NET_FDIC" hidden="1">"c6316"</definedName>
    <definedName name="IQ_FARM_LOANS_TOT_LOANS_FFIEC" hidden="1">"c13870"</definedName>
    <definedName name="IQ_FARM_LOANS_TOTAL_LOANS_FOREIGN_FDIC" hidden="1">"c6450"</definedName>
    <definedName name="IQ_FARMLAND_DOM_FFIEC" hidden="1">"c15268"</definedName>
    <definedName name="IQ_FARMLAND_LOANS_FDIC" hidden="1">"c6314"</definedName>
    <definedName name="IQ_FDIC" hidden="1">"c417"</definedName>
    <definedName name="IQ_FDIC_DEPOSIT_INSURANCE_FFIEC" hidden="1">"c13053"</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_PURCHASED_SEC_SOLD_REPURCHASE_FFIEC" hidden="1">"c15489"</definedName>
    <definedName name="IQ_FED_FUND_SOLD_SEC_PURCHASED_RESELL_FFIEC" hidden="1">"c15488"</definedName>
    <definedName name="IQ_FED_FUNDS_AVAIL" hidden="1">"c2523"</definedName>
    <definedName name="IQ_FED_FUNDS_PURCH_SEC_SOLD_FAIR_VALUE_TOT_FFIEC" hidden="1">"c15406"</definedName>
    <definedName name="IQ_FED_FUNDS_PURCH_SEC_SOLD_LEVEL_1_FFIEC" hidden="1">"c15428"</definedName>
    <definedName name="IQ_FED_FUNDS_PURCH_SEC_SOLD_LEVEL_2_FFIEC" hidden="1">"c15441"</definedName>
    <definedName name="IQ_FED_FUNDS_PURCH_SEC_SOLD_LEVEL_3_FFIEC" hidden="1">"c15454"</definedName>
    <definedName name="IQ_FED_FUNDS_PURCHASED_DOM_FFIEC" hidden="1">"c12856"</definedName>
    <definedName name="IQ_FED_FUNDS_PURCHASED_FDIC" hidden="1">"c6343"</definedName>
    <definedName name="IQ_FED_FUNDS_PURCHASED_QUARTERLY_AVG_FFIEC" hidden="1">"c13090"</definedName>
    <definedName name="IQ_FED_FUNDS_SOLD_DOM_FFIEC" hidden="1">"c12806"</definedName>
    <definedName name="IQ_FED_FUNDS_SOLD_FDIC" hidden="1">"c6307"</definedName>
    <definedName name="IQ_FED_FUNDS_SOLD_QUARTERLY_AVG_FFIEC" hidden="1">"c13080"</definedName>
    <definedName name="IQ_FED_FUNDS_SOLD_SEC_PURCH_FAIR_VALUE_TOT_FFIEC" hidden="1">"c15402"</definedName>
    <definedName name="IQ_FED_FUNDS_SOLD_SEC_PURCH_LEVEL_1_FFIEC" hidden="1">"c15424"</definedName>
    <definedName name="IQ_FED_FUNDS_SOLD_SEC_PURCH_LEVEL_2_FFIEC" hidden="1">"c15437"</definedName>
    <definedName name="IQ_FED_FUNDS_SOLD_SEC_PURCH_LEVEL_3_FFIEC" hidden="1">"c15450"</definedName>
    <definedName name="IQ_FEDFUNDS_PURCHASED_RELATED" hidden="1">"c19132"</definedName>
    <definedName name="IQ_FEDFUNDS_SOLD" hidden="1">"c2256"</definedName>
    <definedName name="IQ_FEDFUNDS_SOLD_RELATED" hidden="1">"c19130"</definedName>
    <definedName name="IQ_FEES_COMMISSIONS_BROKERAGE_FFIEC" hidden="1">"c13005"</definedName>
    <definedName name="IQ_FEES_OTHER_INCOME" hidden="1">"c15257"</definedName>
    <definedName name="IQ_FFO" hidden="1">"c1574"</definedName>
    <definedName name="IQ_FFO_ACT_OR_EST" hidden="1">"c4446"</definedName>
    <definedName name="IQ_FFO_ADJ_ACT_OR_EST" hidden="1">"c4435"</definedName>
    <definedName name="IQ_FFO_ADJ_ACT_OR_EST_CIQ" hidden="1">"c4960"</definedName>
    <definedName name="IQ_FFO_ADJ_EST" hidden="1">"c4434"</definedName>
    <definedName name="IQ_FFO_ADJ_GUIDANCE" hidden="1">"c4436"</definedName>
    <definedName name="IQ_FFO_ADJ_GUIDANCE_CIQ" hidden="1">"c4961"</definedName>
    <definedName name="IQ_FFO_ADJ_GUIDANCE_CIQ_COL" hidden="1">"c11608"</definedName>
    <definedName name="IQ_FFO_ADJ_HIGH_EST" hidden="1">"c4437"</definedName>
    <definedName name="IQ_FFO_ADJ_HIGH_GUIDANCE" hidden="1">"c4202"</definedName>
    <definedName name="IQ_FFO_ADJ_HIGH_GUIDANCE_CIQ" hidden="1">"c4614"</definedName>
    <definedName name="IQ_FFO_ADJ_HIGH_GUIDANCE_CIQ_COL" hidden="1">"c11263"</definedName>
    <definedName name="IQ_FFO_ADJ_LOW_EST" hidden="1">"c4438"</definedName>
    <definedName name="IQ_FFO_ADJ_LOW_GUIDANCE" hidden="1">"c4242"</definedName>
    <definedName name="IQ_FFO_ADJ_LOW_GUIDANCE_CIQ" hidden="1">"c4654"</definedName>
    <definedName name="IQ_FFO_ADJ_LOW_GUIDANCE_CIQ_COL" hidden="1">"c11303"</definedName>
    <definedName name="IQ_FFO_ADJ_MEDIAN_EST" hidden="1">"c4439"</definedName>
    <definedName name="IQ_FFO_ADJ_NUM_EST" hidden="1">"c4440"</definedName>
    <definedName name="IQ_FFO_ADJ_STDDEV_EST" hidden="1">"c4441"</definedName>
    <definedName name="IQ_FFO_DILUTED" hidden="1">"c16186"</definedName>
    <definedName name="IQ_FFO_EST" hidden="1">"c418"</definedName>
    <definedName name="IQ_FFO_EST_DET_EST" hidden="1">"c12059"</definedName>
    <definedName name="IQ_FFO_EST_DET_EST_CURRENCY" hidden="1">"c12466"</definedName>
    <definedName name="IQ_FFO_EST_DET_EST_CURRENCY_THOM" hidden="1">"c12487"</definedName>
    <definedName name="IQ_FFO_EST_DET_EST_DATE" hidden="1">"c12212"</definedName>
    <definedName name="IQ_FFO_EST_DET_EST_DATE_THOM" hidden="1">"c12238"</definedName>
    <definedName name="IQ_FFO_EST_DET_EST_INCL" hidden="1">"c12349"</definedName>
    <definedName name="IQ_FFO_EST_DET_EST_INCL_THOM" hidden="1">"c12370"</definedName>
    <definedName name="IQ_FFO_EST_DET_EST_ORIGIN" hidden="1">"c12722"</definedName>
    <definedName name="IQ_FFO_EST_DET_EST_ORIGIN_THOM" hidden="1">"c12608"</definedName>
    <definedName name="IQ_FFO_EST_DET_EST_THOM" hidden="1">"c12088"</definedName>
    <definedName name="IQ_FFO_EST_THOM" hidden="1">"c3999"</definedName>
    <definedName name="IQ_FFO_GUIDANCE" hidden="1">"c4443"</definedName>
    <definedName name="IQ_FFO_GUIDANCE_CIQ" hidden="1">"c4968"</definedName>
    <definedName name="IQ_FFO_GUIDANCE_CIQ_COL" hidden="1">"c11615"</definedName>
    <definedName name="IQ_FFO_HIGH_EST" hidden="1">"c419"</definedName>
    <definedName name="IQ_FFO_HIGH_EST_THOM" hidden="1">"c4001"</definedName>
    <definedName name="IQ_FFO_HIGH_GUIDANCE" hidden="1">"c4184"</definedName>
    <definedName name="IQ_FFO_HIGH_GUIDANCE_CIQ" hidden="1">"c4596"</definedName>
    <definedName name="IQ_FFO_HIGH_GUIDANCE_CIQ_COL" hidden="1">"c11245"</definedName>
    <definedName name="IQ_FFO_LOW_EST" hidden="1">"c420"</definedName>
    <definedName name="IQ_FFO_LOW_EST_THOM" hidden="1">"c4002"</definedName>
    <definedName name="IQ_FFO_LOW_GUIDANCE" hidden="1">"c4224"</definedName>
    <definedName name="IQ_FFO_LOW_GUIDANCE_CIQ" hidden="1">"c4636"</definedName>
    <definedName name="IQ_FFO_LOW_GUIDANCE_CIQ_COL" hidden="1">"c11285"</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PER_SHARE_BASIC" hidden="1">"c8867"</definedName>
    <definedName name="IQ_FFO_PER_SHARE_DILUTED" hidden="1">"c8868"</definedName>
    <definedName name="IQ_FFO_SHARE_ACT_OR_EST" hidden="1">"c4446"</definedName>
    <definedName name="IQ_FFO_SHARE_ACT_OR_EST_CIQ" hidden="1">"c4971"</definedName>
    <definedName name="IQ_FFO_SHARE_EST" hidden="1">"c418"</definedName>
    <definedName name="IQ_FFO_SHARE_EST_DET_EST" hidden="1">"c12059"</definedName>
    <definedName name="IQ_FFO_SHARE_EST_DET_EST_CURRENCY" hidden="1">"c12466"</definedName>
    <definedName name="IQ_FFO_SHARE_EST_DET_EST_CURRENCY_THOM" hidden="1">"c12487"</definedName>
    <definedName name="IQ_FFO_SHARE_EST_DET_EST_DATE" hidden="1">"c12212"</definedName>
    <definedName name="IQ_FFO_SHARE_EST_DET_EST_DATE_THOM" hidden="1">"c12238"</definedName>
    <definedName name="IQ_FFO_SHARE_EST_DET_EST_INCL" hidden="1">"c12349"</definedName>
    <definedName name="IQ_FFO_SHARE_EST_DET_EST_INCL_THOM" hidden="1">"c12370"</definedName>
    <definedName name="IQ_FFO_SHARE_EST_DET_EST_ORIGIN" hidden="1">"c12722"</definedName>
    <definedName name="IQ_FFO_SHARE_EST_DET_EST_ORIGIN_THOM" hidden="1">"c12608"</definedName>
    <definedName name="IQ_FFO_SHARE_EST_DET_EST_THOM" hidden="1">"c12088"</definedName>
    <definedName name="IQ_FFO_SHARE_EST_THOM" hidden="1">"c3999"</definedName>
    <definedName name="IQ_FFO_SHARE_GUIDANCE" hidden="1">"c4447"</definedName>
    <definedName name="IQ_FFO_SHARE_GUIDANCE_CIQ" hidden="1">"c4976"</definedName>
    <definedName name="IQ_FFO_SHARE_GUIDANCE_CIQ_COL" hidden="1">"c11623"</definedName>
    <definedName name="IQ_FFO_SHARE_HIGH_EST" hidden="1">"c419"</definedName>
    <definedName name="IQ_FFO_SHARE_HIGH_EST_THOM" hidden="1">"c4001"</definedName>
    <definedName name="IQ_FFO_SHARE_HIGH_GUIDANCE" hidden="1">"c4203"</definedName>
    <definedName name="IQ_FFO_SHARE_HIGH_GUIDANCE_CIQ" hidden="1">"c4615"</definedName>
    <definedName name="IQ_FFO_SHARE_HIGH_GUIDANCE_CIQ_COL" hidden="1">"c11264"</definedName>
    <definedName name="IQ_FFO_SHARE_LOW_EST" hidden="1">"c420"</definedName>
    <definedName name="IQ_FFO_SHARE_LOW_EST_THOM" hidden="1">"c4002"</definedName>
    <definedName name="IQ_FFO_SHARE_LOW_GUIDANCE" hidden="1">"c4243"</definedName>
    <definedName name="IQ_FFO_SHARE_LOW_GUIDANCE_CIQ" hidden="1">"c4655"</definedName>
    <definedName name="IQ_FFO_SHARE_LOW_GUIDANCE_CIQ_COL" hidden="1">"c11304"</definedName>
    <definedName name="IQ_FFO_SHARE_MEDIAN_EST" hidden="1">"c1665"</definedName>
    <definedName name="IQ_FFO_SHARE_MEDIAN_EST_THOM" hidden="1">"c4000"</definedName>
    <definedName name="IQ_FFO_SHARE_NUM_EST" hidden="1">"c421"</definedName>
    <definedName name="IQ_FFO_SHARE_NUM_EST_THOM" hidden="1">"c4003"</definedName>
    <definedName name="IQ_FFO_SHARE_SHARE_EST_DET_EST" hidden="1">"c12059"</definedName>
    <definedName name="IQ_FFO_SHARE_SHARE_EST_DET_EST_CURRENCY" hidden="1">"c12466"</definedName>
    <definedName name="IQ_FFO_SHARE_SHARE_EST_DET_EST_CURRENCY_THOM" hidden="1">"c12487"</definedName>
    <definedName name="IQ_FFO_SHARE_SHARE_EST_DET_EST_DATE" hidden="1">"c12212"</definedName>
    <definedName name="IQ_FFO_SHARE_SHARE_EST_DET_EST_DATE_THOM" hidden="1">"c12238"</definedName>
    <definedName name="IQ_FFO_SHARE_SHARE_EST_DET_EST_INCL" hidden="1">"c12349"</definedName>
    <definedName name="IQ_FFO_SHARE_SHARE_EST_DET_EST_INCL_THOM" hidden="1">"c12370"</definedName>
    <definedName name="IQ_FFO_SHARE_SHARE_EST_DET_EST_ORIGIN" hidden="1">"c12722"</definedName>
    <definedName name="IQ_FFO_SHARE_SHARE_EST_DET_EST_ORIGIN_THOM" hidden="1">"c12608"</definedName>
    <definedName name="IQ_FFO_SHARE_SHARE_EST_DET_EST_THOM" hidden="1">"c12088"</definedName>
    <definedName name="IQ_FFO_SHARE_SHARE_EST_THOM" hidden="1">"c3999"</definedName>
    <definedName name="IQ_FFO_SHARE_SHARE_HIGH_EST_THOM" hidden="1">"c4001"</definedName>
    <definedName name="IQ_FFO_SHARE_SHARE_LOW_EST_THOM" hidden="1">"c4002"</definedName>
    <definedName name="IQ_FFO_SHARE_SHARE_MEDIAN_EST_THOM" hidden="1">"c4000"</definedName>
    <definedName name="IQ_FFO_SHARE_SHARE_NUM_EST_THOM" hidden="1">"c4003"</definedName>
    <definedName name="IQ_FFO_SHARE_SHARE_STDDEV_EST_THOM" hidden="1">"c4004"</definedName>
    <definedName name="IQ_FFO_SHARE_STDDEV_EST" hidden="1">"c422"</definedName>
    <definedName name="IQ_FFO_SHARE_STDDEV_EST_THOM" hidden="1">"c4004"</definedName>
    <definedName name="IQ_FFO_SHARES_BASIC" hidden="1">"c16185"</definedName>
    <definedName name="IQ_FFO_SHARES_DILUTED" hidden="1">"c16187"</definedName>
    <definedName name="IQ_FFO_STDDEV_EST" hidden="1">"c422"</definedName>
    <definedName name="IQ_FFO_STDDEV_EST_THOM" hidden="1">"c4004"</definedName>
    <definedName name="IQ_FFO_TOTAL_REVENUE" hidden="1">"c16060"</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DUCIARY_INCOME_OPERATING_INC_FFIEC" hidden="1">"c13383"</definedName>
    <definedName name="IQ_FIFETEEN_YEAR_FIXED_AND_FLOATING_RATE_FDIC" hidden="1">"c6423"</definedName>
    <definedName name="IQ_FIFETEEN_YEAR_MORTGAGE_PASS_THROUGHS_FDIC" hidden="1">"c6415"</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COLLECTION_ID" hidden="1">"c13922"</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_INSTANCE_ID" hidden="1">"c13921"</definedName>
    <definedName name="IQ_FIN_PERIOD_ID" hidden="1">"c13920"</definedName>
    <definedName name="IQ_FINANCIAL_LOC_FOREIGN_GUARANTEES_FFIEC" hidden="1">"c13249"</definedName>
    <definedName name="IQ_FINANCIAL_SERVICING_ASSETS_FAIR_VALUE_TOT_FFIEC" hidden="1">"c13212"</definedName>
    <definedName name="IQ_FINANCIAL_SERVICING_ASSETS_LEVEL_1_FFIEC" hidden="1">"c13220"</definedName>
    <definedName name="IQ_FINANCIAL_SERVICING_ASSETS_LEVEL_2_FFIEC" hidden="1">"c13228"</definedName>
    <definedName name="IQ_FINANCIAL_SERVICING_ASSETS_LEVEL_3_FFIEC" hidden="1">"c13236"</definedName>
    <definedName name="IQ_FINANCIAL_SERVICING_LIAB_FAIR_VALUE_TOT_FFIEC" hidden="1">"c13215"</definedName>
    <definedName name="IQ_FINANCIAL_SERVICING_LIAB_LEVEL_1_FFIEC" hidden="1">"c13223"</definedName>
    <definedName name="IQ_FINANCIAL_SERVICING_LIAB_LEVEL_2_FFIEC" hidden="1">"c13231"</definedName>
    <definedName name="IQ_FINANCIAL_SERVICING_LIAB_LEVEL_3_FFIEC" hidden="1">"c13239"</definedName>
    <definedName name="IQ_FINANCING_CASH" hidden="1">"c1405"</definedName>
    <definedName name="IQ_FINANCING_CASH_SUPPL" hidden="1">"c1406"</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CIQ" hidden="1">"c6806"</definedName>
    <definedName name="IQ_FISCAL_Q_EST_REUT" hidden="1">"c6798"</definedName>
    <definedName name="IQ_FISCAL_Q_EST_THOM" hidden="1">"c6802"</definedName>
    <definedName name="IQ_FISCAL_Y" hidden="1">"c441"</definedName>
    <definedName name="IQ_FISCAL_Y_EST" hidden="1">"c6795"</definedName>
    <definedName name="IQ_FISCAL_Y_EST_CIQ" hidden="1">"c6807"</definedName>
    <definedName name="IQ_FISCAL_Y_EST_REUT" hidden="1">"c6799"</definedName>
    <definedName name="IQ_FISCAL_Y_EST_THOM" hidden="1">"c6803"</definedName>
    <definedName name="IQ_FIVE_PERCENT_CIQID" hidden="1">"c19094"</definedName>
    <definedName name="IQ_FIVE_PERCENT_DERIVATIVES" hidden="1">"c19096"</definedName>
    <definedName name="IQ_FIVE_PERCENT_NAME" hidden="1">"c19093"</definedName>
    <definedName name="IQ_FIVE_PERCENT_OWNER" hidden="1">"c442"</definedName>
    <definedName name="IQ_FIVE_PERCENT_PERCENT" hidden="1">"c19097"</definedName>
    <definedName name="IQ_FIVE_PERCENT_POSITION_DATE" hidden="1">"c19099"</definedName>
    <definedName name="IQ_FIVE_PERCENT_SHARES" hidden="1">"c19095"</definedName>
    <definedName name="IQ_FIVE_PERCENT_VALUE" hidden="1">"c19098"</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_FREQUENCY" hidden="1">"c8964"</definedName>
    <definedName name="IQ_FIXED_ASSET_TURNS" hidden="1">"c445"</definedName>
    <definedName name="IQ_FIXED_INCOME_LIST" hidden="1">"c13504"</definedName>
    <definedName name="IQ_FIXED_INVEST_APR_FC_UNUSED" hidden="1">"c8410"</definedName>
    <definedName name="IQ_FIXED_INVEST_APR_FC_UNUSED_UNUSED_UNUSED" hidden="1">"c8410"</definedName>
    <definedName name="IQ_FIXED_INVEST_APR_UNUSED" hidden="1">"c7530"</definedName>
    <definedName name="IQ_FIXED_INVEST_APR_UNUSED_UNUSED_UNUSED" hidden="1">"c7530"</definedName>
    <definedName name="IQ_FIXED_INVEST_FC_UNUSED" hidden="1">"c7750"</definedName>
    <definedName name="IQ_FIXED_INVEST_FC_UNUSED_UNUSED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 hidden="1">"c7970"</definedName>
    <definedName name="IQ_FIXED_INVEST_POP_FC_UNUSED_UNUSED_UNUSED" hidden="1">"c7970"</definedName>
    <definedName name="IQ_FIXED_INVEST_POP_UNUSED" hidden="1">"c7090"</definedName>
    <definedName name="IQ_FIXED_INVEST_POP_UNUSED_UNUSED_UNUSED" hidden="1">"c7090"</definedName>
    <definedName name="IQ_FIXED_INVEST_REAL_APR_FC_UNUSED" hidden="1">"c8518"</definedName>
    <definedName name="IQ_FIXED_INVEST_REAL_APR_FC_UNUSED_UNUSED_UNUSED" hidden="1">"c8518"</definedName>
    <definedName name="IQ_FIXED_INVEST_REAL_APR_UNUSED" hidden="1">"c7638"</definedName>
    <definedName name="IQ_FIXED_INVEST_REAL_APR_UNUSED_UNUSED_UNUSED" hidden="1">"c7638"</definedName>
    <definedName name="IQ_FIXED_INVEST_REAL_FC_UNUSED" hidden="1">"c7858"</definedName>
    <definedName name="IQ_FIXED_INVEST_REAL_FC_UNUSED_UNUSED_UNUSED" hidden="1">"c7858"</definedName>
    <definedName name="IQ_FIXED_INVEST_REAL_POP_FC_UNUSED" hidden="1">"c8078"</definedName>
    <definedName name="IQ_FIXED_INVEST_REAL_POP_FC_UNUSED_UNUSED_UNUSED" hidden="1">"c8078"</definedName>
    <definedName name="IQ_FIXED_INVEST_REAL_POP_UNUSED" hidden="1">"c7198"</definedName>
    <definedName name="IQ_FIXED_INVEST_REAL_POP_UNUSED_UNUSED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 hidden="1">"c6978"</definedName>
    <definedName name="IQ_FIXED_INVEST_REAL_UNUSED_UNUSED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 hidden="1">"c8298"</definedName>
    <definedName name="IQ_FIXED_INVEST_REAL_YOY_FC_UNUSED_UNUSED_UNUSED" hidden="1">"c8298"</definedName>
    <definedName name="IQ_FIXED_INVEST_REAL_YOY_UNUSED" hidden="1">"c7418"</definedName>
    <definedName name="IQ_FIXED_INVEST_REAL_YOY_UNUSED_UNUSED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 hidden="1">"c6870"</definedName>
    <definedName name="IQ_FIXED_INVEST_UNUSED_UNUSED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 hidden="1">"c8190"</definedName>
    <definedName name="IQ_FIXED_INVEST_YOY_FC_UNUSED_UNUSED_UNUSED" hidden="1">"c8190"</definedName>
    <definedName name="IQ_FIXED_INVEST_YOY_UNUSED" hidden="1">"c7310"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_GNMA_LOANS_FFIEC" hidden="1">"c15272"</definedName>
    <definedName name="IQ_FORECLOSED_PROPERTIES_FDIC" hidden="1">"c6459"</definedName>
    <definedName name="IQ_FOREIGN_BANK_LOANS_FDIC" hidden="1">"c6437"</definedName>
    <definedName name="IQ_FOREIGN_BANKS_DEPOSITS_FOREIGN_FDIC" hidden="1">"c6481"</definedName>
    <definedName name="IQ_FOREIGN_BANKS_DUE_30_89_FFIEC" hidden="1">"c13269"</definedName>
    <definedName name="IQ_FOREIGN_BANKS_DUE_90_FFIEC" hidden="1">"c13295"</definedName>
    <definedName name="IQ_FOREIGN_BANKS_LOAN_CHARG_OFFS_FDIC" hidden="1">"c6645"</definedName>
    <definedName name="IQ_FOREIGN_BANKS_NET_CHARGE_OFFS_FDIC" hidden="1">"c6647"</definedName>
    <definedName name="IQ_FOREIGN_BANKS_NON_ACCRUAL_FFIEC" hidden="1">"c13321"</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ASSETS_TOT_FFIEC" hidden="1">"c13445"</definedName>
    <definedName name="IQ_FOREIGN_DEPOSITS_NONTRANSACTION_ACCOUNTS_FDIC" hidden="1">"c6549"</definedName>
    <definedName name="IQ_FOREIGN_DEPOSITS_TOT_FFIEC" hidden="1">"c13486"</definedName>
    <definedName name="IQ_FOREIGN_DEPOSITS_TOTAL_DEPOSITS" hidden="1">"c15719"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GOVT_OFFICIAL_INST_FOREIGN_DEP_FFIEC" hidden="1">"c15345"</definedName>
    <definedName name="IQ_FOREIGN_GOVT_OFFICIAL_INST_NON_TRANS_ACCTS_FFIEC" hidden="1">"c15327"</definedName>
    <definedName name="IQ_FOREIGN_GOVT_OFFICIAL_INST_TRANS_ACCTS_FFIEC" hidden="1">"c15319"</definedName>
    <definedName name="IQ_FOREIGN_LL_REC_FFIEC" hidden="1">"c12892"</definedName>
    <definedName name="IQ_FOREIGN_LOANS" hidden="1">"c448"</definedName>
    <definedName name="IQ_FOREIGN_LOANS_LEASES_FOREIGN_FFIEC" hidden="1">"c13478"</definedName>
    <definedName name="IQ_FOREIGN_LOANS_TOTAL_LOANS" hidden="1">"c15714"</definedName>
    <definedName name="IQ_FOUNDATION_OVER_TOTAL" hidden="1">"c13769"</definedName>
    <definedName name="IQ_FQ" hidden="1">500</definedName>
    <definedName name="IQ_FTOOL_CAPEX" hidden="1">"c16212"</definedName>
    <definedName name="IQ_FTOOL_CASH" hidden="1">"c16213"</definedName>
    <definedName name="IQ_FTOOL_CASH_INVEST" hidden="1">"c16214"</definedName>
    <definedName name="IQ_FTOOL_EBT" hidden="1">"c16215"</definedName>
    <definedName name="IQ_FTOOL_NI" hidden="1">"c16216"</definedName>
    <definedName name="IQ_FTOOL_NI_CF" hidden="1">"c16206"</definedName>
    <definedName name="IQ_FTOOL_NUMBER_SHAREHOLDERS" hidden="1">"c16207"</definedName>
    <definedName name="IQ_FTOOL_SHARES_PER_DR" hidden="1">"c16208"</definedName>
    <definedName name="IQ_FTOOL_TOTAL_ASSETS" hidden="1">"c16209"</definedName>
    <definedName name="IQ_FTOOL_TOTAL_LIAB_EQUITY" hidden="1">"c16210"</definedName>
    <definedName name="IQ_FTOOL_TOTAL_REV" hidden="1">"c16211"</definedName>
    <definedName name="IQ_FUEL" hidden="1">"c449"</definedName>
    <definedName name="IQ_FULL_TIME" hidden="1">"c450"</definedName>
    <definedName name="IQ_FULLY_INSURED_BROKERED_DEPOSITS_FFIEC" hidden="1">"c15305"</definedName>
    <definedName name="IQ_FULLY_INSURED_DEPOSITS_FDIC" hidden="1">"c6487"</definedName>
    <definedName name="IQ_FUND_FEE_INC_NON_INT_INC_FFIEC" hidden="1">"c13493"</definedName>
    <definedName name="IQ_FUND_NAV" hidden="1">"c15225"</definedName>
    <definedName name="IQ_FUND_PRIMARY_ADVISOR" hidden="1">"c19091"</definedName>
    <definedName name="IQ_FUNDING_DEPENDENCE_FFIEC" hidden="1">"c13336"</definedName>
    <definedName name="IQ_FUNDING_DEPENDENCE_ST_FFIEC" hidden="1">"c13337"</definedName>
    <definedName name="IQ_FUNDS_PURCHASED_ASSETS_TOT_FFIEC" hidden="1">"c13446"</definedName>
    <definedName name="IQ_FUTURES_FORWARD_CONTRACTS_NOTIONAL_AMOUNT_FDIC" hidden="1">"c6518"</definedName>
    <definedName name="IQ_FUTURES_FORWARD_CONTRACTS_RATE_RISK_FDIC" hidden="1">"c6508"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X_CONTRACTS_FDIC" hidden="1">"c6517"</definedName>
    <definedName name="IQ_FX_CONTRACTS_FFIEC" hidden="1">"c13125"</definedName>
    <definedName name="IQ_FX_CONTRACTS_SPOT_FDIC" hidden="1">"c6356"</definedName>
    <definedName name="IQ_FX_EXPOSURE_FFIEC" hidden="1">"c13059"</definedName>
    <definedName name="IQ_FY" hidden="1">1000</definedName>
    <definedName name="IQ_GA_EXP" hidden="1">"c2241"</definedName>
    <definedName name="IQ_GAAP_BS" hidden="1">"c6789"</definedName>
    <definedName name="IQ_GAAP_CF" hidden="1">"c6790"</definedName>
    <definedName name="IQ_GAAP_EST_CIQ" hidden="1">"c13924"</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CREDIT_DERIVATIVES_FFIEC" hidden="1">"c13066"</definedName>
    <definedName name="IQ_GAIN_CREDIT_DERIVATIVES_NON_TRADING_FFIEC" hidden="1">"c13067"</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LOSS_HTM_AFS_SECURITIES_FOREIGN_FFIEC" hidden="1">"c15384"</definedName>
    <definedName name="IQ_GAIN_SALE_ASSETS" hidden="1">"c1377"</definedName>
    <definedName name="IQ_GAIN_SALE_LOANS_FDIC" hidden="1">"c6673"</definedName>
    <definedName name="IQ_GAIN_SALE_RE_FDIC" hidden="1">"c6674"</definedName>
    <definedName name="IQ_GAINS_AFS_AVG_ASSETS_FFIEC" hidden="1">"c13364"</definedName>
    <definedName name="IQ_GAINS_ASSETS_TOT_FFIEC" hidden="1">"c13073"</definedName>
    <definedName name="IQ_GAINS_AVAIL_SALE_EQUITY_SEC_T2_FFIEC" hidden="1">"c13147"</definedName>
    <definedName name="IQ_GAINS_AVAIL_SALE_SEC_T1_FFIEC" hidden="1">"c13131"</definedName>
    <definedName name="IQ_GAINS_CASH_FLOW_HEDGES_T1_FFIEC" hidden="1">"c13133"</definedName>
    <definedName name="IQ_GAINS_HTM_AVG_ASSETS_FFIEC" hidden="1">"c13363"</definedName>
    <definedName name="IQ_GAINS_INSTRUMENT_SPECIFIC_CREDIT_RISK_LIAB_FFIEC" hidden="1">"c13076"</definedName>
    <definedName name="IQ_GAINS_INSTRUMENT_SPECIFIC_RISK_FFIEC" hidden="1">"c13074"</definedName>
    <definedName name="IQ_GAINS_INSURANCE_ACTIVITIES_FFIEC" hidden="1">"c13072"</definedName>
    <definedName name="IQ_GAINS_LIABILITIES_FFIEC" hidden="1">"c13075"</definedName>
    <definedName name="IQ_GAINS_SALE_ASSETS_FDIC" hidden="1">"c6675"</definedName>
    <definedName name="IQ_GAINS_SALE_LOANS_LEASES_FFIEC" hidden="1">"c13013"</definedName>
    <definedName name="IQ_GAINS_SALE_OTHER_ASSETS_FFIEC" hidden="1">"c13015"</definedName>
    <definedName name="IQ_GAINS_SALE_OTHER_RE_OWNED_FFIEC" hidden="1">"c13014"</definedName>
    <definedName name="IQ_GAINS_SECURITIZATION_OPERATING_INC_FFIEC" hidden="1">"c13391"</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NERAL_ALLOWANCE" hidden="1">"c15248"</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ICS_CODE" hidden="1">"c16201"</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FFIEC" hidden="1">"c12836"</definedName>
    <definedName name="IQ_GOODWILL_IMPAIRMENT_FDIC" hidden="1">"c6678"</definedName>
    <definedName name="IQ_GOODWILL_IMPAIRMENT_FFIEC" hidden="1">"c13025"</definedName>
    <definedName name="IQ_GOODWILL_INTAN_FDIC" hidden="1">"c6333"</definedName>
    <definedName name="IQ_GOODWILL_NET" hidden="1">"c1380"</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DD_BASIC" hidden="1">"c15776"</definedName>
    <definedName name="IQ_GROSS_ADD_BBAND" hidden="1">"c15779"</definedName>
    <definedName name="IQ_GROSS_ADD_DIG" hidden="1">"c15777"</definedName>
    <definedName name="IQ_GROSS_ADD_PHONE" hidden="1">"c15780"</definedName>
    <definedName name="IQ_GROSS_ADD_POSTPAID_WIRELESS" hidden="1">"c15750"</definedName>
    <definedName name="IQ_GROSS_ADD_PREPAID_WIRELESS" hidden="1">"c15751"</definedName>
    <definedName name="IQ_GROSS_ADD_RESELL_WHOLESALE_WIRELESS" hidden="1">"c15752"</definedName>
    <definedName name="IQ_GROSS_ADD_RGU" hidden="1">"c15781"</definedName>
    <definedName name="IQ_GROSS_ADD_SATELLITE" hidden="1">"c15778"</definedName>
    <definedName name="IQ_GROSS_ADD_TOTAL_WIRELESS" hidden="1">"c15753"</definedName>
    <definedName name="IQ_GROSS_AH_EARNED" hidden="1">"c2742"</definedName>
    <definedName name="IQ_GROSS_CLAIM_ADJ_EXP_RESERVE_BOP" hidden="1">"c15874"</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LOSSES" hidden="1">"c15871"</definedName>
    <definedName name="IQ_GROSS_LOSSES_AVG_LOANS_FFIEC" hidden="1">"c13475"</definedName>
    <definedName name="IQ_GROSS_MARGIN" hidden="1">"c529"</definedName>
    <definedName name="IQ_GROSS_MARGIN_ACT_OR_EST" hidden="1">"c5554"</definedName>
    <definedName name="IQ_GROSS_MARGIN_ACT_OR_EST_THOM" hidden="1">"c5562"</definedName>
    <definedName name="IQ_GROSS_MARGIN_DET_EST_DATE_THOM" hidden="1">"c12239"</definedName>
    <definedName name="IQ_GROSS_MARGIN_DET_EST_INCL_THOM" hidden="1">"c12371"</definedName>
    <definedName name="IQ_GROSS_MARGIN_DET_EST_ORIGIN_THOM" hidden="1">"c12609"</definedName>
    <definedName name="IQ_GROSS_MARGIN_DET_EST_THOM" hidden="1">"c12089"</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EMIUMS_WRITTEN_AVG_ASSETS" hidden="1">"c15893"</definedName>
    <definedName name="IQ_GROSS_PREMIUMS_WRITTEN_AVG_EQUITY" hidden="1">"c15892"</definedName>
    <definedName name="IQ_GROSS_PREMIUMS_WRITTEN_AVG_STATUTORY_SURPLUS" hidden="1">"c15894"</definedName>
    <definedName name="IQ_GROSS_PROFIT" hidden="1">"c1378"</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VKEY" hidden="1">"c15590"</definedName>
    <definedName name="IQ_GVKEY_OTHER" hidden="1">"c15633"</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 hidden="1">"c19145"</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DGEFUND_OVER_TOTAL" hidden="1">"c13771"</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_EXP_DIRECT_OPERATING_EXP" hidden="1">"c15981"</definedName>
    <definedName name="IQ_HG_CASINO_GROSS_PROFIT" hidden="1">"c15974"</definedName>
    <definedName name="IQ_HG_CASINO_MARGIN" hidden="1">"c15976"</definedName>
    <definedName name="IQ_HG_CASINO_OPERATING_MARGIN" hidden="1">"c15977"</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CONFERENCE_SPACE" hidden="1">"c15971"</definedName>
    <definedName name="IQ_HG_EXP_CASINO" hidden="1">"c8733"</definedName>
    <definedName name="IQ_HG_EXP_DEVELOPMENT" hidden="1">"c8738"</definedName>
    <definedName name="IQ_HG_EXP_DIRECT_CASINO_GAMING" hidden="1">"c15994"</definedName>
    <definedName name="IQ_HG_EXP_ENTERTAINMENT" hidden="1">"c8736"</definedName>
    <definedName name="IQ_HG_EXP_FOOD_BEV" hidden="1">"c8734"</definedName>
    <definedName name="IQ_HG_EXP_FRANCHISE_MANAGEMENT" hidden="1">"c8744"</definedName>
    <definedName name="IQ_HG_EXP_OTHER_DIRECT_HOTEL_MOTEL" hidden="1">"c15995"</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BEV_EXP_DIRECT_OPERATING_EXP" hidden="1">"c15980"</definedName>
    <definedName name="IQ_HG_FOOD_BEV_REV_TOTAL_REV" hidden="1">"c15983"</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NUMBER_SUITES" hidden="1">"c15970"</definedName>
    <definedName name="IQ_HG_NUMBER_TABLES_AVG" hidden="1">"c15973"</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PROMO_ALLOW_GROSS_OPERATING_REV" hidden="1">"c15979"</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GROSS_OPERATING" hidden="1">"c15993"</definedName>
    <definedName name="IQ_HG_REV_INCENTIVE_MANAGEMENT_FEES" hidden="1">"c8727"</definedName>
    <definedName name="IQ_HG_REV_MANAGEMENT_FEES" hidden="1">"c8718"</definedName>
    <definedName name="IQ_HG_REV_OTHER_CASINO" hidden="1">"c15992"</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SLOT_MACHINE" hidden="1">"c15990"</definedName>
    <definedName name="IQ_HG_REV_TABLE" hidden="1">"c15991"</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EXP_DIRECT_OPERATING_EXP" hidden="1">"c15982"</definedName>
    <definedName name="IQ_HG_ROOM_GROSS_PROFIT" hidden="1">"c15975"</definedName>
    <definedName name="IQ_HG_ROOM_MARGIN" hidden="1">"c15978"</definedName>
    <definedName name="IQ_HG_ROOM_PROM_COSTS" hidden="1">"c8745"</definedName>
    <definedName name="IQ_HG_ROOM_REV_TOTAL_REV" hidden="1">"c15984"</definedName>
    <definedName name="IQ_HG_ROOMS_BEG" hidden="1">"c8600"</definedName>
    <definedName name="IQ_HG_SAME_PROPERTIES_CASINO_REV_CHANGE" hidden="1">"c15987"</definedName>
    <definedName name="IQ_HG_SAME_PROPERTIES_FOOD_BEV_REV_CHANGE" hidden="1">"c15989"</definedName>
    <definedName name="IQ_HG_SAME_PROPERTIES_ROOM_REV_CHANGE" hidden="1">"c15988"</definedName>
    <definedName name="IQ_HG_SAME_PROPERTIES_SLOT_MACHINE_REV_CHANGE" hidden="1">"c15985"</definedName>
    <definedName name="IQ_HG_SAME_PROPERTIES_TABLE_REV_CHANGE" hidden="1">"c15986"</definedName>
    <definedName name="IQ_HG_SLOT_MACHINES_AVG" hidden="1">"c15972"</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"c8643"</definedName>
    <definedName name="IQ_HG_TABLE_GAMES_MANAGED" hidden="1">"c8644"</definedName>
    <definedName name="IQ_HG_TABLE_GAMES_OWNED" hidden="1">"c8642"</definedName>
    <definedName name="IQ_HG_TABLE_GAMES_TOTAL" hidden="1">"c8645"</definedName>
    <definedName name="IQ_HG_TABLES_JV" hidden="1">"c8643"</definedName>
    <definedName name="IQ_HG_TABLES_MANAGED" hidden="1">"c8644"</definedName>
    <definedName name="IQ_HG_TABLES_OWNED" hidden="1">"c8642"</definedName>
    <definedName name="IQ_HG_TABL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LOW_CLOSEPRICE_DATE" hidden="1">"c1204"</definedName>
    <definedName name="IQ_HIGH_SULFUR_CONTENT_RESERVES_COAL" hidden="1">"c15928"</definedName>
    <definedName name="IQ_HIGH_SULFURE_RESERVES_TO_TOTAL_RESERVES_COAL" hidden="1">"c15963"</definedName>
    <definedName name="IQ_HIGH_TARGET_PRICE" hidden="1">"c1651"</definedName>
    <definedName name="IQ_HIGH_TARGET_PRICE_CIQ" hidden="1">"c4659"</definedName>
    <definedName name="IQ_HIGH_TARGET_PRICE_REUT" hidden="1">"c5317"</definedName>
    <definedName name="IQ_HIGH_TARGET_PRICE_THOM" hidden="1">"c5096"</definedName>
    <definedName name="IQ_HIGHPRICE" hidden="1">"c545"</definedName>
    <definedName name="IQ_HOLDER_CIQID" hidden="1">"c13787"</definedName>
    <definedName name="IQ_HOLDER_CIQID_SECURITY" hidden="1">"c13794"</definedName>
    <definedName name="IQ_HOLDER_DERIVATIVES" hidden="1">"c13789"</definedName>
    <definedName name="IQ_HOLDER_DERIVATIVES_SECURITY" hidden="1">"c13796"</definedName>
    <definedName name="IQ_HOLDER_FUND_CIQID" hidden="1">"c19084"</definedName>
    <definedName name="IQ_HOLDER_FUND_DERIVATIVES" hidden="1">"c19115"</definedName>
    <definedName name="IQ_HOLDER_FUND_NAME" hidden="1">"c19083"</definedName>
    <definedName name="IQ_HOLDER_FUND_NUMBER" hidden="1">"c19090"</definedName>
    <definedName name="IQ_HOLDER_FUND_PERCENT" hidden="1">"c19085"</definedName>
    <definedName name="IQ_HOLDER_FUND_POSITION_DATE" hidden="1">"c19088"</definedName>
    <definedName name="IQ_HOLDER_FUND_PRIMARY_ADVISOR" hidden="1">"c19089"</definedName>
    <definedName name="IQ_HOLDER_FUND_SHARES" hidden="1">"c19086"</definedName>
    <definedName name="IQ_HOLDER_FUND_VALUE" hidden="1">"c19087"</definedName>
    <definedName name="IQ_HOLDER_NAME" hidden="1">"c13786"</definedName>
    <definedName name="IQ_HOLDER_NAME_SECURITY" hidden="1">"c13793"</definedName>
    <definedName name="IQ_HOLDER_PERCENT" hidden="1">"c13790"</definedName>
    <definedName name="IQ_HOLDER_PERCENT_SECURITY" hidden="1">"c13831"</definedName>
    <definedName name="IQ_HOLDER_POSITION_DATE" hidden="1">"c13792"</definedName>
    <definedName name="IQ_HOLDER_POSITION_DATE_SECURITY" hidden="1">"c13798"</definedName>
    <definedName name="IQ_HOLDER_SHARES" hidden="1">"c13788"</definedName>
    <definedName name="IQ_HOLDER_SHARES_SECURITY" hidden="1">"c13795"</definedName>
    <definedName name="IQ_HOLDER_VALUE" hidden="1">"c13791"</definedName>
    <definedName name="IQ_HOLDER_VALUE_SECURITY" hidden="1">"c13797"</definedName>
    <definedName name="IQ_HOLDING_CIQID" hidden="1">"c13802"</definedName>
    <definedName name="IQ_HOLDING_NAME" hidden="1">"c13799"</definedName>
    <definedName name="IQ_HOLDING_PERCENT" hidden="1">"c13805"</definedName>
    <definedName name="IQ_HOLDING_PERCENT_PORTFOLIO" hidden="1">"c13806"</definedName>
    <definedName name="IQ_HOLDING_POSITION_DATE" hidden="1">"c13808"</definedName>
    <definedName name="IQ_HOLDING_SECURITY_TYPE" hidden="1">"c13803"</definedName>
    <definedName name="IQ_HOLDING_SHARES" hidden="1">"c13804"</definedName>
    <definedName name="IQ_HOLDING_TICKER" hidden="1">"c13800"</definedName>
    <definedName name="IQ_HOLDING_TRADING_ITEM_CIQID" hidden="1">"c13801"</definedName>
    <definedName name="IQ_HOLDING_VALUE" hidden="1">"c13807"</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ANCELLATION_RATE" hidden="1">"c16192"</definedName>
    <definedName name="IQ_HOME_CANCELLATION_RATE_INCL_JV" hidden="1">"c16194"</definedName>
    <definedName name="IQ_HOME_CANCELLATION_RATE_JV" hidden="1">"c16193"</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ANS_TOT_LOANS_FFIEC" hidden="1">"c13867"</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BUILDING_COGS_SALES" hidden="1">"c15813"</definedName>
    <definedName name="IQ_HOMEBUILDING_INV_TURN" hidden="1">"c15819"</definedName>
    <definedName name="IQ_HOMEBUILDING_TURN" hidden="1">"c15820"</definedName>
    <definedName name="IQ_HOMEOWNERS_WRITTEN" hidden="1">"c546"</definedName>
    <definedName name="IQ_HOTEL_OPERATING_EXPENSE" hidden="1">"c16042"</definedName>
    <definedName name="IQ_HOTEL_OPERATING_REVENUE" hidden="1">"c16026"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 hidden="1">"c8422"</definedName>
    <definedName name="IQ_HOUSING_COMPLETIONS_SINGLE_FAM_APR_FC_UNUSED_UNUSED_UNUSED" hidden="1">"c8422"</definedName>
    <definedName name="IQ_HOUSING_COMPLETIONS_SINGLE_FAM_APR_UNUSED" hidden="1">"c7542"</definedName>
    <definedName name="IQ_HOUSING_COMPLETIONS_SINGLE_FAM_APR_UNUSED_UNUSED_UNUSED" hidden="1">"c7542"</definedName>
    <definedName name="IQ_HOUSING_COMPLETIONS_SINGLE_FAM_FC_UNUSED" hidden="1">"c7762"</definedName>
    <definedName name="IQ_HOUSING_COMPLETIONS_SINGLE_FAM_FC_UNUSED_UNUSED_UNUSED" hidden="1">"c7762"</definedName>
    <definedName name="IQ_HOUSING_COMPLETIONS_SINGLE_FAM_POP_FC_UNUSED" hidden="1">"c7982"</definedName>
    <definedName name="IQ_HOUSING_COMPLETIONS_SINGLE_FAM_POP_FC_UNUSED_UNUSED_UNUSED" hidden="1">"c7982"</definedName>
    <definedName name="IQ_HOUSING_COMPLETIONS_SINGLE_FAM_POP_UNUSED" hidden="1">"c7102"</definedName>
    <definedName name="IQ_HOUSING_COMPLETIONS_SINGLE_FAM_POP_UNUSED_UNUSED_UNUSED" hidden="1">"c7102"</definedName>
    <definedName name="IQ_HOUSING_COMPLETIONS_SINGLE_FAM_UNUSED" hidden="1">"c6882"</definedName>
    <definedName name="IQ_HOUSING_COMPLETIONS_SINGLE_FAM_UNUSED_UNUSED_UNUSED" hidden="1">"c6882"</definedName>
    <definedName name="IQ_HOUSING_COMPLETIONS_SINGLE_FAM_YOY_FC_UNUSED" hidden="1">"c8202"</definedName>
    <definedName name="IQ_HOUSING_COMPLETIONS_SINGLE_FAM_YOY_FC_UNUSED_UNUSED_UNUSED" hidden="1">"c8202"</definedName>
    <definedName name="IQ_HOUSING_COMPLETIONS_SINGLE_FAM_YOY_UNUSED" hidden="1">"c7322"</definedName>
    <definedName name="IQ_HOUSING_COMPLETIONS_SINGLE_FAM_YOY_UNUSED_UNUSED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HTM_INVEST_SECURITIES_FFIEC" hidden="1">"c13455"</definedName>
    <definedName name="IQ_HTM_SECURITIES_TIER_1_FFIEC" hidden="1">"c13342"</definedName>
    <definedName name="IQ_HYBRID_CAPITAL" hidden="1">"c15245"</definedName>
    <definedName name="IQ_HYBRID_STRUCTURED_PRODUCTS_AVAIL_SALE_FFIEC" hidden="1">"c15265"</definedName>
    <definedName name="IQ_HYBRID_STRUCTURED_PRODUCTS_FFIEC" hidden="1">"c15262"</definedName>
    <definedName name="IQ_IB_ADVISORY_UNDERWRITING_FEES_FOREIGN_FFIEC" hidden="1">"c15378"</definedName>
    <definedName name="IQ_IBF_COMM_INDUST_LOANS_FFIEC" hidden="1">"c15298"</definedName>
    <definedName name="IQ_IBF_DEPOSIT_LIABILITIES_DUE_TO_BANKS_FFIEC" hidden="1">"c15300"</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CT_UNRECOG_TAX_BENEFIT_EFFECTIVE_TAX" hidden="1">"c15748"</definedName>
    <definedName name="IQ_IMPAIR_OIL" hidden="1">"c547"</definedName>
    <definedName name="IQ_IMPAIRED_LOANS" hidden="1">"c15250"</definedName>
    <definedName name="IQ_IMPAIRMENT_GW" hidden="1">"c548"</definedName>
    <definedName name="IQ_IMPAIRMENT_GW_SUPPLE" hidden="1">"c13811"</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 hidden="1">"c8523"</definedName>
    <definedName name="IQ_IMPORTS_GOODS_REAL_SAAR_APR_FC_UNUSED_UNUSED_UNUSED" hidden="1">"c8523"</definedName>
    <definedName name="IQ_IMPORTS_GOODS_REAL_SAAR_APR_UNUSED" hidden="1">"c7643"</definedName>
    <definedName name="IQ_IMPORTS_GOODS_REAL_SAAR_APR_UNUSED_UNUSED_UNUSED" hidden="1">"c7643"</definedName>
    <definedName name="IQ_IMPORTS_GOODS_REAL_SAAR_FC_UNUSED" hidden="1">"c7863"</definedName>
    <definedName name="IQ_IMPORTS_GOODS_REAL_SAAR_FC_UNUSED_UNUSED_UNUSED" hidden="1">"c7863"</definedName>
    <definedName name="IQ_IMPORTS_GOODS_REAL_SAAR_POP_FC_UNUSED" hidden="1">"c8083"</definedName>
    <definedName name="IQ_IMPORTS_GOODS_REAL_SAAR_POP_FC_UNUSED_UNUSED_UNUSED" hidden="1">"c8083"</definedName>
    <definedName name="IQ_IMPORTS_GOODS_REAL_SAAR_POP_UNUSED" hidden="1">"c7203"</definedName>
    <definedName name="IQ_IMPORTS_GOODS_REAL_SAAR_POP_UNUSED_UNUSED_UNUSED" hidden="1">"c7203"</definedName>
    <definedName name="IQ_IMPORTS_GOODS_REAL_SAAR_UNUSED" hidden="1">"c6983"</definedName>
    <definedName name="IQ_IMPORTS_GOODS_REAL_SAAR_UNUSED_UNUSED_UNUSED" hidden="1">"c6983"</definedName>
    <definedName name="IQ_IMPORTS_GOODS_REAL_SAAR_YOY_FC_UNUSED" hidden="1">"c8303"</definedName>
    <definedName name="IQ_IMPORTS_GOODS_REAL_SAAR_YOY_FC_UNUSED_UNUSED_UNUSED" hidden="1">"c8303"</definedName>
    <definedName name="IQ_IMPORTS_GOODS_REAL_SAAR_YOY_UNUSED" hidden="1">"c7423"</definedName>
    <definedName name="IQ_IMPORTS_GOODS_REAL_SAAR_YOY_UNUSED_UNUSED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 hidden="1">"c8429"</definedName>
    <definedName name="IQ_IMPORTS_GOODS_SERVICES_APR_FC_UNUSED_UNUSED_UNUSED" hidden="1">"c8429"</definedName>
    <definedName name="IQ_IMPORTS_GOODS_SERVICES_APR_UNUSED" hidden="1">"c7549"</definedName>
    <definedName name="IQ_IMPORTS_GOODS_SERVICES_APR_UNUSED_UNUSED_UNUSED" hidden="1">"c7549"</definedName>
    <definedName name="IQ_IMPORTS_GOODS_SERVICES_FC_UNUSED" hidden="1">"c7769"</definedName>
    <definedName name="IQ_IMPORTS_GOODS_SERVICES_FC_UNUSED_UNUSED_UNUSED" hidden="1">"c7769"</definedName>
    <definedName name="IQ_IMPORTS_GOODS_SERVICES_POP_FC_UNUSED" hidden="1">"c7989"</definedName>
    <definedName name="IQ_IMPORTS_GOODS_SERVICES_POP_FC_UNUSED_UNUSED_UNUSED" hidden="1">"c7989"</definedName>
    <definedName name="IQ_IMPORTS_GOODS_SERVICES_POP_UNUSED" hidden="1">"c7109"</definedName>
    <definedName name="IQ_IMPORTS_GOODS_SERVICES_POP_UNUSED_UNUSED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 hidden="1">"c8524"</definedName>
    <definedName name="IQ_IMPORTS_GOODS_SERVICES_REAL_SAAR_APR_FC_UNUSED_UNUSED_UNUSED" hidden="1">"c8524"</definedName>
    <definedName name="IQ_IMPORTS_GOODS_SERVICES_REAL_SAAR_APR_UNUSED" hidden="1">"c7644"</definedName>
    <definedName name="IQ_IMPORTS_GOODS_SERVICES_REAL_SAAR_APR_UNUSED_UNUSED_UNUSED" hidden="1">"c7644"</definedName>
    <definedName name="IQ_IMPORTS_GOODS_SERVICES_REAL_SAAR_FC_UNUSED" hidden="1">"c7864"</definedName>
    <definedName name="IQ_IMPORTS_GOODS_SERVICES_REAL_SAAR_FC_UNUSED_UNUSED_UNUSED" hidden="1">"c7864"</definedName>
    <definedName name="IQ_IMPORTS_GOODS_SERVICES_REAL_SAAR_POP" hidden="1">"c11959"</definedName>
    <definedName name="IQ_IMPORTS_GOODS_SERVICES_REAL_SAAR_POP_FC_UNUSED" hidden="1">"c8084"</definedName>
    <definedName name="IQ_IMPORTS_GOODS_SERVICES_REAL_SAAR_POP_FC_UNUSED_UNUSED_UNUSED" hidden="1">"c8084"</definedName>
    <definedName name="IQ_IMPORTS_GOODS_SERVICES_REAL_SAAR_POP_UNUSED" hidden="1">"c7204"</definedName>
    <definedName name="IQ_IMPORTS_GOODS_SERVICES_REAL_SAAR_POP_UNUSED_UNUSED_UNUSED" hidden="1">"c7204"</definedName>
    <definedName name="IQ_IMPORTS_GOODS_SERVICES_REAL_SAAR_UNUSED" hidden="1">"c6984"</definedName>
    <definedName name="IQ_IMPORTS_GOODS_SERVICES_REAL_SAAR_UNUSED_UNUSED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 hidden="1">"c8304"</definedName>
    <definedName name="IQ_IMPORTS_GOODS_SERVICES_REAL_SAAR_YOY_FC_UNUSED_UNUSED_UNUSED" hidden="1">"c8304"</definedName>
    <definedName name="IQ_IMPORTS_GOODS_SERVICES_REAL_SAAR_YOY_UNUSED" hidden="1">"c7424"</definedName>
    <definedName name="IQ_IMPORTS_GOODS_SERVICES_REAL_SAAR_YOY_UNUSED_UNUSED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 hidden="1">"c6889"</definedName>
    <definedName name="IQ_IMPORTS_GOODS_SERVICES_UNUSED_UNUSED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 hidden="1">"c8209"</definedName>
    <definedName name="IQ_IMPORTS_GOODS_SERVICES_YOY_FC_UNUSED_UNUSED_UNUSED" hidden="1">"c8209"</definedName>
    <definedName name="IQ_IMPORTS_GOODS_SERVICES_YOY_UNUSED" hidden="1">"c7329"</definedName>
    <definedName name="IQ_IMPORTS_GOODS_SERVICES_YOY_UNUSED_UNUSED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DOM_LOANS_FFIEC" hidden="1">"c12975"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CHECKS_FFIEC" hidden="1">"c13040"</definedName>
    <definedName name="IQ_INCOME_EARNED_FDIC" hidden="1">"c6359"</definedName>
    <definedName name="IQ_INCOME_FIDUCIARY_ACTIVITIES_FFIEC" hidden="1">"c13002"</definedName>
    <definedName name="IQ_INCOME_LEASE_FINANCING_REC_FFIEC" hidden="1">"c12980"</definedName>
    <definedName name="IQ_INCOME_LOANS_LEASES_TAX_EXEMPT_FFIEC" hidden="1">"c13038"</definedName>
    <definedName name="IQ_INCOME_OTHER_INSURANCE_ACTIVITIES_FFIEC" hidden="1">"c13009"</definedName>
    <definedName name="IQ_INCOME_SALE_MUTUAL_FUNDS_DOM_FFIEC" hidden="1">"c13069"</definedName>
    <definedName name="IQ_INCOME_SECURITIES_TAX_EXEMPT_FFIEC" hidden="1">"c13039"</definedName>
    <definedName name="IQ_INCOME_TAX_FOREIGN_FFIEC" hidden="1">"c15391"</definedName>
    <definedName name="IQ_INCOME_TAXES_FDIC" hidden="1">"c6582"</definedName>
    <definedName name="IQ_INCOME_TAXES_FFIEC" hidden="1">"c13030"</definedName>
    <definedName name="IQ_INCREASE_INT_INCOME_FFIEC" hidden="1">"c13063"</definedName>
    <definedName name="IQ_INDEX_CURRENCY" hidden="1">"c15224"</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EX_TYPE" hidden="1">"c15223"</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 hidden="1">"c15182"</definedName>
    <definedName name="IQ_INDIVIDUAL_ACTIVE_BOARD_MEMBERSHIPS" hidden="1">"c15201"</definedName>
    <definedName name="IQ_INDIVIDUAL_ACTIVE_PRO_AFFILIATIONS" hidden="1">"c15199"</definedName>
    <definedName name="IQ_INDIVIDUAL_AGE" hidden="1">"c15191"</definedName>
    <definedName name="IQ_INDIVIDUAL_ALL_OTHER_COMP" hidden="1">"c19040"</definedName>
    <definedName name="IQ_INDIVIDUAL_ANNUAL_CASH_COMP" hidden="1">"c19041"</definedName>
    <definedName name="IQ_INDIVIDUAL_AS_REPORTED_COMP" hidden="1">"c19045"</definedName>
    <definedName name="IQ_INDIVIDUAL_AS_REPORTED_DIRECTOR_COMP" hidden="1">"c19057"</definedName>
    <definedName name="IQ_INDIVIDUAL_ASSISTANT_EMAIL" hidden="1">"c15206"</definedName>
    <definedName name="IQ_INDIVIDUAL_ASSISTANT_FAX" hidden="1">"c15208"</definedName>
    <definedName name="IQ_INDIVIDUAL_ASSISTANT_NAME" hidden="1">"c15205"</definedName>
    <definedName name="IQ_INDIVIDUAL_ASSISTANT_PHONE" hidden="1">"c15207"</definedName>
    <definedName name="IQ_INDIVIDUAL_BACKGROUND" hidden="1">"c15184"</definedName>
    <definedName name="IQ_INDIVIDUAL_BONUS" hidden="1">"c19036"</definedName>
    <definedName name="IQ_INDIVIDUAL_CALCULATED_COMP" hidden="1">"c19043"</definedName>
    <definedName name="IQ_INDIVIDUAL_CHANGE_PENSION" hidden="1">"c19058"</definedName>
    <definedName name="IQ_INDIVIDUAL_DIRECT_FAX" hidden="1">"c15189"</definedName>
    <definedName name="IQ_INDIVIDUAL_DIRECT_PHONE" hidden="1">"c15188"</definedName>
    <definedName name="IQ_INDIVIDUAL_DIRECTOR_BONUS" hidden="1">"c19052"</definedName>
    <definedName name="IQ_INDIVIDUAL_DIRECTOR_CHANGE_PENSION" hidden="1">"c19053"</definedName>
    <definedName name="IQ_INDIVIDUAL_DIRECTOR_FEE" hidden="1">"c19049"</definedName>
    <definedName name="IQ_INDIVIDUAL_DIRECTOR_NON_EQUITY_COMP" hidden="1">"c19054"</definedName>
    <definedName name="IQ_INDIVIDUAL_DIRECTOR_OPTION_AWARDS" hidden="1">"c19050"</definedName>
    <definedName name="IQ_INDIVIDUAL_DIRECTOR_OTHER" hidden="1">"c19051"</definedName>
    <definedName name="IQ_INDIVIDUAL_DIRECTOR_STOCK_AWARDS" hidden="1">"c19055"</definedName>
    <definedName name="IQ_INDIVIDUAL_DIRECTOR_STOCK_GRANTS" hidden="1">"c19082"</definedName>
    <definedName name="IQ_INDIVIDUAL_DIRECTOR_STOCK_OPTIONS" hidden="1">"c19056"</definedName>
    <definedName name="IQ_INDIVIDUAL_EDUCATION" hidden="1">"c15203"</definedName>
    <definedName name="IQ_INDIVIDUAL_EMAIL" hidden="1">"c15193"</definedName>
    <definedName name="IQ_INDIVIDUAL_EQUITY_INCENTIVE" hidden="1">"c19078"</definedName>
    <definedName name="IQ_INDIVIDUAL_EST_PAYMENTS_CHANGE_CONTROL" hidden="1">"c19047"</definedName>
    <definedName name="IQ_INDIVIDUAL_EST_PAYMENTS_TERMINATION" hidden="1">"c19059"</definedName>
    <definedName name="IQ_INDIVIDUAL_EXERCISABLE_OPTIONS" hidden="1">"c19062"</definedName>
    <definedName name="IQ_INDIVIDUAL_EXERCISABLE_VALUES" hidden="1">"c19063"</definedName>
    <definedName name="IQ_INDIVIDUAL_EXERCISED_OPTIONS" hidden="1">"c19060"</definedName>
    <definedName name="IQ_INDIVIDUAL_EXERCISED_VALUES" hidden="1">"c19061"</definedName>
    <definedName name="IQ_INDIVIDUAL_FAMILY_LOAN_DOM_QUARTERLY_AVG_FFIEC" hidden="1">"c15479"</definedName>
    <definedName name="IQ_INDIVIDUAL_HOME_ADDRESS" hidden="1">"c15194"</definedName>
    <definedName name="IQ_INDIVIDUAL_HOME_FAX" hidden="1">"c15196"</definedName>
    <definedName name="IQ_INDIVIDUAL_HOME_PHONE" hidden="1">"c15195"</definedName>
    <definedName name="IQ_INDIVIDUAL_LT_INCENTIVE" hidden="1">"c19039"</definedName>
    <definedName name="IQ_INDIVIDUAL_MAIN_FAX" hidden="1">"c15187"</definedName>
    <definedName name="IQ_INDIVIDUAL_MAIN_PHONE" hidden="1">"c15186"</definedName>
    <definedName name="IQ_INDIVIDUAL_MARKET_VALUE_SHARES_NOT_VESTED" hidden="1">"c19077"</definedName>
    <definedName name="IQ_INDIVIDUAL_MOBILE" hidden="1">"c15198"</definedName>
    <definedName name="IQ_INDIVIDUAL_NICKNAME" hidden="1">"c15192"</definedName>
    <definedName name="IQ_INDIVIDUAL_NON_EQUITY_INCENTIVE" hidden="1">"c19048"</definedName>
    <definedName name="IQ_INDIVIDUAL_NOTES" hidden="1">"c15204"</definedName>
    <definedName name="IQ_INDIVIDUAL_NUM_SHARED_NOT_VESTED" hidden="1">"c19076"</definedName>
    <definedName name="IQ_INDIVIDUAL_NUM_SHARES_ACQUIRED" hidden="1">"c19074"</definedName>
    <definedName name="IQ_INDIVIDUAL_OFFICE_ADDRESS" hidden="1">"c15185"</definedName>
    <definedName name="IQ_INDIVIDUAL_OPTION_AWARDS" hidden="1">"c19044"</definedName>
    <definedName name="IQ_INDIVIDUAL_OPTION_MARKET_PRICE" hidden="1">"c19073"</definedName>
    <definedName name="IQ_INDIVIDUAL_OPTION_PRICE" hidden="1">"c19072"</definedName>
    <definedName name="IQ_INDIVIDUAL_OTHER_ANNUAL_COMP" hidden="1">"c19037"</definedName>
    <definedName name="IQ_INDIVIDUAL_OTHER_COMP" hidden="1">"c19046"</definedName>
    <definedName name="IQ_INDIVIDUAL_OTHER_PHONE" hidden="1">"c15197"</definedName>
    <definedName name="IQ_INDIVIDUAL_PARTNER_CORP_NON_TRANS_ACCTS_FFIEC" hidden="1">"c15322"</definedName>
    <definedName name="IQ_INDIVIDUAL_PARTNER_CORP_TRANS_ACCTS_FFIEC" hidden="1">"c15314"</definedName>
    <definedName name="IQ_INDIVIDUAL_PARTNER_CORPS_FOREIGN_DEP_FFIEC" hidden="1">"c15342"</definedName>
    <definedName name="IQ_INDIVIDUAL_PRIOR_BOARD_MEMBERSHIPS" hidden="1">"c15202"</definedName>
    <definedName name="IQ_INDIVIDUAL_PRIOR_PRO_AFFILIATIONS" hidden="1">"c15200"</definedName>
    <definedName name="IQ_INDIVIDUAL_RESTRICTED_STOCK_COMP" hidden="1">"c19038"</definedName>
    <definedName name="IQ_INDIVIDUAL_SALARY" hidden="1">"c19035"</definedName>
    <definedName name="IQ_INDIVIDUAL_SPECIALTY" hidden="1">"c15190"</definedName>
    <definedName name="IQ_INDIVIDUAL_ST_COMP" hidden="1">"c19042"</definedName>
    <definedName name="IQ_INDIVIDUAL_TITLE" hidden="1">"c15183"</definedName>
    <definedName name="IQ_INDIVIDUAL_TOTAL_NUM_STOCK_AWARDS" hidden="1">"c19081"</definedName>
    <definedName name="IQ_INDIVIDUAL_TOTAL_OPTIONS" hidden="1">"c19070"</definedName>
    <definedName name="IQ_INDIVIDUAL_TOTAL_STOCK_VALUE" hidden="1">"c19080"</definedName>
    <definedName name="IQ_INDIVIDUAL_TOTAL_VALUE_OPTIONS" hidden="1">"c19071"</definedName>
    <definedName name="IQ_INDIVIDUAL_UNCLASSIFIED_OPTIONS" hidden="1">"c19066"</definedName>
    <definedName name="IQ_INDIVIDUAL_UNCLASSIFIED_OPTIONS_VALUE" hidden="1">"c19067"</definedName>
    <definedName name="IQ_INDIVIDUAL_UNEARNED_STOCK_VALUE" hidden="1">"c19079"</definedName>
    <definedName name="IQ_INDIVIDUAL_UNEXERCISABLE_OPTIONS" hidden="1">"c19064"</definedName>
    <definedName name="IQ_INDIVIDUAL_UNEXERCISABLE_VALUES" hidden="1">"c19065"</definedName>
    <definedName name="IQ_INDIVIDUAL_UNEXERCISED_UNEARNED_OPTIONS" hidden="1">"c19068"</definedName>
    <definedName name="IQ_INDIVIDUAL_UNEXERCISED_UNEARNED_OPTIONS_VALUE" hidden="1">"c19069"</definedName>
    <definedName name="IQ_INDIVIDUAL_VALUE_VESTING" hidden="1">"c19075"</definedName>
    <definedName name="IQ_INDIVIDUALS_CHARGE_OFFS_FDIC" hidden="1">"c6599"</definedName>
    <definedName name="IQ_INDIVIDUALS_GROSS_LOANS_FFIEC" hidden="1">"c13411"</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IVIDUALS_RISK_BASED_FFIEC" hidden="1">"c13432"</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ITIAL_TRANSACTION" hidden="1">"c18885"</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SUPPLE" hidden="1">"c13814"</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CIQID" hidden="1">"c19101"</definedName>
    <definedName name="IQ_INSIDER_DERIVATIVES" hidden="1">"c19102"</definedName>
    <definedName name="IQ_INSIDER_LOANS_FDIC" hidden="1">"c6365"</definedName>
    <definedName name="IQ_INSIDER_NAME" hidden="1">"c19100"</definedName>
    <definedName name="IQ_INSIDER_OVER_TOTAL" hidden="1">"c1581"</definedName>
    <definedName name="IQ_INSIDER_OWNER" hidden="1">"c577"</definedName>
    <definedName name="IQ_INSIDER_PERCENT" hidden="1">"c578"</definedName>
    <definedName name="IQ_INSIDER_POSITION_DATE" hidden="1">"c19104"</definedName>
    <definedName name="IQ_INSIDER_SHARES" hidden="1">"c579"</definedName>
    <definedName name="IQ_INSIDER_VALUE" hidden="1">"c19103"</definedName>
    <definedName name="IQ_INST_DEPOSITS" hidden="1">"c89"</definedName>
    <definedName name="IQ_INSTITUTIONAL_CIQID" hidden="1">"c19106"</definedName>
    <definedName name="IQ_INSTITUTIONAL_DERIVATIVES" hidden="1">"c19107"</definedName>
    <definedName name="IQ_INSTITUTIONAL_NAME" hidden="1">"c19105"</definedName>
    <definedName name="IQ_INSTITUTIONAL_OVER_TOTAL" hidden="1">"c1580"</definedName>
    <definedName name="IQ_INSTITUTIONAL_OWNER" hidden="1">"c580"</definedName>
    <definedName name="IQ_INSTITUTIONAL_PERCENT" hidden="1">"c581"</definedName>
    <definedName name="IQ_INSTITUTIONAL_POSITION_DATE" hidden="1">"c19109"</definedName>
    <definedName name="IQ_INSTITUTIONAL_SHARES" hidden="1">"c582"</definedName>
    <definedName name="IQ_INSTITUTIONAL_VALUE" hidden="1">"c19108"</definedName>
    <definedName name="IQ_INSTITUTIONS_EARNINGS_GAINS_FDIC" hidden="1">"c6723"</definedName>
    <definedName name="IQ_INSUR_RECEIV" hidden="1">"c1600"</definedName>
    <definedName name="IQ_INSURANCE_COMMISSION_FEES_FDIC" hidden="1">"c6670"</definedName>
    <definedName name="IQ_INSURANCE_REINSURANCE_UNDERWRITING_INCOME_FFIEC" hidden="1">"c13008"</definedName>
    <definedName name="IQ_INSURANCE_REV_OPERATING_INC_FFIEC" hidden="1">"c13387"</definedName>
    <definedName name="IQ_INSURANCE_UNDERWRITING_INCOME_FDIC" hidden="1">"c6671"</definedName>
    <definedName name="IQ_INT_BEARING_DEPOSITS" hidden="1">"c1166"</definedName>
    <definedName name="IQ_INT_BEARING_FUNDS_AVG_ASSETS_FFIEC" hidden="1">"c13355"</definedName>
    <definedName name="IQ_INT_BEARING_LIABILITIES_REPRICE_ASSETS_TOT_FFIEC" hidden="1">"c13452"</definedName>
    <definedName name="IQ_INT_BORROW" hidden="1">"c583"</definedName>
    <definedName name="IQ_INT_DEMAND_NOTES_FDIC" hidden="1">"c6567"</definedName>
    <definedName name="IQ_INT_DEPOSITS" hidden="1">"c584"</definedName>
    <definedName name="IQ_INT_DEPOSITS_DOM_FFIEC" hidden="1">"c12852"</definedName>
    <definedName name="IQ_INT_DEPOSITS_DOM_QUARTERLY_AVG_FFIEC" hidden="1">"c13088"</definedName>
    <definedName name="IQ_INT_DEPOSITS_FOREIGN_FFIEC" hidden="1">"c12855"</definedName>
    <definedName name="IQ_INT_DEPOSITS_FOREIGN_QUARTERLY_AVG_FFIEC" hidden="1">"c13089"</definedName>
    <definedName name="IQ_INT_DIV_INC" hidden="1">"c585"</definedName>
    <definedName name="IQ_INT_DIV_INC_MBS_FFIEC" hidden="1">"c12984"</definedName>
    <definedName name="IQ_INT_DIV_INC_SECURITIES_FFIEC" hidden="1">"c12982"</definedName>
    <definedName name="IQ_INT_DIV_INC_SECURITIES_OTHER_FFIEC" hidden="1">"c12985"</definedName>
    <definedName name="IQ_INT_DIV_INC_TREASURY_SECURITIES_FFIEC" hidden="1">"c12983"</definedName>
    <definedName name="IQ_INT_DOMESTIC_DEPOSITS_FDIC" hidden="1">"c6564"</definedName>
    <definedName name="IQ_INT_EXP_AVG_ASSETS_FFIEC" hidden="1">"c13357"</definedName>
    <definedName name="IQ_INT_EXP_BR" hidden="1">"c586"</definedName>
    <definedName name="IQ_INT_EXP_COVERAGE" hidden="1">"c587"</definedName>
    <definedName name="IQ_INT_EXP_EARNING_ASSETS_FFIEC" hidden="1">"c13376"</definedName>
    <definedName name="IQ_INT_EXP_FED_FUNDS_PURCHASED_FFIEC" hidden="1">"c12996"</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EXPENSE_AVG_ASSET" hidden="1">"c15705"</definedName>
    <definedName name="IQ_INT_FED_FUNDS_FDIC" hidden="1">"c6566"</definedName>
    <definedName name="IQ_INT_FEE_INC_ACCEPTANCE_OTHER_BANKS_DOM_FFIEC" hidden="1">"c15357"</definedName>
    <definedName name="IQ_INT_FEE_INC_AGRICULTURE_LOANS_FARMERS_DOM_FFIEC" hidden="1">"c15355"</definedName>
    <definedName name="IQ_INT_FEE_INC_COMM_IND_LOANS_DOM_FFIEC" hidden="1">"c15356"</definedName>
    <definedName name="IQ_INT_FEE_INC_CREDIT_CARDS_DOM_FFIEC" hidden="1">"c15358"</definedName>
    <definedName name="IQ_INT_FEE_INC_DEPOSITORY_LOANS_DOM_FFIEC" hidden="1">"c15354"</definedName>
    <definedName name="IQ_INT_FEE_INC_FOREIGN_GOVT_LOANS_DOM_FFIEC" hidden="1">"c15360"</definedName>
    <definedName name="IQ_INT_FEE_INC_INDIVIDUAL_LOANS_DOM_FFIEC" hidden="1">"c15359"</definedName>
    <definedName name="IQ_INT_FEE_INC_LOANS_1_4_DOM_FFIEC" hidden="1">"c12976"</definedName>
    <definedName name="IQ_INT_FEE_INC_LOANS_DOM_FFIEC" hidden="1">"c13335"</definedName>
    <definedName name="IQ_INT_FEE_INC_LOANS_FOREIGN_FFIEC" hidden="1">"c12979"</definedName>
    <definedName name="IQ_INT_FEE_INC_LOANS_OTHER_DOM_FFIEC" hidden="1">"c12978"</definedName>
    <definedName name="IQ_INT_FEE_INC_RE_LOANS_DOM_FFIEC" hidden="1">"c15353"</definedName>
    <definedName name="IQ_INT_FEE_INC_SECURED_RE_DOM_FFIEC" hidden="1">"c12977"</definedName>
    <definedName name="IQ_INT_FEE_INC_TAX_EXEMPT_OBLIGATIONS_DOM_FFIEC" hidden="1">"c15362"</definedName>
    <definedName name="IQ_INT_FEE_INC_TAXABLE_OBLIGATIONS_DOM_FFIEC" hidden="1">"c15361"</definedName>
    <definedName name="IQ_INT_FEE_INCOME_FFIEC" hidden="1">"c12974"</definedName>
    <definedName name="IQ_INT_FOREIGN_DEPOSITS_FDIC" hidden="1">"c6565"</definedName>
    <definedName name="IQ_INT_INC_AVG_ASSETS_FFIEC" hidden="1">"c13356"</definedName>
    <definedName name="IQ_INT_INC_BR" hidden="1">"c593"</definedName>
    <definedName name="IQ_INT_INC_DEPOSITORY_INST_FDIC" hidden="1">"c6558"</definedName>
    <definedName name="IQ_INT_INC_DOM_LOANS_FDIC" hidden="1">"c6555"</definedName>
    <definedName name="IQ_INT_INC_DUE_DEPOSITORY_INSTITUTIONS_FFIEC" hidden="1">"c12981"</definedName>
    <definedName name="IQ_INT_INC_EARNING_ASSETS_FFIEC" hidden="1">"c13375"</definedName>
    <definedName name="IQ_INT_INC_FED_FUNDS_FDIC" hidden="1">"c6561"</definedName>
    <definedName name="IQ_INT_INC_FED_FUNDS_SOLD_FFIEC" hidden="1">"c12987"</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E_AVG_ASSETS_FFIEC" hidden="1">"c13358"</definedName>
    <definedName name="IQ_INT_INC_TE_EARNING_ASSETS_FFIEC" hidden="1">"c13377"</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TRADING_ASSETS_FFIEC" hidden="1">"c12986"</definedName>
    <definedName name="IQ_INT_INC_UTI" hidden="1">"c599"</definedName>
    <definedName name="IQ_INT_INCOME_AVG_ASSET" hidden="1">"c15704"</definedName>
    <definedName name="IQ_INT_INCOME_FTE_AVG_ASSETS_FFIEC" hidden="1">"c13856"</definedName>
    <definedName name="IQ_INT_INCOME_FTE_AVG_EARNING_ASSETS_FFIEC" hidden="1">"c13857"</definedName>
    <definedName name="IQ_INT_INCOME_FTE_FFIEC" hidden="1">"c13852"</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ON_DEPOSITS_DOM_FFIEC" hidden="1">"c12991"</definedName>
    <definedName name="IQ_INT_ON_DEPOSITS_FFIEC" hidden="1">"c12990"</definedName>
    <definedName name="IQ_INT_ON_DEPOSITS_FOREIGN_FFIEC" hidden="1">"c12995"</definedName>
    <definedName name="IQ_INT_RATE_EXPOSURE_FFIEC" hidden="1">"c13058"</definedName>
    <definedName name="IQ_INT_RATE_SPREAD" hidden="1">"c604"</definedName>
    <definedName name="IQ_INT_SAVINGS_DEPOSITS_MMDA_DOM_FFIEC" hidden="1">"c15364"</definedName>
    <definedName name="IQ_INT_SUB_NOTES_FDIC" hidden="1">"c6568"</definedName>
    <definedName name="IQ_INT_SUB_NOTES_FFIEC" hidden="1">"c12998"</definedName>
    <definedName name="IQ_INT_TIME_DEPOSITS_LESS_THAN_100K_DOM_FFIEC" hidden="1">"c12993"</definedName>
    <definedName name="IQ_INT_TIME_DEPOSITS_MORE_THAN_100K_DOM_FFIEC" hidden="1">"c12992"</definedName>
    <definedName name="IQ_INT_TRADING_LIABILITIES_FFIEC" hidden="1">"c12997"</definedName>
    <definedName name="IQ_INT_TRANSACTION_ACCOUNTS_DOM_FFIEC" hidden="1">"c15363"</definedName>
    <definedName name="IQ_INTANGIBLES_NET" hidden="1">"c1407"</definedName>
    <definedName name="IQ_INTERBANK_RATIO" hidden="1">"c19134"</definedName>
    <definedName name="IQ_INTEREST_ACCRUED_ON_DEPOSITS_DOM_FFIEC" hidden="1">"c15277"</definedName>
    <definedName name="IQ_INTEREST_BEARING_BALANCES_FDIC" hidden="1">"c6371"</definedName>
    <definedName name="IQ_INTEREST_BEARING_BALANCES_QUARTERLY_AVG_FFIEC" hidden="1">"c15467"</definedName>
    <definedName name="IQ_INTEREST_BEARING_CASH_FFIEC" hidden="1">"c15259"</definedName>
    <definedName name="IQ_INTEREST_BEARING_CASH_FOREIGN_FFIEC" hidden="1">"c12776"</definedName>
    <definedName name="IQ_INTEREST_BEARING_CASH_US_FFIEC" hidden="1">"c12775"</definedName>
    <definedName name="IQ_INTEREST_BEARING_DEPOSITS_DOMESTIC_FDIC" hidden="1">"c6478"</definedName>
    <definedName name="IQ_INTEREST_BEARING_DEPOSITS_FDIC" hidden="1">"c6373"</definedName>
    <definedName name="IQ_INTEREST_BEARING_DEPOSITS_FOREIGN_FDIC" hidden="1">"c6485"</definedName>
    <definedName name="IQ_INTEREST_BEARING_TRANS_DOM_QUARTERLY_AVG_FFIEC" hidden="1">"c15484"</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TEREST_PENALTIES_RECOG_BS_AFTER_TAX" hidden="1">"c15745"</definedName>
    <definedName name="IQ_INTEREST_PENALTIES_RECOG_BS_PRE_TAX" hidden="1">"c15744"</definedName>
    <definedName name="IQ_INTEREST_PENALTIES_RECOG_IS_AFTER_TAX" hidden="1">"c15743"</definedName>
    <definedName name="IQ_INTEREST_PENALTIES_RECOG_IS_PRE_TAX" hidden="1">"c15742"</definedName>
    <definedName name="IQ_INTEREST_RATE_CONTRACTS_FDIC" hidden="1">"c6512"</definedName>
    <definedName name="IQ_INTEREST_RATE_EXPOSURES_FDIC" hidden="1">"c6662"</definedName>
    <definedName name="IQ_INTERNAL_ALLOCATIONS_INC_EXP_FOREIGN_FFIEC" hidden="1">"c15394"</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_REL_ID" hidden="1">"c15220"</definedName>
    <definedName name="IQ_INV_REL_NAME" hidden="1">"c15219"</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CRITERIA_EBITDA_MAX" hidden="1">"c18907"</definedName>
    <definedName name="IQ_INVEST_CRITERIA_EBITDA_MIN" hidden="1">"c18906"</definedName>
    <definedName name="IQ_INVEST_CRITERIA_EQUITY_MAX" hidden="1">"c18901"</definedName>
    <definedName name="IQ_INVEST_CRITERIA_EQUITY_MIN" hidden="1">"c18900"</definedName>
    <definedName name="IQ_INVEST_CRITERIA_EV_MAX" hidden="1">"c18903"</definedName>
    <definedName name="IQ_INVEST_CRITERIA_EV_MIN" hidden="1">"c18902"</definedName>
    <definedName name="IQ_INVEST_CRITERIA_GEOGRAPHY" hidden="1">"c18898"</definedName>
    <definedName name="IQ_INVEST_CRITERIA_INDUSTRY" hidden="1">"c18897"</definedName>
    <definedName name="IQ_INVEST_CRITERIA_STAGES" hidden="1">"c18899"</definedName>
    <definedName name="IQ_INVEST_CRITERIA_TOT_REV_MAX" hidden="1">"c18905"</definedName>
    <definedName name="IQ_INVEST_CRITERIA_TOT_REV_MIN" hidden="1">"c18904"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IES_ASSETS_TOT_FFIEC" hidden="1">"c13440"</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_UNCONSOLIDATED_SUBS_FFIEC" hidden="1">"c12834"</definedName>
    <definedName name="IQ_INVESTMENT_BANKING_BROKERAGE_FEES_FFIEC" hidden="1">"c13627"</definedName>
    <definedName name="IQ_INVESTMENT_BANKING_FEES_COMMISSIONS_FFIEC" hidden="1">"c13006"</definedName>
    <definedName name="IQ_INVESTMENT_BANKING_OTHER_FEES_FDIC" hidden="1">"c6666"</definedName>
    <definedName name="IQ_INVESTMENT_PARTNERSHIP" hidden="1">"c16072"</definedName>
    <definedName name="IQ_INVESTMENTS_ALL" hidden="1">"c18891"</definedName>
    <definedName name="IQ_INVESTMENTS_ALL_COVER" hidden="1">"c19112"</definedName>
    <definedName name="IQ_INVESTMENTS_ALL_ID" hidden="1">"c18892"</definedName>
    <definedName name="IQ_INVESTMENTS_ALL_REL" hidden="1">"c18894"</definedName>
    <definedName name="IQ_INVESTMENTS_ALL_STAKE" hidden="1">"c18893"</definedName>
    <definedName name="IQ_INVESTMENTS_CURR" hidden="1">"c18881"</definedName>
    <definedName name="IQ_INVESTMENTS_CURR_COVER" hidden="1">"c19110"</definedName>
    <definedName name="IQ_INVESTMENTS_CURR_ID" hidden="1">"c18882"</definedName>
    <definedName name="IQ_INVESTMENTS_CURR_REL" hidden="1">"c18884"</definedName>
    <definedName name="IQ_INVESTMENTS_CURR_STAKE" hidden="1">"c18883"</definedName>
    <definedName name="IQ_INVESTMENTS_LP" hidden="1">"c18912"</definedName>
    <definedName name="IQ_INVESTMENTS_LP_ID" hidden="1">"c18913"</definedName>
    <definedName name="IQ_INVESTMENTS_LP_REL" hidden="1">"c18914"</definedName>
    <definedName name="IQ_INVESTMENTS_PENDING" hidden="1">"c18887"</definedName>
    <definedName name="IQ_INVESTMENTS_PENDING_COVER" hidden="1">"c19111"</definedName>
    <definedName name="IQ_INVESTMENTS_PENDING_ID" hidden="1">"c18888"</definedName>
    <definedName name="IQ_INVESTMENTS_PENDING_REL" hidden="1">"c18890"</definedName>
    <definedName name="IQ_INVESTMENTS_PENDING_STAKE" hidden="1">"c18889"</definedName>
    <definedName name="IQ_INVESTMENTS_PRIOR" hidden="1">"c18895"</definedName>
    <definedName name="IQ_INVESTMENTS_PRIOR_ID" hidden="1">"c18896"</definedName>
    <definedName name="IQ_IPRD" hidden="1">"c644"</definedName>
    <definedName name="IQ_IPRD_SUPPLE" hidden="1">"c13813"</definedName>
    <definedName name="IQ_IRA_KEOGH_ACCOUNTS_FDIC" hidden="1">"c6496"</definedName>
    <definedName name="IQ_ISIN" hidden="1">"c12041"</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 hidden="1">"c8443"</definedName>
    <definedName name="IQ_ISM_SERVICES_APR_FC_UNUSED_UNUSED_UNUSED" hidden="1">"c8443"</definedName>
    <definedName name="IQ_ISM_SERVICES_APR_UNUSED" hidden="1">"c7563"</definedName>
    <definedName name="IQ_ISM_SERVICES_APR_UNUSED_UNUSED_UNUSED" hidden="1">"c7563"</definedName>
    <definedName name="IQ_ISM_SERVICES_FC_UNUSED" hidden="1">"c7783"</definedName>
    <definedName name="IQ_ISM_SERVICES_FC_UNUSED_UNUSED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 hidden="1">"c8003"</definedName>
    <definedName name="IQ_ISM_SERVICES_POP_FC_UNUSED_UNUSED_UNUSED" hidden="1">"c8003"</definedName>
    <definedName name="IQ_ISM_SERVICES_POP_UNUSED" hidden="1">"c7123"</definedName>
    <definedName name="IQ_ISM_SERVICES_POP_UNUSED_UNUSED_UNUSED" hidden="1">"c7123"</definedName>
    <definedName name="IQ_ISM_SERVICES_UNUSED" hidden="1">"c6903"</definedName>
    <definedName name="IQ_ISM_SERVICES_UNUSED_UNUSED_UNUSED" hidden="1">"c6903"</definedName>
    <definedName name="IQ_ISM_SERVICES_YOY_FC_UNUSED" hidden="1">"c8223"</definedName>
    <definedName name="IQ_ISM_SERVICES_YOY_FC_UNUSED_UNUSED_UNUSED" hidden="1">"c8223"</definedName>
    <definedName name="IQ_ISM_SERVICES_YOY_UNUSED" hidden="1">"c7343"</definedName>
    <definedName name="IQ_ISM_SERVICES_YOY_UNUSED_UNUSED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KEY_DEV_COMPANY_ID" hidden="1">"c13830"</definedName>
    <definedName name="IQ_KEY_DEV_COMPANY_NAME" hidden="1">"c13829"</definedName>
    <definedName name="IQ_KEY_DEV_DATE" hidden="1">"c13763"</definedName>
    <definedName name="IQ_KEY_DEV_HEADLINE" hidden="1">"c13761"</definedName>
    <definedName name="IQ_KEY_DEV_ID" hidden="1">"c13760"</definedName>
    <definedName name="IQ_KEY_DEV_ID_INCL_SUBS" hidden="1">"c13832"</definedName>
    <definedName name="IQ_KEY_DEV_SITUATION" hidden="1">"c13762"</definedName>
    <definedName name="IQ_KEY_DEV_SOURCE" hidden="1">"c13765"</definedName>
    <definedName name="IQ_KEY_DEV_TIME" hidden="1">"c13833"</definedName>
    <definedName name="IQ_KEY_DEV_TRANSACTION_ID" hidden="1">"c13766"</definedName>
    <definedName name="IQ_KEY_DEV_TYPE" hidden="1">"c13764"</definedName>
    <definedName name="IQ_LAND" hidden="1">"c645"</definedName>
    <definedName name="IQ_LAND_MINERAL_RIGHTS_TO_PPE_GROSS_COAL" hidden="1">"c15949"</definedName>
    <definedName name="IQ_LAND_MINERAL_RIGHTS_TO_PPE_NET_COAL" hidden="1">"c15950"</definedName>
    <definedName name="IQ_LANDS_MINERAL_RIGHTS_GROSS_COAL" hidden="1">"c15938"</definedName>
    <definedName name="IQ_LANDS_MINERAL_RIGHTS_NET_COAL" hidden="1">"c15939"</definedName>
    <definedName name="IQ_LAPSE_STATUTE_LIMITATIONS" hidden="1">"c15738"</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_MONTHLY_FACTOR" hidden="1">"c8971"</definedName>
    <definedName name="IQ_LATEST_MONTHLY_FACTOR_DATE" hidden="1">"c8972"</definedName>
    <definedName name="IQ_LATEST_TRANSACTION" hidden="1">"c18886"</definedName>
    <definedName name="IQ_LATESTK" hidden="1">1000</definedName>
    <definedName name="IQ_LATESTQ" hidden="1">500</definedName>
    <definedName name="IQ_LEAD_UNDERWRITER" hidden="1">"c8957"</definedName>
    <definedName name="IQ_LEASE_EXPENSE" hidden="1">"c16039"</definedName>
    <definedName name="IQ_LEASE_FIN_RECEIVABLES_NON_US_CHARGE_OFFS_FFIEC" hidden="1">"c13631"</definedName>
    <definedName name="IQ_LEASE_FIN_RECEIVABLES_NON_US_RECOV_FFIEC" hidden="1">"c13635"</definedName>
    <definedName name="IQ_LEASE_FIN_RECEIVABLES_US_CHARGE_OFFS_FFIEC" hidden="1">"c13630"</definedName>
    <definedName name="IQ_LEASE_FIN_RECEIVABLES_US_RECOV_FFIEC" hidden="1">"c13634"</definedName>
    <definedName name="IQ_LEASE_FINANCE" hidden="1">"c5654"</definedName>
    <definedName name="IQ_LEASE_FINANCING_REC_DUE_30_89_FFIEC" hidden="1">"c13276"</definedName>
    <definedName name="IQ_LEASE_FINANCING_REC_DUE_90_FFIEC" hidden="1">"c13302"</definedName>
    <definedName name="IQ_LEASE_FINANCING_REC_NON_ACCRUAL_FFIEC" hidden="1">"c13328"</definedName>
    <definedName name="IQ_LEASE_FINANCING_RECEIVABLES_CHARGE_OFFS_FDIC" hidden="1">"c6602"</definedName>
    <definedName name="IQ_LEASE_FINANCING_RECEIVABLES_DOM_FFIEC" hidden="1">"c12915"</definedName>
    <definedName name="IQ_LEASE_FINANCING_RECEIVABLES_FDIC" hidden="1">"c6433"</definedName>
    <definedName name="IQ_LEASE_FINANCING_RECEIVABLES_NET_CHARGE_OFFS_FDIC" hidden="1">"c6640"</definedName>
    <definedName name="IQ_LEASE_FINANCING_RECEIVABLES_QUARTERLY_AVG_FFIEC" hidden="1">"c15483"</definedName>
    <definedName name="IQ_LEASE_FINANCING_RECEIVABLES_RECOVERIES_FDIC" hidden="1">"c6621"</definedName>
    <definedName name="IQ_LEASE_FINANCING_RECEIVABLES_TOTAL_LOANS_FOREIGN_FDIC" hidden="1">"c6449"</definedName>
    <definedName name="IQ_LEASE_PMT_REC_AFTER_FIVE" hidden="1">"c16099"</definedName>
    <definedName name="IQ_LEASE_PMT_REC_CY" hidden="1">"c16093"</definedName>
    <definedName name="IQ_LEASE_PMT_REC_CY1" hidden="1">"c16094"</definedName>
    <definedName name="IQ_LEASE_PMT_REC_CY2" hidden="1">"c16095"</definedName>
    <definedName name="IQ_LEASE_PMT_REC_CY3" hidden="1">"c16096"</definedName>
    <definedName name="IQ_LEASE_PMT_REC_CY4" hidden="1">"c16097"</definedName>
    <definedName name="IQ_LEASE_PMT_REC_NEXT_FIVE" hidden="1">"c16098"</definedName>
    <definedName name="IQ_LEASE_PMT_REC_TOTAL" hidden="1">"c16100"</definedName>
    <definedName name="IQ_LEASE_RECEIVABLES_FOREIGN_FFIEC" hidden="1">"c13483"</definedName>
    <definedName name="IQ_LEASE_REVENUE" hidden="1">"c16023"</definedName>
    <definedName name="IQ_LEASE_TERMINATION_FEES" hidden="1">"c16182"</definedName>
    <definedName name="IQ_LEASED_RESERVES_COAL" hidden="1">"c15918"</definedName>
    <definedName name="IQ_LEASED_RESERVES_TO_TOTAL_RESERVES_COAL" hidden="1">"c15958"</definedName>
    <definedName name="IQ_LEASES_INDIVIDUALS_CHARGE_OFFS_FFIEC" hidden="1">"c13184"</definedName>
    <definedName name="IQ_LEASES_INDIVIDUALS_RECOV_FFIEC" hidden="1">"c13206"</definedName>
    <definedName name="IQ_LEASES_PERSONAL_EXP_DUE_30_89_FFIEC" hidden="1">"c13277"</definedName>
    <definedName name="IQ_LEASES_PERSONAL_EXP_DUE_90_FFIEC" hidden="1">"c13303"</definedName>
    <definedName name="IQ_LEASES_PERSONAL_EXP_NON_ACCRUAL_FFIEC" hidden="1">"c13329"</definedName>
    <definedName name="IQ_LEGAL_FEES_FFIEC" hidden="1">"c13052"</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SUPPLE" hidden="1">"c13815"</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ABILITIES_FAIR_VALUE" hidden="1">"c13848"</definedName>
    <definedName name="IQ_LIABILITIES_LEVEL_1" hidden="1">"c13844"</definedName>
    <definedName name="IQ_LIABILITIES_LEVEL_2" hidden="1">"c13845"</definedName>
    <definedName name="IQ_LIABILITIES_LEVEL_3" hidden="1">"c13846"</definedName>
    <definedName name="IQ_LIABILITIES_NETTING_OTHER_ADJUSTMENTS" hidden="1">"c13847"</definedName>
    <definedName name="IQ_LIABILITY_ACCEPTANCES_OUT_FFIEC" hidden="1">"c12866"</definedName>
    <definedName name="IQ_LIABILITY_SHORT_POSITIONS_DOM_FFIEC" hidden="1">"c12941"</definedName>
    <definedName name="IQ_LICENSED_POPS" hidden="1">"c2123"</definedName>
    <definedName name="IQ_LICENSED_WIRELESS_POPS" hidden="1">"c2123"</definedName>
    <definedName name="IQ_LIFE_EARNED" hidden="1">"c2739"</definedName>
    <definedName name="IQ_LIFE_INSURANCE_ASSETS_FDIC" hidden="1">"c6372"</definedName>
    <definedName name="IQ_LIFE_INSURANCE_ASSETS_FFIEC" hidden="1">"c12847"</definedName>
    <definedName name="IQ_LIFOR" hidden="1">"c655"</definedName>
    <definedName name="IQ_LIMITED_PARTNERS" hidden="1">"c18915"</definedName>
    <definedName name="IQ_LIMITED_PARTNERS_ID" hidden="1">"c18916"</definedName>
    <definedName name="IQ_LIMITED_PARTNERS_REL" hidden="1">"c19114"</definedName>
    <definedName name="IQ_LINE_EXTENSIONS_CABLE_INVEST" hidden="1">"c15803"</definedName>
    <definedName name="IQ_LIQUID_ASSETS_ASSETS_TOT_FFIEC" hidden="1">"c13439"</definedName>
    <definedName name="IQ_LIQUID_ASSETS_NONCORE_FUNDING_FFIEC" hidden="1">"c13339"</definedName>
    <definedName name="IQ_LIQUIDATION_VALUE_PREFERRED_CONVERT" hidden="1">"c13835"</definedName>
    <definedName name="IQ_LIQUIDATION_VALUE_PREFERRED_NON_REDEEM" hidden="1">"c13836"</definedName>
    <definedName name="IQ_LIQUIDATION_VALUE_PREFERRED_REDEEM" hidden="1">"c13837"</definedName>
    <definedName name="IQ_LL" hidden="1">"c656"</definedName>
    <definedName name="IQ_LOAN_ALLOW_GROSS_LOANS_FFIEC" hidden="1">"c13415"</definedName>
    <definedName name="IQ_LOAN_ALLOWANCE_GROSS_LOSSES_FFIEC" hidden="1">"c13352"</definedName>
    <definedName name="IQ_LOAN_ALLOWANCE_NET_LOANS_FFIEC" hidden="1">"c13472"</definedName>
    <definedName name="IQ_LOAN_ALLOWANCE_NONACCRUAL_ASSETS_FFIEC" hidden="1">"c13473"</definedName>
    <definedName name="IQ_LOAN_ALLOWANCE_PAST_DUE_NONACCRUAL_FFIEC" hidden="1">"c13474"</definedName>
    <definedName name="IQ_LOAN_COMMITMENTS_FAIR_VALUE_TOT_FFIEC" hidden="1">"c13216"</definedName>
    <definedName name="IQ_LOAN_COMMITMENTS_LEVEL_1_FFIEC" hidden="1">"c13224"</definedName>
    <definedName name="IQ_LOAN_COMMITMENTS_LEVEL_2_FFIEC" hidden="1">"c13232"</definedName>
    <definedName name="IQ_LOAN_COMMITMENTS_LEVEL_3_FFIEC" hidden="1">"c13240"</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_PERF_ASSETS_FFIEC" hidden="1">"c13912"</definedName>
    <definedName name="IQ_LOAN_LOSS_ALLOWANCE_NONCURRENT_LOANS_FDIC" hidden="1">"c6740"</definedName>
    <definedName name="IQ_LOAN_LOSS_PROVISION_FOREIGN_FFIEC" hidden="1">"c15382"</definedName>
    <definedName name="IQ_LOAN_LOSSES_AVERAGE_LOANS_FFIEC" hidden="1">"c13350"</definedName>
    <definedName name="IQ_LOAN_LOSSES_FDIC" hidden="1">"c6580"</definedName>
    <definedName name="IQ_LOAN_SERVICE_REV" hidden="1">"c658"</definedName>
    <definedName name="IQ_LOANS_AGRICULTURAL_PROD_LL_REC_FFIEC" hidden="1">"c12886"</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_US_LL_REC_FFIEC" hidden="1">"c12884"</definedName>
    <definedName name="IQ_LOANS_DEPOSITORY_INSTITUTIONS_FDIC" hidden="1">"c6382"</definedName>
    <definedName name="IQ_LOANS_DOM_QUARTERLY_AVG_FFIEC" hidden="1">"c13084"</definedName>
    <definedName name="IQ_LOANS_FARMERS_CHARGE_OFFS_FFIEC" hidden="1">"c13177"</definedName>
    <definedName name="IQ_LOANS_FARMERS_RECOV_FFIEC" hidden="1">"c13199"</definedName>
    <definedName name="IQ_LOANS_FINANCE_AGRICULTURAL_DUE_30_89_FFIEC" hidden="1">"c13270"</definedName>
    <definedName name="IQ_LOANS_FINANCE_AGRICULTURAL_DUE_90_FFIEC" hidden="1">"c13296"</definedName>
    <definedName name="IQ_LOANS_FINANCE_AGRICULTURAL_NON_ACCRUAL_FFIEC" hidden="1">"c13322"</definedName>
    <definedName name="IQ_LOANS_FINANCE_AGRICULTURAL_PROD_LL_REC_DOM_FFIEC" hidden="1">"c12909"</definedName>
    <definedName name="IQ_LOANS_FOR_SALE" hidden="1">"c666"</definedName>
    <definedName name="IQ_LOANS_FOREIGN_GOV_CHARGE_OFFS_FFIEC" hidden="1">"c13182"</definedName>
    <definedName name="IQ_LOANS_FOREIGN_GOV_DUE_30_89_FFIEC" hidden="1">"c13274"</definedName>
    <definedName name="IQ_LOANS_FOREIGN_GOV_DUE_90_FFIEC" hidden="1">"c13300"</definedName>
    <definedName name="IQ_LOANS_FOREIGN_GOV_LL_REC_DOM_FFIEC" hidden="1">"c12912"</definedName>
    <definedName name="IQ_LOANS_FOREIGN_GOV_NON_ACCRUAL_FFIEC" hidden="1">"c13326"</definedName>
    <definedName name="IQ_LOANS_FOREIGN_GOV_RECOV_FFIEC" hidden="1">"c13204"</definedName>
    <definedName name="IQ_LOANS_FOREIGN_INST_CHARGE_OFFS_FFIEC" hidden="1">"c13176"</definedName>
    <definedName name="IQ_LOANS_FOREIGN_INST_RECOV_FFIEC" hidden="1">"c13198"</definedName>
    <definedName name="IQ_LOANS_FOREIGN_LL_REC_FFIEC" hidden="1">"c12885"</definedName>
    <definedName name="IQ_LOANS_GOV_GUARANTEED_DUE_30_89_FFIEC" hidden="1">"c13281"</definedName>
    <definedName name="IQ_LOANS_GOV_GUARANTEED_DUE_90_FFIEC" hidden="1">"c13307"</definedName>
    <definedName name="IQ_LOANS_GOV_GUARANTEED_EXCL_GNMA_DUE_30_89_FFIEC" hidden="1">"c13282"</definedName>
    <definedName name="IQ_LOANS_GOV_GUARANTEED_EXCL_GNMA_DUE_90_FFIEC" hidden="1">"c13308"</definedName>
    <definedName name="IQ_LOANS_GOV_GUARANTEED_EXCL_GNMA_NON_ACCRUAL_FFIEC" hidden="1">"c13333"</definedName>
    <definedName name="IQ_LOANS_GOV_GUARANTEED_NON_ACCRUAL_FFIEC" hidden="1">"c13332"</definedName>
    <definedName name="IQ_LOANS_HELD_FOREIGN_FDIC" hidden="1">"c6315"</definedName>
    <definedName name="IQ_LOANS_INDIVIDUALS_FOREIGN_FFIEC" hidden="1">"c13480"</definedName>
    <definedName name="IQ_LOANS_LEASES_ASSETS_TOT_FFIEC" hidden="1">"c13437"</definedName>
    <definedName name="IQ_LOANS_LEASES_FAIR_VALUE_TOT_FFIEC" hidden="1">"c13209"</definedName>
    <definedName name="IQ_LOANS_LEASES_FOREIGN_FDIC" hidden="1">"c6383"</definedName>
    <definedName name="IQ_LOANS_LEASES_GROSS_FDIC" hidden="1">"c6323"</definedName>
    <definedName name="IQ_LOANS_LEASES_GROSS_FOREIGN_FDIC" hidden="1">"c6384"</definedName>
    <definedName name="IQ_LOANS_LEASES_HELD_SALE_FFIEC" hidden="1">"c12808"</definedName>
    <definedName name="IQ_LOANS_LEASES_HFI_FAIR_VALUE_TOT_FFIEC" hidden="1">"c15401"</definedName>
    <definedName name="IQ_LOANS_LEASES_HFI_LEVEL_1_FFIEC" hidden="1">"c15423"</definedName>
    <definedName name="IQ_LOANS_LEASES_HFI_LEVEL_2_FFIEC" hidden="1">"c15436"</definedName>
    <definedName name="IQ_LOANS_LEASES_HFI_LEVEL_3_FFIEC" hidden="1">"c15449"</definedName>
    <definedName name="IQ_LOANS_LEASES_HFS_FAIR_VALUE_TOT_FFIEC" hidden="1">"c15400"</definedName>
    <definedName name="IQ_LOANS_LEASES_HFS_LEVEL_1_FFIEC" hidden="1">"c15422"</definedName>
    <definedName name="IQ_LOANS_LEASES_HFS_LEVEL_2_FFIEC" hidden="1">"c15435"</definedName>
    <definedName name="IQ_LOANS_LEASES_HFS_LEVEL_3_FFIEC" hidden="1">"c15448"</definedName>
    <definedName name="IQ_LOANS_LEASES_LEVEL_1_FFIEC" hidden="1">"c13217"</definedName>
    <definedName name="IQ_LOANS_LEASES_LEVEL_2_FFIEC" hidden="1">"c13225"</definedName>
    <definedName name="IQ_LOANS_LEASES_LEVEL_3_FFIEC" hidden="1">"c13233"</definedName>
    <definedName name="IQ_LOANS_LEASES_NET_FDIC" hidden="1">"c6327"</definedName>
    <definedName name="IQ_LOANS_LEASES_NET_UNEARNED_FDIC" hidden="1">"c6325"</definedName>
    <definedName name="IQ_LOANS_LEASES_NET_UNEARNED_INC_ALLOWANCE_FFIEC" hidden="1">"c12811"</definedName>
    <definedName name="IQ_LOANS_LEASES_NET_UNEARNED_INCOME_FFIEC" hidden="1">"c12809"</definedName>
    <definedName name="IQ_LOANS_LEASES_QUARTERLY_AVG_FFIEC" hidden="1">"c13081"</definedName>
    <definedName name="IQ_LOANS_LOC_ASSETS_TOT_FFIEC" hidden="1">"c13441"</definedName>
    <definedName name="IQ_LOANS_NOT_SECURED_RE_FDIC" hidden="1">"c6381"</definedName>
    <definedName name="IQ_LOANS_PAST_DUE" hidden="1">"c667"</definedName>
    <definedName name="IQ_LOANS_PURCHASING_CARRYING_SECURITIES_LL_REC_DOM_FFIEC" hidden="1">"c12913"</definedName>
    <definedName name="IQ_LOANS_RECEIV_CURRENT" hidden="1">"c668"</definedName>
    <definedName name="IQ_LOANS_RECEIV_LT" hidden="1">"c669"</definedName>
    <definedName name="IQ_LOANS_RECEIV_LT_UTI" hidden="1">"c670"</definedName>
    <definedName name="IQ_LOANS_SEC_RE_FOREIGN_CHARGE_OFFS_FFIEC" hidden="1">"c13174"</definedName>
    <definedName name="IQ_LOANS_SEC_RE_FOREIGN_RECOV_FFIEC" hidden="1">"c13196"</definedName>
    <definedName name="IQ_LOANS_SECURED_1_4_DOM_QUARTERLY_AVG_FFIEC" hidden="1">"c13082"</definedName>
    <definedName name="IQ_LOANS_SECURED_BY_RE_CHARGE_OFFS_FDIC" hidden="1">"c6588"</definedName>
    <definedName name="IQ_LOANS_SECURED_BY_RE_RECOVERIES_FDIC" hidden="1">"c6607"</definedName>
    <definedName name="IQ_LOANS_SECURED_CONSTRUCTION_TRADING_DOM_FFIEC" hidden="1">"c12925"</definedName>
    <definedName name="IQ_LOANS_SECURED_FARMLAND_TRADING_DOM_FFIEC" hidden="1">"c12926"</definedName>
    <definedName name="IQ_LOANS_SECURED_NON_US_FDIC" hidden="1">"c6380"</definedName>
    <definedName name="IQ_LOANS_SECURED_RE_DOM_QUARTERLY_AVG_FFIEC" hidden="1">"c13083"</definedName>
    <definedName name="IQ_LOANS_SECURED_RE_FFIEC" hidden="1">"c12820"</definedName>
    <definedName name="IQ_LOANS_SECURED_RE_LL_REC_FFIEC" hidden="1">"c12883"</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ANS_US_INST_CHARGE_OFFS_FFIEC" hidden="1">"c13175"</definedName>
    <definedName name="IQ_LOANS_US_INST_RECOV_FFIEC" hidden="1">"c13197"</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AVAIL_SALE_EQUITY_SEC_T1_FFIEC" hidden="1">"c13132"</definedName>
    <definedName name="IQ_LOSS_LOSS_EXP" hidden="1">"c672"</definedName>
    <definedName name="IQ_LOSS_TO_NET_EARNED" hidden="1">"c2751"</definedName>
    <definedName name="IQ_LOW_SULFUR_CONTENT_RESERVES_COAL" hidden="1">"c15924"</definedName>
    <definedName name="IQ_LOW_SULFURE_RESERVES_TO_TOTAL_RESERVES_COAL" hidden="1">"c15961"</definedName>
    <definedName name="IQ_LOW_TARGET_PRICE" hidden="1">"c1652"</definedName>
    <definedName name="IQ_LOW_TARGET_PRICE_CIQ" hidden="1">"c4660"</definedName>
    <definedName name="IQ_LOW_TARGET_PRICE_REUT" hidden="1">"c5318"</definedName>
    <definedName name="IQ_LOW_TARGET_PRICE_THOM" hidden="1">"c5097"</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MATURING_1YR_INT_SENSITIVITY_FFIEC" hidden="1">"c13097"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REPRICE_ASSETS_TOT_FFIEC" hidden="1">"c13453"</definedName>
    <definedName name="IQ_LT_DEBT_REPRICING_WITHIN_1_YR_INT_SENSITIVITY_FFIEC" hidden="1">"c13095"</definedName>
    <definedName name="IQ_LT_DEBT_UTI" hidden="1">"c696"</definedName>
    <definedName name="IQ_LT_GROWTH_DET_EST" hidden="1">"c12060"</definedName>
    <definedName name="IQ_LT_GROWTH_DET_EST_DATE" hidden="1">"c12213"</definedName>
    <definedName name="IQ_LT_GROWTH_DET_EST_DATE_THOM" hidden="1">"c12240"</definedName>
    <definedName name="IQ_LT_GROWTH_DET_EST_INCL" hidden="1">"c12350"</definedName>
    <definedName name="IQ_LT_GROWTH_DET_EST_INCL_THOM" hidden="1">"c12372"</definedName>
    <definedName name="IQ_LT_GROWTH_DET_EST_ORIGIN" hidden="1">"c12725"</definedName>
    <definedName name="IQ_LT_GROWTH_DET_EST_ORIGIN_THOM" hidden="1">"c12610"</definedName>
    <definedName name="IQ_LT_GROWTH_DET_EST_THOM" hidden="1">"c12090"</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INT_CAPEX" hidden="1">"c2947"</definedName>
    <definedName name="IQ_MAINT_CAPEX_ACT_OR_EST" hidden="1">"c4458"</definedName>
    <definedName name="IQ_MAINT_CAPEX_ACT_OR_EST_CIQ" hidden="1">"c4987"</definedName>
    <definedName name="IQ_MAINT_CAPEX_EST" hidden="1">"c4457"</definedName>
    <definedName name="IQ_MAINT_CAPEX_GUIDANCE" hidden="1">"c4459"</definedName>
    <definedName name="IQ_MAINT_CAPEX_GUIDANCE_CIQ" hidden="1">"c4988"</definedName>
    <definedName name="IQ_MAINT_CAPEX_GUIDANCE_CIQ_COL" hidden="1">"c11635"</definedName>
    <definedName name="IQ_MAINT_CAPEX_HIGH_EST" hidden="1">"c4460"</definedName>
    <definedName name="IQ_MAINT_CAPEX_HIGH_GUIDANCE" hidden="1">"c4197"</definedName>
    <definedName name="IQ_MAINT_CAPEX_HIGH_GUIDANCE_CIQ" hidden="1">"c4609"</definedName>
    <definedName name="IQ_MAINT_CAPEX_HIGH_GUIDANCE_CIQ_COL" hidden="1">"c11258"</definedName>
    <definedName name="IQ_MAINT_CAPEX_LOW_EST" hidden="1">"c4461"</definedName>
    <definedName name="IQ_MAINT_CAPEX_LOW_GUIDANCE" hidden="1">"c4237"</definedName>
    <definedName name="IQ_MAINT_CAPEX_LOW_GUIDANCE_CIQ" hidden="1">"c4649"</definedName>
    <definedName name="IQ_MAINT_CAPEX_LOW_GUIDANCE_CIQ_COL" hidden="1">"c11298"</definedName>
    <definedName name="IQ_MAINT_CAPEX_MEDIAN_EST" hidden="1">"c4462"</definedName>
    <definedName name="IQ_MAINT_CAPEX_NUM_EST" hidden="1">"c4463"</definedName>
    <definedName name="IQ_MAINT_CAPEX_STDDEV_EST" hidden="1">"c4464"</definedName>
    <definedName name="IQ_MAINT_REPAIR" hidden="1">"c2087"</definedName>
    <definedName name="IQ_MAKE_WHOLE_END_DATE" hidden="1">"c2493"</definedName>
    <definedName name="IQ_MAKE_WHOLE_SPREAD" hidden="1">"c2494"</definedName>
    <definedName name="IQ_MAKE_WHOLE_START_DATE" hidden="1">"c2492"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RKETING_PROMOTION_EXPENSE" hidden="1">"c16035"</definedName>
    <definedName name="IQ_MATERIALS_SUPPLES_INVENTORY_COAL" hidden="1">"c15942"</definedName>
    <definedName name="IQ_MATURITY_DATE" hidden="1">"c2146"</definedName>
    <definedName name="IQ_MATURITY_ONE_YEAR_LESS_FDIC" hidden="1">"c6425"</definedName>
    <definedName name="IQ_MBS_INVEST_SECURITIES_FFIEC" hidden="1">"c13460"</definedName>
    <definedName name="IQ_MBS_OTHER_ISSUED_FNMA_OTHERS_AVAIL_SALE_FFIEC" hidden="1">"c12799"</definedName>
    <definedName name="IQ_MBS_OTHER_ISSUED_FNMA_OTHERS_FFIEC" hidden="1">"c12785"</definedName>
    <definedName name="IQ_MBS_PASS_THROUGH_FNMA_AVAIL_SALE_FFIEC" hidden="1">"c12797"</definedName>
    <definedName name="IQ_MBS_PASS_THROUGH_FNMA_FFIEC" hidden="1">"c12783"</definedName>
    <definedName name="IQ_MBS_PASS_THROUGH_GNMA_AVAIL_SALE_FFIEC" hidden="1">"c12796"</definedName>
    <definedName name="IQ_MBS_PASS_THROUGH_GNMA_FFIEC" hidden="1">"c12782"</definedName>
    <definedName name="IQ_MBS_PASS_THROUGH_ISSUED_FNMA_GNMA_TRADING_DOM_FFIEC" hidden="1">"c12921"</definedName>
    <definedName name="IQ_MBS_PASS_THROUGH_OTHER_AVAIL_SALE_FFIEC" hidden="1">"c12798"</definedName>
    <definedName name="IQ_MBS_PASS_THROUGH_OTHER_FFIEC" hidden="1">"c12784"</definedName>
    <definedName name="IQ_MBS_QUARTERLY_AVG_FFIEC" hidden="1">"c15471"</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COMMERCIAL_ASO_FEES" hidden="1">"c15862"</definedName>
    <definedName name="IQ_MC_COMMERCIAL_NON_RISK_MEMBERS" hidden="1">"c15835"</definedName>
    <definedName name="IQ_MC_COMMERCIAL_PREMIUMS" hidden="1">"c15852"</definedName>
    <definedName name="IQ_MC_DAYS_CLAIMS_PAYABLE" hidden="1">"c9937"</definedName>
    <definedName name="IQ_MC_DAYS_CLAIMS_PAYABLE_EXCL_CAPITATION" hidden="1">"c9938"</definedName>
    <definedName name="IQ_MC_DENTAL_MEMBERS" hidden="1">"c15832"</definedName>
    <definedName name="IQ_MC_DENTAL_PREMIUMS" hidden="1">"c15858"</definedName>
    <definedName name="IQ_MC_HMO_MEMBERS" hidden="1">"c15824"</definedName>
    <definedName name="IQ_MC_HMO_PREMIUMS" hidden="1">"c15850"</definedName>
    <definedName name="IQ_MC_INDEMNITY_MEMBERS" hidden="1">"c15825"</definedName>
    <definedName name="IQ_MC_INDEMNITY_PREMIUMS" hidden="1">"c15851"</definedName>
    <definedName name="IQ_MC_MEDICAID_ASO_FEES" hidden="1">"c15865"</definedName>
    <definedName name="IQ_MC_MEDICAID_MEMBERS" hidden="1">"c15830"</definedName>
    <definedName name="IQ_MC_MEDICAID_NON_RISK_MEMBERS" hidden="1">"c15838"</definedName>
    <definedName name="IQ_MC_MEDICAID_PREMIUMS" hidden="1">"c15856"</definedName>
    <definedName name="IQ_MC_MEDICAL_COST" hidden="1">"c15847"</definedName>
    <definedName name="IQ_MC_MEDICAL_COSTS_PMPM" hidden="1">"c9925"</definedName>
    <definedName name="IQ_MC_MEDICARE_ASO_FEES" hidden="1">"c15864"</definedName>
    <definedName name="IQ_MC_MEDICARE_MEMBERS" hidden="1">"c15828"</definedName>
    <definedName name="IQ_MC_MEDICARE_NON_RISK_MEMBERS" hidden="1">"c15837"</definedName>
    <definedName name="IQ_MC_MEDICARE_PART_D_MEMBERS" hidden="1">"c15829"</definedName>
    <definedName name="IQ_MC_MEDICARE_PART_D_PREMIUMS" hidden="1">"c15855"</definedName>
    <definedName name="IQ_MC_MEDICARE_PREMIUMS" hidden="1">"c15854"</definedName>
    <definedName name="IQ_MC_MILITARY_ASO_FEES" hidden="1">"c15863"</definedName>
    <definedName name="IQ_MC_MILITARY_MEMBERS" hidden="1">"c15827"</definedName>
    <definedName name="IQ_MC_MILITARY_NON_RISK_MEMBERS" hidden="1">"c15836"</definedName>
    <definedName name="IQ_MC_MILITARY_PREMIUMS" hidden="1">"c15853"</definedName>
    <definedName name="IQ_MC_NET_INVESTMENT_INCOME" hidden="1">"c15845"</definedName>
    <definedName name="IQ_MC_OTHER_REV" hidden="1">"c15846"</definedName>
    <definedName name="IQ_MC_PARENT_CASH" hidden="1">"c9942"</definedName>
    <definedName name="IQ_MC_PPO_POS_MEMBERS" hidden="1">"c15823"</definedName>
    <definedName name="IQ_MC_PPO_POS_PREMIUMS" hidden="1">"c15849"</definedName>
    <definedName name="IQ_MC_PREMIUMS" hidden="1">"c15861"</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PECIALTY_ASO_FEES" hidden="1">"c15867"</definedName>
    <definedName name="IQ_MC_SPECIALTY_NON_RISK_MEMBERS" hidden="1">"c15840"</definedName>
    <definedName name="IQ_MC_STATUTORY_SURPLUS" hidden="1">"c2772"</definedName>
    <definedName name="IQ_MC_TANGIBLE_EQUITY_MEDICAL_COST" hidden="1">"c15848"</definedName>
    <definedName name="IQ_MC_TANGIBLE_EQUITY_PER_MEMBER" hidden="1">"c15843"</definedName>
    <definedName name="IQ_MC_TOTAL_ASO_FEES" hidden="1">"c15868"</definedName>
    <definedName name="IQ_MC_TOTAL_COMMERCIAL_MEMBERS" hidden="1">"c15826"</definedName>
    <definedName name="IQ_MC_TOTAL_COVERED_LIVES" hidden="1">"c9919"</definedName>
    <definedName name="IQ_MC_TOTAL_EQUITY_PER_MEMBER" hidden="1">"c15842"</definedName>
    <definedName name="IQ_MC_TOTAL_GOVT_ASO_FEES" hidden="1">"c15866"</definedName>
    <definedName name="IQ_MC_TOTAL_GOVT_MEMBERS" hidden="1">"c15831"</definedName>
    <definedName name="IQ_MC_TOTAL_GOVT_NON_RISK_MEMBERS" hidden="1">"c15839"</definedName>
    <definedName name="IQ_MC_TOTAL_GOVT_PREMIUMS" hidden="1">"c15857"</definedName>
    <definedName name="IQ_MC_TOTAL_MEMBERSHIP" hidden="1">"c9922"</definedName>
    <definedName name="IQ_MC_TOTAL_MEMBERSHIP_CAPITATION" hidden="1">"c9923"</definedName>
    <definedName name="IQ_MC_TOTAL_OTHER_MEMBERS" hidden="1">"c15833"</definedName>
    <definedName name="IQ_MC_TOTAL_OTHER_PREMIUMS" hidden="1">"c15859"</definedName>
    <definedName name="IQ_MC_TOTAL_RESERVES_PER_MEMBER" hidden="1">"c15844"</definedName>
    <definedName name="IQ_MC_TOTAL_SEPCIALTY_MEMBERS" hidden="1">"c15834"</definedName>
    <definedName name="IQ_MC_TOTAL_SEPCIALTY_PREMIUMS" hidden="1">"c15860"</definedName>
    <definedName name="IQ_MC_TOTAL_STATUTORY_CAPITAL_SURPLUS_PER_MEMBER" hidden="1">"c15841"</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 hidden="1">"c8460"</definedName>
    <definedName name="IQ_MEDIAN_NEW_HOME_SALES_APR_FC_UNUSED_UNUSED_UNUSED" hidden="1">"c8460"</definedName>
    <definedName name="IQ_MEDIAN_NEW_HOME_SALES_APR_UNUSED" hidden="1">"c7580"</definedName>
    <definedName name="IQ_MEDIAN_NEW_HOME_SALES_APR_UNUSED_UNUSED_UNUSED" hidden="1">"c7580"</definedName>
    <definedName name="IQ_MEDIAN_NEW_HOME_SALES_FC_UNUSED" hidden="1">"c7800"</definedName>
    <definedName name="IQ_MEDIAN_NEW_HOME_SALES_FC_UNUSED_UNUSED_UNUSED" hidden="1">"c7800"</definedName>
    <definedName name="IQ_MEDIAN_NEW_HOME_SALES_POP_FC_UNUSED" hidden="1">"c8020"</definedName>
    <definedName name="IQ_MEDIAN_NEW_HOME_SALES_POP_FC_UNUSED_UNUSED_UNUSED" hidden="1">"c8020"</definedName>
    <definedName name="IQ_MEDIAN_NEW_HOME_SALES_POP_UNUSED" hidden="1">"c7140"</definedName>
    <definedName name="IQ_MEDIAN_NEW_HOME_SALES_POP_UNUSED_UNUSED_UNUSED" hidden="1">"c7140"</definedName>
    <definedName name="IQ_MEDIAN_NEW_HOME_SALES_UNUSED" hidden="1">"c6920"</definedName>
    <definedName name="IQ_MEDIAN_NEW_HOME_SALES_UNUSED_UNUSED_UNUSED" hidden="1">"c6920"</definedName>
    <definedName name="IQ_MEDIAN_NEW_HOME_SALES_YOY_FC_UNUSED" hidden="1">"c8240"</definedName>
    <definedName name="IQ_MEDIAN_NEW_HOME_SALES_YOY_FC_UNUSED_UNUSED_UNUSED" hidden="1">"c8240"</definedName>
    <definedName name="IQ_MEDIAN_NEW_HOME_SALES_YOY_UNUSED" hidden="1">"c7360"</definedName>
    <definedName name="IQ_MEDIAN_NEW_HOME_SALES_YOY_UNUSED_UNUSED_UNUSED" hidden="1">"c7360"</definedName>
    <definedName name="IQ_MEDIAN_TARGET_PRICE" hidden="1">"c1650"</definedName>
    <definedName name="IQ_MEDIAN_TARGET_PRICE_CIQ" hidden="1">"c4658"</definedName>
    <definedName name="IQ_MEDIAN_TARGET_PRICE_REUT" hidden="1">"c5316"</definedName>
    <definedName name="IQ_MEDIAN_TARGET_PRICE_THOM" hidden="1">"c5095"</definedName>
    <definedName name="IQ_MEDIUM_SULFUR_CONTENT_RESERVES_COAL" hidden="1">"c15926"</definedName>
    <definedName name="IQ_MEDIUM_SULFURE_RESERVES_TO_TOTAL_RESERVES_COAL" hidden="1">"c15962"</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SUPPLE" hidden="1">"c13810"</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LES_PASSED" hidden="1">"c2848"</definedName>
    <definedName name="IQ_MIN_USE_PER_SUB" hidden="1">"c15764"</definedName>
    <definedName name="IQ_MINE_DEVELOPMENT_GROSS_COAL" hidden="1">"c15940"</definedName>
    <definedName name="IQ_MINORITY_INT_AVG_ASSETS_FFIEC" hidden="1">"c13367"</definedName>
    <definedName name="IQ_MINORITY_INT_BS_FFIEC" hidden="1">"c12874"</definedName>
    <definedName name="IQ_MINORITY_INT_FFIEC" hidden="1">"c13031"</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NTUTES_USED_LOCAL" hidden="1">"c15808"</definedName>
    <definedName name="IQ_MINTUTES_USED_LONG_DIST" hidden="1">"c15809"</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KTCAP_TOTAL_REV_FWD_REUT" hidden="1">"c4048"</definedName>
    <definedName name="IQ_MKTCAP_TOTAL_REV_FWD_THOM" hidden="1">"c4055"</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MDA_NON_TRANS_ACCTS_FFIEC" hidden="1">"c15330"</definedName>
    <definedName name="IQ_MMDA_SAVINGS_TOT_DEPOSITS_FFIEC" hidden="1">"c13905"</definedName>
    <definedName name="IQ_MONEY_MARKET_ACCOUNTS_COMMERCIAL_BANK_SUBS_FFIEC" hidden="1">"c12947"</definedName>
    <definedName name="IQ_MONEY_MARKET_ACCOUNTS_OTHER_INSTITUTIONS_FFIEC" hidden="1">"c12952"</definedName>
    <definedName name="IQ_MONEY_MARKET_DEPOSIT_ACCOUNTS_FDIC" hidden="1">"c6553"</definedName>
    <definedName name="IQ_MONEY_MKT_DEPOSITS_TOTAL_DEPOSITS" hidden="1">"c15720"</definedName>
    <definedName name="IQ_MONEY_MKT_SAVINGS_ACCT_DEPOSITS_TOTAL_DEPOSITS" hidden="1">"c15722"</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DEBT_UNDER_CAPITAL_LEASES_FFIEC" hidden="1">"c15276"</definedName>
    <definedName name="IQ_MORTGAGE_SERV_RIGHTS" hidden="1">"c2242"</definedName>
    <definedName name="IQ_MORTGAGE_SERVICING_ASSETS_FFIEC" hidden="1">"c12838"</definedName>
    <definedName name="IQ_MORTGAGE_SERVICING_FDIC" hidden="1">"c6335"</definedName>
    <definedName name="IQ_MTD" hidden="1">800000</definedName>
    <definedName name="IQ_MTM_ADJ" hidden="1">"c16000"</definedName>
    <definedName name="IQ_MULTI_RES_PROPERTIES_TRADING_DOM_FFIEC" hidden="1">"c12930"</definedName>
    <definedName name="IQ_MULTIFAM_5_LOANS_TOT_LOANS_FFIEC" hidden="1">"c13869"</definedName>
    <definedName name="IQ_MULTIFAMILY_LOANS_GROSS_LOANS_FFIEC" hidden="1">"c13404"</definedName>
    <definedName name="IQ_MULTIFAMILY_LOANS_RISK_BASED_FFIEC" hidden="1">"c13425"</definedName>
    <definedName name="IQ_MULTIFAMILY_RES_DOM_FFIEC" hidden="1">"c15270"</definedName>
    <definedName name="IQ_MULTIFAMILY_RESIDENTIAL_LOANS_FDIC" hidden="1">"c6311"</definedName>
    <definedName name="IQ_MUNI_ADVALOREM_TAX" hidden="1">"c15144"</definedName>
    <definedName name="IQ_MUNI_AMT_TAX" hidden="1">"c15146"</definedName>
    <definedName name="IQ_MUNI_BANK_QUALIFIED" hidden="1">"c15148"</definedName>
    <definedName name="IQ_MUNI_DEP_TRUST_ELIGIBLE" hidden="1">"c15149"</definedName>
    <definedName name="IQ_MUNI_ECONOMIC_DEFEASANCE" hidden="1">"c15151"</definedName>
    <definedName name="IQ_MUNI_ESCROW" hidden="1">"c15228"</definedName>
    <definedName name="IQ_MUNI_FED_TAX" hidden="1">"c15147"</definedName>
    <definedName name="IQ_MUNI_LEGAL_DEFEASANCE" hidden="1">"c15150"</definedName>
    <definedName name="IQ_MUNI_OFFERING_TYPE" hidden="1">"c15143"</definedName>
    <definedName name="IQ_MUNI_OPTIONAL_REDEMPTION_DEFEASANCE" hidden="1">"c15152"</definedName>
    <definedName name="IQ_MUNI_PRE_REFUNDED_DATE" hidden="1">"c15154"</definedName>
    <definedName name="IQ_MUNI_PRE_REFUNDED_DATED_DATE" hidden="1">"c15156"</definedName>
    <definedName name="IQ_MUNI_PRE_REFUNDED_PRICE" hidden="1">"c15155"</definedName>
    <definedName name="IQ_MUNI_PRE_REFUNDED_TYPE" hidden="1">"c15153"</definedName>
    <definedName name="IQ_MUNI_PURPOSE" hidden="1">"c15226"</definedName>
    <definedName name="IQ_MUNI_STATE_TAX" hidden="1">"c15145"</definedName>
    <definedName name="IQ_MUNI_TERRITORY" hidden="1">"c15142"</definedName>
    <definedName name="IQ_MUNI_TYPE" hidden="1">"c15227"</definedName>
    <definedName name="IQ_MUNICIPAL_INVEST_SECURITIES_FFIEC" hidden="1">"c13459"</definedName>
    <definedName name="IQ_MUTUAL_FUND_LIST" hidden="1">"c19092"</definedName>
    <definedName name="IQ_NAMES_REVISION_DATE_" hidden="1">41541.7844907407</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TIVE_COMPANY_NAME" hidden="1">"c13822"</definedName>
    <definedName name="IQ_NAV_ACT_OR_EST" hidden="1">"c2225"</definedName>
    <definedName name="IQ_NAV_ACT_OR_EST_THOM" hidden="1">"c5607"</definedName>
    <definedName name="IQ_NAV_DET_EST_CURRENCY_THOM" hidden="1">"c12490"</definedName>
    <definedName name="IQ_NAV_DET_EST_DATE_THOM" hidden="1">"c12241"</definedName>
    <definedName name="IQ_NAV_DET_EST_INCL_THOM" hidden="1">"c12373"</definedName>
    <definedName name="IQ_NAV_DET_EST_ORIGIN_THOM" hidden="1">"c12707"</definedName>
    <definedName name="IQ_NAV_DET_EST_THOM" hidden="1">"c12091"</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RE" hidden="1">"c15996"</definedName>
    <definedName name="IQ_NAV_SHARE_ACT_OR_EST" hidden="1">"c2225"</definedName>
    <definedName name="IQ_NAV_SHARE_DET_EST_ORIGIN" hidden="1">"c12585"</definedName>
    <definedName name="IQ_NAV_SHARE_DET_EST_ORIGIN_THOM" hidden="1">"c12611"</definedName>
    <definedName name="IQ_NAV_SHARE_EST" hidden="1">"c5609"</definedName>
    <definedName name="IQ_NAV_SHARE_HIGH_EST" hidden="1">"c5612"</definedName>
    <definedName name="IQ_NAV_SHARE_LOW_EST" hidden="1">"c5613"</definedName>
    <definedName name="IQ_NAV_SHARE_MEDIAN_EST" hidden="1">"c5610"</definedName>
    <definedName name="IQ_NAV_SHARE_NUM_EST" hidden="1">"c5614"</definedName>
    <definedName name="IQ_NAV_SHARE_RE" hidden="1">"c16011"</definedName>
    <definedName name="IQ_NAV_SHARE_STDDEV_EST" hidden="1">"c5611"</definedName>
    <definedName name="IQ_NAV_STDDEV_EST" hidden="1">"c1756"</definedName>
    <definedName name="IQ_NAV_STDDEV_EST_THOM" hidden="1">"c5603"</definedName>
    <definedName name="IQ_NCLS_CLOSED_END_1_4_FAM_LOANS_TOT_LOANS_FFIEC" hidden="1">"c13891"</definedName>
    <definedName name="IQ_NCLS_COMM_IND_LOANS_TOT_LOANS_FFIEC" hidden="1">"c13898"</definedName>
    <definedName name="IQ_NCLS_COMM_RE_FARM_LOANS_TOT_LOANS_FFIEC" hidden="1">"c13897"</definedName>
    <definedName name="IQ_NCLS_COMM_RE_NONFARM_NONRES_TOT_LOANS_FFIEC" hidden="1">"c13896"</definedName>
    <definedName name="IQ_NCLS_CONST_LAND_DEV_LOANS_TOT_LOANS_FFIEC" hidden="1">"c13890"</definedName>
    <definedName name="IQ_NCLS_CONSUMER_LOANS_TOT_LOANS_FFIEC" hidden="1">"c13899"</definedName>
    <definedName name="IQ_NCLS_FARM_LOANS_TOT_LOANS_FFIEC" hidden="1">"c13895"</definedName>
    <definedName name="IQ_NCLS_HOME_EQUITY_LOANS_TOT_LOANS_FFIEC" hidden="1">"c13892"</definedName>
    <definedName name="IQ_NCLS_MULTIFAM_5_LOANS_TOT_LOANS_FFIEC" hidden="1">"c13894"</definedName>
    <definedName name="IQ_NCLS_TOT_1_4_FAM_LOANS_TOT_LOANS_FFIEC" hidden="1">"c13893"</definedName>
    <definedName name="IQ_NCLS_TOT_LEASES_TOT_LOANS_FFIEC" hidden="1">"c13900"</definedName>
    <definedName name="IQ_NCLS_TOT_LOANS_TOT_LOANS_FFIEC" hidden="1">"c13901"</definedName>
    <definedName name="IQ_NCOS_CLOSED_END_1_4_FAM_LOANS_TOT_LOANS_FFIEC" hidden="1">"c13879"</definedName>
    <definedName name="IQ_NCOS_COMM_IND_LOANS_TOT_LOANS_FFIEC" hidden="1">"c13886"</definedName>
    <definedName name="IQ_NCOS_COMM_RE_FARM_LOANS_TOT_LOANS_FFIEC" hidden="1">"c13885"</definedName>
    <definedName name="IQ_NCOS_COMM_RE_NONFARM_NONRES_TOT_LOANS_FFIEC" hidden="1">"c13884"</definedName>
    <definedName name="IQ_NCOS_CONST_LAND_DEV_LOANS_TOT_LOANS_FFIEC" hidden="1">"c13878"</definedName>
    <definedName name="IQ_NCOS_CONSUMER_LOANS_TOT_LOANS_FFIEC" hidden="1">"c13887"</definedName>
    <definedName name="IQ_NCOS_FARM_LOANS_TOT_LOANS_FFIEC" hidden="1">"c13883"</definedName>
    <definedName name="IQ_NCOS_HOME_EQUITY_LOANS_TOT_LOANS_FFIEC" hidden="1">"c13880"</definedName>
    <definedName name="IQ_NCOS_MULTIFAM_5_LOANS_TOT_LOANS_FFIEC" hidden="1">"c13882"</definedName>
    <definedName name="IQ_NCOS_TOT_1_4_FAM_LOANS_TOT_LOANS_FFIEC" hidden="1">"c13881"</definedName>
    <definedName name="IQ_NCOS_TOT_LEASES_TOT_LOANS_FFIEC" hidden="1">"c13888"</definedName>
    <definedName name="IQ_NCOS_TOT_LOANS_TOT_LOANS_FFIEC" hidden="1">"c13889"</definedName>
    <definedName name="IQ_NEGATIVE_FAIR_VALUE_DERIVATIVES_BENEFICIARY_FFIEC" hidden="1">"c13124"</definedName>
    <definedName name="IQ_NEGATIVE_FAIR_VALUE_DERIVATIVES_GUARANTOR_FFIEC" hidden="1">"c13117"</definedName>
    <definedName name="IQ_NET_ADD_BASIC" hidden="1">"c15782"</definedName>
    <definedName name="IQ_NET_ADD_BBAND" hidden="1">"c15785"</definedName>
    <definedName name="IQ_NET_ADD_DIG" hidden="1">"c15783"</definedName>
    <definedName name="IQ_NET_ADD_PHONE" hidden="1">"c15786"</definedName>
    <definedName name="IQ_NET_ADD_POSTPAID_WIRELESS" hidden="1">"c15754"</definedName>
    <definedName name="IQ_NET_ADD_PREPAID_WIRELESS" hidden="1">"c15755"</definedName>
    <definedName name="IQ_NET_ADD_RESELL_WHOLESALE_WIRELESS" hidden="1">"c15756"</definedName>
    <definedName name="IQ_NET_ADD_RGU" hidden="1">"c15787"</definedName>
    <definedName name="IQ_NET_ADD_SATELLITE" hidden="1">"c15784"</definedName>
    <definedName name="IQ_NET_ADD_TOTAL_WIRELESS" hidden="1">"c15757"</definedName>
    <definedName name="IQ_NET_BOOKING_LOCATION_ADJUSTMENT_FOREIGN_FFIEC" hidden="1">"c15385"</definedName>
    <definedName name="IQ_NET_CHANGE" hidden="1">"c749"</definedName>
    <definedName name="IQ_NET_CHARGE_OFFS_FDIC" hidden="1">"c6641"</definedName>
    <definedName name="IQ_NET_CHARGE_OFFS_LOANS_FDIC" hidden="1">"c6751"</definedName>
    <definedName name="IQ_NET_CLAIM_ADJ_EXP_RESERVE_BOP" hidden="1">"c15877"</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DET_EST" hidden="1">"c12061"</definedName>
    <definedName name="IQ_NET_DEBT_DET_EST_CURRENCY" hidden="1">"c12468"</definedName>
    <definedName name="IQ_NET_DEBT_DET_EST_CURRENCY_THOM" hidden="1">"c12491"</definedName>
    <definedName name="IQ_NET_DEBT_DET_EST_DATE" hidden="1">"c12214"</definedName>
    <definedName name="IQ_NET_DEBT_DET_EST_DATE_THOM" hidden="1">"c12242"</definedName>
    <definedName name="IQ_NET_DEBT_DET_EST_INCL" hidden="1">"c12351"</definedName>
    <definedName name="IQ_NET_DEBT_DET_EST_INCL_THOM" hidden="1">"c12374"</definedName>
    <definedName name="IQ_NET_DEBT_DET_EST_ORIGIN" hidden="1">"c12586"</definedName>
    <definedName name="IQ_NET_DEBT_DET_EST_ORIGIN_THOM" hidden="1">"c12612"</definedName>
    <definedName name="IQ_NET_DEBT_DET_EST_THOM" hidden="1">"c12092"</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GUIDANCE" hidden="1">"c4467"</definedName>
    <definedName name="IQ_NET_DEBT_GUIDANCE_CIQ" hidden="1">"c5005"</definedName>
    <definedName name="IQ_NET_DEBT_GUIDANCE_CIQ_COL" hidden="1">"c11652"</definedName>
    <definedName name="IQ_NET_DEBT_HIGH_EST" hidden="1">"c3518"</definedName>
    <definedName name="IQ_NET_DEBT_HIGH_EST_THOM" hidden="1">"c4029"</definedName>
    <definedName name="IQ_NET_DEBT_HIGH_GUIDANCE" hidden="1">"c4181"</definedName>
    <definedName name="IQ_NET_DEBT_HIGH_GUIDANCE_CIQ" hidden="1">"c4593"</definedName>
    <definedName name="IQ_NET_DEBT_HIGH_GUIDANCE_CIQ_COL" hidden="1">"c11242"</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LOW_GUIDANCE" hidden="1">"c4221"</definedName>
    <definedName name="IQ_NET_DEBT_LOW_GUIDANCE_CIQ" hidden="1">"c4633"</definedName>
    <definedName name="IQ_NET_DEBT_LOW_GUIDANCE_CIQ_COL" hidden="1">"c11282"</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FUNDS_PURCHASED_ASSETS_TOT_FFIEC" hidden="1">"c13448"</definedName>
    <definedName name="IQ_NET_GAIN_LOSS_OREO_EXP_FFIEC" hidden="1">"c15370"</definedName>
    <definedName name="IQ_NET_GAIN_LOSS_OREO_INC_FFIEC" hidden="1">"c15367"</definedName>
    <definedName name="IQ_NET_GAIN_LOSS_SALES_LOANS_EXP_FFIEC" hidden="1">"c15371"</definedName>
    <definedName name="IQ_NET_GAIN_LOSS_SALES_LOANS_INC_FFIEC" hidden="1">"c15368"</definedName>
    <definedName name="IQ_NET_GAIN_SALE_PREMISES_FIXED_ASSETS_EXP_FFIEC" hidden="1">"c15372"</definedName>
    <definedName name="IQ_NET_GAIN_SALE_PREMISES_FIXED_ASSETS_INC_FFIEC" hidden="1">"c15369"</definedName>
    <definedName name="IQ_NET_INC" hidden="1">"c1394"</definedName>
    <definedName name="IQ_NET_INC_BEFORE" hidden="1">"c1368"</definedName>
    <definedName name="IQ_NET_INC_CF" hidden="1">"c1397"</definedName>
    <definedName name="IQ_NET_INC_MARGIN" hidden="1">"c1398"</definedName>
    <definedName name="IQ_NET_INCOME_FDIC" hidden="1">"c6587"</definedName>
    <definedName name="IQ_NET_INCOME_HOMEBUILDING_SALES" hidden="1">"c15818"</definedName>
    <definedName name="IQ_NET_INCOME_LH_FFIEC" hidden="1">"c13110"</definedName>
    <definedName name="IQ_NET_INCOME_PC_FFIEC" hidden="1">"c13103"</definedName>
    <definedName name="IQ_NET_INCOME_SHE_FFIEC" hidden="1">"c12960"</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INCOME_AVG_ASSET" hidden="1">"c15706"</definedName>
    <definedName name="IQ_NET_INT_INCOME_FFIEC" hidden="1">"c13001"</definedName>
    <definedName name="IQ_NET_INT_INCOME_FTE_FFIEC" hidden="1">"c13036"</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INC_INTERNATIONAL_OPS_FFIEC" hidden="1">"c15375"</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CORE_DEPOSITS_FFIEC" hidden="1">"c13341"</definedName>
    <definedName name="IQ_NET_LOANS_DEPOSITS_FFIEC" hidden="1">"c13340"</definedName>
    <definedName name="IQ_NET_LOANS_EQUITY_FFIEC" hidden="1">"c13347"</definedName>
    <definedName name="IQ_NET_LOANS_LEASES_CORE_DEPOSITS_FDIC" hidden="1">"c6743"</definedName>
    <definedName name="IQ_NET_LOANS_LEASES_DEPOSITS_FDIC" hidden="1">"c6742"</definedName>
    <definedName name="IQ_NET_LOANS_TOTAL_DEPOSITS" hidden="1">"c779"</definedName>
    <definedName name="IQ_NET_LOSSES" hidden="1">"c15873"</definedName>
    <definedName name="IQ_NET_NONINTEREST_INC_EXP_INTERNATIONAL_OPS_FFIEC" hidden="1">"c15387"</definedName>
    <definedName name="IQ_NET_OPERATING_INCOME_ASSETS_FDIC" hidden="1">"c6729"</definedName>
    <definedName name="IQ_NET_PREMIUM_WRITTEN_STATUTORY_SURPLUS" hidden="1">"c15880"</definedName>
    <definedName name="IQ_NET_PREMIUMS_WRITTEN_AVG_ASSETS" hidden="1">"c15888"</definedName>
    <definedName name="IQ_NET_PREMIUMS_WRITTEN_AVG_EQUITY" hidden="1">"c15891"</definedName>
    <definedName name="IQ_NET_PREMIUMS_WRITTEN_AVG_STATUTORY_SURPLUS" hidden="1">"c15890"</definedName>
    <definedName name="IQ_NET_PREMIUMS_WRITTEN_GROSS_PREMIUMS_WRITTEN" hidden="1">"c15889"</definedName>
    <definedName name="IQ_NET_RENTAL_EXP_FN" hidden="1">"c780"</definedName>
    <definedName name="IQ_NET_SECURITIZATION_INC_FOREIGN_FFIEC" hidden="1">"c15379"</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WS" hidden="1">"c13743"</definedName>
    <definedName name="IQ_NEWS_DATE" hidden="1">"c13746"</definedName>
    <definedName name="IQ_NEWS_SOURCE" hidden="1">"c13745"</definedName>
    <definedName name="IQ_NEWS_TIME" hidden="1">"c13759"</definedName>
    <definedName name="IQ_NEWS_URL" hidden="1">"c13744"</definedName>
    <definedName name="IQ_NEXT_CALL_DATE" hidden="1">"c2198"</definedName>
    <definedName name="IQ_NEXT_CALL_PRICE" hidden="1">"c2199"</definedName>
    <definedName name="IQ_NEXT_EARNINGS_DATE" hidden="1">"c13592"</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AVG_ASSETS_FFIEC" hidden="1">"c13370"</definedName>
    <definedName name="IQ_NI_BANK_AND_NONCONTROLLING_INTEREST_FFIEC" hidden="1">"c15365"</definedName>
    <definedName name="IQ_NI_BEFORE_CAPITALIZED" hidden="1">"c792"</definedName>
    <definedName name="IQ_NI_BEFORE_INTERNAL_ALLOCATIONS_FOREIGN_FFIEC" hidden="1">"c15393"</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DET_EST" hidden="1">"c12062"</definedName>
    <definedName name="IQ_NI_DET_EST_CURRENCY" hidden="1">"c12469"</definedName>
    <definedName name="IQ_NI_DET_EST_CURRENCY_THOM" hidden="1">"c12492"</definedName>
    <definedName name="IQ_NI_DET_EST_DATE" hidden="1">"c12215"</definedName>
    <definedName name="IQ_NI_DET_EST_DATE_THOM" hidden="1">"c12243"</definedName>
    <definedName name="IQ_NI_DET_EST_INCL" hidden="1">"c12352"</definedName>
    <definedName name="IQ_NI_DET_EST_INCL_THOM" hidden="1">"c12375"</definedName>
    <definedName name="IQ_NI_DET_EST_ORIGIN" hidden="1">"c12587"</definedName>
    <definedName name="IQ_NI_DET_EST_ORIGIN_THOM" hidden="1">"c12613"</definedName>
    <definedName name="IQ_NI_DET_EST_THOM" hidden="1">"c12093"</definedName>
    <definedName name="IQ_NI_EST" hidden="1">"c1716"</definedName>
    <definedName name="IQ_NI_EST_THOM" hidden="1">"c5126"</definedName>
    <definedName name="IQ_NI_FFIEC" hidden="1">"c13034"</definedName>
    <definedName name="IQ_NI_GAAP_GUIDANCE" hidden="1">"c4470"</definedName>
    <definedName name="IQ_NI_GAAP_GUIDANCE_CIQ" hidden="1">"c5008"</definedName>
    <definedName name="IQ_NI_GAAP_GUIDANCE_CIQ_COL" hidden="1">"c11655"</definedName>
    <definedName name="IQ_NI_GAAP_HIGH_GUIDANCE" hidden="1">"c4177"</definedName>
    <definedName name="IQ_NI_GAAP_HIGH_GUIDANCE_CIQ" hidden="1">"c4589"</definedName>
    <definedName name="IQ_NI_GAAP_HIGH_GUIDANCE_CIQ_COL" hidden="1">"c11238"</definedName>
    <definedName name="IQ_NI_GAAP_LOW_GUIDANCE" hidden="1">"c4217"</definedName>
    <definedName name="IQ_NI_GAAP_LOW_GUIDANCE_CIQ" hidden="1">"c4629"</definedName>
    <definedName name="IQ_NI_GAAP_LOW_GUIDANCE_CIQ_COL" hidden="1">"c11278"</definedName>
    <definedName name="IQ_NI_GUIDANCE" hidden="1">"c4469"</definedName>
    <definedName name="IQ_NI_GUIDANCE_CIQ" hidden="1">"c5007"</definedName>
    <definedName name="IQ_NI_GUIDANCE_CIQ_COL" hidden="1">"c11654"</definedName>
    <definedName name="IQ_NI_GW_DET_EST" hidden="1">"c12063"</definedName>
    <definedName name="IQ_NI_GW_DET_EST_CURRENCY" hidden="1">"c12470"</definedName>
    <definedName name="IQ_NI_GW_DET_EST_DATE" hidden="1">"c12216"</definedName>
    <definedName name="IQ_NI_GW_DET_EST_INCL" hidden="1">"c12353"</definedName>
    <definedName name="IQ_NI_GW_EST" hidden="1">"c1723"</definedName>
    <definedName name="IQ_NI_GW_GUIDANCE" hidden="1">"c4471"</definedName>
    <definedName name="IQ_NI_GW_GUIDANCE_CIQ" hidden="1">"c5009"</definedName>
    <definedName name="IQ_NI_GW_GUIDANCE_CIQ_COL" hidden="1">"c11656"</definedName>
    <definedName name="IQ_NI_GW_HIGH_EST" hidden="1">"c1725"</definedName>
    <definedName name="IQ_NI_GW_HIGH_GUIDANCE" hidden="1">"c4178"</definedName>
    <definedName name="IQ_NI_GW_HIGH_GUIDANCE_CIQ" hidden="1">"c4590"</definedName>
    <definedName name="IQ_NI_GW_HIGH_GUIDANCE_CIQ_COL" hidden="1">"c11239"</definedName>
    <definedName name="IQ_NI_GW_LOW_EST" hidden="1">"c1726"</definedName>
    <definedName name="IQ_NI_GW_LOW_GUIDANCE" hidden="1">"c4218"</definedName>
    <definedName name="IQ_NI_GW_LOW_GUIDANCE_CIQ" hidden="1">"c4630"</definedName>
    <definedName name="IQ_NI_GW_LOW_GUIDANCE_CIQ_COL" hidden="1">"c11279"</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HIGH_GUIDANCE" hidden="1">"c4176"</definedName>
    <definedName name="IQ_NI_HIGH_GUIDANCE_CIQ" hidden="1">"c4588"</definedName>
    <definedName name="IQ_NI_HIGH_GUIDANCE_CIQ_COL" hidden="1">"c11237"</definedName>
    <definedName name="IQ_NI_LOW_EST" hidden="1">"c1719"</definedName>
    <definedName name="IQ_NI_LOW_EST_THOM" hidden="1">"c5129"</definedName>
    <definedName name="IQ_NI_LOW_GUIDANCE" hidden="1">"c4216"</definedName>
    <definedName name="IQ_NI_LOW_GUIDANCE_CIQ" hidden="1">"c4628"</definedName>
    <definedName name="IQ_NI_LOW_GUIDANCE_CIQ_COL" hidden="1">"c11277"</definedName>
    <definedName name="IQ_NI_MARGIN" hidden="1">"c794"</definedName>
    <definedName name="IQ_NI_MEDIAN_EST" hidden="1">"c1717"</definedName>
    <definedName name="IQ_NI_MEDIAN_EST_THOM" hidden="1">"c5127"</definedName>
    <definedName name="IQ_NI_NON_CONTROLLING_INTERESTS_FFIEC" hidden="1">"c15366"</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DET_EST_ORIGIN" hidden="1">"c12588"</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ACT_OR_EST_CIQ" hidden="1">"c5012"</definedName>
    <definedName name="IQ_NI_SBC_EST" hidden="1">"c4473"</definedName>
    <definedName name="IQ_NI_SBC_GUIDANCE" hidden="1">"c4475"</definedName>
    <definedName name="IQ_NI_SBC_GUIDANCE_CIQ" hidden="1">"c5013"</definedName>
    <definedName name="IQ_NI_SBC_GUIDANCE_CIQ_COL" hidden="1">"c11660"</definedName>
    <definedName name="IQ_NI_SBC_GW_ACT_OR_EST" hidden="1">"c4478"</definedName>
    <definedName name="IQ_NI_SBC_GW_ACT_OR_EST_CIQ" hidden="1">"c5016"</definedName>
    <definedName name="IQ_NI_SBC_GW_EST" hidden="1">"c4477"</definedName>
    <definedName name="IQ_NI_SBC_GW_GUIDANCE" hidden="1">"c4479"</definedName>
    <definedName name="IQ_NI_SBC_GW_GUIDANCE_CIQ" hidden="1">"c5017"</definedName>
    <definedName name="IQ_NI_SBC_GW_GUIDANCE_CIQ_COL" hidden="1">"c11664"</definedName>
    <definedName name="IQ_NI_SBC_GW_HIGH_EST" hidden="1">"c4480"</definedName>
    <definedName name="IQ_NI_SBC_GW_HIGH_GUIDANCE" hidden="1">"c4187"</definedName>
    <definedName name="IQ_NI_SBC_GW_HIGH_GUIDANCE_CIQ" hidden="1">"c4599"</definedName>
    <definedName name="IQ_NI_SBC_GW_HIGH_GUIDANCE_CIQ_COL" hidden="1">"c11248"</definedName>
    <definedName name="IQ_NI_SBC_GW_LOW_EST" hidden="1">"c4481"</definedName>
    <definedName name="IQ_NI_SBC_GW_LOW_GUIDANCE" hidden="1">"c4227"</definedName>
    <definedName name="IQ_NI_SBC_GW_LOW_GUIDANCE_CIQ" hidden="1">"c4639"</definedName>
    <definedName name="IQ_NI_SBC_GW_LOW_GUIDANCE_CIQ_COL" hidden="1">"c11288"</definedName>
    <definedName name="IQ_NI_SBC_GW_MEDIAN_EST" hidden="1">"c4482"</definedName>
    <definedName name="IQ_NI_SBC_GW_NUM_EST" hidden="1">"c4483"</definedName>
    <definedName name="IQ_NI_SBC_GW_STDDEV_EST" hidden="1">"c4484"</definedName>
    <definedName name="IQ_NI_SBC_HIGH_EST" hidden="1">"c4486"</definedName>
    <definedName name="IQ_NI_SBC_HIGH_GUIDANCE" hidden="1">"c4186"</definedName>
    <definedName name="IQ_NI_SBC_HIGH_GUIDANCE_CIQ" hidden="1">"c4598"</definedName>
    <definedName name="IQ_NI_SBC_HIGH_GUIDANCE_CIQ_COL" hidden="1">"c11247"</definedName>
    <definedName name="IQ_NI_SBC_LOW_EST" hidden="1">"c4487"</definedName>
    <definedName name="IQ_NI_SBC_LOW_GUIDANCE" hidden="1">"c4226"</definedName>
    <definedName name="IQ_NI_SBC_LOW_GUIDANCE_CIQ" hidden="1">"c4638"</definedName>
    <definedName name="IQ_NI_SBC_LOW_GUIDANCE_CIQ_COL" hidden="1">"c11287"</definedName>
    <definedName name="IQ_NI_SBC_MEDIAN_EST" hidden="1">"c4488"</definedName>
    <definedName name="IQ_NI_SBC_NUM_EST" hidden="1">"c4489"</definedName>
    <definedName name="IQ_NI_SBC_STDDEV_EST" hidden="1">"c4490"</definedName>
    <definedName name="IQ_NI_SFAS" hidden="1">"c795"</definedName>
    <definedName name="IQ_NI_STDDEV_EST" hidden="1">"c1721"</definedName>
    <definedName name="IQ_NI_STDDEV_EST_THOM" hidden="1">"c5131"</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I_INCL_UNCONSOL" hidden="1">"c16068"</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_ALLOW_RECEIVABLES_FFIEC" hidden="1">"c13353"</definedName>
    <definedName name="IQ_NON_ACCRUAL_ASSET_SOLD_DURING_QTR_FFIEC" hidden="1">"c15350"</definedName>
    <definedName name="IQ_NON_ACCRUAL_LOANS" hidden="1">"c796"</definedName>
    <definedName name="IQ_NON_CASH" hidden="1">"c1399"</definedName>
    <definedName name="IQ_NON_CASH_ITEMS" hidden="1">"c797"</definedName>
    <definedName name="IQ_NON_CD_DEPOSITS" hidden="1">"c15718"</definedName>
    <definedName name="IQ_NON_CD_DEPOSITS_TOTAL_DEPOSITS" hidden="1">"c15725"</definedName>
    <definedName name="IQ_NON_CURRENT_LOANS_FFIEC" hidden="1">"c13860"</definedName>
    <definedName name="IQ_NON_FARM_NONRES_PROPERTIES_TRADING_DOM_FFIEC" hidden="1">"c12931"</definedName>
    <definedName name="IQ_NON_INS_EXP" hidden="1">"c798"</definedName>
    <definedName name="IQ_NON_INS_REV" hidden="1">"c799"</definedName>
    <definedName name="IQ_NON_INT_BAL_OTHER_INSTITUTIONS_FFIEC" hidden="1">"c12950"</definedName>
    <definedName name="IQ_NON_INT_BEAR_CD" hidden="1">"c800"</definedName>
    <definedName name="IQ_NON_INT_BEARING_DEPOSITS" hidden="1">"c800"</definedName>
    <definedName name="IQ_NON_INT_DEPOSITS_DOM_FFIEC" hidden="1">"c12851"</definedName>
    <definedName name="IQ_NON_INT_DEPOSITS_FOREIGN_FFIEC" hidden="1">"c12854"</definedName>
    <definedName name="IQ_NON_INT_EXP" hidden="1">"c801"</definedName>
    <definedName name="IQ_NON_INT_EXP_AVG_ASSETS_FFIEC" hidden="1">"c18878"</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EXPENSE_AVG_ASSET" hidden="1">"c15708"</definedName>
    <definedName name="IQ_NON_INT_EXPENSE_FFIEC" hidden="1">"c13028"</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AVG_ASSETS_FFIEC" hidden="1">"c13359"</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_INC_OPERATING_INC_FFIEC" hidden="1">"c13382"</definedName>
    <definedName name="IQ_NON_INT_INCOME_AVG_ASSET" hidden="1">"c15707"</definedName>
    <definedName name="IQ_NON_INT_INCOME_FFIEC" hidden="1">"c13017"</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EQUITY" hidden="1">"c15702"</definedName>
    <definedName name="IQ_NON_PERF_ASSETS_LOANS_OREO" hidden="1">"c15701"</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ASSETS_FFIEC" hidden="1">"c13859"</definedName>
    <definedName name="IQ_NON_PERFORMING_LOANS" hidden="1">"c827"</definedName>
    <definedName name="IQ_NON_PERFORMING_LOANS_FFIEC" hidden="1">"c13861"</definedName>
    <definedName name="IQ_NON_RE_DA" hidden="1">"c16179"</definedName>
    <definedName name="IQ_NON_RENTAL_NOI" hidden="1">"c16066"</definedName>
    <definedName name="IQ_NON_RENTAL_OPERATING_EXPENSE" hidden="1">"c16046"</definedName>
    <definedName name="IQ_NON_US_ADDRESS_LEASE_FIN_REC_FFIEC" hidden="1">"c13625"</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INCOME_AMORT_CLOSED_END_LOANS_FFIEC" hidden="1">"c13078"</definedName>
    <definedName name="IQ_NONCASH_PENSION_EXP" hidden="1">"c3000"</definedName>
    <definedName name="IQ_NONCORE_ASSETS_TOT_FFIEC" hidden="1">"c13443"</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NONRES_DOM_FFIEC" hidden="1">"c15271"</definedName>
    <definedName name="IQ_NONFARM_NONRES_GROSS_LOANS_FFIEC" hidden="1">"c13405"</definedName>
    <definedName name="IQ_NONFARM_NONRES_LL_REC_DOM_FFIEC" hidden="1">"c13626"</definedName>
    <definedName name="IQ_NONFARM_NONRES_RISK_BASED_FFIEC" hidden="1">"c13426"</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CASH_FFIEC" hidden="1">"c12774"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_FOREIGN_FFIEC" hidden="1">"c15376"</definedName>
    <definedName name="IQ_NONINTEREST_INCOME_EARNING_ASSETS_FDIC" hidden="1">"c6727"</definedName>
    <definedName name="IQ_NONMORTGAGE_SERVICING_FDIC" hidden="1">"c6336"</definedName>
    <definedName name="IQ_NONQUALIFYING_PREFERRED_T1_FFIEC" hidden="1">"c13134"</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 hidden="1">"c8468"</definedName>
    <definedName name="IQ_NONRES_FIXED_INVEST_PRIV_APR_FC_UNUSED_UNUSED_UNUSED" hidden="1">"c8468"</definedName>
    <definedName name="IQ_NONRES_FIXED_INVEST_PRIV_APR_UNUSED" hidden="1">"c7588"</definedName>
    <definedName name="IQ_NONRES_FIXED_INVEST_PRIV_APR_UNUSED_UNUSED_UNUSED" hidden="1">"c7588"</definedName>
    <definedName name="IQ_NONRES_FIXED_INVEST_PRIV_FC_UNUSED" hidden="1">"c7808"</definedName>
    <definedName name="IQ_NONRES_FIXED_INVEST_PRIV_FC_UNUSED_UNUSED_UNUSED" hidden="1">"c7808"</definedName>
    <definedName name="IQ_NONRES_FIXED_INVEST_PRIV_POP_FC_UNUSED" hidden="1">"c8028"</definedName>
    <definedName name="IQ_NONRES_FIXED_INVEST_PRIV_POP_FC_UNUSED_UNUSED_UNUSED" hidden="1">"c8028"</definedName>
    <definedName name="IQ_NONRES_FIXED_INVEST_PRIV_POP_UNUSED" hidden="1">"c7148"</definedName>
    <definedName name="IQ_NONRES_FIXED_INVEST_PRIV_POP_UNUSED_UNUSED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 hidden="1">"c6928"</definedName>
    <definedName name="IQ_NONRES_FIXED_INVEST_PRIV_UNUSED_UNUSED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 hidden="1">"c8248"</definedName>
    <definedName name="IQ_NONRES_FIXED_INVEST_PRIV_YOY_FC_UNUSED_UNUSED_UNUSED" hidden="1">"c8248"</definedName>
    <definedName name="IQ_NONRES_FIXED_INVEST_PRIV_YOY_UNUSED" hidden="1">"c7368"</definedName>
    <definedName name="IQ_NONRES_FIXED_INVEST_PRIV_YOY_UNUSED_UNUSED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DING_SECURITIES_FAIR_VALUE_TOT_FFIEC" hidden="1">"c13211"</definedName>
    <definedName name="IQ_NONTRADING_SECURITIES_LEVEL_1_FFIEC" hidden="1">"c13219"</definedName>
    <definedName name="IQ_NONTRADING_SECURITIES_LEVEL_2_FFIEC" hidden="1">"c13227"</definedName>
    <definedName name="IQ_NONTRADING_SECURITIES_LEVEL_3_FFIEC" hidden="1">"c13235"</definedName>
    <definedName name="IQ_NONTRANSACTION_ACCOUNTS_FDIC" hidden="1">"c6552"</definedName>
    <definedName name="IQ_NONUTIL_REV" hidden="1">"c2089"</definedName>
    <definedName name="IQ_NORM_EPS_ACT_OR_EST" hidden="1">"c2249"</definedName>
    <definedName name="IQ_NORM_EPS_ACT_OR_EST_CIQ" hidden="1">"c5069"</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AMT_DERIVATIVES_BENEFICIARY_FFIEC" hidden="1">"c13118"</definedName>
    <definedName name="IQ_NOTIONAL_AMT_DERIVATIVES_GUARANTOR_FFIEC" hidden="1">"c13111"</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OW_ATS_ACCOUNTS_COMMERCIAL_BANK_SUBS_FFIEC" hidden="1">"c12946"</definedName>
    <definedName name="IQ_NOW_ATS_ACCOUNTS_OTHER_INSTITUTIONS_FFIEC" hidden="1">"c12951"</definedName>
    <definedName name="IQ_NOW_OTHER_TRANS_ACCTS_TOT_DEPOSITS_FFIEC" hidden="1">"c13903"</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_CONTRIBUTORS" hidden="1">"c13739"</definedName>
    <definedName name="IQ_NUMBER_ADRHOLDERS" hidden="1">"c1970"</definedName>
    <definedName name="IQ_NUMBER_CELL_SITES" hidden="1">"c15762"</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OTHER" hidden="1">"c1969"</definedName>
    <definedName name="IQ_NUMBER_WIRELESS_TOWERS" hidden="1">"c15766"</definedName>
    <definedName name="IQ_OBLIGATION_STATES_POLI_SUBD_US_LL_REC_DOM_FFIEC" hidden="1">"c15295"</definedName>
    <definedName name="IQ_OBLIGATION_STATES_POLI_SUBD_US_LL_REC_FFIEC" hidden="1">"c15294"</definedName>
    <definedName name="IQ_OBLIGATIONS_OF_STATES_TOTAL_LOANS_FOREIGN_FDIC" hidden="1">"c6447"</definedName>
    <definedName name="IQ_OBLIGATIONS_STATES_FDIC" hidden="1">"c6431"</definedName>
    <definedName name="IQ_OCCUPANCY_CONSOL" hidden="1">"c8840"</definedName>
    <definedName name="IQ_OCCUPANCY_EXP_AVG_ASSETS_FFIEC" hidden="1">"c13372"</definedName>
    <definedName name="IQ_OCCUPANCY_EXP_OPERATING_INC_FFIEC" hidden="1">"c13380"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DUCTION_GROWTH_GAS" hidden="1">"c10073"</definedName>
    <definedName name="IQ_OG_DAILY_PRDUCTION_GROWTH_GAS_EQUIVALENT" hidden="1">"c10076"</definedName>
    <definedName name="IQ_OG_DAILY_PRDUCTION_GROWTH_NGL" hidden="1">"c10074"</definedName>
    <definedName name="IQ_OG_DAILY_PRDUCTION_GROWTH_OIL" hidden="1">"c10072"</definedName>
    <definedName name="IQ_OG_DAILY_PRDUCTION_GROWTH_OIL_EQUIVALENT" hidden="1">"c10075"</definedName>
    <definedName name="IQ_OG_DAILY_PRODUCTION_GROWTH_GAS" hidden="1">"c10073"</definedName>
    <definedName name="IQ_OG_DAILY_PRODUCTION_GROWTH_GAS_EQUIVALENT" hidden="1">"c10076"</definedName>
    <definedName name="IQ_OG_DAILY_PRODUCTION_GROWTH_NGL" hidden="1">"c10074"</definedName>
    <definedName name="IQ_OG_DAILY_PRODUCTION_GROWTH_OIL" hidden="1">"c10072"</definedName>
    <definedName name="IQ_OG_DAILY_PRO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PRODUCTIVE_WELLS_DRILLED_GAS" hidden="1">"c15907"</definedName>
    <definedName name="IQ_OG_GROSS_DEVELOPMENT_PRODUCTIVE_WELLS_DRILLED_OIL" hidden="1">"c15906"</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PRODUCTIVE_WELLS_DRILLED_GAS" hidden="1">"c15905"</definedName>
    <definedName name="IQ_OG_GROSS_EXPLORATORY_PRODUCTIVE_WELLS_DRILLED_OIL" hidden="1">"c15904"</definedName>
    <definedName name="IQ_OG_GROSS_EXPLORATORY_TOTAL_WELLS_DRILLED" hidden="1">"c10096"</definedName>
    <definedName name="IQ_OG_GROSS_OPERATED_WELLS" hidden="1">"c10092"</definedName>
    <definedName name="IQ_OG_GROSS_PRODUCING_WELLS_GAS" hidden="1">"c15897"</definedName>
    <definedName name="IQ_OG_GROSS_PRODUCING_WELLS_OIL" hidden="1">"c15896"</definedName>
    <definedName name="IQ_OG_GROSS_PRODUCTIVE_WELLS_DRILLED_GAS" hidden="1">"c15901"</definedName>
    <definedName name="IQ_OG_GROSS_PRODUCTIVE_WELLS_DRILLED_OIL" hidden="1">"c15900"</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PRODUCTIVE_WELLS_DRILLED_GAS" hidden="1">"c15911"</definedName>
    <definedName name="IQ_OG_NET_DEVELOPMENT_PRODUCTIVE_WELLS_DRILLED_OIL" hidden="1">"c15910"</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PRODUCTIVE_WELLS_DRILLED_GAS" hidden="1">"c15909"</definedName>
    <definedName name="IQ_OG_NET_EXPLORATORY_PRODUCTIVE_WELLS_DRILLED_OIL" hidden="1">"c15908"</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ING_WELLS_GAS" hidden="1">"c15899"</definedName>
    <definedName name="IQ_OG_NET_PRODUCING_WELLS_OIL" hidden="1">"c15898"</definedName>
    <definedName name="IQ_OG_NET_PRODUCTIVE_WELLS_DRILLED_GAS" hidden="1">"c15903"</definedName>
    <definedName name="IQ_OG_NET_PRODUCTIVE_WELLS_DRILLED_OIL" hidden="1">"c15902"</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DUCTION_GROWTH_GAS" hidden="1">"c10067"</definedName>
    <definedName name="IQ_OG_PRDUCTION_GROWTH_GAS_EQUIVALENT" hidden="1">"c10070"</definedName>
    <definedName name="IQ_OG_PRDUCTION_GROWTH_NGL" hidden="1">"c10068"</definedName>
    <definedName name="IQ_OG_PRDUCTION_GROWTH_OIL" hidden="1">"c10066"</definedName>
    <definedName name="IQ_OG_PRDUCTION_GROWTH_OIL_EQUIVALENT" hidden="1">"c10069"</definedName>
    <definedName name="IQ_OG_PRDUCTION_GROWTH_TOAL" hidden="1">"c10071"</definedName>
    <definedName name="IQ_OG_PRODUCTION_GAS" hidden="1">"c2047"</definedName>
    <definedName name="IQ_OG_PRODUCTION_GROWTH_GAS" hidden="1">"c10067"</definedName>
    <definedName name="IQ_OG_PRODUCTION_GROWTH_GAS_EQUIVALENT" hidden="1">"c10070"</definedName>
    <definedName name="IQ_OG_PRODUCTION_GROWTH_NGL" hidden="1">"c10068"</definedName>
    <definedName name="IQ_OG_PRODUCTION_GROWTH_OIL" hidden="1">"c10066"</definedName>
    <definedName name="IQ_OG_PRODUCTION_GROWTH_OIL_EQUIVALENT" hidden="1">"c10069"</definedName>
    <definedName name="IQ_OG_PRODUCTION_GROWTH_TOTAL" hidden="1">"c10071"</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OIL_PRODUCT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DET_EST" hidden="1">"c12064"</definedName>
    <definedName name="IQ_OPER_INC_DET_EST_CURRENCY" hidden="1">"c12471"</definedName>
    <definedName name="IQ_OPER_INC_DET_EST_CURRENCY_THOM" hidden="1">"c12494"</definedName>
    <definedName name="IQ_OPER_INC_DET_EST_DATE" hidden="1">"c12217"</definedName>
    <definedName name="IQ_OPER_INC_DET_EST_DATE_THOM" hidden="1">"c12245"</definedName>
    <definedName name="IQ_OPER_INC_DET_EST_INCL" hidden="1">"c12354"</definedName>
    <definedName name="IQ_OPER_INC_DET_EST_INCL_THOM" hidden="1">"c12377"</definedName>
    <definedName name="IQ_OPER_INC_DET_EST_ORIGIN" hidden="1">"c12589"</definedName>
    <definedName name="IQ_OPER_INC_DET_EST_ORIGIN_THOM" hidden="1">"c12615"</definedName>
    <definedName name="IQ_OPER_INC_DET_EST_THOM" hidden="1">"c12095"</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"c1448"</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NG_EXP_AVG_ASSETS_FFIEC" hidden="1">"c13373"</definedName>
    <definedName name="IQ_OPERATING_INC_AVG_ASSETS_FFIEC" hidden="1">"c13368"</definedName>
    <definedName name="IQ_OPERATING_INC_TE_AVG_ASSETS_FFIEC" hidden="1">"c13360"</definedName>
    <definedName name="IQ_OPERATING_NOI_AVG_GROSS_PROP" hidden="1">"c16058"</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FIEC" hidden="1">"c12831"</definedName>
    <definedName name="IQ_OREO_FOREIGN_FDIC" hidden="1">"c6460"</definedName>
    <definedName name="IQ_OREO_FOREIGN_FFIEC" hidden="1">"c15273"</definedName>
    <definedName name="IQ_OREO_MULTI_FAMILY_RESIDENTIAL_FDIC" hidden="1">"c6455"</definedName>
    <definedName name="IQ_OREO_OTHER_FFIEC" hidden="1">"c12833"</definedName>
    <definedName name="IQ_OTHER_ADDITIONS_T1_FFIEC" hidden="1">"c13142"</definedName>
    <definedName name="IQ_OTHER_ADDITIONS_T2_FFIEC" hidden="1">"c13148"</definedName>
    <definedName name="IQ_OTHER_ADJ_CLAIM_ADJ_EXP_INCURRED" hidden="1">"c15878"</definedName>
    <definedName name="IQ_OTHER_ADJ_CLAIM_ADJ_EXP_PAID" hidden="1">"c15879"</definedName>
    <definedName name="IQ_OTHER_ADJ_RESERVE_BOP" hidden="1">"c15876"</definedName>
    <definedName name="IQ_OTHER_ADJ_RESERVES" hidden="1">"c15882"</definedName>
    <definedName name="IQ_OTHER_ADJUST_GROSS_LOANS" hidden="1">"c859"</definedName>
    <definedName name="IQ_OTHER_ADJUSTMENTS_COVERED" hidden="1">"c9961"</definedName>
    <definedName name="IQ_OTHER_ADJUSTMENTS_FFIEC" hidden="1">"c12972"</definedName>
    <definedName name="IQ_OTHER_ADJUSTMENTS_GROUP" hidden="1">"c9947"</definedName>
    <definedName name="IQ_OTHER_AFFO" hidden="1">"c16180"</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FIEC" hidden="1">"c12848"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TOTAL_FFIEC" hidden="1">"c12841"</definedName>
    <definedName name="IQ_OTHER_ASSETS_UTI" hidden="1">"c866"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BORROWED_MONEY_FAIR_VALUE_TOT_FFIEC" hidden="1">"c15409"</definedName>
    <definedName name="IQ_OTHER_BORROWED_MONEY_FFIEC" hidden="1">"c12862"</definedName>
    <definedName name="IQ_OTHER_BORROWED_MONEY_LEVEL_1_FFIEC" hidden="1">"c15431"</definedName>
    <definedName name="IQ_OTHER_BORROWED_MONEY_LEVEL_2_FFIEC" hidden="1">"c15444"</definedName>
    <definedName name="IQ_OTHER_BORROWED_MONEY_LEVEL_3_FFIEC" hidden="1">"c15457"</definedName>
    <definedName name="IQ_OTHER_BORROWED_MONEY_LT_FFIEC" hidden="1">"c12865"</definedName>
    <definedName name="IQ_OTHER_BORROWED_MONEY_ST_FFIEC" hidden="1">"c12864"</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OMPREHENSIVE_INCOME_FFIEC" hidden="1">"c12970"</definedName>
    <definedName name="IQ_OTHER_CONSTRUCTION_GROSS_LOANS_FFIEC" hidden="1">"c13403"</definedName>
    <definedName name="IQ_OTHER_CONSTRUCTION_LOANS_DUE_30_89_FFIEC" hidden="1">"c13258"</definedName>
    <definedName name="IQ_OTHER_CONSTRUCTION_LOANS_DUE_90_FFIEC" hidden="1">"c13286"</definedName>
    <definedName name="IQ_OTHER_CONSTRUCTION_LOANS_NON_ACCRUAL_FFIEC" hidden="1">"c13312"</definedName>
    <definedName name="IQ_OTHER_CONSTRUCTION_LOANS_UNUSED_FFIEC" hidden="1">"c13245"</definedName>
    <definedName name="IQ_OTHER_CONSTRUCTION_RISK_BASED_FFIEC" hidden="1">"c13424"</definedName>
    <definedName name="IQ_OTHER_CONSUMER_LL_REC_FFIEC" hidden="1">"c12891"</definedName>
    <definedName name="IQ_OTHER_CONSUMER_LOANS_FFIEC" hidden="1">"c12824"</definedName>
    <definedName name="IQ_OTHER_CONSUMER_LOANS_TRADING_DOM_FFIEC" hidden="1">"c12935"</definedName>
    <definedName name="IQ_OTHER_CURRENT_ASSETS" hidden="1">"c1403"</definedName>
    <definedName name="IQ_OTHER_CURRENT_LIAB" hidden="1">"c1404"</definedName>
    <definedName name="IQ_OTHER_DEBT" hidden="1">"c2507"</definedName>
    <definedName name="IQ_OTHER_DEBT_PCT" hidden="1">"c2508"</definedName>
    <definedName name="IQ_OTHER_DEBT_SEC_DOM_AVAIL_SALE_FFIEC" hidden="1">"c12803"</definedName>
    <definedName name="IQ_OTHER_DEBT_SEC_FOREIGN_AVAIL_SALE_FFIEC" hidden="1">"c12804"</definedName>
    <definedName name="IQ_OTHER_DEBT_SEC_INVEST_SECURITIES_FFIEC" hidden="1">"c13462"</definedName>
    <definedName name="IQ_OTHER_DEBT_SEC_TRADING_DOM_FFIEC" hidden="1">"c12924"</definedName>
    <definedName name="IQ_OTHER_DEBT_SEC_TRADING_FFIEC" hidden="1">"c12819"</definedName>
    <definedName name="IQ_OTHER_DEBT_SECURITIES_DOM_FFIEC" hidden="1">"c12789"</definedName>
    <definedName name="IQ_OTHER_DEBT_SECURITIES_FOREIGN_FFIEC" hidden="1">"c12790"</definedName>
    <definedName name="IQ_OTHER_DEBT_SECURITIES_QUARTERLY_AVG_FFIEC" hidden="1">"c15473"</definedName>
    <definedName name="IQ_OTHER_DEDUCTIONS_LEVERAGE_RATIO_FFIEC" hidden="1">"c13158"</definedName>
    <definedName name="IQ_OTHER_DEP" hidden="1">"c885"</definedName>
    <definedName name="IQ_OTHER_DEPOSITORY_INSTITUTIONS_LOANS_FDIC" hidden="1">"c6436"</definedName>
    <definedName name="IQ_OTHER_DEPOSITORY_INSTITUTIONS_TOTAL_LOANS_FOREIGN_FDIC" hidden="1">"c6442"</definedName>
    <definedName name="IQ_OTHER_DEPOSITS_FFIEC" hidden="1">"c12994"</definedName>
    <definedName name="IQ_OTHER_DEPOSITS_TOTAL_DEPOSITS" hidden="1">"c15724"</definedName>
    <definedName name="IQ_OTHER_DERIVATIVES_BENEFICIARY_FFIEC" hidden="1">"c13122"</definedName>
    <definedName name="IQ_OTHER_DERIVATIVES_GUARANTOR_FFIEC" hidden="1">"c13115"</definedName>
    <definedName name="IQ_OTHER_DEVELOPMENT_EXPENSE" hidden="1">"c16041"</definedName>
    <definedName name="IQ_OTHER_DEVELOPMENT_REVENUE" hidden="1">"c16025"</definedName>
    <definedName name="IQ_OTHER_DOMESTIC_DEBT_SECURITIES_FDIC" hidden="1">"c6302"</definedName>
    <definedName name="IQ_OTHER_EARNING" hidden="1">"c1609"</definedName>
    <definedName name="IQ_OTHER_EPRA_NAV_ADJ" hidden="1">"c16004"</definedName>
    <definedName name="IQ_OTHER_EPRA_NNAV_ADJ" hidden="1">"c16009"</definedName>
    <definedName name="IQ_OTHER_EQUITY" hidden="1">"c886"</definedName>
    <definedName name="IQ_OTHER_EQUITY_BNK" hidden="1">"c887"</definedName>
    <definedName name="IQ_OTHER_EQUITY_BR" hidden="1">"c888"</definedName>
    <definedName name="IQ_OTHER_EQUITY_CAPITAL_COMPS_FFIEC" hidden="1">"c12880"</definedName>
    <definedName name="IQ_OTHER_EQUITY_FFIEC" hidden="1">"c12879"</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EXP_OPERATING_INC_FFIEC" hidden="1">"c13381"</definedName>
    <definedName name="IQ_OTHER_FAD" hidden="1">"c16184"</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FOREIGN_LOANS_FOREIGN_FFIEC" hidden="1">"c13482"</definedName>
    <definedName name="IQ_OTHER_IBF_DEPOSIT_LIABILITIES_FFIEC" hidden="1">"c15301"</definedName>
    <definedName name="IQ_OTHER_INDIVIDUAL_FAMILY_DOM_QUARTERLY_AVG_FFIEC" hidden="1">"c15481"</definedName>
    <definedName name="IQ_OTHER_INSURANCE_FEES_FDIC" hidden="1">"c6672"</definedName>
    <definedName name="IQ_OTHER_INSURANCE_PREMIUMS_FFIEC" hidden="1">"c13071"</definedName>
    <definedName name="IQ_OTHER_INT_EXPENSE_FFIEC" hidden="1">"c12999"</definedName>
    <definedName name="IQ_OTHER_INT_INCOME_FFIEC" hidden="1">"c12988"</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ASSETS_FFIEC" hidden="1">"c12837"</definedName>
    <definedName name="IQ_OTHER_INTANGIBLE_ASSETS_TOT_FFIEC" hidden="1">"c12840"</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EASES_DUE_30_89_FFIEC" hidden="1">"c13278"</definedName>
    <definedName name="IQ_OTHER_LEASES_DUE_90_FFIEC" hidden="1">"c13304"</definedName>
    <definedName name="IQ_OTHER_LEASES_LL_REC_FFIEC" hidden="1">"c12896"</definedName>
    <definedName name="IQ_OTHER_LEASES_NON_ACCRUAL_FFIEC" hidden="1">"c13330"</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IABILITIES_FFIEC" hidden="1">"c12872"</definedName>
    <definedName name="IQ_OTHER_LIABILITIES_TOTAL_FFIEC" hidden="1">"c12869"</definedName>
    <definedName name="IQ_OTHER_LL_REC_FFIEC" hidden="1">"c12894"</definedName>
    <definedName name="IQ_OTHER_LOANS" hidden="1">"c945"</definedName>
    <definedName name="IQ_OTHER_LOANS_CHARGE_OFFS_FDIC" hidden="1">"c6601"</definedName>
    <definedName name="IQ_OTHER_LOANS_DUE_30_89_FFIEC" hidden="1">"c13275"</definedName>
    <definedName name="IQ_OTHER_LOANS_DUE_90_FFIEC" hidden="1">"c13301"</definedName>
    <definedName name="IQ_OTHER_LOANS_FFIEC" hidden="1">"c12825"</definedName>
    <definedName name="IQ_OTHER_LOANS_FOREIGN_FDIC" hidden="1">"c6446"</definedName>
    <definedName name="IQ_OTHER_LOANS_GROSS_LOANS_FFIEC" hidden="1">"c13414"</definedName>
    <definedName name="IQ_OTHER_LOANS_INDIVIDUALS_CHARGE_OFFS_FFIEC" hidden="1">"c13181"</definedName>
    <definedName name="IQ_OTHER_LOANS_INDIVIDUALS_DUE_30_89_FFIEC" hidden="1">"c13273"</definedName>
    <definedName name="IQ_OTHER_LOANS_INDIVIDUALS_DUE_90_FFIEC" hidden="1">"c13299"</definedName>
    <definedName name="IQ_OTHER_LOANS_INDIVIDUALS_NON_ACCRUAL_FFIEC" hidden="1">"c13325"</definedName>
    <definedName name="IQ_OTHER_LOANS_INDIVIDUALS_RECOV_FFIEC" hidden="1">"c13203"</definedName>
    <definedName name="IQ_OTHER_LOANS_LEASES_FDIC" hidden="1">"c6322"</definedName>
    <definedName name="IQ_OTHER_LOANS_LL_REC_DOM_FFIEC" hidden="1">"c12914"</definedName>
    <definedName name="IQ_OTHER_LOANS_NET_CHARGE_OFFS_FDIC" hidden="1">"c6639"</definedName>
    <definedName name="IQ_OTHER_LOANS_NON_ACCRUAL_FFIEC" hidden="1">"c13327"</definedName>
    <definedName name="IQ_OTHER_LOANS_RECOVERIES_FDIC" hidden="1">"c6620"</definedName>
    <definedName name="IQ_OTHER_LOANS_RISK_BASED_FFIEC" hidden="1">"c13435"</definedName>
    <definedName name="IQ_OTHER_LOANS_TOTAL_FDIC" hidden="1">"c6432"</definedName>
    <definedName name="IQ_OTHER_LOANS_TOTAL_LOANS" hidden="1">"c15716"</definedName>
    <definedName name="IQ_OTHER_LOANS_TRADING_DOM_FFIEC" hidden="1">"c12936"</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MBS_AVAIL_SALE_FFIEC" hidden="1">"c12801"</definedName>
    <definedName name="IQ_OTHER_MBS_FFIEC" hidden="1">"c12787"</definedName>
    <definedName name="IQ_OTHER_MBS_ISSUED_FNMA_GNMA_TRADING_DOM_FFIEC" hidden="1">"c12922"</definedName>
    <definedName name="IQ_OTHER_MBS_ISSUED_FNMA_GNMA_TRADING_FFIEC" hidden="1">"c12817"</definedName>
    <definedName name="IQ_OTHER_MBS_TRADING_DOM_FFIEC" hidden="1">"c12923"</definedName>
    <definedName name="IQ_OTHER_MBS_TRADING_FFIEC" hidden="1">"c12818"</definedName>
    <definedName name="IQ_OTHER_MINING_REVENUE_COAL" hidden="1">"c15931"</definedName>
    <definedName name="IQ_OTHER_NET" hidden="1">"c1453"</definedName>
    <definedName name="IQ_OTHER_NON_INT_ALLOCATIONS_FFIEC" hidden="1">"c13065"</definedName>
    <definedName name="IQ_OTHER_NON_INT_EXP" hidden="1">"c953"</definedName>
    <definedName name="IQ_OTHER_NON_INT_EXP_FDIC" hidden="1">"c6578"</definedName>
    <definedName name="IQ_OTHER_NON_INT_EXP_FFIEC" hidden="1">"c13027"</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INT_INC_OPERATING_INC_FFIEC" hidden="1">"c13392"</definedName>
    <definedName name="IQ_OTHER_NON_INT_INCOME_FFIEC" hidden="1">"c13016"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NONFARM_NONRES_GROSS_LOANS_FFIEC" hidden="1">"c13407"</definedName>
    <definedName name="IQ_OTHER_NONFARM_NONRES_LL_REC_DOM_FFIEC" hidden="1">"c12907"</definedName>
    <definedName name="IQ_OTHER_NONFARM_NONRES_RISK_BASED_FFIEC" hidden="1">"c13428"</definedName>
    <definedName name="IQ_OTHER_NONINTEREST_INC_FOREIGN_FFIEC" hidden="1">"c15380"</definedName>
    <definedName name="IQ_OTHER_OFF_BS_ITEMS_FFIEC" hidden="1">"c13126"</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OVER_TOTAL" hidden="1">"c13770"</definedName>
    <definedName name="IQ_OTHER_PC_WRITTEN" hidden="1">"c1006"</definedName>
    <definedName name="IQ_OTHER_PROP" hidden="1">"c8764"</definedName>
    <definedName name="IQ_OTHER_PROP_OPERATING_EXPENSE" hidden="1">"c16043"</definedName>
    <definedName name="IQ_OTHER_PROP_OPERATING_REVENUE" hidden="1">"c16027"</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REVOL_CREDIT_CONSUMER_LOANS_FFIEC" hidden="1">"c12823"</definedName>
    <definedName name="IQ_OTHER_REVOLVING_CREDIT_LL_REC_FFIEC" hidden="1">"c12890"</definedName>
    <definedName name="IQ_OTHER_REVOLVING_CREDIT_LOANS_TRADING_DOM_FFIEC" hidden="1">"c12934"</definedName>
    <definedName name="IQ_OTHER_ROOMS" hidden="1">"c8788"</definedName>
    <definedName name="IQ_OTHER_SAVINGS_DEPOSITS_FDIC" hidden="1">"c6554"</definedName>
    <definedName name="IQ_OTHER_SAVINGS_DEPOSITS_NON_TRANS_ACCTS_FFIEC" hidden="1">"c15331"</definedName>
    <definedName name="IQ_OTHER_SECURITIES_QUARTERLY_AVG_FFIEC" hidden="1">"c15472"</definedName>
    <definedName name="IQ_OTHER_SQ_FT" hidden="1">"c8780"</definedName>
    <definedName name="IQ_OTHER_STRIKE_PRICE_GRANTED" hidden="1">"c2692"</definedName>
    <definedName name="IQ_OTHER_TAX_EQUIVALENT_ADJUSTMENTS_FFIEC" hidden="1">"c13855"</definedName>
    <definedName name="IQ_OTHER_TRADING_ASSETS_FAIR_VALUE_TOT_FFIEC" hidden="1">"c15404"</definedName>
    <definedName name="IQ_OTHER_TRADING_ASSETS_FFIEC" hidden="1">"c12826"</definedName>
    <definedName name="IQ_OTHER_TRADING_ASSETS_LEVEL_1_FFIEC" hidden="1">"c15426"</definedName>
    <definedName name="IQ_OTHER_TRADING_ASSETS_LEVEL_2_FFIEC" hidden="1">"c15439"</definedName>
    <definedName name="IQ_OTHER_TRADING_ASSETS_LEVEL_3_FFIEC" hidden="1">"c15452"</definedName>
    <definedName name="IQ_OTHER_TRADING_ASSETS_TOTAL_FFIEC" hidden="1">"c12937"</definedName>
    <definedName name="IQ_OTHER_TRADING_LIABILITIES_FAIR_VALUE_TOT_FFIEC" hidden="1">"c15408"</definedName>
    <definedName name="IQ_OTHER_TRADING_LIABILITIES_FFIEC" hidden="1">"c12860"</definedName>
    <definedName name="IQ_OTHER_TRADING_LIABILITIES_LEVEL_1_FFIEC" hidden="1">"c15430"</definedName>
    <definedName name="IQ_OTHER_TRADING_LIABILITIES_LEVEL_2_FFIEC" hidden="1">"c15443"</definedName>
    <definedName name="IQ_OTHER_TRADING_LIABILITIES_LEVEL_3_FFIEC" hidden="1">"c15456"</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ED_FFIEC" hidden="1">"c13248"</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SUPPLE" hidden="1">"c13816"</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localSheetId="1" hidden="1">"c1023"</definedName>
    <definedName name="IQ_OUTSTANDING_FILING_DATE" hidden="1">"c2127"</definedName>
    <definedName name="IQ_OVER_FIFETEEN_YEAR_MORTGAGE_PASS_THROUGHS_FDIC" hidden="1">"c6416"</definedName>
    <definedName name="IQ_OVER_FIFTEEN_YEAR_FIXED_AND_FLOATING_RATE_FDIC" hidden="1">"c6424"</definedName>
    <definedName name="IQ_OVER_THREE_YEARS_FDIC" hidden="1">"c6418"</definedName>
    <definedName name="IQ_OVERHEAD_EXP_AVG_ASSETS_FFIEC" hidden="1">"c13361"</definedName>
    <definedName name="IQ_OVERHEAD_EXP_REV_FFIEC" hidden="1">"c13494"</definedName>
    <definedName name="IQ_OVERHEAD_NON_INT_INC_AVG_ASSETS_FFIEC" hidden="1">"c13374"</definedName>
    <definedName name="IQ_OVERHEAD_NON_INT_OPERATING_INC_FFIEC" hidden="1">"c13393"</definedName>
    <definedName name="IQ_OVERHEAD_OPERATING_INC_FFIEC" hidden="1">"c13378"</definedName>
    <definedName name="IQ_OWNED_RESERVES_COAL" hidden="1">"c15916"</definedName>
    <definedName name="IQ_OWNED_RESERVES_TO_TOTAL_RESERVES_COAL" hidden="1">"c15957"</definedName>
    <definedName name="IQ_OWNER_OCCUPIED_GROSS_LOANS_FFIEC" hidden="1">"c13406"</definedName>
    <definedName name="IQ_OWNER_OCCUPIED_LOANS_RISK_BASED_FFIEC" hidden="1">"c13427"</definedName>
    <definedName name="IQ_OWNER_OCCUPIED_NONFARM_NONRES_LL_REC_DOM_FFIEC" hidden="1">"c12906"</definedName>
    <definedName name="IQ_OWNERSHIP" hidden="1">"c2160"</definedName>
    <definedName name="IQ_PART_TIME" hidden="1">"c1024"</definedName>
    <definedName name="IQ_PARTICIPATION_POOLS_RESIDENTIAL_MORTGAGES_FDIC" hidden="1">"c6403"</definedName>
    <definedName name="IQ_PARTICIPATIONS_ACCEPTANCES_FFIEC" hidden="1">"c13254"</definedName>
    <definedName name="IQ_PARTNERSHIP_INC_RE" hidden="1">"c12039"</definedName>
    <definedName name="IQ_PASS_THROUGH_FNMA_GNMA_TRADING_FFIEC" hidden="1">"c12816"</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ST_DUE_ALLOW_GROSS_LOANS_FFIEC" hidden="1">"c13416"</definedName>
    <definedName name="IQ_PAY_ACCRUED" hidden="1">"c1457"</definedName>
    <definedName name="IQ_PAYOUT_RATIO" hidden="1">"c1900"</definedName>
    <definedName name="IQ_PBV" hidden="1">"c1025"</definedName>
    <definedName name="IQ_PBV_AVG" hidden="1">"c1026"</definedName>
    <definedName name="IQ_PBV_FWD" hidden="1">"c15235"</definedName>
    <definedName name="IQ_PBV_FWD_THOM" hidden="1">"c15237"</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EXCL_FWD_REUT" hidden="1">"c4049"</definedName>
    <definedName name="IQ_PE_EXCL_FWD_THOM" hidden="1">"c4056"</definedName>
    <definedName name="IQ_PE_FUND_DATE_EST" hidden="1">"c19174"</definedName>
    <definedName name="IQ_PE_FUND_DATE_MONTH" hidden="1">"c19172"</definedName>
    <definedName name="IQ_PE_FUND_DATE_YEAR" hidden="1">"c18925"</definedName>
    <definedName name="IQ_PE_FUND_FAMILIES" hidden="1">"c18917"</definedName>
    <definedName name="IQ_PE_FUND_FAMILIES_ID" hidden="1">"c18918"</definedName>
    <definedName name="IQ_PE_FUND_FAMILIES_REL" hidden="1">"c18919"</definedName>
    <definedName name="IQ_PE_FUND_ID" hidden="1">"c18923"</definedName>
    <definedName name="IQ_PE_FUND_INVEST_AMOUNT" hidden="1">"c18933"</definedName>
    <definedName name="IQ_PE_FUND_INVEST_DATE_MONTH" hidden="1">"c19173"</definedName>
    <definedName name="IQ_PE_FUND_INVEST_DATE_YEAR" hidden="1">"c18934"</definedName>
    <definedName name="IQ_PE_FUND_NAME" hidden="1">"c18922"</definedName>
    <definedName name="IQ_PE_FUND_SIZE" hidden="1">"c18924"</definedName>
    <definedName name="IQ_PE_FUND_STAGE" hidden="1">"c18928"</definedName>
    <definedName name="IQ_PE_FUND_TARGET_MAX" hidden="1">"c18927"</definedName>
    <definedName name="IQ_PE_FUND_TARGET_MIN" hidden="1">"c18926"</definedName>
    <definedName name="IQ_PE_FUND_TRANSACTION_COMMENTS" hidden="1">"c18931"</definedName>
    <definedName name="IQ_PE_NORMALIZED" hidden="1">"c2207"</definedName>
    <definedName name="IQ_PE_RATIO" hidden="1">"c1610"</definedName>
    <definedName name="IQ_PEG_FWD" hidden="1">"c1863"</definedName>
    <definedName name="IQ_PEG_FWD_CIQ" hidden="1">"c4045"</definedName>
    <definedName name="IQ_PEG_FWD_REUT" hidden="1">"c4052"</definedName>
    <definedName name="IQ_PEG_FWD_THOM" hidden="1">"c4059"</definedName>
    <definedName name="IQ_PENETRATION_BASIC_CABLE" hidden="1">"c16204"</definedName>
    <definedName name="IQ_PENETRATION_BBAND" hidden="1">"c2852"</definedName>
    <definedName name="IQ_PENETRATION_BBAND_THP" hidden="1">"c2851"</definedName>
    <definedName name="IQ_PENETRATION_PHONE" hidden="1">"c2853"</definedName>
    <definedName name="IQ_PENETRATION_VIDEO" hidden="1">"c2850"</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CIQ" hidden="1">"c3790"</definedName>
    <definedName name="IQ_PERCENT_CHANGE_EST_5YR_GROWTH_RATE_12MONTHS_THOM" hidden="1">"c5269"</definedName>
    <definedName name="IQ_PERCENT_CHANGE_EST_5YR_GROWTH_RATE_18MONTHS" hidden="1">"c1853"</definedName>
    <definedName name="IQ_PERCENT_CHANGE_EST_5YR_GROWTH_RATE_18MONTHS_CIQ" hidden="1">"c3791"</definedName>
    <definedName name="IQ_PERCENT_CHANGE_EST_5YR_GROWTH_RATE_18MONTHS_THOM" hidden="1">"c5270"</definedName>
    <definedName name="IQ_PERCENT_CHANGE_EST_5YR_GROWTH_RATE_3MONTHS" hidden="1">"c1849"</definedName>
    <definedName name="IQ_PERCENT_CHANGE_EST_5YR_GROWTH_RATE_3MONTHS_CIQ" hidden="1">"c3787"</definedName>
    <definedName name="IQ_PERCENT_CHANGE_EST_5YR_GROWTH_RATE_3MONTHS_THOM" hidden="1">"c5266"</definedName>
    <definedName name="IQ_PERCENT_CHANGE_EST_5YR_GROWTH_RATE_6MONTHS" hidden="1">"c1850"</definedName>
    <definedName name="IQ_PERCENT_CHANGE_EST_5YR_GROWTH_RATE_6MONTHS_CIQ" hidden="1">"c3788"</definedName>
    <definedName name="IQ_PERCENT_CHANGE_EST_5YR_GROWTH_RATE_6MONTHS_THOM" hidden="1">"c5267"</definedName>
    <definedName name="IQ_PERCENT_CHANGE_EST_5YR_GROWTH_RATE_9MONTHS" hidden="1">"c1851"</definedName>
    <definedName name="IQ_PERCENT_CHANGE_EST_5YR_GROWTH_RATE_9MONTHS_CIQ" hidden="1">"c3789"</definedName>
    <definedName name="IQ_PERCENT_CHANGE_EST_5YR_GROWTH_RATE_9MONTHS_THOM" hidden="1">"c5268"</definedName>
    <definedName name="IQ_PERCENT_CHANGE_EST_5YR_GROWTH_RATE_DAY" hidden="1">"c1846"</definedName>
    <definedName name="IQ_PERCENT_CHANGE_EST_5YR_GROWTH_RATE_DAY_CIQ" hidden="1">"c3785"</definedName>
    <definedName name="IQ_PERCENT_CHANGE_EST_5YR_GROWTH_RATE_DAY_THOM" hidden="1">"c5264"</definedName>
    <definedName name="IQ_PERCENT_CHANGE_EST_5YR_GROWTH_RATE_MONTH" hidden="1">"c1848"</definedName>
    <definedName name="IQ_PERCENT_CHANGE_EST_5YR_GROWTH_RATE_MONTH_CIQ" hidden="1">"c3786"</definedName>
    <definedName name="IQ_PERCENT_CHANGE_EST_5YR_GROWTH_RATE_MONTH_THOM" hidden="1">"c5265"</definedName>
    <definedName name="IQ_PERCENT_CHANGE_EST_5YR_GROWTH_RATE_WEEK" hidden="1">"c1847"</definedName>
    <definedName name="IQ_PERCENT_CHANGE_EST_5YR_GROWTH_RATE_WEEK_CIQ" hidden="1">"c3797"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CIQ" hidden="1">"c3748"</definedName>
    <definedName name="IQ_PERCENT_CHANGE_EST_EBITDA_12MONTHS_THOM" hidden="1">"c5227"</definedName>
    <definedName name="IQ_PERCENT_CHANGE_EST_EBITDA_18MONTHS" hidden="1">"c1805"</definedName>
    <definedName name="IQ_PERCENT_CHANGE_EST_EBITDA_18MONTHS_CIQ" hidden="1">"c3749"</definedName>
    <definedName name="IQ_PERCENT_CHANGE_EST_EBITDA_18MONTHS_THOM" hidden="1">"c5228"</definedName>
    <definedName name="IQ_PERCENT_CHANGE_EST_EBITDA_3MONTHS" hidden="1">"c1801"</definedName>
    <definedName name="IQ_PERCENT_CHANGE_EST_EBITDA_3MONTHS_CIQ" hidden="1">"c3745"</definedName>
    <definedName name="IQ_PERCENT_CHANGE_EST_EBITDA_3MONTHS_THOM" hidden="1">"c5224"</definedName>
    <definedName name="IQ_PERCENT_CHANGE_EST_EBITDA_6MONTHS" hidden="1">"c1802"</definedName>
    <definedName name="IQ_PERCENT_CHANGE_EST_EBITDA_6MONTHS_CIQ" hidden="1">"c3746"</definedName>
    <definedName name="IQ_PERCENT_CHANGE_EST_EBITDA_6MONTHS_THOM" hidden="1">"c5225"</definedName>
    <definedName name="IQ_PERCENT_CHANGE_EST_EBITDA_9MONTHS" hidden="1">"c1803"</definedName>
    <definedName name="IQ_PERCENT_CHANGE_EST_EBITDA_9MONTHS_CIQ" hidden="1">"c3747"</definedName>
    <definedName name="IQ_PERCENT_CHANGE_EST_EBITDA_9MONTHS_THOM" hidden="1">"c5226"</definedName>
    <definedName name="IQ_PERCENT_CHANGE_EST_EBITDA_DAY" hidden="1">"c1798"</definedName>
    <definedName name="IQ_PERCENT_CHANGE_EST_EBITDA_DAY_CIQ" hidden="1">"c3743"</definedName>
    <definedName name="IQ_PERCENT_CHANGE_EST_EBITDA_DAY_THOM" hidden="1">"c5222"</definedName>
    <definedName name="IQ_PERCENT_CHANGE_EST_EBITDA_MONTH" hidden="1">"c1800"</definedName>
    <definedName name="IQ_PERCENT_CHANGE_EST_EBITDA_MONTH_CIQ" hidden="1">"c3744"</definedName>
    <definedName name="IQ_PERCENT_CHANGE_EST_EBITDA_MONTH_THOM" hidden="1">"c5223"</definedName>
    <definedName name="IQ_PERCENT_CHANGE_EST_EBITDA_WEEK" hidden="1">"c1799"</definedName>
    <definedName name="IQ_PERCENT_CHANGE_EST_EBITDA_WEEK_CIQ" hidden="1">"c3792"</definedName>
    <definedName name="IQ_PERCENT_CHANGE_EST_EBITDA_WEEK_THOM" hidden="1">"c5271"</definedName>
    <definedName name="IQ_PERCENT_CHANGE_EST_EPS_12MONTHS" hidden="1">"c1788"</definedName>
    <definedName name="IQ_PERCENT_CHANGE_EST_EPS_12MONTHS_CIQ" hidden="1">"c3733"</definedName>
    <definedName name="IQ_PERCENT_CHANGE_EST_EPS_12MONTHS_THOM" hidden="1">"c5212"</definedName>
    <definedName name="IQ_PERCENT_CHANGE_EST_EPS_18MONTHS" hidden="1">"c1789"</definedName>
    <definedName name="IQ_PERCENT_CHANGE_EST_EPS_18MONTHS_CIQ" hidden="1">"c3734"</definedName>
    <definedName name="IQ_PERCENT_CHANGE_EST_EPS_18MONTHS_THOM" hidden="1">"c5213"</definedName>
    <definedName name="IQ_PERCENT_CHANGE_EST_EPS_3MONTHS" hidden="1">"c1785"</definedName>
    <definedName name="IQ_PERCENT_CHANGE_EST_EPS_3MONTHS_CIQ" hidden="1">"c3730"</definedName>
    <definedName name="IQ_PERCENT_CHANGE_EST_EPS_3MONTHS_THOM" hidden="1">"c5209"</definedName>
    <definedName name="IQ_PERCENT_CHANGE_EST_EPS_6MONTHS" hidden="1">"c1786"</definedName>
    <definedName name="IQ_PERCENT_CHANGE_EST_EPS_6MONTHS_CIQ" hidden="1">"c3731"</definedName>
    <definedName name="IQ_PERCENT_CHANGE_EST_EPS_6MONTHS_THOM" hidden="1">"c5210"</definedName>
    <definedName name="IQ_PERCENT_CHANGE_EST_EPS_9MONTHS" hidden="1">"c1787"</definedName>
    <definedName name="IQ_PERCENT_CHANGE_EST_EPS_9MONTHS_CIQ" hidden="1">"c3732"</definedName>
    <definedName name="IQ_PERCENT_CHANGE_EST_EPS_9MONTHS_THOM" hidden="1">"c5211"</definedName>
    <definedName name="IQ_PERCENT_CHANGE_EST_EPS_DAY" hidden="1">"c1782"</definedName>
    <definedName name="IQ_PERCENT_CHANGE_EST_EPS_DAY_CIQ" hidden="1">"c3727"</definedName>
    <definedName name="IQ_PERCENT_CHANGE_EST_EPS_DAY_THOM" hidden="1">"c5206"</definedName>
    <definedName name="IQ_PERCENT_CHANGE_EST_EPS_MONTH" hidden="1">"c1784"</definedName>
    <definedName name="IQ_PERCENT_CHANGE_EST_EPS_MONTH_CIQ" hidden="1">"c3729"</definedName>
    <definedName name="IQ_PERCENT_CHANGE_EST_EPS_MONTH_THOM" hidden="1">"c5208"</definedName>
    <definedName name="IQ_PERCENT_CHANGE_EST_EPS_WEEK" hidden="1">"c1783"</definedName>
    <definedName name="IQ_PERCENT_CHANGE_EST_EPS_WEEK_CIQ" hidden="1">"c3728"</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SHARE_12MONTHS" hidden="1">"c1828"</definedName>
    <definedName name="IQ_PERCENT_CHANGE_EST_FFO_SHARE_12MONTHS_THOM" hidden="1">"c5248"</definedName>
    <definedName name="IQ_PERCENT_CHANGE_EST_FFO_SHARE_18MONTHS" hidden="1">"c1829"</definedName>
    <definedName name="IQ_PERCENT_CHANGE_EST_FFO_SHARE_18MONTHS_THOM" hidden="1">"c5249"</definedName>
    <definedName name="IQ_PERCENT_CHANGE_EST_FFO_SHARE_3MONTHS" hidden="1">"c1825"</definedName>
    <definedName name="IQ_PERCENT_CHANGE_EST_FFO_SHARE_3MONTHS_THOM" hidden="1">"c5245"</definedName>
    <definedName name="IQ_PERCENT_CHANGE_EST_FFO_SHARE_6MONTHS" hidden="1">"c1826"</definedName>
    <definedName name="IQ_PERCENT_CHANGE_EST_FFO_SHARE_6MONTHS_THOM" hidden="1">"c5246"</definedName>
    <definedName name="IQ_PERCENT_CHANGE_EST_FFO_SHARE_9MONTHS" hidden="1">"c1827"</definedName>
    <definedName name="IQ_PERCENT_CHANGE_EST_FFO_SHARE_9MONTHS_THOM" hidden="1">"c5247"</definedName>
    <definedName name="IQ_PERCENT_CHANGE_EST_FFO_SHARE_DAY" hidden="1">"c1822"</definedName>
    <definedName name="IQ_PERCENT_CHANGE_EST_FFO_SHARE_DAY_THOM" hidden="1">"c5243"</definedName>
    <definedName name="IQ_PERCENT_CHANGE_EST_FFO_SHARE_MONTH" hidden="1">"c1824"</definedName>
    <definedName name="IQ_PERCENT_CHANGE_EST_FFO_SHARE_MONTH_THOM" hidden="1">"c5244"</definedName>
    <definedName name="IQ_PERCENT_CHANGE_EST_FFO_SHARE_SHARE_12MONTHS" hidden="1">"c1828"</definedName>
    <definedName name="IQ_PERCENT_CHANGE_EST_FFO_SHARE_SHARE_12MONTHS_THOM" hidden="1">"c5248"</definedName>
    <definedName name="IQ_PERCENT_CHANGE_EST_FFO_SHARE_SHARE_18MONTHS" hidden="1">"c1829"</definedName>
    <definedName name="IQ_PERCENT_CHANGE_EST_FFO_SHARE_SHARE_18MONTHS_THOM" hidden="1">"c5249"</definedName>
    <definedName name="IQ_PERCENT_CHANGE_EST_FFO_SHARE_SHARE_3MONTHS" hidden="1">"c1825"</definedName>
    <definedName name="IQ_PERCENT_CHANGE_EST_FFO_SHARE_SHARE_3MONTHS_THOM" hidden="1">"c5245"</definedName>
    <definedName name="IQ_PERCENT_CHANGE_EST_FFO_SHARE_SHARE_6MONTHS" hidden="1">"c1826"</definedName>
    <definedName name="IQ_PERCENT_CHANGE_EST_FFO_SHARE_SHARE_6MONTHS_THOM" hidden="1">"c5246"</definedName>
    <definedName name="IQ_PERCENT_CHANGE_EST_FFO_SHARE_SHARE_9MONTHS" hidden="1">"c1827"</definedName>
    <definedName name="IQ_PERCENT_CHANGE_EST_FFO_SHARE_SHARE_9MONTHS_THOM" hidden="1">"c5247"</definedName>
    <definedName name="IQ_PERCENT_CHANGE_EST_FFO_SHARE_SHARE_DAY" hidden="1">"c1822"</definedName>
    <definedName name="IQ_PERCENT_CHANGE_EST_FFO_SHARE_SHARE_DAY_THOM" hidden="1">"c5243"</definedName>
    <definedName name="IQ_PERCENT_CHANGE_EST_FFO_SHARE_SHARE_MONTH" hidden="1">"c1824"</definedName>
    <definedName name="IQ_PERCENT_CHANGE_EST_FFO_SHARE_SHARE_MONTH_THOM" hidden="1">"c5244"</definedName>
    <definedName name="IQ_PERCENT_CHANGE_EST_FFO_SHARE_SHARE_WEEK" hidden="1">"c1823"</definedName>
    <definedName name="IQ_PERCENT_CHANGE_EST_FFO_SHARE_SHARE_WEEK_THOM" hidden="1">"c5274"</definedName>
    <definedName name="IQ_PERCENT_CHANGE_EST_FFO_SHARE_WEEK" hidden="1">"c1823"</definedName>
    <definedName name="IQ_PERCENT_CHANGE_EST_FFO_SHARE_WEEK_THOM" hidden="1">"c5274"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CIQ" hidden="1">"c3783"</definedName>
    <definedName name="IQ_PERCENT_CHANGE_EST_PRICE_TARGET_12MONTHS_THOM" hidden="1">"c5262"</definedName>
    <definedName name="IQ_PERCENT_CHANGE_EST_PRICE_TARGET_18MONTHS" hidden="1">"c1845"</definedName>
    <definedName name="IQ_PERCENT_CHANGE_EST_PRICE_TARGET_18MONTHS_CIQ" hidden="1">"c3784"</definedName>
    <definedName name="IQ_PERCENT_CHANGE_EST_PRICE_TARGET_18MONTHS_THOM" hidden="1">"c5263"</definedName>
    <definedName name="IQ_PERCENT_CHANGE_EST_PRICE_TARGET_3MONTHS" hidden="1">"c1841"</definedName>
    <definedName name="IQ_PERCENT_CHANGE_EST_PRICE_TARGET_3MONTHS_CIQ" hidden="1">"c3780"</definedName>
    <definedName name="IQ_PERCENT_CHANGE_EST_PRICE_TARGET_3MONTHS_THOM" hidden="1">"c5259"</definedName>
    <definedName name="IQ_PERCENT_CHANGE_EST_PRICE_TARGET_6MONTHS" hidden="1">"c1842"</definedName>
    <definedName name="IQ_PERCENT_CHANGE_EST_PRICE_TARGET_6MONTHS_CIQ" hidden="1">"c3781"</definedName>
    <definedName name="IQ_PERCENT_CHANGE_EST_PRICE_TARGET_6MONTHS_THOM" hidden="1">"c5260"</definedName>
    <definedName name="IQ_PERCENT_CHANGE_EST_PRICE_TARGET_9MONTHS" hidden="1">"c1843"</definedName>
    <definedName name="IQ_PERCENT_CHANGE_EST_PRICE_TARGET_9MONTHS_CIQ" hidden="1">"c3782"</definedName>
    <definedName name="IQ_PERCENT_CHANGE_EST_PRICE_TARGET_9MONTHS_THOM" hidden="1">"c5261"</definedName>
    <definedName name="IQ_PERCENT_CHANGE_EST_PRICE_TARGET_DAY" hidden="1">"c1838"</definedName>
    <definedName name="IQ_PERCENT_CHANGE_EST_PRICE_TARGET_DAY_CIQ" hidden="1">"c3778"</definedName>
    <definedName name="IQ_PERCENT_CHANGE_EST_PRICE_TARGET_DAY_THOM" hidden="1">"c5257"</definedName>
    <definedName name="IQ_PERCENT_CHANGE_EST_PRICE_TARGET_MONTH" hidden="1">"c1840"</definedName>
    <definedName name="IQ_PERCENT_CHANGE_EST_PRICE_TARGET_MONTH_CIQ" hidden="1">"c3779"</definedName>
    <definedName name="IQ_PERCENT_CHANGE_EST_PRICE_TARGET_MONTH_THOM" hidden="1">"c5258"</definedName>
    <definedName name="IQ_PERCENT_CHANGE_EST_PRICE_TARGET_WEEK" hidden="1">"c1839"</definedName>
    <definedName name="IQ_PERCENT_CHANGE_EST_PRICE_TARGET_WEEK_CIQ" hidden="1">"c3798"</definedName>
    <definedName name="IQ_PERCENT_CHANGE_EST_PRICE_TARGET_WEEK_THOM" hidden="1">"c5276"</definedName>
    <definedName name="IQ_PERCENT_CHANGE_EST_RECO_12MONTHS" hidden="1">"c1836"</definedName>
    <definedName name="IQ_PERCENT_CHANGE_EST_RECO_12MONTHS_CIQ" hidden="1">"c3776"</definedName>
    <definedName name="IQ_PERCENT_CHANGE_EST_RECO_12MONTHS_THOM" hidden="1">"c5255"</definedName>
    <definedName name="IQ_PERCENT_CHANGE_EST_RECO_18MONTHS" hidden="1">"c1837"</definedName>
    <definedName name="IQ_PERCENT_CHANGE_EST_RECO_18MONTHS_CIQ" hidden="1">"c3777"</definedName>
    <definedName name="IQ_PERCENT_CHANGE_EST_RECO_18MONTHS_THOM" hidden="1">"c5256"</definedName>
    <definedName name="IQ_PERCENT_CHANGE_EST_RECO_3MONTHS" hidden="1">"c1833"</definedName>
    <definedName name="IQ_PERCENT_CHANGE_EST_RECO_3MONTHS_CIQ" hidden="1">"c3773"</definedName>
    <definedName name="IQ_PERCENT_CHANGE_EST_RECO_3MONTHS_THOM" hidden="1">"c5252"</definedName>
    <definedName name="IQ_PERCENT_CHANGE_EST_RECO_6MONTHS" hidden="1">"c1834"</definedName>
    <definedName name="IQ_PERCENT_CHANGE_EST_RECO_6MONTHS_CIQ" hidden="1">"c3774"</definedName>
    <definedName name="IQ_PERCENT_CHANGE_EST_RECO_6MONTHS_THOM" hidden="1">"c5253"</definedName>
    <definedName name="IQ_PERCENT_CHANGE_EST_RECO_9MONTHS" hidden="1">"c1835"</definedName>
    <definedName name="IQ_PERCENT_CHANGE_EST_RECO_9MONTHS_CIQ" hidden="1">"c3775"</definedName>
    <definedName name="IQ_PERCENT_CHANGE_EST_RECO_9MONTHS_THOM" hidden="1">"c5254"</definedName>
    <definedName name="IQ_PERCENT_CHANGE_EST_RECO_DAY" hidden="1">"c1830"</definedName>
    <definedName name="IQ_PERCENT_CHANGE_EST_RECO_DAY_CIQ" hidden="1">"c3771"</definedName>
    <definedName name="IQ_PERCENT_CHANGE_EST_RECO_DAY_THOM" hidden="1">"c5250"</definedName>
    <definedName name="IQ_PERCENT_CHANGE_EST_RECO_MONTH" hidden="1">"c1832"</definedName>
    <definedName name="IQ_PERCENT_CHANGE_EST_RECO_MONTH_CIQ" hidden="1">"c3772"</definedName>
    <definedName name="IQ_PERCENT_CHANGE_EST_RECO_MONTH_THOM" hidden="1">"c5251"</definedName>
    <definedName name="IQ_PERCENT_CHANGE_EST_RECO_WEEK" hidden="1">"c1831"</definedName>
    <definedName name="IQ_PERCENT_CHANGE_EST_RECO_WEEK_CIQ" hidden="1">"c3796"</definedName>
    <definedName name="IQ_PERCENT_CHANGE_EST_RECO_WEEK_THOM" hidden="1">"c5275"</definedName>
    <definedName name="IQ_PERCENT_CHANGE_EST_REV_12MONTHS" hidden="1">"c1796"</definedName>
    <definedName name="IQ_PERCENT_CHANGE_EST_REV_12MONTHS_CIQ" hidden="1">"c3741"</definedName>
    <definedName name="IQ_PERCENT_CHANGE_EST_REV_12MONTHS_THOM" hidden="1">"c5220"</definedName>
    <definedName name="IQ_PERCENT_CHANGE_EST_REV_18MONTHS" hidden="1">"c1797"</definedName>
    <definedName name="IQ_PERCENT_CHANGE_EST_REV_18MONTHS_CIQ" hidden="1">"c3742"</definedName>
    <definedName name="IQ_PERCENT_CHANGE_EST_REV_18MONTHS_THOM" hidden="1">"c5221"</definedName>
    <definedName name="IQ_PERCENT_CHANGE_EST_REV_3MONTHS" hidden="1">"c1793"</definedName>
    <definedName name="IQ_PERCENT_CHANGE_EST_REV_3MONTHS_CIQ" hidden="1">"c3738"</definedName>
    <definedName name="IQ_PERCENT_CHANGE_EST_REV_3MONTHS_THOM" hidden="1">"c5217"</definedName>
    <definedName name="IQ_PERCENT_CHANGE_EST_REV_6MONTHS" hidden="1">"c1794"</definedName>
    <definedName name="IQ_PERCENT_CHANGE_EST_REV_6MONTHS_CIQ" hidden="1">"c3739"</definedName>
    <definedName name="IQ_PERCENT_CHANGE_EST_REV_6MONTHS_THOM" hidden="1">"c5218"</definedName>
    <definedName name="IQ_PERCENT_CHANGE_EST_REV_9MONTHS" hidden="1">"c1795"</definedName>
    <definedName name="IQ_PERCENT_CHANGE_EST_REV_9MONTHS_CIQ" hidden="1">"c3740"</definedName>
    <definedName name="IQ_PERCENT_CHANGE_EST_REV_9MONTHS_THOM" hidden="1">"c5219"</definedName>
    <definedName name="IQ_PERCENT_CHANGE_EST_REV_DAY" hidden="1">"c1790"</definedName>
    <definedName name="IQ_PERCENT_CHANGE_EST_REV_DAY_CIQ" hidden="1">"c3735"</definedName>
    <definedName name="IQ_PERCENT_CHANGE_EST_REV_DAY_THOM" hidden="1">"c5214"</definedName>
    <definedName name="IQ_PERCENT_CHANGE_EST_REV_MONTH" hidden="1">"c1792"</definedName>
    <definedName name="IQ_PERCENT_CHANGE_EST_REV_MONTH_CIQ" hidden="1">"c3737"</definedName>
    <definedName name="IQ_PERCENT_CHANGE_EST_REV_MONTH_THOM" hidden="1">"c5216"</definedName>
    <definedName name="IQ_PERCENT_CHANGE_EST_REV_WEEK" hidden="1">"c1791"</definedName>
    <definedName name="IQ_PERCENT_CHANGE_EST_REV_WEEK_CIQ" hidden="1">"c3736"</definedName>
    <definedName name="IQ_PERCENT_CHANGE_EST_REV_WEEK_THOM" hidden="1">"c5215"</definedName>
    <definedName name="IQ_PERCENT_INSURED_FDIC" hidden="1">"c6374"</definedName>
    <definedName name="IQ_PERCENTAGE_RENT" hidden="1">"c16018"</definedName>
    <definedName name="IQ_PERCENTAGE_RENT_RENTAL_REVENUE" hidden="1">"c16063"</definedName>
    <definedName name="IQ_PERFORMANCE_LOC_FOREIGN_GUARANTEES_FFIEC" hidden="1">"c13251"</definedName>
    <definedName name="IQ_PERIODDATE" hidden="1">"c1414"</definedName>
    <definedName name="IQ_PERIODDATE_AP" hidden="1">"c11745"</definedName>
    <definedName name="IQ_PERIODDATE_BS" hidden="1">"c1032"</definedName>
    <definedName name="IQ_PERIODDATE_CF" hidden="1">"c1033"</definedName>
    <definedName name="IQ_PERIODDATE_FDIC" hidden="1">"c13646"</definedName>
    <definedName name="IQ_PERIODDATE_FFIEC" hidden="1">"c13645"</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SONNEL_EXP_AVG_ASSETS_FFIEC" hidden="1">"c13371"</definedName>
    <definedName name="IQ_PERSONNEL_EXP_OPERATING_INC_FFIEC" hidden="1">"c13379"</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_APPROVED_DURING_PERIOD" hidden="1">"c10027"</definedName>
    <definedName name="IQ_PHARMBIO_NUMBER_PROD__CLINICAL_DEV" hidden="1">"c10022"</definedName>
    <definedName name="IQ_PHARMBIO_NUMBER_PROD__LAUNCHED_DURING_PERIOD" hidden="1">"c10028"</definedName>
    <definedName name="IQ_PHARMBIO_NUMBER_PROD__PHASE_I" hidden="1">"c10023"</definedName>
    <definedName name="IQ_PHARMBIO_NUMBER_PROD__PHASE_II" hidden="1">"c10024"</definedName>
    <definedName name="IQ_PHARMBIO_NUMBER_PROD__PHASE_III" hidden="1">"c10025"</definedName>
    <definedName name="IQ_PHARMBIO_NUMBER_PROD__PRE_CLINICAL_TRIALS" hidden="1">"c10021"</definedName>
    <definedName name="IQ_PHARMBIO_NUMBER_PROD__PRE_REGISTRATION" hidden="1">"c10026"</definedName>
    <definedName name="IQ_PHARMBIO_NUMBER_PROD__RESEARCH_DEV" hidden="1">"c10020"</definedName>
    <definedName name="IQ_PHARMBIO_NUMBER_PROD_APPROVED_DURING_PERIOD" hidden="1">"c10027"</definedName>
    <definedName name="IQ_PHARMBIO_NUMBER_PROD_CLINICAL_DEV" hidden="1">"c10022"</definedName>
    <definedName name="IQ_PHARMBIO_NUMBER_PROD_DISCOVERY_RESEARCH" hidden="1">"c10019"</definedName>
    <definedName name="IQ_PHARMBIO_NUMBER_PROD_LAUNCHED_DURING_PERIOD" hidden="1">"c10028"</definedName>
    <definedName name="IQ_PHARMBIO_NUMBER_PROD_PHASE_I" hidden="1">"c10023"</definedName>
    <definedName name="IQ_PHARMBIO_NUMBER_PROD_PHASE_II" hidden="1">"c10024"</definedName>
    <definedName name="IQ_PHARMBIO_NUMBER_PROD_PHASE_III" hidden="1">"c10025"</definedName>
    <definedName name="IQ_PHARMBIO_NUMBER_PROD_PRE_CLINICAL_TRIALS" hidden="1">"c10021"</definedName>
    <definedName name="IQ_PHARMBIO_NUMBER_PROD_PRE_REGISTRATION" hidden="1">"c10026"</definedName>
    <definedName name="IQ_PHARMBIO_NUMBER_PROD_RESEARCH_DEV" hidden="1">"c10020"</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_INVEST_SECURITIES_FFIEC" hidden="1">"c13467"</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LICYHOLDER_BENEFITS_LH_FFIEC" hidden="1">"c13107"</definedName>
    <definedName name="IQ_POOL_AMT_ORIGINAL" hidden="1">"c8970"</definedName>
    <definedName name="IQ_POOL_NAME" hidden="1">"c8967"</definedName>
    <definedName name="IQ_POOL_NUMBER" hidden="1">"c8968"</definedName>
    <definedName name="IQ_POOL_TYPE" hidden="1">"c8969"</definedName>
    <definedName name="IQ_POSITIVE_FAIR_VALUE_DERIVATIVES_BENEFICIARY_FFIEC" hidden="1">"c13123"</definedName>
    <definedName name="IQ_POSITIVE_FAIR_VALUE_DERIVATIVES_GUARANTOR_FFIEC" hidden="1">"c13116"</definedName>
    <definedName name="IQ_POST_RETIRE_EXP" hidden="1">"c1039"</definedName>
    <definedName name="IQ_POSTAGE_FFIEC" hidden="1">"c13051"</definedName>
    <definedName name="IQ_POSTPAID_CHURN" hidden="1">"c2121"</definedName>
    <definedName name="IQ_POSTPAID_SUBS" hidden="1">"c2118"</definedName>
    <definedName name="IQ_POTENTIAL_UPSIDE" hidden="1">"c1855"</definedName>
    <definedName name="IQ_POTENTIAL_UPSIDE_CIQ" hidden="1">"c3799"</definedName>
    <definedName name="IQ_POTENTIAL_UPSIDE_THOM" hidden="1">"c5279"</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STOCK_FFIEC" hidden="1">"c12875"</definedName>
    <definedName name="IQ_PREF_TOT" hidden="1">"c1415"</definedName>
    <definedName name="IQ_PREFERRED_DEPOSITS_FFIEC" hidden="1">"c15312"</definedName>
    <definedName name="IQ_PREFERRED_FDIC" hidden="1">"c6349"</definedName>
    <definedName name="IQ_PREFERRED_LIST" hidden="1">"c13506"</definedName>
    <definedName name="IQ_PREMISES_EQUIPMENT_FDIC" hidden="1">"c6577"</definedName>
    <definedName name="IQ_PREMISES_FIXED_ASSETS_CAP_LEASES_FFIEC" hidden="1">"c12830"</definedName>
    <definedName name="IQ_PREMIUM_INSURANCE_CREDIT_FFIEC" hidden="1">"c13070"</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SIDENT_ID" hidden="1">"c15216"</definedName>
    <definedName name="IQ_PRESIDENT_NAME" hidden="1">"c15215"</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AFTER_CAP_ALLOCATION_FOREIGN_FFIEC" hidden="1">"c15390"</definedName>
    <definedName name="IQ_PRETAX_INC_BEFORE_CAP_ALLOCATION_FOREIGN_FFIEC" hidden="1">"c15388"</definedName>
    <definedName name="IQ_PRETAX_INC_DET_EST" hidden="1">"c12055"</definedName>
    <definedName name="IQ_PRETAX_INC_DET_EST_CURRENCY" hidden="1">"c12462"</definedName>
    <definedName name="IQ_PRETAX_INC_DET_EST_CURRENCY_THOM" hidden="1">"c12483"</definedName>
    <definedName name="IQ_PRETAX_INC_DET_EST_DATE" hidden="1">"c12208"</definedName>
    <definedName name="IQ_PRETAX_INC_DET_EST_DATE_THOM" hidden="1">"c12234"</definedName>
    <definedName name="IQ_PRETAX_INC_DET_EST_INCL" hidden="1">"c12345"</definedName>
    <definedName name="IQ_PRETAX_INC_DET_EST_INCL_THOM" hidden="1">"c12366"</definedName>
    <definedName name="IQ_PRETAX_INC_DET_EST_ORIGIN" hidden="1">"c12771"</definedName>
    <definedName name="IQ_PRETAX_INC_DET_EST_ORIGIN_THOM" hidden="1">"c12604"</definedName>
    <definedName name="IQ_PRETAX_INC_DET_EST_THOM" hidden="1">"c12084"</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OPERATING_INC_AVG_ASSETS_FFIEC" hidden="1">"c13365"</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EV_MONTHLY_FACTOR" hidden="1">"c8973"</definedName>
    <definedName name="IQ_PREV_MONTHLY_FACTOR_DATE" hidden="1">"c8974"</definedName>
    <definedName name="IQ_PREVIOUS_TIME_RT" hidden="1">"PREVIOUSLASTTIME"</definedName>
    <definedName name="IQ_PRICE_CFPS_FWD" hidden="1">"c2237"</definedName>
    <definedName name="IQ_PRICE_CFPS_FWD_THOM" hidden="1">"c4060"</definedName>
    <definedName name="IQ_PRICE_OVER_BVPS" hidden="1">"c1412"</definedName>
    <definedName name="IQ_PRICE_OVER_LTM_EPS" hidden="1">"c1413"</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BOTTOM_UP" hidden="1">"c5486"</definedName>
    <definedName name="IQ_PRICE_TARGET_BOTTOM_UP_CIQ" hidden="1">"c12023"</definedName>
    <definedName name="IQ_PRICE_TARGET_CIQ" hidden="1">"c3613"</definedName>
    <definedName name="IQ_PRICE_TARGET_REUT" hidden="1">"c3631"</definedName>
    <definedName name="IQ_PRICE_TARGET_THOM" hidden="1">"c3649"</definedName>
    <definedName name="IQ_PRICE_VOL_HIST_2YR" hidden="1">"c15637"</definedName>
    <definedName name="IQ_PRICE_VOL_HIST_3MTH" hidden="1">"c15634"</definedName>
    <definedName name="IQ_PRICE_VOL_HIST_5YR" hidden="1">"c15638"</definedName>
    <definedName name="IQ_PRICE_VOL_HIST_6MTH" hidden="1">"c15635"</definedName>
    <definedName name="IQ_PRICE_VOL_HIST_YR" hidden="1">"c15636"</definedName>
    <definedName name="IQ_PRICE_VOLATILITY_EST" hidden="1">"c4492"</definedName>
    <definedName name="IQ_PRICE_VOLATILITY_HIGH" hidden="1">"c4493"</definedName>
    <definedName name="IQ_PRICE_VOLATILITY_LOW" hidden="1">"c4494"</definedName>
    <definedName name="IQ_PRICE_VOLATILITY_MEDIAN" hidden="1">"c4495"</definedName>
    <definedName name="IQ_PRICE_VOLATILITY_NUM" hidden="1">"c4496"</definedName>
    <definedName name="IQ_PRICE_VOLATILITY_STDDEV" hidden="1">"c4497"</definedName>
    <definedName name="IQ_PRICEDATE" hidden="1">"c1069"</definedName>
    <definedName name="IQ_PRICING_DATE" hidden="1">"c1613"</definedName>
    <definedName name="IQ_PRIMARY_EPS_TYPE" hidden="1">"c4498"</definedName>
    <definedName name="IQ_PRIMARY_EPS_TYPE_CIQ" hidden="1">"c5036"</definedName>
    <definedName name="IQ_PRIMARY_INDUSTRY" hidden="1">"c1070"</definedName>
    <definedName name="IQ_PRIMARY_SIC_CODE" hidden="1">"c16218"</definedName>
    <definedName name="IQ_PRIMARY_SIC_INDUSTRY" hidden="1">"c16217"</definedName>
    <definedName name="IQ_PRINCIPAL_AMT" hidden="1">"c2157"</definedName>
    <definedName name="IQ_PRIVATE_CONST_TOTAL_APR_FC_UNUSED" hidden="1">"c8559"</definedName>
    <definedName name="IQ_PRIVATE_CONST_TOTAL_APR_FC_UNUSED_UNUSED_UNUSED" hidden="1">"c8559"</definedName>
    <definedName name="IQ_PRIVATE_CONST_TOTAL_APR_UNUSED" hidden="1">"c7679"</definedName>
    <definedName name="IQ_PRIVATE_CONST_TOTAL_APR_UNUSED_UNUSED_UNUSED" hidden="1">"c7679"</definedName>
    <definedName name="IQ_PRIVATE_CONST_TOTAL_FC_UNUSED" hidden="1">"c7899"</definedName>
    <definedName name="IQ_PRIVATE_CONST_TOTAL_FC_UNUSED_UNUSED_UNUSED" hidden="1">"c7899"</definedName>
    <definedName name="IQ_PRIVATE_CONST_TOTAL_POP_FC_UNUSED" hidden="1">"c8119"</definedName>
    <definedName name="IQ_PRIVATE_CONST_TOTAL_POP_FC_UNUSED_UNUSED_UNUSED" hidden="1">"c8119"</definedName>
    <definedName name="IQ_PRIVATE_CONST_TOTAL_POP_UNUSED" hidden="1">"c7239"</definedName>
    <definedName name="IQ_PRIVATE_CONST_TOTAL_POP_UNUSED_UNUSED_UNUSED" hidden="1">"c7239"</definedName>
    <definedName name="IQ_PRIVATE_CONST_TOTAL_UNUSED" hidden="1">"c7019"</definedName>
    <definedName name="IQ_PRIVATE_CONST_TOTAL_UNUSED_UNUSED_UNUSED" hidden="1">"c7019"</definedName>
    <definedName name="IQ_PRIVATE_CONST_TOTAL_YOY_FC_UNUSED" hidden="1">"c8339"</definedName>
    <definedName name="IQ_PRIVATE_CONST_TOTAL_YOY_FC_UNUSED_UNUSED_UNUSED" hidden="1">"c8339"</definedName>
    <definedName name="IQ_PRIVATE_CONST_TOTAL_YOY_UNUSED" hidden="1">"c7459"</definedName>
    <definedName name="IQ_PRIVATE_CONST_TOTAL_YOY_UNUSED_UNUSED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 hidden="1">"c8535"</definedName>
    <definedName name="IQ_PRIVATE_RES_CONST_REAL_APR_FC_UNUSED_UNUSED_UNUSED" hidden="1">"c8535"</definedName>
    <definedName name="IQ_PRIVATE_RES_CONST_REAL_APR_UNUSED" hidden="1">"c7655"</definedName>
    <definedName name="IQ_PRIVATE_RES_CONST_REAL_APR_UNUSED_UNUSED_UNUSED" hidden="1">"c7655"</definedName>
    <definedName name="IQ_PRIVATE_RES_CONST_REAL_FC_UNUSED" hidden="1">"c7875"</definedName>
    <definedName name="IQ_PRIVATE_RES_CONST_REAL_FC_UNUSED_UNUSED_UNUSED" hidden="1">"c7875"</definedName>
    <definedName name="IQ_PRIVATE_RES_CONST_REAL_POP_FC_UNUSED" hidden="1">"c8095"</definedName>
    <definedName name="IQ_PRIVATE_RES_CONST_REAL_POP_FC_UNUSED_UNUSED_UNUSED" hidden="1">"c8095"</definedName>
    <definedName name="IQ_PRIVATE_RES_CONST_REAL_POP_UNUSED" hidden="1">"c7215"</definedName>
    <definedName name="IQ_PRIVATE_RES_CONST_REAL_POP_UNUSED_UNUSED_UNUSED" hidden="1">"c7215"</definedName>
    <definedName name="IQ_PRIVATE_RES_CONST_REAL_UNUSED" hidden="1">"c6995"</definedName>
    <definedName name="IQ_PRIVATE_RES_CONST_REAL_UNUSED_UNUSED_UNUSED" hidden="1">"c6995"</definedName>
    <definedName name="IQ_PRIVATE_RES_CONST_REAL_YOY_FC_UNUSED" hidden="1">"c8315"</definedName>
    <definedName name="IQ_PRIVATE_RES_CONST_REAL_YOY_FC_UNUSED_UNUSED_UNUSED" hidden="1">"c8315"</definedName>
    <definedName name="IQ_PRIVATE_RES_CONST_REAL_YOY_UNUSED" hidden="1">"c7435"</definedName>
    <definedName name="IQ_PRIVATE_RES_CONST_REAL_YOY_UNUSED_UNUSED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BABLE_RESERVES_TO_TOTAL_RESERVES_COAL" hidden="1">"c15953"</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DUCTION_TO_SOLD_COAL" hidden="1">"c15945"</definedName>
    <definedName name="IQ_PROFESSIONAL" hidden="1">"c1071"</definedName>
    <definedName name="IQ_PROFESSIONAL_ALL_OTHER_COMP" hidden="1">"c18944"</definedName>
    <definedName name="IQ_PROFESSIONAL_ANNUAL_CASH_COMP" hidden="1">"c18945"</definedName>
    <definedName name="IQ_PROFESSIONAL_AS_REPORTED_COMP" hidden="1">"c18949"</definedName>
    <definedName name="IQ_PROFESSIONAL_AS_REPORTED_DIRECTOR_COMP" hidden="1">"c18961"</definedName>
    <definedName name="IQ_PROFESSIONAL_ASSISTANT_EMAIL" hidden="1">"c15169"</definedName>
    <definedName name="IQ_PROFESSIONAL_ASSISTANT_FAX" hidden="1">"c15171"</definedName>
    <definedName name="IQ_PROFESSIONAL_ASSISTANT_NAME" hidden="1">"c15168"</definedName>
    <definedName name="IQ_PROFESSIONAL_ASSISTANT_PHONE" hidden="1">"c15170"</definedName>
    <definedName name="IQ_PROFESSIONAL_BACKGROUND" hidden="1">"c15161"</definedName>
    <definedName name="IQ_PROFESSIONAL_BONUS" hidden="1">"c18940"</definedName>
    <definedName name="IQ_PROFESSIONAL_CALCULATED_COMP" hidden="1">"c18947"</definedName>
    <definedName name="IQ_PROFESSIONAL_CHANGE_PENSION" hidden="1">"c18962"</definedName>
    <definedName name="IQ_PROFESSIONAL_DIRECT_FAX" hidden="1">"c15166"</definedName>
    <definedName name="IQ_PROFESSIONAL_DIRECT_PHONE" hidden="1">"c15165"</definedName>
    <definedName name="IQ_PROFESSIONAL_DIRECTOR_BONUS" hidden="1">"c18956"</definedName>
    <definedName name="IQ_PROFESSIONAL_DIRECTOR_CHANGE_PENSION" hidden="1">"c18957"</definedName>
    <definedName name="IQ_PROFESSIONAL_DIRECTOR_FEE" hidden="1">"c18953"</definedName>
    <definedName name="IQ_PROFESSIONAL_DIRECTOR_NON_EQUITY_COMP" hidden="1">"c18958"</definedName>
    <definedName name="IQ_PROFESSIONAL_DIRECTOR_OPTION_AWARDS" hidden="1">"c18954"</definedName>
    <definedName name="IQ_PROFESSIONAL_DIRECTOR_OTHER" hidden="1">"c18955"</definedName>
    <definedName name="IQ_PROFESSIONAL_DIRECTOR_STOCK_AWARDS" hidden="1">"c18959"</definedName>
    <definedName name="IQ_PROFESSIONAL_DIRECTOR_STOCK_GRANTS" hidden="1">"c18986"</definedName>
    <definedName name="IQ_PROFESSIONAL_DIRECTOR_STOCK_OPTIONS" hidden="1">"c18960"</definedName>
    <definedName name="IQ_PROFESSIONAL_EMAIL" hidden="1">"c15167"</definedName>
    <definedName name="IQ_PROFESSIONAL_EQUITY_INCENTIVE" hidden="1">"c18982"</definedName>
    <definedName name="IQ_PROFESSIONAL_EST_PAYMENTS_CHANGE_CONTROL" hidden="1">"c18951"</definedName>
    <definedName name="IQ_PROFESSIONAL_EST_PAYMENTS_TERMINATION" hidden="1">"c18963"</definedName>
    <definedName name="IQ_PROFESSIONAL_EXERCISABLE_OPTIONS" hidden="1">"c18966"</definedName>
    <definedName name="IQ_PROFESSIONAL_EXERCISABLE_VALUES" hidden="1">"c18967"</definedName>
    <definedName name="IQ_PROFESSIONAL_EXERCISED_OPTIONS" hidden="1">"c18964"</definedName>
    <definedName name="IQ_PROFESSIONAL_EXERCISED_VALUES" hidden="1">"c18965"</definedName>
    <definedName name="IQ_PROFESSIONAL_ID" hidden="1">"c13755"</definedName>
    <definedName name="IQ_PROFESSIONAL_LT_INCENTIVE" hidden="1">"c18943"</definedName>
    <definedName name="IQ_PROFESSIONAL_MAIN_FAX" hidden="1">"c15164"</definedName>
    <definedName name="IQ_PROFESSIONAL_MAIN_PHONE" hidden="1">"c15163"</definedName>
    <definedName name="IQ_PROFESSIONAL_MARKET_VALUE_SHARES_NOT_VESTED" hidden="1">"c18981"</definedName>
    <definedName name="IQ_PROFESSIONAL_NON_EQUITY_INCENTIVE" hidden="1">"c18952"</definedName>
    <definedName name="IQ_PROFESSIONAL_NUM_SHARED_NOT_VESTED" hidden="1">"c18980"</definedName>
    <definedName name="IQ_PROFESSIONAL_NUM_SHARES_ACQUIRED" hidden="1">"c18978"</definedName>
    <definedName name="IQ_PROFESSIONAL_OFFICE_ADDRESS" hidden="1">"c15162"</definedName>
    <definedName name="IQ_PROFESSIONAL_OPTION_AWARDS" hidden="1">"c18948"</definedName>
    <definedName name="IQ_PROFESSIONAL_OPTION_MARKET_PRICE" hidden="1">"c18977"</definedName>
    <definedName name="IQ_PROFESSIONAL_OPTION_PRICE" hidden="1">"c18976"</definedName>
    <definedName name="IQ_PROFESSIONAL_OTHER_ANNUAL_COMP" hidden="1">"c18941"</definedName>
    <definedName name="IQ_PROFESSIONAL_OTHER_COMP" hidden="1">"c18950"</definedName>
    <definedName name="IQ_PROFESSIONAL_RESTRICTED_STOCK_COMP" hidden="1">"c18942"</definedName>
    <definedName name="IQ_PROFESSIONAL_SALARY" hidden="1">"c18939"</definedName>
    <definedName name="IQ_PROFESSIONAL_ST_COMP" hidden="1">"c18946"</definedName>
    <definedName name="IQ_PROFESSIONAL_TITLE" hidden="1">"c1072"</definedName>
    <definedName name="IQ_PROFESSIONAL_TOTAL_NUM_STOCK_AWARDS" hidden="1">"c18985"</definedName>
    <definedName name="IQ_PROFESSIONAL_TOTAL_OPTIONS" hidden="1">"c18974"</definedName>
    <definedName name="IQ_PROFESSIONAL_TOTAL_STOCK_VALUE" hidden="1">"c18984"</definedName>
    <definedName name="IQ_PROFESSIONAL_TOTAL_VALUE_OPTIONS" hidden="1">"c18975"</definedName>
    <definedName name="IQ_PROFESSIONAL_UNCLASSIFIED_OPTIONS" hidden="1">"c18970"</definedName>
    <definedName name="IQ_PROFESSIONAL_UNCLASSIFIED_OPTIONS_VALUE" hidden="1">"c18971"</definedName>
    <definedName name="IQ_PROFESSIONAL_UNEARNED_STOCK_VALUE" hidden="1">"c18983"</definedName>
    <definedName name="IQ_PROFESSIONAL_UNEXERCISABLE_OPTIONS" hidden="1">"c18968"</definedName>
    <definedName name="IQ_PROFESSIONAL_UNEXERCISABLE_VALUES" hidden="1">"c18969"</definedName>
    <definedName name="IQ_PROFESSIONAL_UNEXERCISED_UNEARNED_OPTIONS" hidden="1">"c18972"</definedName>
    <definedName name="IQ_PROFESSIONAL_UNEXERCISED_UNEARNED_OPTIONS_VALUE" hidden="1">"c18973"</definedName>
    <definedName name="IQ_PROFESSIONAL_VALUE_VESTING" hidden="1">"c18979"</definedName>
    <definedName name="IQ_PROFIT_AFTER_COST_CAPITAL_NEW_BUSINESS" hidden="1">"c9969"</definedName>
    <definedName name="IQ_PROFIT_BEFORE_COST_CAPITAL_NEW_BUSINESS" hidden="1">"c9967"</definedName>
    <definedName name="IQ_PROGRAMMING_COSTS" hidden="1">"c2884"</definedName>
    <definedName name="IQ_PROJECTED_PENSION_OBLIGATION" hidden="1">"c1292"</definedName>
    <definedName name="IQ_PROJECTED_PENSION_OBLIGATION_DOMESTIC" hidden="1">"c2656"</definedName>
    <definedName name="IQ_PROJECTED_PENSION_OBLIGATION_FOREIGN" hidden="1">"c2664"</definedName>
    <definedName name="IQ_PROP_MGMT_EXPENSE" hidden="1">"c16038"</definedName>
    <definedName name="IQ_PROP_MGMT_INCOME" hidden="1">"c16028"</definedName>
    <definedName name="IQ_PROP_OPERATING_EXPENSE" hidden="1">"c16037"</definedName>
    <definedName name="IQ_PROP_RENTAL_REVENUE" hidden="1">"c16019"</definedName>
    <definedName name="IQ_PROP_SALES_EXPENSE" hidden="1">"c16044"</definedName>
    <definedName name="IQ_PROPERTY_EXP" hidden="1">"c1073"</definedName>
    <definedName name="IQ_PROPERTY_GROSS" hidden="1">"c1379"</definedName>
    <definedName name="IQ_PROPERTY_MGMT_FEE" hidden="1">"c1074"</definedName>
    <definedName name="IQ_PROPERTY_NET" hidden="1">"c1402"</definedName>
    <definedName name="IQ_PROPERTY_TAX_INSURANCE" hidden="1">"c16033"</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EN_RESERVES_TO_TOTAL_RESERVES_COAL" hidden="1">"c15952"</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AVG_LOANS" hidden="1">"c15717"</definedName>
    <definedName name="IQ_PROVISION_CHARGE_OFFS" hidden="1">"c1083"</definedName>
    <definedName name="IQ_PROVISION_LL_FFIEC" hidden="1">"c13019"</definedName>
    <definedName name="IQ_PROVISION_LOAN_LOSS_AVG_ASSETS_FFIEC" hidden="1">"c18879"</definedName>
    <definedName name="IQ_PROVISION_LOSSES_AVG_ASSETS_FFIEC" hidden="1">"c13362"</definedName>
    <definedName name="IQ_PROVISION_LOSSES_AVG_LOANS_FFIEC" hidden="1">"c13470"</definedName>
    <definedName name="IQ_PROVISION_LOSSES_NET_LOSSES_FFIEC" hidden="1">"c13471"</definedName>
    <definedName name="IQ_PSGR_REV" hidden="1">"c19125"</definedName>
    <definedName name="IQ_PTBV" hidden="1">"c1084"</definedName>
    <definedName name="IQ_PTBV_AVG" hidden="1">"c1085"</definedName>
    <definedName name="IQ_PURCHASE_FOREIGN_CURRENCIES_FDIC" hidden="1">"c6513"</definedName>
    <definedName name="IQ_PURCHASE_TREASURY_FFIEC" hidden="1">"c12966"</definedName>
    <definedName name="IQ_PURCHASED_COAL" hidden="1">"c15934"</definedName>
    <definedName name="IQ_PURCHASED_CREDIT_RELS_SERVICING_ASSETS_FFIEC" hidden="1">"c12839"</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D_PRODUCTION_TO_SOLD_COAL" hidden="1">"c15947"</definedName>
    <definedName name="IQ_PURCHASED_TO_PRODUCTION_COAL" hidden="1">"c15948"</definedName>
    <definedName name="IQ_PURCHASED_TO_SOLD_COAL" hidden="1">"c15946"</definedName>
    <definedName name="IQ_PURCHASES_EQUIP_NONRES_SAAR_APR_FC_UNUSED" hidden="1">"c8491"</definedName>
    <definedName name="IQ_PURCHASES_EQUIP_NONRES_SAAR_APR_FC_UNUSED_UNUSED_UNUSED" hidden="1">"c8491"</definedName>
    <definedName name="IQ_PURCHASES_EQUIP_NONRES_SAAR_APR_UNUSED" hidden="1">"c7611"</definedName>
    <definedName name="IQ_PURCHASES_EQUIP_NONRES_SAAR_APR_UNUSED_UNUSED_UNUSED" hidden="1">"c7611"</definedName>
    <definedName name="IQ_PURCHASES_EQUIP_NONRES_SAAR_FC_UNUSED" hidden="1">"c7831"</definedName>
    <definedName name="IQ_PURCHASES_EQUIP_NONRES_SAAR_FC_UNUSED_UNUSED_UNUSED" hidden="1">"c7831"</definedName>
    <definedName name="IQ_PURCHASES_EQUIP_NONRES_SAAR_POP_FC_UNUSED" hidden="1">"c8051"</definedName>
    <definedName name="IQ_PURCHASES_EQUIP_NONRES_SAAR_POP_FC_UNUSED_UNUSED_UNUSED" hidden="1">"c8051"</definedName>
    <definedName name="IQ_PURCHASES_EQUIP_NONRES_SAAR_POP_UNUSED" hidden="1">"c7171"</definedName>
    <definedName name="IQ_PURCHASES_EQUIP_NONRES_SAAR_POP_UNUSED_UNUSED_UNUSED" hidden="1">"c7171"</definedName>
    <definedName name="IQ_PURCHASES_EQUIP_NONRES_SAAR_UNUSED" hidden="1">"c6951"</definedName>
    <definedName name="IQ_PURCHASES_EQUIP_NONRES_SAAR_UNUSED_UNUSED_UNUSED" hidden="1">"c6951"</definedName>
    <definedName name="IQ_PURCHASES_EQUIP_NONRES_SAAR_YOY_FC_UNUSED" hidden="1">"c8271"</definedName>
    <definedName name="IQ_PURCHASES_EQUIP_NONRES_SAAR_YOY_FC_UNUSED_UNUSED_UNUSED" hidden="1">"c8271"</definedName>
    <definedName name="IQ_PURCHASES_EQUIP_NONRES_SAAR_YOY_UNUSED" hidden="1">"c7391"</definedName>
    <definedName name="IQ_PURCHASES_EQUIP_NONRES_SAAR_YOY_UNUSED_UNUSED_UNUSED" hidden="1">"c7391"</definedName>
    <definedName name="IQ_PURCHASING_SECURITIES_LL_REC_FFIEC" hidden="1">"c12893"</definedName>
    <definedName name="IQ_PUT_DATE_SCHEDULE" hidden="1">"c2483"</definedName>
    <definedName name="IQ_PUT_NOTIFICATION" hidden="1">"c2485"</definedName>
    <definedName name="IQ_PUT_PRICE_SCHEDULE" hidden="1">"c2484"</definedName>
    <definedName name="IQ_PV_PREMIUMS_NEW_BUSINESS" hidden="1">"c9973"</definedName>
    <definedName name="IQ_QTD" hidden="1">750000</definedName>
    <definedName name="IQ_QUALIFYING_MINORITY_INT_T1_FFIEC" hidden="1">"c13135"</definedName>
    <definedName name="IQ_QUALIFYING_SUB_DEBT_REDEEM_PREF_T2_FFIEC" hidden="1">"c13144"</definedName>
    <definedName name="IQ_QUALIFYING_TRUST_PREFERRED_T1_FFIEC" hidden="1">"c13136"</definedName>
    <definedName name="IQ_QUICK_COMP" hidden="1">"c13750"</definedName>
    <definedName name="IQ_QUICK_RATIO" hidden="1">"c1086"</definedName>
    <definedName name="IQ_RATE_COMP_GROWTH_DOMESTIC" hidden="1">"c1087"</definedName>
    <definedName name="IQ_RATE_COMP_GROWTH_FOREIGN" hidden="1">"c1088"</definedName>
    <definedName name="IQ_RAW_INV" hidden="1">"c1089"</definedName>
    <definedName name="IQ_RAW_SALEABLE_INVENTORY_COAL" hidden="1">"c15941"</definedName>
    <definedName name="IQ_RC" hidden="1">"c2497"</definedName>
    <definedName name="IQ_RC_PCT" hidden="1">"c2498"</definedName>
    <definedName name="IQ_RD_EXP" hidden="1">"c1090"</definedName>
    <definedName name="IQ_RD_EXP_FN" hidden="1">"c1091"</definedName>
    <definedName name="IQ_RE" hidden="1">"c1092"</definedName>
    <definedName name="IQ_RE_1_4_RISK_BASED_FFIEC" hidden="1">"c13418"</definedName>
    <definedName name="IQ_RE_ACQ_SATISFACTION_DEBTS_FFIEC" hidden="1">"c12832"</definedName>
    <definedName name="IQ_RE_ASSET_DEVELOPMENT_PROP" hidden="1">"c19136"</definedName>
    <definedName name="IQ_RE_ASSET_INVESTMENT_PROP" hidden="1">"c19135"</definedName>
    <definedName name="IQ_RE_ASSET_OTHER_PROP" hidden="1">"c19137"</definedName>
    <definedName name="IQ_RE_ASSET_TOTAL_PROP" hidden="1">"c19138"</definedName>
    <definedName name="IQ_RE_DEPR_AMORT" hidden="1">"c8750"</definedName>
    <definedName name="IQ_RE_DEPRECIATION" hidden="1">"c16045"</definedName>
    <definedName name="IQ_RE_FARMLAND_GROSS_LOANS_FFIEC" hidden="1">"c13408"</definedName>
    <definedName name="IQ_RE_FARMLAND_RISK_BASED_FFIEC" hidden="1">"c13429"</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FOREIGN_FFIEC" hidden="1">"c13479"</definedName>
    <definedName name="IQ_RE_GAIN_LOSS_SALE_ASSETS" hidden="1">"c8751"</definedName>
    <definedName name="IQ_RE_INVEST_FDIC" hidden="1">"c6331"</definedName>
    <definedName name="IQ_RE_LOANS_1_4_GROSS_LOANS_FFIEC" hidden="1">"c13397"</definedName>
    <definedName name="IQ_RE_LOANS_DOM_QUARTERLY_AVG_FFIEC" hidden="1">"c15476"</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LOANS_GROSS_LOANS_FFIEC" hidden="1">"c13396"</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_RENTAL_EXPENSE" hidden="1">"c16036"</definedName>
    <definedName name="IQ_RE_RISK_BASED_FFIEC" hidden="1">"c13417"</definedName>
    <definedName name="IQ_REAL_ESTATE" hidden="1">"c1093"</definedName>
    <definedName name="IQ_REAL_ESTATE_ASSETS" hidden="1">"c1094"</definedName>
    <definedName name="IQ_REALIZED_GAINS_AVAIL_SALE_SEC_FFIEC" hidden="1">"c13022"</definedName>
    <definedName name="IQ_REALIZED_GAINS_HELD_MATURITY_SEC_FFIEC" hidden="1">"c13021"</definedName>
    <definedName name="IQ_REALIZED_GAINS_SEC_TOT_FFIEC" hidden="1">"c13517"</definedName>
    <definedName name="IQ_RECENT_FUNDS" hidden="1">"c18908"</definedName>
    <definedName name="IQ_RECENT_FUNDS_ID" hidden="1">"c18909"</definedName>
    <definedName name="IQ_RECOVERIES_1_4_FAMILY_LOANS_FDIC" hidden="1">"c6707"</definedName>
    <definedName name="IQ_RECOVERIES_AUTO_LOANS_FDIC" hidden="1">"c6701"</definedName>
    <definedName name="IQ_RECOVERIES_AVG_LOANS_FFIEC" hidden="1">"c13476"</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ACT_OR_EST_CIQ" hidden="1">"c5045"</definedName>
    <definedName name="IQ_RECURRING_PROFIT_EST" hidden="1">"c4499"</definedName>
    <definedName name="IQ_RECURRING_PROFIT_GUIDANCE" hidden="1">"c4500"</definedName>
    <definedName name="IQ_RECURRING_PROFIT_GUIDANCE_CIQ" hidden="1">"c5038"</definedName>
    <definedName name="IQ_RECURRING_PROFIT_GUIDANCE_CIQ_COL" hidden="1">"c11685"</definedName>
    <definedName name="IQ_RECURRING_PROFIT_HIGH_EST" hidden="1">"c4501"</definedName>
    <definedName name="IQ_RECURRING_PROFIT_HIGH_GUIDANCE" hidden="1">"c4179"</definedName>
    <definedName name="IQ_RECURRING_PROFIT_HIGH_GUIDANCE_CIQ" hidden="1">"c4591"</definedName>
    <definedName name="IQ_RECURRING_PROFIT_HIGH_GUIDANCE_CIQ_COL" hidden="1">"c11240"</definedName>
    <definedName name="IQ_RECURRING_PROFIT_LOW_EST" hidden="1">"c4502"</definedName>
    <definedName name="IQ_RECURRING_PROFIT_LOW_GUIDANCE" hidden="1">"c4219"</definedName>
    <definedName name="IQ_RECURRING_PROFIT_LOW_GUIDANCE_CIQ" hidden="1">"c4631"</definedName>
    <definedName name="IQ_RECURRING_PROFIT_LOW_GUIDANCE_CIQ_COL" hidden="1">"c11280"</definedName>
    <definedName name="IQ_RECURRING_PROFIT_MEDIAN_EST" hidden="1">"c4503"</definedName>
    <definedName name="IQ_RECURRING_PROFIT_NUM_EST" hidden="1">"c4504"</definedName>
    <definedName name="IQ_RECURRING_PROFIT_SHARE_ACT_OR_EST" hidden="1">"c4508"</definedName>
    <definedName name="IQ_RECURRING_PROFIT_SHARE_ACT_OR_EST_CIQ" hidden="1">"c5046"</definedName>
    <definedName name="IQ_RECURRING_PROFIT_SHARE_EST" hidden="1">"c4506"</definedName>
    <definedName name="IQ_RECURRING_PROFIT_SHARE_GUIDANCE" hidden="1">"c4509"</definedName>
    <definedName name="IQ_RECURRING_PROFIT_SHARE_GUIDANCE_CIQ" hidden="1">"c5047"</definedName>
    <definedName name="IQ_RECURRING_PROFIT_SHARE_GUIDANCE_CIQ_COL" hidden="1">"c11694"</definedName>
    <definedName name="IQ_RECURRING_PROFIT_SHARE_HIGH_EST" hidden="1">"c4510"</definedName>
    <definedName name="IQ_RECURRING_PROFIT_SHARE_HIGH_GUIDANCE" hidden="1">"c4200"</definedName>
    <definedName name="IQ_RECURRING_PROFIT_SHARE_HIGH_GUIDANCE_CIQ" hidden="1">"c4612"</definedName>
    <definedName name="IQ_RECURRING_PROFIT_SHARE_HIGH_GUIDANCE_CIQ_COL" hidden="1">"c11261"</definedName>
    <definedName name="IQ_RECURRING_PROFIT_SHARE_LOW_EST" hidden="1">"c4511"</definedName>
    <definedName name="IQ_RECURRING_PROFIT_SHARE_LOW_GUIDANCE" hidden="1">"c4240"</definedName>
    <definedName name="IQ_RECURRING_PROFIT_SHARE_LOW_GUIDANCE_CIQ" hidden="1">"c4652"</definedName>
    <definedName name="IQ_RECURRING_PROFIT_SHARE_LOW_GUIDANCE_CIQ_COL" hidden="1">"c11301"</definedName>
    <definedName name="IQ_RECURRING_PROFIT_SHARE_MEDIAN_EST" hidden="1">"c4512"</definedName>
    <definedName name="IQ_RECURRING_PROFIT_SHARE_NUM_EST" hidden="1">"c4513"</definedName>
    <definedName name="IQ_RECURRING_PROFIT_SHARE_STDDEV_EST" hidden="1">"c4514"</definedName>
    <definedName name="IQ_RECURRING_PROFIT_STDDEV_EST" hidden="1">"c4516"</definedName>
    <definedName name="IQ_REDEEM_PREF_STOCK" hidden="1">"c1417"</definedName>
    <definedName name="IQ_REDUCTION_TAX_POSITION_CURRENT_YR" hidden="1">"c15734"</definedName>
    <definedName name="IQ_REDUCTION_TAX_POSITION_PRIOR_YRS" hidden="1">"c15736"</definedName>
    <definedName name="IQ_REF_ENTITY" hidden="1">"c6033"</definedName>
    <definedName name="IQ_REF_ENTITY_CIQID" hidden="1">"c6024"</definedName>
    <definedName name="IQ_REF_ENTITY_TICKER" hidden="1">"c6023"</definedName>
    <definedName name="IQ_REG_ASSETS" hidden="1">"c1095"</definedName>
    <definedName name="IQ_REINSTATED" hidden="1">"c16221"</definedName>
    <definedName name="IQ_REINSTATEMENT_DATE" hidden="1">"c16222"</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INSURANCE_RECOVERABLE_ASSETS_LH_FFIEC" hidden="1">"c13104"</definedName>
    <definedName name="IQ_REINSURANCE_RECOVERABLE_ASSETS_PC_FFIEC" hidden="1">"c13098"</definedName>
    <definedName name="IQ_RELATED_PLANS_FDIC" hidden="1">"c6320"</definedName>
    <definedName name="IQ_RENT_AVG_PROP" hidden="1">"c16056"</definedName>
    <definedName name="IQ_RENT_OTHER_INC_FROM_OREO_FFIEC" hidden="1">"c13043"</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_SAFE_DEPOSIT_FFIEC" hidden="1">"c13044"</definedName>
    <definedName name="IQ_RENTAL_NOI" hidden="1">"c16065"</definedName>
    <definedName name="IQ_RENTAL_NOI_AVG_GROSS_PROP" hidden="1">"c16057"</definedName>
    <definedName name="IQ_RENTAL_NOI_TOTAL_RENT_REVENUE" hidden="1">"c16061"</definedName>
    <definedName name="IQ_RENTAL_REV" hidden="1">"c1101"</definedName>
    <definedName name="IQ_REPAIRS_MAINTENANCE" hidden="1">"c16032"</definedName>
    <definedName name="IQ_REPO" hidden="1">"c19133"</definedName>
    <definedName name="IQ_REPRICEABLE_EARNING_ASSETS_INT_SENSITIVITY_FFIEC" hidden="1">"c13093"</definedName>
    <definedName name="IQ_REPRICEABLE_INT_DEPOSITS_INT_SENSITIVITY_FFIEC" hidden="1">"c13094"</definedName>
    <definedName name="IQ_REPURCHASED_REBOOKED_GNMA_DUE_30_89_FFIEC" hidden="1">"c13283"</definedName>
    <definedName name="IQ_REPURCHASED_REBOOKED_GNMA_DUE_90_FFIEC" hidden="1">"c13309"</definedName>
    <definedName name="IQ_REPURCHASED_REBOOKED_GNMA_NON_ACCRUAL_FFIEC" hidden="1">"c13334"</definedName>
    <definedName name="IQ_RES_CONST_REAL_APR_FC_UNUSED" hidden="1">"c8536"</definedName>
    <definedName name="IQ_RES_CONST_REAL_APR_FC_UNUSED_UNUSED_UNUSED" hidden="1">"c8536"</definedName>
    <definedName name="IQ_RES_CONST_REAL_APR_UNUSED" hidden="1">"c7656"</definedName>
    <definedName name="IQ_RES_CONST_REAL_APR_UNUSED_UNUSED_UNUSED" hidden="1">"c7656"</definedName>
    <definedName name="IQ_RES_CONST_REAL_FC_UNUSED" hidden="1">"c7876"</definedName>
    <definedName name="IQ_RES_CONST_REAL_FC_UNUSED_UNUSED_UNUSED" hidden="1">"c7876"</definedName>
    <definedName name="IQ_RES_CONST_REAL_POP_FC_UNUSED" hidden="1">"c8096"</definedName>
    <definedName name="IQ_RES_CONST_REAL_POP_FC_UNUSED_UNUSED_UNUSED" hidden="1">"c8096"</definedName>
    <definedName name="IQ_RES_CONST_REAL_POP_UNUSED" hidden="1">"c7216"</definedName>
    <definedName name="IQ_RES_CONST_REAL_POP_UNUSED_UNUSED_UNUSED" hidden="1">"c7216"</definedName>
    <definedName name="IQ_RES_CONST_REAL_SAAR_APR_FC_UNUSED" hidden="1">"c8537"</definedName>
    <definedName name="IQ_RES_CONST_REAL_SAAR_APR_FC_UNUSED_UNUSED_UNUSED" hidden="1">"c8537"</definedName>
    <definedName name="IQ_RES_CONST_REAL_SAAR_APR_UNUSED" hidden="1">"c7657"</definedName>
    <definedName name="IQ_RES_CONST_REAL_SAAR_APR_UNUSED_UNUSED_UNUSED" hidden="1">"c7657"</definedName>
    <definedName name="IQ_RES_CONST_REAL_SAAR_FC_UNUSED" hidden="1">"c7877"</definedName>
    <definedName name="IQ_RES_CONST_REAL_SAAR_FC_UNUSED_UNUSED_UNUSED" hidden="1">"c7877"</definedName>
    <definedName name="IQ_RES_CONST_REAL_SAAR_POP_FC_UNUSED" hidden="1">"c8097"</definedName>
    <definedName name="IQ_RES_CONST_REAL_SAAR_POP_FC_UNUSED_UNUSED_UNUSED" hidden="1">"c8097"</definedName>
    <definedName name="IQ_RES_CONST_REAL_SAAR_POP_UNUSED" hidden="1">"c7217"</definedName>
    <definedName name="IQ_RES_CONST_REAL_SAAR_POP_UNUSED_UNUSED_UNUSED" hidden="1">"c7217"</definedName>
    <definedName name="IQ_RES_CONST_REAL_SAAR_UNUSED" hidden="1">"c6997"</definedName>
    <definedName name="IQ_RES_CONST_REAL_SAAR_UNUSED_UNUSED_UNUSED" hidden="1">"c6997"</definedName>
    <definedName name="IQ_RES_CONST_REAL_SAAR_YOY_FC_UNUSED" hidden="1">"c8317"</definedName>
    <definedName name="IQ_RES_CONST_REAL_SAAR_YOY_FC_UNUSED_UNUSED_UNUSED" hidden="1">"c8317"</definedName>
    <definedName name="IQ_RES_CONST_REAL_SAAR_YOY_UNUSED" hidden="1">"c7437"</definedName>
    <definedName name="IQ_RES_CONST_REAL_SAAR_YOY_UNUSED_UNUSED_UNUSED" hidden="1">"c7437"</definedName>
    <definedName name="IQ_RES_CONST_REAL_UNUSED" hidden="1">"c6996"</definedName>
    <definedName name="IQ_RES_CONST_REAL_UNUSED_UNUSED_UNUSED" hidden="1">"c6996"</definedName>
    <definedName name="IQ_RES_CONST_REAL_YOY_FC_UNUSED" hidden="1">"c8316"</definedName>
    <definedName name="IQ_RES_CONST_REAL_YOY_FC_UNUSED_UNUSED_UNUSED" hidden="1">"c8316"</definedName>
    <definedName name="IQ_RES_CONST_REAL_YOY_UNUSED" hidden="1">"c7436"</definedName>
    <definedName name="IQ_RES_CONST_REAL_YOY_UNUSED_UNUSED_UNUSED" hidden="1">"c7436"</definedName>
    <definedName name="IQ_RES_CONST_SAAR_APR_FC_UNUSED" hidden="1">"c8540"</definedName>
    <definedName name="IQ_RES_CONST_SAAR_APR_FC_UNUSED_UNUSED_UNUSED" hidden="1">"c8540"</definedName>
    <definedName name="IQ_RES_CONST_SAAR_APR_UNUSED" hidden="1">"c7660"</definedName>
    <definedName name="IQ_RES_CONST_SAAR_APR_UNUSED_UNUSED_UNUSED" hidden="1">"c7660"</definedName>
    <definedName name="IQ_RES_CONST_SAAR_FC_UNUSED" hidden="1">"c7880"</definedName>
    <definedName name="IQ_RES_CONST_SAAR_FC_UNUSED_UNUSED_UNUSED" hidden="1">"c7880"</definedName>
    <definedName name="IQ_RES_CONST_SAAR_POP_FC_UNUSED" hidden="1">"c8100"</definedName>
    <definedName name="IQ_RES_CONST_SAAR_POP_FC_UNUSED_UNUSED_UNUSED" hidden="1">"c8100"</definedName>
    <definedName name="IQ_RES_CONST_SAAR_POP_UNUSED" hidden="1">"c7220"</definedName>
    <definedName name="IQ_RES_CONST_SAAR_POP_UNUSED_UNUSED_UNUSED" hidden="1">"c7220"</definedName>
    <definedName name="IQ_RES_CONST_SAAR_UNUSED" hidden="1">"c7000"</definedName>
    <definedName name="IQ_RES_CONST_SAAR_UNUSED_UNUSED_UNUSED" hidden="1">"c7000"</definedName>
    <definedName name="IQ_RES_CONST_SAAR_YOY_FC_UNUSED" hidden="1">"c8320"</definedName>
    <definedName name="IQ_RES_CONST_SAAR_YOY_FC_UNUSED_UNUSED_UNUSED" hidden="1">"c8320"</definedName>
    <definedName name="IQ_RES_CONST_SAAR_YOY_UNUSED" hidden="1">"c7440"</definedName>
    <definedName name="IQ_RES_CONST_SAAR_YOY_UNUSED_UNUSED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hidden="1">"c1419"</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FFIEC" hidden="1">"c12958"</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SUPPLE" hidden="1">"c13809"</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"c2895"</definedName>
    <definedName name="IQ_RETAIL_ACQUIRED_FRANCHISE_STORES_1" hidden="1">"c2895"</definedName>
    <definedName name="IQ_RETAIL_ACQUIRED_OWNED_STORES" hidden="1">"c2903"</definedName>
    <definedName name="IQ_RETAIL_ACQUIRED_OWNED_STORES_1" hidden="1">"c2903"</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ATALOG_REVENUES" hidden="1">"c9903"</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NLINE_REVENUES" hidden="1">"c9904"</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REVENUES" hidden="1">"c9902"</definedName>
    <definedName name="IQ_RETAIL_SALES" hidden="1">"c7003"</definedName>
    <definedName name="IQ_RETAIL_SALES_APR" hidden="1">"c7663"</definedName>
    <definedName name="IQ_RETAIL_SALES_APR_FC" hidden="1">"c8543"</definedName>
    <definedName name="IQ_RETAIL_SALES_CATALOG" hidden="1">"c9903"</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"c9904"</definedName>
    <definedName name="IQ_RETAIL_SALES_POP" hidden="1">"c7223"</definedName>
    <definedName name="IQ_RETAIL_SALES_POP_FC" hidden="1">"c8103"</definedName>
    <definedName name="IQ_RETAIL_SALES_RETAIL" hidden="1">"c9902"</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L_WHOLESALE_REVENUES" hidden="1">"c15895"</definedName>
    <definedName name="IQ_RETAINED_EARN" hidden="1">"c1420"</definedName>
    <definedName name="IQ_RETAINED_EARNINGS_AVERAGE_EQUITY_FDIC" hidden="1">"c6733"</definedName>
    <definedName name="IQ_RETAINED_EARNINGS_EQUITY_FFIEC" hidden="1">"c13348"</definedName>
    <definedName name="IQ_RETAINED_EARNINGS_FFIEC" hidden="1">"c12878"</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DET_EST" hidden="1">"c12066"</definedName>
    <definedName name="IQ_RETURN_ASSETS_DET_EST_DATE" hidden="1">"c12219"</definedName>
    <definedName name="IQ_RETURN_ASSETS_DET_EST_DATE_THOM" hidden="1">"c12247"</definedName>
    <definedName name="IQ_RETURN_ASSETS_DET_EST_INCL" hidden="1">"c12356"</definedName>
    <definedName name="IQ_RETURN_ASSETS_DET_EST_INCL_THOM" hidden="1">"c12379"</definedName>
    <definedName name="IQ_RETURN_ASSETS_DET_EST_ORIGIN" hidden="1">"c12591"</definedName>
    <definedName name="IQ_RETURN_ASSETS_DET_EST_ORIGIN_THOM" hidden="1">"c12617"</definedName>
    <definedName name="IQ_RETURN_ASSETS_DET_EST_THOM" hidden="1">"c12097"</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GUIDANCE" hidden="1">"c4517"</definedName>
    <definedName name="IQ_RETURN_ASSETS_GUIDANCE_CIQ" hidden="1">"c5055"</definedName>
    <definedName name="IQ_RETURN_ASSETS_GUIDANCE_CIQ_COL" hidden="1">"c11702"</definedName>
    <definedName name="IQ_RETURN_ASSETS_HIGH_EST" hidden="1">"c3530"</definedName>
    <definedName name="IQ_RETURN_ASSETS_HIGH_EST_THOM" hidden="1">"c4036"</definedName>
    <definedName name="IQ_RETURN_ASSETS_HIGH_GUIDANCE" hidden="1">"c4183"</definedName>
    <definedName name="IQ_RETURN_ASSETS_HIGH_GUIDANCE_CIQ" hidden="1">"c4595"</definedName>
    <definedName name="IQ_RETURN_ASSETS_HIGH_GUIDANCE_CIQ_COL" hidden="1">"c11244"</definedName>
    <definedName name="IQ_RETURN_ASSETS_LOW_EST" hidden="1">"c3531"</definedName>
    <definedName name="IQ_RETURN_ASSETS_LOW_EST_THOM" hidden="1">"c4037"</definedName>
    <definedName name="IQ_RETURN_ASSETS_LOW_GUIDANCE" hidden="1">"c4223"</definedName>
    <definedName name="IQ_RETURN_ASSETS_LOW_GUIDANCE_CIQ" hidden="1">"c4635"</definedName>
    <definedName name="IQ_RETURN_ASSETS_LOW_GUIDANCE_CIQ_COL" hidden="1">"c11284"</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COMMON_EQUITY" hidden="1">"c13838"</definedName>
    <definedName name="IQ_RETURN_EMBEDDED_VALUE" hidden="1">"c9974"</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DET_EST" hidden="1">"c12067"</definedName>
    <definedName name="IQ_RETURN_EQUITY_DET_EST_DATE" hidden="1">"c12220"</definedName>
    <definedName name="IQ_RETURN_EQUITY_DET_EST_DATE_THOM" hidden="1">"c12248"</definedName>
    <definedName name="IQ_RETURN_EQUITY_DET_EST_INCL" hidden="1">"c12357"</definedName>
    <definedName name="IQ_RETURN_EQUITY_DET_EST_INCL_THOM" hidden="1">"c12380"</definedName>
    <definedName name="IQ_RETURN_EQUITY_DET_EST_ORIGIN" hidden="1">"c12592"</definedName>
    <definedName name="IQ_RETURN_EQUITY_DET_EST_ORIGIN_THOM" hidden="1">"c12618"</definedName>
    <definedName name="IQ_RETURN_EQUITY_DET_EST_THOM" hidden="1">"c12098"</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GUIDANCE" hidden="1">"c4518"</definedName>
    <definedName name="IQ_RETURN_EQUITY_GUIDANCE_CIQ" hidden="1">"c5056"</definedName>
    <definedName name="IQ_RETURN_EQUITY_GUIDANCE_CIQ_COL" hidden="1">"c11703"</definedName>
    <definedName name="IQ_RETURN_EQUITY_HIGH_EST" hidden="1">"c3536"</definedName>
    <definedName name="IQ_RETURN_EQUITY_HIGH_EST_THOM" hidden="1">"c5283"</definedName>
    <definedName name="IQ_RETURN_EQUITY_HIGH_GUIDANCE" hidden="1">"c4182"</definedName>
    <definedName name="IQ_RETURN_EQUITY_HIGH_GUIDANCE_CIQ" hidden="1">"c4594"</definedName>
    <definedName name="IQ_RETURN_EQUITY_HIGH_GUIDANCE_CIQ_COL" hidden="1">"c11243"</definedName>
    <definedName name="IQ_RETURN_EQUITY_LOW_EST" hidden="1">"c3537"</definedName>
    <definedName name="IQ_RETURN_EQUITY_LOW_EST_THOM" hidden="1">"c5284"</definedName>
    <definedName name="IQ_RETURN_EQUITY_LOW_GUIDANCE" hidden="1">"c4222"</definedName>
    <definedName name="IQ_RETURN_EQUITY_LOW_GUIDANCE_CIQ" hidden="1">"c4634"</definedName>
    <definedName name="IQ_RETURN_EQUITY_LOW_GUIDANCE_CIQ_COL" hidden="1">"c11283"</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"c1421"</definedName>
    <definedName name="IQ_REV" hidden="1">"c1122"</definedName>
    <definedName name="IQ_REV_AP" hidden="1">"c8873"</definedName>
    <definedName name="IQ_REV_AP_ABS" hidden="1">"c8892"</definedName>
    <definedName name="IQ_REV_BEFORE_LL" hidden="1">"c1123"</definedName>
    <definedName name="IQ_REV_BEFORE_LOAN_LOSS_FOREIGN_FFIEC" hidden="1">"c15381"</definedName>
    <definedName name="IQ_REV_DET_EST" hidden="1">"c12065"</definedName>
    <definedName name="IQ_REV_DET_EST_CURRENCY" hidden="1">"c12472"</definedName>
    <definedName name="IQ_REV_DET_EST_CURRENCY_THOM" hidden="1">"c12495"</definedName>
    <definedName name="IQ_REV_DET_EST_DATE" hidden="1">"c12218"</definedName>
    <definedName name="IQ_REV_DET_EST_DATE_THOM" hidden="1">"c12246"</definedName>
    <definedName name="IQ_REV_DET_EST_INCL" hidden="1">"c12355"</definedName>
    <definedName name="IQ_REV_DET_EST_INCL_THOM" hidden="1">"c12378"</definedName>
    <definedName name="IQ_REV_DET_EST_ORIGIN" hidden="1">"c12590"</definedName>
    <definedName name="IQ_REV_DET_EST_ORIGIN_THOM" hidden="1">"c12616"</definedName>
    <definedName name="IQ_REV_DET_EST_THOM" hidden="1">"c12096"</definedName>
    <definedName name="IQ_REV_NAME_AP" hidden="1">"c8911"</definedName>
    <definedName name="IQ_REV_NAME_AP_ABS" hidden="1">"c8930"</definedName>
    <definedName name="IQ_REV_STDDEV_EST" hidden="1">"c1124"</definedName>
    <definedName name="IQ_REV_STDDEV_EST_CIQ" hidden="1">"c3621"</definedName>
    <definedName name="IQ_REV_STDDEV_EST_REUT" hidden="1">"c3639"</definedName>
    <definedName name="IQ_REV_STDDEV_EST_THOM" hidden="1">"c3657"</definedName>
    <definedName name="IQ_REV_UTI" hidden="1">"c1125"</definedName>
    <definedName name="IQ_REVALUATION_GAINS_DERIVATIVE_DOM_FFIEC" hidden="1">"c12828"</definedName>
    <definedName name="IQ_REVALUATION_GAINS_DERIVATIVE_FOREIGN_FFIEC" hidden="1">"c12829"</definedName>
    <definedName name="IQ_REVALUATION_GAINS_FDIC" hidden="1">"c6428"</definedName>
    <definedName name="IQ_REVALUATION_LOSSES_FDIC" hidden="1">"c6429"</definedName>
    <definedName name="IQ_REVALUATION_NON_TRADING_PROP" hidden="1">"c15999"</definedName>
    <definedName name="IQ_REVENUE" hidden="1">"c1422"</definedName>
    <definedName name="IQ_REVENUE_ACT_OR_EST" hidden="1">"c2214"</definedName>
    <definedName name="IQ_REVENUE_ACT_OR_EST_CIQ" hidden="1">"c5059"</definedName>
    <definedName name="IQ_REVENUE_ACT_OR_EST_THOM" hidden="1">"c5299"</definedName>
    <definedName name="IQ_REVENUE_ADVERTISING" hidden="1">"c2880"</definedName>
    <definedName name="IQ_REVENUE_ANALOG_CABLE" hidden="1">"c2875"</definedName>
    <definedName name="IQ_REVENUE_BASIC_CABLE" hidden="1">"c2877"</definedName>
    <definedName name="IQ_REVENUE_BBAND" hidden="1">"c2878"</definedName>
    <definedName name="IQ_REVENUE_BEFORE_LL_FFIEC" hidden="1">"c13018"</definedName>
    <definedName name="IQ_REVENUE_COMMERCIAL" hidden="1">"c2881"</definedName>
    <definedName name="IQ_REVENUE_DIGITAL_CABLE" hidden="1">"c2876"</definedName>
    <definedName name="IQ_REVENUE_EST" hidden="1">"c1126"</definedName>
    <definedName name="IQ_REVENUE_EST_BOTTOM_UP" hidden="1">"c5488"</definedName>
    <definedName name="IQ_REVENUE_EST_BOTTOM_UP_CIQ" hidden="1">"c12025"</definedName>
    <definedName name="IQ_REVENUE_EST_CIQ" hidden="1">"c3616"</definedName>
    <definedName name="IQ_REVENUE_EST_REUT" hidden="1">"c3634"</definedName>
    <definedName name="IQ_REVENUE_EST_THOM" hidden="1">"c3652"</definedName>
    <definedName name="IQ_REVENUE_GUIDANCE" hidden="1">"c4519"</definedName>
    <definedName name="IQ_REVENUE_GUIDANCE_CIQ" hidden="1">"c5057"</definedName>
    <definedName name="IQ_REVENUE_GUIDANCE_CIQ_COL" hidden="1">"c11704"</definedName>
    <definedName name="IQ_REVENUE_HIGH_EST" hidden="1">"c1127"</definedName>
    <definedName name="IQ_REVENUE_HIGH_EST_CIQ" hidden="1">"c3618"</definedName>
    <definedName name="IQ_REVENUE_HIGH_EST_REUT" hidden="1">"c3636"</definedName>
    <definedName name="IQ_REVENUE_HIGH_EST_THOM" hidden="1">"c3654"</definedName>
    <definedName name="IQ_REVENUE_HIGH_GUIDANCE" hidden="1">"c4169"</definedName>
    <definedName name="IQ_REVENUE_HIGH_GUIDANCE_CIQ" hidden="1">"c4581"</definedName>
    <definedName name="IQ_REVENUE_HIGH_GUIDANCE_CIQ_COL" hidden="1">"c11230"</definedName>
    <definedName name="IQ_REVENUE_LOW_EST" hidden="1">"c1128"</definedName>
    <definedName name="IQ_REVENUE_LOW_EST_CIQ" hidden="1">"c3619"</definedName>
    <definedName name="IQ_REVENUE_LOW_EST_REUT" hidden="1">"c3637"</definedName>
    <definedName name="IQ_REVENUE_LOW_EST_THOM" hidden="1">"c3655"</definedName>
    <definedName name="IQ_REVENUE_LOW_GUIDANCE" hidden="1">"c4209"</definedName>
    <definedName name="IQ_REVENUE_LOW_GUIDANCE_CIQ" hidden="1">"c4621"</definedName>
    <definedName name="IQ_REVENUE_LOW_GUIDANCE_CIQ_COL" hidden="1">"c11270"</definedName>
    <definedName name="IQ_REVENUE_MEDIAN_EST" hidden="1">"c1662"</definedName>
    <definedName name="IQ_REVENUE_MEDIAN_EST_CIQ" hidden="1">"c3617"</definedName>
    <definedName name="IQ_REVENUE_MEDIAN_EST_REUT" hidden="1">"c3635"</definedName>
    <definedName name="IQ_REVENUE_MEDIAN_EST_THOM" hidden="1">"c3653"</definedName>
    <definedName name="IQ_REVENUE_NUM_EST" hidden="1">"c1129"</definedName>
    <definedName name="IQ_REVENUE_NUM_EST_CIQ" hidden="1">"c3620"</definedName>
    <definedName name="IQ_REVENUE_NUM_EST_REUT" hidden="1">"c3638"</definedName>
    <definedName name="IQ_REVENUE_NUM_EST_THOM" hidden="1">"c3656"</definedName>
    <definedName name="IQ_REVENUE_OTHER" hidden="1">"c2882"</definedName>
    <definedName name="IQ_REVENUE_PHONE" hidden="1">"c2879"</definedName>
    <definedName name="IQ_REVENUE_TOTAL" hidden="1">"c2883"</definedName>
    <definedName name="IQ_REVENUES_SATELLITE" hidden="1">"c15792"</definedName>
    <definedName name="IQ_REVENUES_WIRELESS" hidden="1">"c15793"</definedName>
    <definedName name="IQ_REVERSE_REPO" hidden="1">"c19131"</definedName>
    <definedName name="IQ_REVISION_DATE_" localSheetId="1" hidden="1">39358.4284837963</definedName>
    <definedName name="IQ_REVISION_DATE_" hidden="1">39489.6256597222</definedName>
    <definedName name="IQ_REVISION_DATE__1" hidden="1">39358.4284837963</definedName>
    <definedName name="IQ_REVOLV_OPEN_SECURED_1_4_LL_REC_DOM_FFIEC" hidden="1">"c12902"</definedName>
    <definedName name="IQ_REVOLVING_HOME_EQUITY_LINES_UNUSED_FFIEC" hidden="1">"c13241"</definedName>
    <definedName name="IQ_REVOLVING_LOANS_GROSS_LOANS_FFIEC" hidden="1">"c13398"</definedName>
    <definedName name="IQ_REVOLVING_LOANS_RISK_BASED_FFIEC" hidden="1">"c13419"</definedName>
    <definedName name="IQ_REVOLVING_LOANS_SEC_1_4_DOM_CHARGE_OFFS_FFIEC" hidden="1">"c13168"</definedName>
    <definedName name="IQ_REVOLVING_LOANS_SEC_1_4_DOM_RECOV_FFIEC" hidden="1">"c13190"</definedName>
    <definedName name="IQ_REVOLVING_OPEN_END_1_4_TRADING_DOM_FFIEC" hidden="1">"c12927"</definedName>
    <definedName name="IQ_REVOLVING_SECURED_1_4_DUE_30_89_FFIEC" hidden="1">"c13260"</definedName>
    <definedName name="IQ_REVOLVING_SECURED_1_4_DUE_90_FFIEC" hidden="1">"c13288"</definedName>
    <definedName name="IQ_REVOLVING_SECURED_1_4_NON_ACCRUAL_FFIEC" hidden="1">"c13314"</definedName>
    <definedName name="IQ_RGU" hidden="1">"c2863"</definedName>
    <definedName name="IQ_RISK_ADJ_BANK_ASSETS" hidden="1">"c2670"</definedName>
    <definedName name="IQ_RISK_WEIGHTED_ASSETS_0_PCT_FFIEC" hidden="1">"c18874"</definedName>
    <definedName name="IQ_RISK_WEIGHTED_ASSETS_100_PCT_FFIEC" hidden="1">"c18877"</definedName>
    <definedName name="IQ_RISK_WEIGHTED_ASSETS_20_PCT_FFIEC" hidden="1">"c18875"</definedName>
    <definedName name="IQ_RISK_WEIGHTED_ASSETS_50_PCT_FFIEC" hidden="1">"c18876"</definedName>
    <definedName name="IQ_RISK_WEIGHTED_ASSETS_FDIC" hidden="1">"c6370"</definedName>
    <definedName name="IQ_ROAM_MIN_USE_OTHER_CARRIERS" hidden="1">"c15765"</definedName>
    <definedName name="IQ_ROYALTIES_DUE_AFTER_FIVE" hidden="1">"c15969"</definedName>
    <definedName name="IQ_ROYALTIES_DUE_CY" hidden="1">"c15964"</definedName>
    <definedName name="IQ_ROYALTIES_DUE_CY1" hidden="1">"c15965"</definedName>
    <definedName name="IQ_ROYALTIES_DUE_CY2" hidden="1">"c15966"</definedName>
    <definedName name="IQ_ROYALTIES_DUE_CY3" hidden="1">"c15967"</definedName>
    <definedName name="IQ_ROYALTIES_DUE_CY4" hidden="1">"c15968"</definedName>
    <definedName name="IQ_ROYALTY_REVENUE_COAL" hidden="1">"c15932"</definedName>
    <definedName name="IQ_RSI" hidden="1">"c12704"</definedName>
    <definedName name="IQ_RSI_ADJ" hidden="1">"c12705"</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IES_EMPLOYEE_BENEFITS_FFIEC" hidden="1">"c13023"</definedName>
    <definedName name="IQ_SALARIES_OTHER_BENEFITS" hidden="1">"c16176"</definedName>
    <definedName name="IQ_SALARY" hidden="1">"c1130"</definedName>
    <definedName name="IQ_SALARY_FDIC" hidden="1">"c6576"</definedName>
    <definedName name="IQ_SALE_COMMON_GROSS_FFIEC" hidden="1">"c12963"</definedName>
    <definedName name="IQ_SALE_CONVERSION_ACQUISITION_NET_COMMON_FFIEC" hidden="1">"c15351"</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PREF_FFIEC" hidden="1">"c12961"</definedName>
    <definedName name="IQ_SALE_PROP" hidden="1">"c16029"</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_TREASURY_FFIEC" hidden="1">"c12965"</definedName>
    <definedName name="IQ_SALES_COAL" hidden="1">"c15930"</definedName>
    <definedName name="IQ_SALES_MARKETING" hidden="1">"c2240"</definedName>
    <definedName name="IQ_SALES_TO_TOTAL_REVENUE_COAL" hidden="1">"c15943"</definedName>
    <definedName name="IQ_SAME_PROP_AGG_GLA" hidden="1">"c16055"</definedName>
    <definedName name="IQ_SAME_PROP_AGG_UNITS" hidden="1">"c16053"</definedName>
    <definedName name="IQ_SAME_PROP_EXPENSE" hidden="1">"c16050"</definedName>
    <definedName name="IQ_SAME_PROP_EXPENSE_GROWTH" hidden="1">"c16051"</definedName>
    <definedName name="IQ_SAME_PROP_NUMBER_PROP" hidden="1">"c16052"</definedName>
    <definedName name="IQ_SAME_PROP_PORTFOLIO_AREA" hidden="1">"c16054"</definedName>
    <definedName name="IQ_SAME_PROP_REV_GROWTH" hidden="1">"c16049"</definedName>
    <definedName name="IQ_SAME_PROP_REVENUE" hidden="1">"c16048"</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ACCT_DEPOSITS_TOTAL_DEPOSITS" hidden="1">"c15721"</definedName>
    <definedName name="IQ_SAVINGS_DEPOSITS_NON_TRANS_ACCTS_FFIEC" hidden="1">"c15329"</definedName>
    <definedName name="IQ_SAVINGS_DEPOSITS_QUARTERLY_AVG_FFIEC" hidden="1">"c15485"</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BC_EXPENSE_FFIEC" hidden="1">"c13077"</definedName>
    <definedName name="IQ_SCALABLE_INFRASTRUCTURE_CABLE_INVEST" hidden="1">"c15802"</definedName>
    <definedName name="IQ_SEC_1_4_CONSTRUCTION_DOM_CHARGE_OFFS_FFIEC" hidden="1">"c13165"</definedName>
    <definedName name="IQ_SEC_1_4_CONSTRUCTION_DOM_RECOV_FFIEC" hidden="1">"c13187"</definedName>
    <definedName name="IQ_SEC_BORROWED_OFF_BS_FFIEC" hidden="1">"c13127"</definedName>
    <definedName name="IQ_SEC_FARMLAND_DOM_CHARGE_OFFS_FFIEC" hidden="1">"c13167"</definedName>
    <definedName name="IQ_SEC_FARMLAND_DOM_RECOV_FFIEC" hidden="1">"c13189"</definedName>
    <definedName name="IQ_SEC_FUNDS_PURCHASED_ASSETS_TOT_FFIEC" hidden="1">"c13447"</definedName>
    <definedName name="IQ_SEC_ISSUED_US_AVAIL_SALE_FFIEC" hidden="1">"c12795"</definedName>
    <definedName name="IQ_SEC_ISSUED_US_TRADING_DOM_FFIEC" hidden="1">"c12920"</definedName>
    <definedName name="IQ_SEC_ISSUED_US_TRADING_FFIEC" hidden="1">"c12815"</definedName>
    <definedName name="IQ_SEC_MULTIFAM_DOM_CHARGE_OFFS_FFIEC" hidden="1">"c13171"</definedName>
    <definedName name="IQ_SEC_MULTIFAM_DOM_DUE_30_89_FFIEC" hidden="1">"c13263"</definedName>
    <definedName name="IQ_SEC_MULTIFAM_DOM_DUE_90_FFIEC" hidden="1">"c13291"</definedName>
    <definedName name="IQ_SEC_MULTIFAM_DOM_NON_ACCRUAL_FFIEC" hidden="1">"c13317"</definedName>
    <definedName name="IQ_SEC_MULTIFAM_DOM_RECOV_FFIEC" hidden="1">"c13193"</definedName>
    <definedName name="IQ_SEC_NONFARM_NONRES_CHARGE_OFFS_FFIEC" hidden="1">"c13629"</definedName>
    <definedName name="IQ_SEC_NONFARM_NONRES_DOM_OFFICES_DUE_30_89_FFIEC" hidden="1">"c13264"</definedName>
    <definedName name="IQ_SEC_NONFARM_NONRES_DOM_OFFICES_DUE_90_FFIEC" hidden="1">"c13292"</definedName>
    <definedName name="IQ_SEC_NONFARM_NONRES_DOM_OFFICES_NON_ACCRUAL_FFIEC" hidden="1">"c13318"</definedName>
    <definedName name="IQ_SEC_NONFARM_NONRES_RECOV_FFIEC" hidden="1">"c13633"</definedName>
    <definedName name="IQ_SEC_OTHER_CONSTRUCTION_DOM_CHARGE_OFFS_FFIEC" hidden="1">"c13166"</definedName>
    <definedName name="IQ_SEC_OTHER_CONSTRUCTION_DOM_RECOV_FFIEC" hidden="1">"c13188"</definedName>
    <definedName name="IQ_SEC_OTHER_NONFARM_NONRES_CHARGE_OFFS_FFIEC" hidden="1">"c13173"</definedName>
    <definedName name="IQ_SEC_OTHER_NONFARM_NONRES_DUE_30_89_FFIEC" hidden="1">"c13266"</definedName>
    <definedName name="IQ_SEC_OTHER_NONFARM_NONRES_DUE_90_FFIEC" hidden="1">"c13637"</definedName>
    <definedName name="IQ_SEC_OTHER_NONFARM_NONRES_NON_ACCRUAL_FFIEC" hidden="1">"c15462"</definedName>
    <definedName name="IQ_SEC_OTHER_NONFARM_NONRES_RECOV_FFIEC" hidden="1">"c13195"</definedName>
    <definedName name="IQ_SEC_OWNER_NONFARM_NONRES_CHARGE_OFFS_FFIEC" hidden="1">"c13172"</definedName>
    <definedName name="IQ_SEC_OWNER_NONFARM_NONRES_DUE_30_89_FFIEC" hidden="1">"c13265"</definedName>
    <definedName name="IQ_SEC_OWNER_NONFARM_NONRES_DUE_90_FFIEC" hidden="1">"c13636"</definedName>
    <definedName name="IQ_SEC_OWNER_NONFARM_NONRES_NON_ACCRUAL_FFIEC" hidden="1">"c15461"</definedName>
    <definedName name="IQ_SEC_OWNER_NONFARM_NONRES_RECOV_FFIEC" hidden="1">"c13194"</definedName>
    <definedName name="IQ_SEC_PURCHASED_RESELL" hidden="1">"c5513"</definedName>
    <definedName name="IQ_SEC_PURCHASED_RESELL_FFIEC" hidden="1">"c12807"</definedName>
    <definedName name="IQ_SEC_RE_FOREIGN_DUE_30_89_FFIEC" hidden="1">"c13267"</definedName>
    <definedName name="IQ_SEC_RE_FOREIGN_DUE_90_FFIEC" hidden="1">"c13293"</definedName>
    <definedName name="IQ_SEC_RE_FOREIGN_NON_ACCRUAL_FFIEC" hidden="1">"c13319"</definedName>
    <definedName name="IQ_SEC_SOLD_REPURCHASE_FFIEC" hidden="1">"c12857"</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DOM_DUE_30_89_FFIEC" hidden="1">"c13259"</definedName>
    <definedName name="IQ_SECURED_FARMLAND_DOM_DUE_90_FFIEC" hidden="1">"c13287"</definedName>
    <definedName name="IQ_SECURED_FARMLAND_DOM_NON_ACCRUAL_FFIEC" hidden="1">"c13313"</definedName>
    <definedName name="IQ_SECURED_FARMLAND_LL_REC_DOM_FFIEC" hidden="1">"c12901"</definedName>
    <definedName name="IQ_SECURED_FARMLAND_NET_CHARGE_OFFS_FDIC" hidden="1">"c6631"</definedName>
    <definedName name="IQ_SECURED_FARMLAND_RECOVERIES_FDIC" hidden="1">"c6612"</definedName>
    <definedName name="IQ_SECURED_MULTI_RES_LL_REC_DOM_FFIEC" hidden="1">"c12905"</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HELD_MATURITY_FFIEC" hidden="1">"c12777"</definedName>
    <definedName name="IQ_SECURITIES_ISSUED_STATES_FDIC" hidden="1">"c6300"</definedName>
    <definedName name="IQ_SECURITIES_ISSUED_US_FFIEC" hidden="1">"c12781"</definedName>
    <definedName name="IQ_SECURITIES_LENT_FDIC" hidden="1">"c6532"</definedName>
    <definedName name="IQ_SECURITIES_LENT_FFIEC" hidden="1">"c13255"</definedName>
    <definedName name="IQ_SECURITIES_QUARTERLY_AVG_FFIEC" hidden="1">"c13079"</definedName>
    <definedName name="IQ_SECURITIES_STATE_POLI_SUBD_QUARTERLY_AVG_FFIEC" hidden="1">"c15470"</definedName>
    <definedName name="IQ_SECURITIES_UNDERWRITING_FDIC" hidden="1">"c6529"</definedName>
    <definedName name="IQ_SECURITIES_UNDERWRITING_UNUSED_FFIEC" hidden="1">"c13247"</definedName>
    <definedName name="IQ_SECURITIZATION_INC_OPERATING_INC_FFIEC" hidden="1">"c13390"</definedName>
    <definedName name="IQ_SECURITIZATION_INCOME_FFIEC" hidden="1">"c13012"</definedName>
    <definedName name="IQ_SECURITY_ACTIVE_STATUS" hidden="1">"c15160"</definedName>
    <definedName name="IQ_SECURITY_BORROW" hidden="1">"c1152"</definedName>
    <definedName name="IQ_SECURITY_LEVEL" hidden="1">"c2159"</definedName>
    <definedName name="IQ_SECURITY_NAME" hidden="1">"c15159"</definedName>
    <definedName name="IQ_SECURITY_NOTES" hidden="1">"c2202"</definedName>
    <definedName name="IQ_SECURITY_OWN" hidden="1">"c1153"</definedName>
    <definedName name="IQ_SECURITY_RESELL" hidden="1">"c1154"</definedName>
    <definedName name="IQ_SECURITY_TYPE" hidden="1">"c2158"</definedName>
    <definedName name="IQ_SEDOL" hidden="1">"c12042"</definedName>
    <definedName name="IQ_SELECTED_FOREIGN_ASSETS_FFIEC" hidden="1">"c13485"</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_ACCOUNT_ASSETS_LH_FFIEC" hidden="1">"c13105"</definedName>
    <definedName name="IQ_SEPARATE_ACCOUNT_LIAB_LH_FFIEC" hidden="1">"c13108"</definedName>
    <definedName name="IQ_SEPARATE_ACCT_ASSETS" hidden="1">"c1155"</definedName>
    <definedName name="IQ_SEPARATE_ACCT_LIAB" hidden="1">"c1156"</definedName>
    <definedName name="IQ_SERV_CHARGE_DEPOSITS" hidden="1">"c1157"</definedName>
    <definedName name="IQ_SERVICE_CHARGES_DEPOSIT_ACCOUNTS_DOM_FFIEC" hidden="1">"c13003"</definedName>
    <definedName name="IQ_SERVICE_CHARGES_FDIC" hidden="1">"c6572"</definedName>
    <definedName name="IQ_SERVICE_CHARGES_OPERATING_INC_FFIEC" hidden="1">"c13384"</definedName>
    <definedName name="IQ_SERVICE_FEE" hidden="1">"c8951"</definedName>
    <definedName name="IQ_SERVICING_FEES_FFIEC" hidden="1">"c13011"</definedName>
    <definedName name="IQ_SERVICING_FEES_OPERATING_INC_FFIEC" hidden="1">"c13389"</definedName>
    <definedName name="IQ_SETTLEMENTS_TAX_AUTHORITIES" hidden="1">"c15737"</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_PARTNERSHIP_ASSETS" hidden="1">"c16071"</definedName>
    <definedName name="IQ_SHARE_PARTNERSHIP_CONSOL_JV_DEBT" hidden="1">"c19139"</definedName>
    <definedName name="IQ_SHARE_PARTNERSHIP_CURRENT_ASSETS" hidden="1">"c16069"</definedName>
    <definedName name="IQ_SHARE_PARTNERSHIP_CURRENT_LIAB" hidden="1">"c16073"</definedName>
    <definedName name="IQ_SHARE_PARTNERSHIP_CURRENT_TAX" hidden="1">"c16091"</definedName>
    <definedName name="IQ_SHARE_PARTNERSHIP_DEBT" hidden="1">"c16078"</definedName>
    <definedName name="IQ_SHARE_PARTNERSHIP_DEFERRED_TAX" hidden="1">"c16092"</definedName>
    <definedName name="IQ_SHARE_PARTNERSHIP_DEPRECIATION" hidden="1">"c16089"</definedName>
    <definedName name="IQ_SHARE_PARTNERSHIP_FLOAT_DEBT" hidden="1">"c16077"</definedName>
    <definedName name="IQ_SHARE_PARTNERSHIP_FR_DEBT" hidden="1">"c16076"</definedName>
    <definedName name="IQ_SHARE_PARTNERSHIP_INT_EXPENSE" hidden="1">"c16088"</definedName>
    <definedName name="IQ_SHARE_PARTNERSHIP_INT_INCOME" hidden="1">"c16090"</definedName>
    <definedName name="IQ_SHARE_PARTNERSHIP_LIAB" hidden="1">"c16075"</definedName>
    <definedName name="IQ_SHARE_PARTNERSHIP_LT_ASSETS" hidden="1">"c16070"</definedName>
    <definedName name="IQ_SHARE_PARTNERSHIP_NOI" hidden="1">"c16084"</definedName>
    <definedName name="IQ_SHARE_PARTNERSHIP_NON_CURRENT_LIAB" hidden="1">"c16074"</definedName>
    <definedName name="IQ_SHARE_PARTNERSHIP_OPEX" hidden="1">"c16086"</definedName>
    <definedName name="IQ_SHARE_PARTNERSHIP_OTHER_EXPENSE" hidden="1">"c16087"</definedName>
    <definedName name="IQ_SHARE_PARTNERSHIP_OTHER_INCOME" hidden="1">"c16085"</definedName>
    <definedName name="IQ_SHARE_PARTNERSHIP_REVENUE" hidden="1">"c16083"</definedName>
    <definedName name="IQ_SHARE_RE_ASSET" hidden="1">"c16082"</definedName>
    <definedName name="IQ_SHARE_RE_ASSET_DEVELOP_PROP" hidden="1">"c16080"</definedName>
    <definedName name="IQ_SHARE_RE_ASSET_INV_PROP" hidden="1">"c16079"</definedName>
    <definedName name="IQ_SHARE_RE_ASSET_OTHER" hidden="1">"c16081"</definedName>
    <definedName name="IQ_SHAREOUTSTANDING" hidden="1">"c1347"</definedName>
    <definedName name="IQ_SHARES_PER_DR" hidden="1">"c204"</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POSITIONS_FFIEC" hidden="1">"c12859"</definedName>
    <definedName name="IQ_SHORT_TERM_INVEST" hidden="1">"c1425"</definedName>
    <definedName name="IQ_SMALL_INT_BEAR_CD" hidden="1">"c1166"</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LD_COAL" hidden="1">"c15936"</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NSR_ACTION_LT" hidden="1">"c13616"</definedName>
    <definedName name="IQ_SP_ISSUE_NSR_ACTION_ST" hidden="1">"c13622"</definedName>
    <definedName name="IQ_SP_ISSUE_NSR_DATE_LT" hidden="1">"c13615"</definedName>
    <definedName name="IQ_SP_ISSUE_NSR_DATE_ST" hidden="1">"c13621"</definedName>
    <definedName name="IQ_SP_ISSUE_NSR_LT" hidden="1">"c13614"</definedName>
    <definedName name="IQ_SP_ISSUE_NSR_ST" hidden="1">"c13620"</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NSR_ACTION_LT" hidden="1">"c13613"</definedName>
    <definedName name="IQ_SP_NSR_ACTION_ST" hidden="1">"c13619"</definedName>
    <definedName name="IQ_SP_NSR_DATE_LT" hidden="1">"c13612"</definedName>
    <definedName name="IQ_SP_NSR_DATE_ST" hidden="1">"c13618"</definedName>
    <definedName name="IQ_SP_NSR_LT" hidden="1">"c13611"</definedName>
    <definedName name="IQ_SP_NSR_ST" hidden="1">"c13617"</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PECIALTIES" hidden="1">"c18932"</definedName>
    <definedName name="IQ_SPECIFIC_ALLOWANCE" hidden="1">"c15247"</definedName>
    <definedName name="IQ_SPONSORS" hidden="1">"c18920"</definedName>
    <definedName name="IQ_SPONSORS_ID" hidden="1">"c18921"</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ASSETS_TOT_FFIEC" hidden="1">"c13438"</definedName>
    <definedName name="IQ_ST_INVEST_ST_NONCORE_FUNDING_FFIEC" hidden="1">"c13338"</definedName>
    <definedName name="IQ_ST_INVEST_UTI" hidden="1">"c1198"</definedName>
    <definedName name="IQ_ST_NOTE_RECEIV" hidden="1">"c1199"</definedName>
    <definedName name="IQ_STAND_REC_DET_EST" hidden="1">"c12069"</definedName>
    <definedName name="IQ_STAND_REC_DET_EST_DATE" hidden="1">"c12222"</definedName>
    <definedName name="IQ_STAND_REC_DET_EST_DATE_THOM" hidden="1">"c12250"</definedName>
    <definedName name="IQ_STAND_REC_DET_EST_ORIGIN" hidden="1">"c12594"</definedName>
    <definedName name="IQ_STAND_REC_DET_EST_ORIGIN_THOM" hidden="1">"c12620"</definedName>
    <definedName name="IQ_STAND_REC_DET_EST_THOM" hidden="1">"c12100"</definedName>
    <definedName name="IQ_STAND_REC_NUM_DET_EST" hidden="1">"c12068"</definedName>
    <definedName name="IQ_STAND_REC_NUM_DET_EST_DATE" hidden="1">"c12221"</definedName>
    <definedName name="IQ_STAND_REC_NUM_DET_EST_DATE_THOM" hidden="1">"c12249"</definedName>
    <definedName name="IQ_STAND_REC_NUM_DET_EST_ORIGIN" hidden="1">"c12593"</definedName>
    <definedName name="IQ_STAND_REC_NUM_DET_EST_ORIGIN_THOM" hidden="1">"c12619"</definedName>
    <definedName name="IQ_STAND_REC_NUM_DET_EST_THOM" hidden="1">"c12099"</definedName>
    <definedName name="IQ_STANDBY_LOC_FHLB_BANK_BEHALF_OFF_BS_FFIEC" hidden="1">"c15412"</definedName>
    <definedName name="IQ_STATE" hidden="1">"c1200"</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POLI_SUBD_US_NON_TRANS_ACCTS_FFIEC" hidden="1">"c15324"</definedName>
    <definedName name="IQ_STATES_POLI_SUBD_US_TRANS_ACCTS_FFIEC" hidden="1">"c15316"</definedName>
    <definedName name="IQ_STATES_TOTAL_DEPOSITS_FDIC" hidden="1">"c6473"</definedName>
    <definedName name="IQ_STATES_TRANSACTION_ACCOUNTS_FDIC" hidden="1">"c6539"</definedName>
    <definedName name="IQ_STATUTORY_SURPLUS" hidden="1">"c1201"</definedName>
    <definedName name="IQ_STATUTORY_SURPLUS_GAAP_EQUITY" hidden="1">"c15883"</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EST" hidden="1">"c4520"</definedName>
    <definedName name="IQ_STOCK_BASED_EXPLORE_DRILL" hidden="1">"c13851"</definedName>
    <definedName name="IQ_STOCK_BASED_GA" hidden="1">"c2993"</definedName>
    <definedName name="IQ_STOCK_BASED_HIGH_EST" hidden="1">"c4521"</definedName>
    <definedName name="IQ_STOCK_BASED_LOW_EST" hidden="1">"c4522"</definedName>
    <definedName name="IQ_STOCK_BASED_MEDIAN_EST" hidden="1">"c4523"</definedName>
    <definedName name="IQ_STOCK_BASED_NUM_EST" hidden="1">"c4524"</definedName>
    <definedName name="IQ_STOCK_BASED_OTHER" hidden="1">"c2995"</definedName>
    <definedName name="IQ_STOCK_BASED_RD" hidden="1">"c2991"</definedName>
    <definedName name="IQ_STOCK_BASED_SGA" hidden="1">"c2994"</definedName>
    <definedName name="IQ_STOCK_BASED_SM" hidden="1">"c2992"</definedName>
    <definedName name="IQ_STOCK_BASED_STDDEV_EST" hidden="1">"c4525"</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IGHT_LINE_RENT_ADJ" hidden="1">"c16178"</definedName>
    <definedName name="IQ_STRATEGY_NOTE" hidden="1">"c6791"</definedName>
    <definedName name="IQ_STRIKE_PRICE_ISSUED" hidden="1">"c1645"</definedName>
    <definedName name="IQ_STRIKE_PRICE_OS" hidden="1">"c1646"</definedName>
    <definedName name="IQ_STRIPS_RECEIVABLE_MORTGAGE_LOANS_FFIEC" hidden="1">"c12844"</definedName>
    <definedName name="IQ_STRIPS_RECEIVABLE_OTHER_FFIEC" hidden="1">"c12845"</definedName>
    <definedName name="IQ_STRUCT_FIN_CLASS" hidden="1">"c8950"</definedName>
    <definedName name="IQ_STRUCT_FIN_SERIES" hidden="1">"c8956"</definedName>
    <definedName name="IQ_STRUCTURED_NOTES_INVEST_SECURITIES_FFIEC" hidden="1">"c13468"</definedName>
    <definedName name="IQ_STRUCTURING_NOTES_TIER_1_FFIEC" hidden="1">"c13344"</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B_NOTES_DEBENTURES_FAIR_VALUE_TOT_FFIEC" hidden="1">"c15410"</definedName>
    <definedName name="IQ_SUB_NOTES_DEBENTURES_FFIEC" hidden="1">"c12867"</definedName>
    <definedName name="IQ_SUB_NOTES_DEBENTURES_LEVEL_1_FFIEC" hidden="1">"c15432"</definedName>
    <definedName name="IQ_SUB_NOTES_DEBENTURES_LEVEL_2_FFIEC" hidden="1">"c15445"</definedName>
    <definedName name="IQ_SUB_NOTES_DEBENTURES_LEVEL_3_FFIEC" hidden="1">"c15458"</definedName>
    <definedName name="IQ_SUB_NOTES_PAYABLE_UNCONSOLIDATED_TRUSTS_FFIEC" hidden="1">"c12868"</definedName>
    <definedName name="IQ_SUBS_ANALOG_CABLE" hidden="1">"c2855"</definedName>
    <definedName name="IQ_SUBS_BASIC_CABLE" hidden="1">"c16205"</definedName>
    <definedName name="IQ_SUBS_BBAND" hidden="1">"c2858"</definedName>
    <definedName name="IQ_SUBS_BUNDLED" hidden="1">"c2861"</definedName>
    <definedName name="IQ_SUBS_DIG_CABLE" hidden="1">"c2856"</definedName>
    <definedName name="IQ_SUBS_NON_VIDEO" hidden="1">"c2860"</definedName>
    <definedName name="IQ_SUBS_PHONE" hidden="1">"c2859"</definedName>
    <definedName name="IQ_SUBS_POSTPAID_WIRELESS" hidden="1">"c2118"</definedName>
    <definedName name="IQ_SUBS_PREPAID_WIRELESS" hidden="1">"c2117"</definedName>
    <definedName name="IQ_SUBS_RESELL_WHOLESALE_WIRELESS" hidden="1">"c15749"</definedName>
    <definedName name="IQ_SUBS_TOTAL" hidden="1">"c2862"</definedName>
    <definedName name="IQ_SUBS_TOTAL_WIRELESS" hidden="1">"c2119"</definedName>
    <definedName name="IQ_SUBS_VIDEO" hidden="1">"c2857"</definedName>
    <definedName name="IQ_SUPPLIES_FFIEC" hidden="1">"c13050"</definedName>
    <definedName name="IQ_SUPPORT_INFRASTRUCTURE_CABLE_INVEST" hidden="1">"c15805"</definedName>
    <definedName name="IQ_SURFACE_RESERVES_COAL" hidden="1">"c15920"</definedName>
    <definedName name="IQ_SURFACE_RESERVES_TO_TOTAL_RESERVES_COAL" hidden="1">"c15959"</definedName>
    <definedName name="IQ_SURPLUS_FDIC" hidden="1">"c6351"</definedName>
    <definedName name="IQ_SURPLUS_FFIEC" hidden="1">"c12877"</definedName>
    <definedName name="IQ_SVA" hidden="1">"c1214"</definedName>
    <definedName name="IQ_SYMBOL_RT" hidden="1">"SYMBOL"</definedName>
    <definedName name="IQ_SYNTHETIC_STRUCTURED_PRODUCTS_AVAIL_SALE_FFIEC" hidden="1">"c15264"</definedName>
    <definedName name="IQ_SYNTHETIC_STRUCTURED_PRODUCTS_FFIEC" hidden="1">"c15261"</definedName>
    <definedName name="IQ_TANGIBLE_ASSETS_FFIEC" hidden="1">"c13916"</definedName>
    <definedName name="IQ_TANGIBLE_COMMON_EQUITY_FFIEC" hidden="1">"c13914"</definedName>
    <definedName name="IQ_TANGIBLE_EQUITY_ASSETS_FFIEC" hidden="1">"c13346"</definedName>
    <definedName name="IQ_TANGIBLE_EQUITY_FFIEC" hidden="1">"c13915"</definedName>
    <definedName name="IQ_TANGIBLE_TIER_1_LEVERAGE_FFIEC" hidden="1">"c13345"</definedName>
    <definedName name="IQ_TARGET_PRICE_DET_EST" hidden="1">"c12070"</definedName>
    <definedName name="IQ_TARGET_PRICE_DET_EST_CURRENCY" hidden="1">"c12475"</definedName>
    <definedName name="IQ_TARGET_PRICE_DET_EST_CURRENCY_THOM" hidden="1">"c12498"</definedName>
    <definedName name="IQ_TARGET_PRICE_DET_EST_DATE" hidden="1">"c12223"</definedName>
    <definedName name="IQ_TARGET_PRICE_DET_EST_DATE_THOM" hidden="1">"c12251"</definedName>
    <definedName name="IQ_TARGET_PRICE_DET_EST_INCL" hidden="1">"c12358"</definedName>
    <definedName name="IQ_TARGET_PRICE_DET_EST_INCL_THOM" hidden="1">"c12381"</definedName>
    <definedName name="IQ_TARGET_PRICE_DET_EST_ORIGIN" hidden="1">"c12729"</definedName>
    <definedName name="IQ_TARGET_PRICE_DET_EST_ORIGIN_THOM" hidden="1">"c12621"</definedName>
    <definedName name="IQ_TARGET_PRICE_DET_EST_THOM" hidden="1">"c12101"</definedName>
    <definedName name="IQ_TARGET_PRICE_NUM" hidden="1">"c1653"</definedName>
    <definedName name="IQ_TARGET_PRICE_NUM_CIQ" hidden="1">"c4661"</definedName>
    <definedName name="IQ_TARGET_PRICE_NUM_REUT" hidden="1">"c5319"</definedName>
    <definedName name="IQ_TARGET_PRICE_NUM_THOM" hidden="1">"c5098"</definedName>
    <definedName name="IQ_TARGET_PRICE_STDDEV" hidden="1">"c1654"</definedName>
    <definedName name="IQ_TARGET_PRICE_STDDEV_CIQ" hidden="1">"c4662"</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EQUIVALENT_ADJUSTMENTS_FFIEC" hidden="1">"c13854"</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AXES_ADJ_NOI_FFIEC" hidden="1">"c13395"</definedName>
    <definedName name="IQ_TAXES_NOI_FFIEC" hidden="1">"c13394"</definedName>
    <definedName name="IQ_TAXES_TE_AVG_ASSETS_FFIEC" hidden="1">"c13366"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EXCL_FFIEC" hidden="1">"c13516"</definedName>
    <definedName name="IQ_TBV_SHARE" hidden="1">"c1217"</definedName>
    <definedName name="IQ_TBV_SHARE_REPORTED" hidden="1">"c19140"</definedName>
    <definedName name="IQ_TELECOM_FFIEC" hidden="1">"c13057"</definedName>
    <definedName name="IQ_TEMPLATE" hidden="1">"c1521"</definedName>
    <definedName name="IQ_TENANT" hidden="1">"c1218"</definedName>
    <definedName name="IQ_TENANT_LEASE_COMMISSION" hidden="1">"c16177"</definedName>
    <definedName name="IQ_TERM_LOANS" hidden="1">"c2499"</definedName>
    <definedName name="IQ_TERM_LOANS_PCT" hidden="1">"c2500"</definedName>
    <definedName name="IQ_TEV" hidden="1">"c1219"</definedName>
    <definedName name="IQ_TEV_DET_EST_CURRENCY_THOM" hidden="1">"c12499"</definedName>
    <definedName name="IQ_TEV_DET_EST_DATE_THOM" hidden="1">"c12252"</definedName>
    <definedName name="IQ_TEV_DET_EST_INCL_THOM" hidden="1">"c12382"</definedName>
    <definedName name="IQ_TEV_DET_EST_ORIGIN_THOM" hidden="1">"c12709"</definedName>
    <definedName name="IQ_TEV_DET_EST_THOM" hidden="1">"c12102"</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CIQ" hidden="1">"c4043"</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CIQ" hidden="1">"c4044"</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CAPITAL_BEFORE_CHARGES_T1_FFIEC" hidden="1">"c13139"</definedName>
    <definedName name="IQ_TIER_1_CAPITAL_FFIEC" hidden="1">"c13143"</definedName>
    <definedName name="IQ_TIER_1_LEVERAGE_RATIO_FFIEC" hidden="1">"c13160"</definedName>
    <definedName name="IQ_TIER_1_RISK_BASED_CAPITAL_RATIO_FDIC" hidden="1">"c6746"</definedName>
    <definedName name="IQ_TIER_1_RISK_BASED_CAPITAL_RATIO_FFIEC" hidden="1">"c13161"</definedName>
    <definedName name="IQ_TIER_2_CAPITAL_FFIEC" hidden="1">"c13149"</definedName>
    <definedName name="IQ_TIER_3_CAPITAL_ALLOCATED_MARKET_RISK_FFIEC" hidden="1">"c13151"</definedName>
    <definedName name="IQ_TIER_ONE_CAPITAL" hidden="1">"c2667"</definedName>
    <definedName name="IQ_TIER_ONE_FDIC" hidden="1">"c6369"</definedName>
    <definedName name="IQ_TIER_ONE_RATIO" hidden="1">"c1229"</definedName>
    <definedName name="IQ_TIER_TWO_CAPITAL" hidden="1">"c2669"</definedName>
    <definedName name="IQ_TIER_TWO_CAPITAL_RATIO" hidden="1">"c15241"</definedName>
    <definedName name="IQ_TIME_DEP" hidden="1">"c1230"</definedName>
    <definedName name="IQ_TIME_DEPOSIT_LESS_100000_QUARTERLY_AVG_FFIEC" hidden="1">"c15487"</definedName>
    <definedName name="IQ_TIME_DEPOSIT_MORE_100000_QUARTERLY_AVG_FFIEC" hidden="1">"c15486"</definedName>
    <definedName name="IQ_TIME_DEPOSITS_LESS_100K_OTHER_INSTITUTIONS_FFIEC" hidden="1">"c12953"</definedName>
    <definedName name="IQ_TIME_DEPOSITS_LESS_100K_TOT_DEPOSITS_FFIEC" hidden="1">"c13907"</definedName>
    <definedName name="IQ_TIME_DEPOSITS_LESS_THAN_100K_FDIC" hidden="1">"c6465"</definedName>
    <definedName name="IQ_TIME_DEPOSITS_MORE_100K_OTHER_INSTITUTIONS_FFIEC" hidden="1">"c12954"</definedName>
    <definedName name="IQ_TIME_DEPOSITS_MORE_100K_TOT_DEPOSITS_FFIEC" hidden="1">"c13906"</definedName>
    <definedName name="IQ_TIME_DEPOSITS_MORE_THAN_100K_FDIC" hidden="1">"c6470"</definedName>
    <definedName name="IQ_TIME_DEPOSITS_TOTAL_DEPOSITS" hidden="1">"c15723"</definedName>
    <definedName name="IQ_TODAY" hidden="1">0</definedName>
    <definedName name="IQ_TOT_1_4_FAM_LOANS_TOT_LOANS_FFIEC" hidden="1">"c13868"</definedName>
    <definedName name="IQ_TOT_ADJ_INC" hidden="1">"c1616"</definedName>
    <definedName name="IQ_TOT_LEASES_TOT_LOANS_FFIEC" hidden="1">"c13876"</definedName>
    <definedName name="IQ_TOT_NON_RE_LOANS_TOT_LOANS_FFIEC" hidden="1">"c13877"</definedName>
    <definedName name="IQ_TOT_NONTRANS_ACCTS_TOT_DEPOSITS_FFIEC" hidden="1">"c13909"</definedName>
    <definedName name="IQ_TOT_RE_LOANS_TOT_LOANS_FFIEC" hidden="1">"c13873"</definedName>
    <definedName name="IQ_TOT_TIME_DEPOSITS_TOT_DEPOSITS_FFIEC" hidden="1">"c13908"</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BNK_SUBTOTAL_AP" hidden="1">"c13644"</definedName>
    <definedName name="IQ_TOTAL_ASSETS_FAIR_VALUE_TOT_FFIEC" hidden="1">"c15405"</definedName>
    <definedName name="IQ_TOTAL_ASSETS_FDIC" hidden="1">"c6339"</definedName>
    <definedName name="IQ_TOTAL_ASSETS_FFIEC" hidden="1">"c12849"</definedName>
    <definedName name="IQ_TOTAL_ASSETS_LEVEL_1_FFIEC" hidden="1">"c15427"</definedName>
    <definedName name="IQ_TOTAL_ASSETS_LEVEL_2_FFIEC" hidden="1">"c15440"</definedName>
    <definedName name="IQ_TOTAL_ASSETS_LEVEL_3_FFIEC" hidden="1">"c15453"</definedName>
    <definedName name="IQ_TOTAL_ASSETS_LH_FFIEC" hidden="1">"c13106"</definedName>
    <definedName name="IQ_TOTAL_ASSETS_PC_FFIEC" hidden="1">"c13099"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BROKERED_DEPOSIT_FFIEC" hidden="1">"c15304"</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hidden="1">"c1455"</definedName>
    <definedName name="IQ_TOTAL_CASH_DUE_DEPOSITORY_INSTIT_DOM_FFIEC" hidden="1">"c15291"</definedName>
    <definedName name="IQ_TOTAL_CASH_DUE_DEPOSITORY_INSTIT_FFIEC" hidden="1">"c15285"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hidden="1">"c1411"</definedName>
    <definedName name="IQ_TOTAL_COMMON_EQUITY" hidden="1">"c1246"</definedName>
    <definedName name="IQ_TOTAL_COMMON_EQUITY_FFIEC" hidden="1">"c13913"</definedName>
    <definedName name="IQ_TOTAL_COMMON_EQUITY_TOTAL_ASSETS_FFIEC" hidden="1">"c13864"</definedName>
    <definedName name="IQ_TOTAL_COMMON_SHARES_OUT_FFIEC" hidden="1">"c12955"</definedName>
    <definedName name="IQ_TOTAL_CONSTRUCTION_LL_REC_DOM_FFIEC" hidden="1">"c13515"</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ST" hidden="1">"c4532"</definedName>
    <definedName name="IQ_TOTAL_DEBT_EXCL_FIN" hidden="1">"c2937"</definedName>
    <definedName name="IQ_TOTAL_DEBT_GUIDANCE" hidden="1">"c4533"</definedName>
    <definedName name="IQ_TOTAL_DEBT_GUIDANCE_CIQ" hidden="1">"c5086"</definedName>
    <definedName name="IQ_TOTAL_DEBT_GUIDANCE_CIQ_COL" hidden="1">"c11733"</definedName>
    <definedName name="IQ_TOTAL_DEBT_HIGH_EST" hidden="1">"c4534"</definedName>
    <definedName name="IQ_TOTAL_DEBT_HIGH_GUIDANCE" hidden="1">"c4196"</definedName>
    <definedName name="IQ_TOTAL_DEBT_HIGH_GUIDANCE_CIQ" hidden="1">"c4608"</definedName>
    <definedName name="IQ_TOTAL_DEBT_HIGH_GUIDANCE_CIQ_COL" hidden="1">"c11257"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LOW_EST" hidden="1">"c4535"</definedName>
    <definedName name="IQ_TOTAL_DEBT_LOW_GUIDANCE" hidden="1">"c4236"</definedName>
    <definedName name="IQ_TOTAL_DEBT_LOW_GUIDANCE_CIQ" hidden="1">"c4648"</definedName>
    <definedName name="IQ_TOTAL_DEBT_LOW_GUIDANCE_CIQ_COL" hidden="1">"c11297"</definedName>
    <definedName name="IQ_TOTAL_DEBT_MEDIAN_EST" hidden="1">"c4536"</definedName>
    <definedName name="IQ_TOTAL_DEBT_NON_CURRENT" hidden="1">"c6191"</definedName>
    <definedName name="IQ_TOTAL_DEBT_NUM_EST" hidden="1">"c4537"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BT_STDDEV_EST" hidden="1">"c4538"</definedName>
    <definedName name="IQ_TOTAL_DEPOSITS" hidden="1">"c1265"</definedName>
    <definedName name="IQ_TOTAL_DEPOSITS_DOM_FFIEC" hidden="1">"c15313"</definedName>
    <definedName name="IQ_TOTAL_DEPOSITS_FDIC" hidden="1">"c6342"</definedName>
    <definedName name="IQ_TOTAL_DEPOSITS_FFIEC" hidden="1">"c13623"</definedName>
    <definedName name="IQ_TOTAL_DEPOSITS_SUPPLE" hidden="1">"c15253"</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CAPITAL_T1_FFIEC" hidden="1">"c13130"</definedName>
    <definedName name="IQ_TOTAL_EQUITY_FFIEC" hidden="1">"c12881"</definedName>
    <definedName name="IQ_TOTAL_EQUITY_INCL_MINORITY_INTEREST_FFIEC" hidden="1">"c15278"</definedName>
    <definedName name="IQ_TOTAL_EQUITY_LH_FFIEC" hidden="1">"c13109"</definedName>
    <definedName name="IQ_TOTAL_EQUITY_PC_FFIEC" hidden="1">"c13102"</definedName>
    <definedName name="IQ_TOTAL_EQUITY_SUBTOTAL_AP" hidden="1">"c8989"</definedName>
    <definedName name="IQ_TOTAL_EQUITY_TOTAL_ASSETS_FFIEC" hidden="1">"c13863"</definedName>
    <definedName name="IQ_TOTAL_FOREIGN_DEPOSITS_FFIEC" hidden="1">"c15348"</definedName>
    <definedName name="IQ_TOTAL_FOREIGN_LOANS_QUARTERLY_AVG_FFIEC" hidden="1">"c15482"</definedName>
    <definedName name="IQ_TOTAL_IBF_ASSETS_CONSOL_BANK_FFIEC" hidden="1">"c15299"</definedName>
    <definedName name="IQ_TOTAL_IBF_LIABILITIES_FFIEC" hidden="1">"c15302"</definedName>
    <definedName name="IQ_TOTAL_IBF_LL_REC_FFIEC" hidden="1">"c15297"</definedName>
    <definedName name="IQ_TOTAL_INT_EXPENSE_FFIEC" hidden="1">"c13000"</definedName>
    <definedName name="IQ_TOTAL_INT_INCOME_FFIEC" hidden="1">"c12989"</definedName>
    <definedName name="IQ_TOTAL_INTEREST_EXP" hidden="1">"c1382"</definedName>
    <definedName name="IQ_TOTAL_INTEREST_EXP_FOREIGN_FFIEC" hidden="1">"c15374"</definedName>
    <definedName name="IQ_TOTAL_INTEREST_INC_FOREIGN_FFIEC" hidden="1">"c15373"</definedName>
    <definedName name="IQ_TOTAL_INVENTORY" hidden="1">"c1385"</definedName>
    <definedName name="IQ_TOTAL_INVEST" hidden="1">"c1275"</definedName>
    <definedName name="IQ_TOTAL_IRA_KEOGH_PLAN_ACCOUNTS_FFIEC" hidden="1">"c15303"</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EQUITY_FFIEC" hidden="1">"c12882"</definedName>
    <definedName name="IQ_TOTAL_LIABILITIES_FAIR_VALUE_TOT_FFIEC" hidden="1">"c15411"</definedName>
    <definedName name="IQ_TOTAL_LIABILITIES_FDIC" hidden="1">"c6348"</definedName>
    <definedName name="IQ_TOTAL_LIABILITIES_FFIEC" hidden="1">"c12873"</definedName>
    <definedName name="IQ_TOTAL_LIABILITIES_LEVEL_1_FFIEC" hidden="1">"c15433"</definedName>
    <definedName name="IQ_TOTAL_LIABILITIES_LEVEL_2_FFIEC" hidden="1">"c15446"</definedName>
    <definedName name="IQ_TOTAL_LIABILITIES_LEVEL_3_FFIEC" hidden="1">"c15459"</definedName>
    <definedName name="IQ_TOTAL_LL_REC_DOM_FFIEC" hidden="1">"c12917"</definedName>
    <definedName name="IQ_TOTAL_LL_REC_FFIEC" hidden="1">"c12898"</definedName>
    <definedName name="IQ_TOTAL_LOANS" hidden="1">"c5653"</definedName>
    <definedName name="IQ_TOTAL_LOANS_DOM_QUARTERLY_AVG_FFIEC" hidden="1">"c15475"</definedName>
    <definedName name="IQ_TOTAL_LOANS_LEASES_AND_OTHER_DUE_30_89_FFIEC" hidden="1">"c15416"</definedName>
    <definedName name="IQ_TOTAL_LOANS_LEASES_AND_OTHER_DUE_90_FFIEC" hidden="1">"c15420"</definedName>
    <definedName name="IQ_TOTAL_LOANS_LEASES_AND_OTHER_NON_ACCRUAL_FFIEC" hidden="1">"c15466"</definedName>
    <definedName name="IQ_TOTAL_LOANS_LEASES_CHARGE_OFFS_FFIEC" hidden="1">"c13186"</definedName>
    <definedName name="IQ_TOTAL_LOANS_LEASES_DUE_30_89_FFIEC" hidden="1">"c13280"</definedName>
    <definedName name="IQ_TOTAL_LOANS_LEASES_DUE_90_FFIEC" hidden="1">"c13306"</definedName>
    <definedName name="IQ_TOTAL_LOANS_LEASES_NON_ACCRUAL_FFIEC" hidden="1">"c13757"</definedName>
    <definedName name="IQ_TOTAL_LOANS_LEASES_RECOV_FFIEC" hidden="1">"c13208"</definedName>
    <definedName name="IQ_TOTAL_LONG_DEBT" hidden="1">"c1617"</definedName>
    <definedName name="IQ_TOTAL_NON_REC" hidden="1">"c1444"</definedName>
    <definedName name="IQ_TOTAL_NON_TRANS_ACCTS_FFIEC" hidden="1">"c15328"</definedName>
    <definedName name="IQ_TOTAL_NONINTEREST_EXPENSE_FOREIGN_FFIEC" hidden="1">"c15386"</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ERATING_EXPENSE" hidden="1">"c16047"</definedName>
    <definedName name="IQ_TOTAL_OPERATING_REVENUE" hidden="1">"c16030"</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_LOANS_TOTAL_LOANS" hidden="1">"c15715"</definedName>
    <definedName name="IQ_TOTAL_RE_NOI_AVG_GROSS_PROP" hidden="1">"c16059"</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NTAL_REVENUE" hidden="1">"c16022"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TURN_SWAPS_DERIVATIVES_BENEFICIARY_FFIEC" hidden="1">"c13120"</definedName>
    <definedName name="IQ_TOTAL_RETURN_SWAPS_DERIVATIVES_GUARANTOR_FFIEC" hidden="1">"c13113"</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hidden="1">"c1436"</definedName>
    <definedName name="IQ_TOTAL_REVENUE_FFIEC" hidden="1">"c13020"</definedName>
    <definedName name="IQ_TOTAL_REVENUE_FOREIGN_FFIEC" hidden="1">"c15383"</definedName>
    <definedName name="IQ_TOTAL_RISK_BASED_CAPITAL_FFIEC" hidden="1">"c13153"</definedName>
    <definedName name="IQ_TOTAL_RISK_BASED_CAPITAL_RATIO_FDIC" hidden="1">"c6747"</definedName>
    <definedName name="IQ_TOTAL_RISK_BASED_CAPITAL_RATIO_FFIEC" hidden="1">"c13162"</definedName>
    <definedName name="IQ_TOTAL_RISK_WEIGHTED_ASSETS_FFIEC" hidden="1">"c13858"</definedName>
    <definedName name="IQ_TOTAL_ROOMS" hidden="1">"c8789"</definedName>
    <definedName name="IQ_TOTAL_SECURITIES_FDIC" hidden="1">"c6306"</definedName>
    <definedName name="IQ_TOTAL_SPECIAL" hidden="1">"c1618"</definedName>
    <definedName name="IQ_TOTAL_SQ_FT" hidden="1">"c8781"</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LESS_100000_1_TO_3_YEARS_FFIEC" hidden="1">"c15335"</definedName>
    <definedName name="IQ_TOTAL_TIME_LESS_100000_3_MONTHS_LESS_FFIEC" hidden="1">"c15333"</definedName>
    <definedName name="IQ_TOTAL_TIME_LESS_100000_3_TO_12_MONTHS_FFIEC" hidden="1">"c15334"</definedName>
    <definedName name="IQ_TOTAL_TIME_LESS_100000_FFIEC" hidden="1">"c15332"</definedName>
    <definedName name="IQ_TOTAL_TIME_LESS_100000_OVER_3_YEARS_FFIEC" hidden="1">"c15336"</definedName>
    <definedName name="IQ_TOTAL_TIME_MORE_100000_1_TO_3_YEARS_FFIEC" hidden="1">"c15340"</definedName>
    <definedName name="IQ_TOTAL_TIME_MORE_100000_3_MONTHS_LESS_FFIEC" hidden="1">"c15338"</definedName>
    <definedName name="IQ_TOTAL_TIME_MORE_100000_3_TO_12_MONTHS_FFIEC" hidden="1">"c15339"</definedName>
    <definedName name="IQ_TOTAL_TIME_MORE_100000_FFIEC" hidden="1">"c15337"</definedName>
    <definedName name="IQ_TOTAL_TIME_MORE_100000_OVER_3_YEARS_FFIEC" hidden="1">"c15341"</definedName>
    <definedName name="IQ_TOTAL_TIME_SAVINGS_DEPOSITS_FDIC" hidden="1">"c6498"</definedName>
    <definedName name="IQ_TOTAL_TRADING_ASSETS_FFIEC" hidden="1">"c12939"</definedName>
    <definedName name="IQ_TOTAL_TRADING_LIAB_DOM_FFIEC" hidden="1">"c12944"</definedName>
    <definedName name="IQ_TOTAL_TRADING_LIAB_FOREIGN_FFIEC" hidden="1">"c15296"</definedName>
    <definedName name="IQ_TOTAL_TRANS_ACCTS_FFIEC" hidden="1">"c15321"</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SUPPLE" hidden="1">"c13817"</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_TERM_FEE" hidden="1">"c13638"</definedName>
    <definedName name="IQ_TR_BUY_TERM_FEE_PCT" hidden="1">"c13639"</definedName>
    <definedName name="IQ_TR_BUYBACK_TO_CLOSE" hidden="1">"c13919"</definedName>
    <definedName name="IQ_TR_BUYBACK_TO_HIGH" hidden="1">"c13917"</definedName>
    <definedName name="IQ_TR_BUYBACK_TO_LOW" hidden="1">"c13918"</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PPROACH" hidden="1">"c12706"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OFFER_PER_SHARE" hidden="1">"c18872"</definedName>
    <definedName name="IQ_TR_PT_PCT_SHARES" hidden="1">"c2416"</definedName>
    <definedName name="IQ_TR_RATING_FEES" hidden="1">"c2275"</definedName>
    <definedName name="IQ_TR_REG_EFFECT_DATE" hidden="1">"c2264"</definedName>
    <definedName name="IQ_TR_REG_FILED_DATE" hidden="1">"c2263"</definedName>
    <definedName name="IQ_TR_REGISTRATION_FEES" hidden="1">"c2274"</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_TERM_FEE" hidden="1">"c2298"</definedName>
    <definedName name="IQ_TR_SELL_TERM_FEE_PCT" hidden="1">"c2297"</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AIR_VALUE_TOT_FFIEC" hidden="1">"c13210"</definedName>
    <definedName name="IQ_TRADING_ASSETS_FDIC" hidden="1">"c6328"</definedName>
    <definedName name="IQ_TRADING_ASSETS_FFIEC" hidden="1">"c12812"</definedName>
    <definedName name="IQ_TRADING_ASSETS_FOREIGN_FFIEC" hidden="1">"c12940"</definedName>
    <definedName name="IQ_TRADING_ASSETS_LEVEL_1_FFIEC" hidden="1">"c13218"</definedName>
    <definedName name="IQ_TRADING_ASSETS_LEVEL_2_FFIEC" hidden="1">"c13226"</definedName>
    <definedName name="IQ_TRADING_ASSETS_LEVEL_3_FFIEC" hidden="1">"c13234"</definedName>
    <definedName name="IQ_TRADING_ASSETS_QUARTERLY_AVG_FFIEC" hidden="1">"c13085"</definedName>
    <definedName name="IQ_TRADING_CURRENCY" hidden="1">"c2212"</definedName>
    <definedName name="IQ_TRADING_ITEM_CIQID" hidden="1">"c8949"</definedName>
    <definedName name="IQ_TRADING_LIABILITIES_FAIR_VALUE_TOT_FFIEC" hidden="1">"c13214"</definedName>
    <definedName name="IQ_TRADING_LIABILITIES_FDIC" hidden="1">"c6344"</definedName>
    <definedName name="IQ_TRADING_LIABILITIES_FFIEC" hidden="1">"c12858"</definedName>
    <definedName name="IQ_TRADING_LIABILITIES_LEVEL_1_FFIEC" hidden="1">"c13222"</definedName>
    <definedName name="IQ_TRADING_LIABILITIES_LEVEL_2_FFIEC" hidden="1">"c13230"</definedName>
    <definedName name="IQ_TRADING_LIABILITIES_LEVEL_3_FFIEC" hidden="1">"c13238"</definedName>
    <definedName name="IQ_TRADING_REV_FOREIGN_FFIEC" hidden="1">"c15377"</definedName>
    <definedName name="IQ_TRADING_REV_OPERATING_INC_FFIEC" hidden="1">"c13385"</definedName>
    <definedName name="IQ_TRADING_REVENUE_FFIEC" hidden="1">"c13004"</definedName>
    <definedName name="IQ_TRANS_ACCTS_TOT_DEPOSITS_FFIEC" hidden="1">"c13904"</definedName>
    <definedName name="IQ_TRANS_IMPACT_FIN_48_CURRENT_ASSETS" hidden="1">"c15727"</definedName>
    <definedName name="IQ_TRANS_IMPACT_FIN_48_CURRENT_LIABILITIES" hidden="1">"c15729"</definedName>
    <definedName name="IQ_TRANS_IMPACT_FIN_48_LT_ASSETS" hidden="1">"c15728"</definedName>
    <definedName name="IQ_TRANS_IMPACT_FIN_48_NON_CURRENT_LIABILITIES" hidden="1">"c15730"</definedName>
    <definedName name="IQ_TRANS_IMPACT_FIN_48_RETAINED_EARNINGS" hidden="1">"c15731"</definedName>
    <definedName name="IQ_TRANSACTION_ACCOUNTS_FDIC" hidden="1">"c6544"</definedName>
    <definedName name="IQ_TRANSACTION_LIST" hidden="1">"c15126"</definedName>
    <definedName name="IQ_TRANSACTION_LIST_BANKRUPTCY" hidden="1">"c15131"</definedName>
    <definedName name="IQ_TRANSACTION_LIST_BUYBACK" hidden="1">"c15129"</definedName>
    <definedName name="IQ_TRANSACTION_LIST_INCL_SUBS" hidden="1">"c15132"</definedName>
    <definedName name="IQ_TRANSACTION_LIST_INCL_SUBS_BANKRUPTCY" hidden="1">"c15137"</definedName>
    <definedName name="IQ_TRANSACTION_LIST_INCL_SUBS_BUYBACK" hidden="1">"c15135"</definedName>
    <definedName name="IQ_TRANSACTION_LIST_INCL_SUBS_MA" hidden="1">"c15133"</definedName>
    <definedName name="IQ_TRANSACTION_LIST_INCL_SUBS_PO" hidden="1">"c15136"</definedName>
    <definedName name="IQ_TRANSACTION_LIST_INCL_SUBS_PP" hidden="1">"c15134"</definedName>
    <definedName name="IQ_TRANSACTION_LIST_MA" hidden="1">"c15127"</definedName>
    <definedName name="IQ_TRANSACTION_LIST_PO" hidden="1">"c15130"</definedName>
    <definedName name="IQ_TRANSACTION_LIST_PP" hidden="1">"c15128"</definedName>
    <definedName name="IQ_TREASURER_ID" hidden="1">"c15214"</definedName>
    <definedName name="IQ_TREASURER_NAME" hidden="1">"c15213"</definedName>
    <definedName name="IQ_TREASURY" hidden="1">"c1311"</definedName>
    <definedName name="IQ_TREASURY_INVEST_SECURITIES_FFIEC" hidden="1">"c13457"</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EASURY_STOCK_TRANSACTIONS_FFIEC" hidden="1">"c15352"</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RUSTEE" hidden="1">"c8959"</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ASSIGNED_RESERVES_COAL" hidden="1">"c15914"</definedName>
    <definedName name="IQ_UNASSIGNED_RESERVES_TO_TOTAL_RESERVES_COAL" hidden="1">"c15956"</definedName>
    <definedName name="IQ_UNCLASSIFIED_PROPERTY_OPERATING_EXPENSE" hidden="1">"c16034"</definedName>
    <definedName name="IQ_UNCLASSIFIED_RENTAL_INCOME" hidden="1">"c16021"</definedName>
    <definedName name="IQ_UNCONSOL_BEDS" hidden="1">"c8783"</definedName>
    <definedName name="IQ_UNCONSOL_NOI" hidden="1">"c16067"</definedName>
    <definedName name="IQ_UNCONSOL_PROP" hidden="1">"c8762"</definedName>
    <definedName name="IQ_UNCONSOL_ROOMS" hidden="1">"c8787"</definedName>
    <definedName name="IQ_UNCONSOL_SQ_FT" hidden="1">"c8778"</definedName>
    <definedName name="IQ_UNCONSOL_UNITS" hidden="1">"c8770"</definedName>
    <definedName name="IQ_UNDERGROUND_RESERVES_COAL" hidden="1">"c15922"</definedName>
    <definedName name="IQ_UNDERGROUND_RESERVES_TO_TOTAL_RESERVES_COAL" hidden="1">"c15960"</definedName>
    <definedName name="IQ_UNDERWRITER" hidden="1">"c8958"</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FED_FUNDS" hidden="1">"c2524"</definedName>
    <definedName name="IQ_UNDRAWN_FHLB" hidden="1">"c2520"</definedName>
    <definedName name="IQ_UNDRAWN_LC" hidden="1">"c2521"</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ARNED_INCOME_LL_REC_DOM_FFIEC" hidden="1">"c12916"</definedName>
    <definedName name="IQ_UNEARNED_INCOME_LL_REC_FFIEC" hidden="1">"c12897"</definedName>
    <definedName name="IQ_UNEARNED_PREMIUMS_PC_FFIEC" hidden="1">"c13101"</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RECOG_TAX_BENEFIT_BEG_PERIOD" hidden="1">"c15732"</definedName>
    <definedName name="IQ_UNRECOG_TAX_BENEFIT_END_PERIOD" hidden="1">"c15740"</definedName>
    <definedName name="IQ_UNRECOG_TAX_BENEFIT_OTHER_ADJ" hidden="1">"c15739"</definedName>
    <definedName name="IQ_UNSECURED_COMMITMENTS_COMMERCIAL_RE_UNUSED_FFIEC" hidden="1">"c13246"</definedName>
    <definedName name="IQ_UNSECURED_DEBT" hidden="1">"c2548"</definedName>
    <definedName name="IQ_UNSECURED_DEBT_PCT" hidden="1">"c2549"</definedName>
    <definedName name="IQ_UNUSED_LOAN_COMMITMENTS_FDIC" hidden="1">"c6368"</definedName>
    <definedName name="IQ_UNUSUAL_EXP" hidden="1">"c1456"</definedName>
    <definedName name="IQ_UPGRADE_REBUILD_CABLE_INVEST" hidden="1">"c15804"</definedName>
    <definedName name="IQ_US_ADDRESS_LEASE_FIN_REC_FFIEC" hidden="1">"c13624"</definedName>
    <definedName name="IQ_US_AGENCY_OBLIG_FFIEC" hidden="1">"c12779"</definedName>
    <definedName name="IQ_US_AGENCY_OBLIG_TRADING_DOM_FFIEC" hidden="1">"c12919"</definedName>
    <definedName name="IQ_US_AGENCY_OBLIG_TRADING_FFIEC" hidden="1">"c12814"</definedName>
    <definedName name="IQ_US_AGENCY_OBLIGATIONS_AVAIL_SALE_FFIEC" hidden="1">"c12793"</definedName>
    <definedName name="IQ_US_BANKS_OTHER_INST_FOREIGN_DEP_FFIEC" hidden="1">"c15343"</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GOVT_NON_TRANS_ACCTS_FFIEC" hidden="1">"c15323"</definedName>
    <definedName name="IQ_US_GOVT_STATE_POLI_SUBD_IN_US_FOREIGN_DEP_FFIEC" hidden="1">"c15346"</definedName>
    <definedName name="IQ_US_GOVT_TRANS_ACCTS_FFIEC" hidden="1">"c15315"</definedName>
    <definedName name="IQ_US_INST_DUE_30_89_FFIEC" hidden="1">"c13268"</definedName>
    <definedName name="IQ_US_INST_DUE_90_FFIEC" hidden="1">"c13294"</definedName>
    <definedName name="IQ_US_INST_NON_ACCRUAL_FFIEC" hidden="1">"c13320"</definedName>
    <definedName name="IQ_US_SPONSORED_AGENCY_OBLIG_AVAIL_SALE_FFIEC" hidden="1">"c12794"</definedName>
    <definedName name="IQ_US_SPONSORED_AGENCY_OBLIG_FFIEC" hidden="1">"c12780"</definedName>
    <definedName name="IQ_US_TREASURY_SEC_AVAIL_SALE_FFIEC" hidden="1">"c12792"</definedName>
    <definedName name="IQ_US_TREASURY_SEC_TRADING_DOM_FFIEC" hidden="1">"c12918"</definedName>
    <definedName name="IQ_US_TREASURY_SEC_TRADING_FFIEC" hidden="1">"c12813"</definedName>
    <definedName name="IQ_US_TREASURY_SECURITIES_FDIC" hidden="1">"c6298"</definedName>
    <definedName name="IQ_US_TREASURY_SECURITIES_FFIEC" hidden="1">"c12778"</definedName>
    <definedName name="IQ_UST_SEC_GOVT_AGENCY_CORP_QUARTERLY_AVG_FFIEC" hidden="1">"c15469"</definedName>
    <definedName name="IQ_UST_SECURITIES_GOVT_AGENCY_QUARTERLY_AVG_FFIEC" hidden="1">"c15468"</definedName>
    <definedName name="IQ_UTIL_PPE_NET" hidden="1">"c1620"</definedName>
    <definedName name="IQ_UTIL_REV" hidden="1">"c2091"</definedName>
    <definedName name="IQ_UTILITY_EXPENSE" hidden="1">"c16031"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ARIABLE_RATE_PREFERREDS_INT_SENSITIVITY_FFIEC" hidden="1">"c13096"</definedName>
    <definedName name="IQ_VC_REV_OPERATING_INC_FFIEC" hidden="1">"c13388"</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EHICLE_LOANS" hidden="1">"c15249"</definedName>
    <definedName name="IQ_VENTURE_CAPITAL_REVENUE_FFIEC" hidden="1">"c13010"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ICE_SUB_BASIC_SUB" hidden="1">"c16203"</definedName>
    <definedName name="IQ_VOICE_SUB_TOTAL_HOMES_PASSED" hidden="1">"c15770"</definedName>
    <definedName name="IQ_VOICE_SUB_VIDEO_SUB" hidden="1">"c15789"</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VWAP" hidden="1">"c13514"</definedName>
    <definedName name="IQ_WAC_CURRENT" hidden="1">"c8961"</definedName>
    <definedName name="IQ_WAC_ORIGINAL" hidden="1">"c8953"</definedName>
    <definedName name="IQ_WAM_CURRENT" hidden="1">"c8962"</definedName>
    <definedName name="IQ_WAM_ORIGINAL" hidden="1">"c8952"</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IRELESS_PENETRATION" hidden="1">"c15767"</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WTD_AVG_IR_AFTER_FIVE" hidden="1">"c15700"</definedName>
    <definedName name="IQ_WTD_AVG_IR_CY" hidden="1">"c15695"</definedName>
    <definedName name="IQ_WTD_AVG_IR_CY1" hidden="1">"c15696"</definedName>
    <definedName name="IQ_WTD_AVG_IR_CY2" hidden="1">"c15697"</definedName>
    <definedName name="IQ_WTD_AVG_IR_CY3" hidden="1">"c15698"</definedName>
    <definedName name="IQ_WTD_AVG_IR_CY4" hidden="1">"c15699"</definedName>
    <definedName name="IQ_WTD_AVG_IR_LT_DEBT" hidden="1">"c15693"</definedName>
    <definedName name="IQ_WTD_AVG_IR_TOTAL_DEBT" hidden="1">"c15694"</definedName>
    <definedName name="IQ_XDIV_DATE" localSheetId="1" hidden="1">"c2203"</definedName>
    <definedName name="IQ_XDIV_DATE" hidden="1">"c2104"</definedName>
    <definedName name="IQ_YEAR_FOUNDED" hidden="1">"c6793"</definedName>
    <definedName name="IQ_YEARHIGH" hidden="1">"c1337"</definedName>
    <definedName name="IQ_YEARHIGH_DATE" hidden="1">"c2250"</definedName>
    <definedName name="IQ_YEARHIGH_RT" hidden="1">"YEARHIGH"</definedName>
    <definedName name="IQ_YEARLOW" hidden="1">"c1338"</definedName>
    <definedName name="IQ_YEARLOW_DATE" hidden="1">"c2251"</definedName>
    <definedName name="IQ_YEARLOW_RT" hidden="1">"YEARLOW"</definedName>
    <definedName name="IQ_YIELD_FED_FUNDS_SOLD_FFIEC" hidden="1">"c13487"</definedName>
    <definedName name="IQ_YIELD_TRADING_ASSETS_FFIEC" hidden="1">"c13488"</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sColHidden" hidden="1">FALSE</definedName>
    <definedName name="IsLTMColHidden" hidden="1">FALSE</definedName>
    <definedName name="jen" localSheetId="1" hidden="1">{TRUE,TRUE,-1.25,-15.5,456.75,279.75,FALSE,FALSE,TRUE,TRUE,0,1,8,1,4,6,3,4,TRUE,TRUE,3,TRUE,1,TRUE,100,"Swvu.turnover.","ACwvu.turnover.",1,FALSE,FALSE,0.511811023622047,0.511811023622047,0.511811023622047,0.511811023622047,1,"","",FALSE,FALSE,FALSE,FALSE,1,#N/A,1,1,#DIV/0!,FALSE,"Rwvu.turnover.",#N/A,FALSE,FALSE}</definedName>
    <definedName name="jen" hidden="1">{TRUE,TRUE,-1.25,-15.5,456.75,279.75,FALSE,FALSE,TRUE,TRUE,0,1,8,1,4,6,3,4,TRUE,TRUE,3,TRUE,1,TRUE,100,"Swvu.turnover.","ACwvu.turnover.",1,FALSE,FALSE,0.511811023622047,0.511811023622047,0.511811023622047,0.511811023622047,1,"","",FALSE,FALSE,FALSE,FALSE,1,#N/A,1,1,#DIV/0!,FALSE,"Rwvu.turnover.",#N/A,FALSE,FALSE}</definedName>
    <definedName name="jgf" hidden="1">{"view1",#N/A,FALSE,"EARN (US$)";"view1",#N/A,FALSE,"DASTBS (US$)";"view1",#N/A,FALSE,"DASTCF (US$)"}</definedName>
    <definedName name="jhiuh" localSheetId="1" hidden="1">{"'RCIM'!$E$128"}</definedName>
    <definedName name="jhiuh" hidden="1">{"'RCIM'!$E$128"}</definedName>
    <definedName name="jjh" hidden="1">{"view1",#N/A,FALSE,"MOTEARN";"view1",#N/A,FALSE,"Bal Sht";"view1",#N/A,FALSE,"Cash Flows"}</definedName>
    <definedName name="JNPRpublish" hidden="1">{#N/A,#N/A,FALSE,"Index";"Stmts_Qtrs",#N/A,FALSE,"Summary";"Stmts_24 mo",#N/A,FALSE,"Summary";"Summary_24",#N/A,FALSE,"Revenue";"Month_24",#N/A,FALSE,"Engineering";"Month_24",#N/A,FALSE,"Marketing";"Month_24",#N/A,FALSE,"G &amp; A";"Month_24",#N/A,FALSE,"Manufacturing"}</definedName>
    <definedName name="joimnf" localSheetId="1" hidden="1">{"'RCIM'!$E$128"}</definedName>
    <definedName name="joimnf" hidden="1">{"'RCIM'!$E$128"}</definedName>
    <definedName name="KeepVersions" localSheetId="10">IndexInformation!$B$8</definedName>
    <definedName name="kjh" hidden="1">{"quarter",#N/A,FALSE,"MOB"}</definedName>
    <definedName name="klklklkl" localSheetId="1" hidden="1">{#N/A,#N/A,FALSE,"Index";"Stmts_Qtrs",#N/A,FALSE,"Summary";"Stmts_24 mo",#N/A,FALSE,"Summary";"Summary_24",#N/A,FALSE,"Revenue";"Month_24",#N/A,FALSE,"Engineering";"Month_24",#N/A,FALSE,"Marketing";"Month_24",#N/A,FALSE,"G &amp; A";"Month_24",#N/A,FALSE,"Manufacturing"}</definedName>
    <definedName name="klklklkl" hidden="1">{#N/A,#N/A,FALSE,"Index";"Stmts_Qtrs",#N/A,FALSE,"Summary";"Stmts_24 mo",#N/A,FALSE,"Summary";"Summary_24",#N/A,FALSE,"Revenue";"Month_24",#N/A,FALSE,"Engineering";"Month_24",#N/A,FALSE,"Marketing";"Month_24",#N/A,FALSE,"G &amp; A";"Month_24",#N/A,FALSE,"Manufacturing"}</definedName>
    <definedName name="klklklkl_1" hidden="1">{#N/A,#N/A,FALSE,"Index";"Stmts_Qtrs",#N/A,FALSE,"Summary";"Stmts_24 mo",#N/A,FALSE,"Summary";"Summary_24",#N/A,FALSE,"Revenue";"Month_24",#N/A,FALSE,"Engineering";"Month_24",#N/A,FALSE,"Marketing";"Month_24",#N/A,FALSE,"G &amp; A";"Month_24",#N/A,FALSE,"Manufacturing"}</definedName>
    <definedName name="klklklkl1" localSheetId="1" hidden="1">{#N/A,#N/A,FALSE,"Index";"Stmts_Qtrs",#N/A,FALSE,"Summary";"Stmts_24 mo",#N/A,FALSE,"Summary";"Summary_24",#N/A,FALSE,"Revenue";"Month_24",#N/A,FALSE,"Engineering";"Month_24",#N/A,FALSE,"Marketing";"Month_24",#N/A,FALSE,"G &amp; A";"Month_24",#N/A,FALSE,"Manufacturing"}</definedName>
    <definedName name="klklklkl1" hidden="1">{#N/A,#N/A,FALSE,"Index";"Stmts_Qtrs",#N/A,FALSE,"Summary";"Stmts_24 mo",#N/A,FALSE,"Summary";"Summary_24",#N/A,FALSE,"Revenue";"Month_24",#N/A,FALSE,"Engineering";"Month_24",#N/A,FALSE,"Marketing";"Month_24",#N/A,FALSE,"G &amp; A";"Month_24",#N/A,FALSE,"Manufacturing"}</definedName>
    <definedName name="klklklkl1_1" hidden="1">{#N/A,#N/A,FALSE,"Index";"Stmts_Qtrs",#N/A,FALSE,"Summary";"Stmts_24 mo",#N/A,FALSE,"Summary";"Summary_24",#N/A,FALSE,"Revenue";"Month_24",#N/A,FALSE,"Engineering";"Month_24",#N/A,FALSE,"Marketing";"Month_24",#N/A,FALSE,"G &amp; A";"Month_24",#N/A,FALSE,"Manufacturing"}</definedName>
    <definedName name="kw" localSheetId="1" hidden="1">{"fdsup://Directions/FactSet Auditing Viewer?action=AUDIT_VALUE&amp;DB=129&amp;ID1=03783310&amp;VALUEID=02001&amp;SDATE=2009&amp;PERIODTYPE=ANN_STD&amp;window=popup_no_bar&amp;width=385&amp;height=120&amp;START_MAXIMIZED=FALSE&amp;creator=factset&amp;display_string=Audit"}</definedName>
    <definedName name="kw" hidden="1">{"fdsup://Directions/FactSet Auditing Viewer?action=AUDIT_VALUE&amp;DB=129&amp;ID1=03783310&amp;VALUEID=02001&amp;SDATE=2009&amp;PERIODTYPE=ANN_STD&amp;window=popup_no_bar&amp;width=385&amp;height=120&amp;START_MAXIMIZED=FALSE&amp;creator=factset&amp;display_string=Audit"}</definedName>
    <definedName name="LanguageCode">IndexInformation!$B$38</definedName>
    <definedName name="LastCell" localSheetId="0">ImportantDisclosures!$A$22</definedName>
    <definedName name="LiabilitiesCurrentAccruedLiabilities">0</definedName>
    <definedName name="LiabilitiesCurrentNotesPayable">0</definedName>
    <definedName name="LiabilitiesDeferredIncomeTaxes">0</definedName>
    <definedName name="LiabilitiesOther">0</definedName>
    <definedName name="LiabilitiesUnamortizedInvestmentTaxCredits">0</definedName>
    <definedName name="Linking_1">'Base DCF'!$B$2:$R$55</definedName>
    <definedName name="Linking_2">Model!$I$2:$AW$48</definedName>
    <definedName name="Linking_3">Model!$I$112:$AU$146</definedName>
    <definedName name="Linking_4">Model!$I$167:$AU$211</definedName>
    <definedName name="Linking_5">Model!$I$2:$AW$45</definedName>
    <definedName name="Linking_6">Model!$I$2:$AP$146</definedName>
    <definedName name="Linking_7">'MS v Con'!$B$9:$O$34</definedName>
    <definedName name="Linking_8">Model!$I$2:$AP$211</definedName>
    <definedName name="Linking_Range_1">'Base DCF'!$B$2:$R$37</definedName>
    <definedName name="Linking_Range_102">'MS v Con'!$B$9:$O$25</definedName>
    <definedName name="Linking_Range_2">Model!$I$167:$AP$211</definedName>
    <definedName name="Linking_Range_3">Model!$I$112:$AP$146</definedName>
    <definedName name="Linking_Range_4">Model!$I$3:$AW$48</definedName>
    <definedName name="Linking_Range_5">'Revenue Model'!$I$3:$AW$50</definedName>
    <definedName name="Linking_Range_66" localSheetId="1">'MS v Con'!$B$9:$N$25</definedName>
    <definedName name="Linking_Range_94">'MS v Con'!$B$9:$N$25</definedName>
    <definedName name="Linking_Text_1">Model!$AL$24</definedName>
    <definedName name="Linking_Text_2">'Base DCF'!$E$36</definedName>
    <definedName name="Linking_Text_3">Model!$Z$110</definedName>
    <definedName name="Linking_Text_4">'Revenue Model'!$AL$16</definedName>
    <definedName name="MacroVersion" localSheetId="10">IndexInformation!$B$1</definedName>
    <definedName name="mfpoerjf" localSheetId="1" hidden="1">{"'RCIM'!$E$128"}</definedName>
    <definedName name="mfpoerjf" hidden="1">{"'RCIM'!$E$128"}</definedName>
    <definedName name="misc">1</definedName>
    <definedName name="misc2">1</definedName>
    <definedName name="mnb" hidden="1">{"Pulp Production",#N/A,FALSE,"Pulp";"Pulp Earnings",#N/A,FALSE,"Pulp"}</definedName>
    <definedName name="ModelPrice" localSheetId="0">ImportantDisclosures!$A$14</definedName>
    <definedName name="MonthNames">{"Jan","Feb","Mar","Apr","May","Jun","Jul","Aug","Sep","Oct","Nov","Dec";"January","February","March","April","May","June","July","August","September","October","November","December"}</definedName>
    <definedName name="Multiplier" localSheetId="10">IndexInformation!$B$35</definedName>
    <definedName name="mvropemld" localSheetId="1" hidden="1">{"'RCIM'!$E$128"}</definedName>
    <definedName name="mvropemld" hidden="1">{"'RCIM'!$E$128"}</definedName>
    <definedName name="ncowe" localSheetId="1" hidden="1">{"'RCIM'!$E$128"}</definedName>
    <definedName name="ncowe" hidden="1">{"'RCIM'!$E$128"}</definedName>
    <definedName name="NextYearEPS" localSheetId="10">IndexInformation!$B$13</definedName>
    <definedName name="NextYearTotalRevenue" localSheetId="10">IndexInformation!$B$12</definedName>
    <definedName name="NextYearTotalRevenueActual" localSheetId="10">IndexInformation!$B$33</definedName>
    <definedName name="nmnmm" localSheetId="1" hidden="1">{#N/A,#N/A,FALSE,"Index";"Stmts_Qtrs",#N/A,FALSE,"Summary";"Stmts_24 mo",#N/A,FALSE,"Summary";"Summary_24",#N/A,FALSE,"Revenue";"Month_24",#N/A,FALSE,"Engineering";"Month_24",#N/A,FALSE,"Marketing";"Month_24",#N/A,FALSE,"G &amp; A";"Month_24",#N/A,FALSE,"Manufacturing"}</definedName>
    <definedName name="nmnmm" hidden="1">{#N/A,#N/A,FALSE,"Index";"Stmts_Qtrs",#N/A,FALSE,"Summary";"Stmts_24 mo",#N/A,FALSE,"Summary";"Summary_24",#N/A,FALSE,"Revenue";"Month_24",#N/A,FALSE,"Engineering";"Month_24",#N/A,FALSE,"Marketing";"Month_24",#N/A,FALSE,"G &amp; A";"Month_24",#N/A,FALSE,"Manufacturing"}</definedName>
    <definedName name="nmnmm_1" hidden="1">{#N/A,#N/A,FALSE,"Index";"Stmts_Qtrs",#N/A,FALSE,"Summary";"Stmts_24 mo",#N/A,FALSE,"Summary";"Summary_24",#N/A,FALSE,"Revenue";"Month_24",#N/A,FALSE,"Engineering";"Month_24",#N/A,FALSE,"Marketing";"Month_24",#N/A,FALSE,"G &amp; A";"Month_24",#N/A,FALSE,"Manufacturing"}</definedName>
    <definedName name="nmnmm1" localSheetId="1" hidden="1">{#N/A,#N/A,FALSE,"Index";"Stmts_Qtrs",#N/A,FALSE,"Summary";"Stmts_24 mo",#N/A,FALSE,"Summary";"Summary_24",#N/A,FALSE,"Revenue";"Month_24",#N/A,FALSE,"Engineering";"Month_24",#N/A,FALSE,"Marketing";"Month_24",#N/A,FALSE,"G &amp; A";"Month_24",#N/A,FALSE,"Manufacturing"}</definedName>
    <definedName name="nmnmm1" hidden="1">{#N/A,#N/A,FALSE,"Index";"Stmts_Qtrs",#N/A,FALSE,"Summary";"Stmts_24 mo",#N/A,FALSE,"Summary";"Summary_24",#N/A,FALSE,"Revenue";"Month_24",#N/A,FALSE,"Engineering";"Month_24",#N/A,FALSE,"Marketing";"Month_24",#N/A,FALSE,"G &amp; A";"Month_24",#N/A,FALSE,"Manufacturing"}</definedName>
    <definedName name="nmnmm1_1" hidden="1">{#N/A,#N/A,FALSE,"Index";"Stmts_Qtrs",#N/A,FALSE,"Summary";"Stmts_24 mo",#N/A,FALSE,"Summary";"Summary_24",#N/A,FALSE,"Revenue";"Month_24",#N/A,FALSE,"Engineering";"Month_24",#N/A,FALSE,"Marketing";"Month_24",#N/A,FALSE,"G &amp; A";"Month_24",#N/A,FALSE,"Manufacturing"}</definedName>
    <definedName name="Normalized_Income_Statement">"IS_Annual"</definedName>
    <definedName name="NvsASD">"V2000-09-08"</definedName>
    <definedName name="NvsAutoDrillOk">"VN"</definedName>
    <definedName name="NvsElapsedTime">0.000234143517445773</definedName>
    <definedName name="NvsEndTime">36707.2948738426</definedName>
    <definedName name="NvsInstSpec">"%,FMI_ALT_BU,TCA_ALTBU_CORPS,NCONSOLIDATING"</definedName>
    <definedName name="NvsLayoutType">"M3"</definedName>
    <definedName name="NvsNplSpec">"%,X,RZF..,CZF.."</definedName>
    <definedName name="NvsPanelEffdt">"V9999-01-01"</definedName>
    <definedName name="NvsPanelSetid">"VMIDIV"</definedName>
    <definedName name="NvsReqBU">"V52"</definedName>
    <definedName name="NvsReqBUOnly">"VN"</definedName>
    <definedName name="NvsTransLed">"VN"</definedName>
    <definedName name="NvsTreeASD">"V2000-09-08"</definedName>
    <definedName name="NvsValTbl.PRODUCT">"MI_GL_PRODCT_VW"</definedName>
    <definedName name="ObjectType">IndexInformation!$B$37</definedName>
    <definedName name="OpExAmortization">0</definedName>
    <definedName name="OpExBeforeDepreciationAmortizationExtraordinariesOther">0</definedName>
    <definedName name="OpExBeforeDepreciationAmortizationExtraordinariesTotal">0</definedName>
    <definedName name="OpExCostOfEquipment">0</definedName>
    <definedName name="OpExDepreciation">0</definedName>
    <definedName name="OpExGeneralAdministrative">0</definedName>
    <definedName name="OpExSellingMarketing">0</definedName>
    <definedName name="OpExTotal">0</definedName>
    <definedName name="OtherExEquityIncome">0</definedName>
    <definedName name="OtherExGainOnSale">0</definedName>
    <definedName name="OtherExInterestIncome">0</definedName>
    <definedName name="OtherExMinorityInterest">0</definedName>
    <definedName name="OtherExTotal">0</definedName>
    <definedName name="PANA" localSheetId="11">ModPubIndex!$A$11</definedName>
    <definedName name="PathName" localSheetId="10">IndexInformation!$B$25</definedName>
    <definedName name="pbPrinterFormat">"\\SUSNY007\P100088913 on Ne00:"</definedName>
    <definedName name="pbStartPageNumber">1</definedName>
    <definedName name="Pdate">35902</definedName>
    <definedName name="perc" localSheetId="1">{"0.85","0.875","0.9","0.925","0.95","0.975","1","1.025","1.05","1.075","1.1","1.125","1.15"}</definedName>
    <definedName name="perc">{"0.85","0.875","0.9","0.925","0.95","0.975","1","1.025","1.05","1.075","1.1","1.125","1.15"}</definedName>
    <definedName name="pooling_Premium">25%</definedName>
    <definedName name="price_date">36098</definedName>
    <definedName name="_xlnm.Print_Area">"Formula removed, name can be deleted."</definedName>
    <definedName name="_xlnm.Print_Titles">"Formula removed, name can be deleted."</definedName>
    <definedName name="print1" localSheetId="1" hidden="1">{#N/A,#N/A,FALSE,"Index";"Stmts_Qtrs",#N/A,FALSE,"Summary";"Stmts_24 mo",#N/A,FALSE,"Summary";"Summary_24",#N/A,FALSE,"Revenue";"Month_24",#N/A,FALSE,"Engineering";"Month_24",#N/A,FALSE,"Marketing";"Month_24",#N/A,FALSE,"G &amp; A";"Month_24",#N/A,FALSE,"Manufacturing"}</definedName>
    <definedName name="print1" hidden="1">{#N/A,#N/A,FALSE,"Index";"Stmts_Qtrs",#N/A,FALSE,"Summary";"Stmts_24 mo",#N/A,FALSE,"Summary";"Summary_24",#N/A,FALSE,"Revenue";"Month_24",#N/A,FALSE,"Engineering";"Month_24",#N/A,FALSE,"Marketing";"Month_24",#N/A,FALSE,"G &amp; A";"Month_24",#N/A,FALSE,"Manufacturing"}</definedName>
    <definedName name="print1_1" hidden="1">{#N/A,#N/A,FALSE,"Index";"Stmts_Qtrs",#N/A,FALSE,"Summary";"Stmts_24 mo",#N/A,FALSE,"Summary";"Summary_24",#N/A,FALSE,"Revenue";"Month_24",#N/A,FALSE,"Engineering";"Month_24",#N/A,FALSE,"Marketing";"Month_24",#N/A,FALSE,"G &amp; A";"Month_24",#N/A,FALSE,"Manufacturing"}</definedName>
    <definedName name="PRODUCT" localSheetId="11">ModPubIndex!$A$6</definedName>
    <definedName name="ProjectName" localSheetId="1">{"Client Name or Project Name"}</definedName>
    <definedName name="ProjectName">{"Client Name or Project Name"}</definedName>
    <definedName name="PSYM" localSheetId="11">ModPubIndex!$A$4</definedName>
    <definedName name="PUB_UserID" hidden="1">"MAYERX"</definedName>
    <definedName name="PublishDate" localSheetId="10">IndexInformation!$B$2</definedName>
    <definedName name="Purchase_Premium_A">25%</definedName>
    <definedName name="Purchase_Premium_B">0.25</definedName>
    <definedName name="Rating" localSheetId="10">IndexInformation!$B$9</definedName>
    <definedName name="RatingsDefined" localSheetId="0">ImportantDisclosures!$A$21</definedName>
    <definedName name="RatingsDefs" localSheetId="0">ImportantDisclosures!#REF!</definedName>
    <definedName name="redux">1</definedName>
    <definedName name="RegACDisclosure" localSheetId="0">ImportantDisclosures!#REF!</definedName>
    <definedName name="RepairedName0021" hidden="1">"iQShowAnnual"</definedName>
    <definedName name="ResearchTopic" localSheetId="10">IndexInformation!$B$4</definedName>
    <definedName name="RevenuesCellularEquipment">0</definedName>
    <definedName name="RevenuesCellularOther">0</definedName>
    <definedName name="RevenuesCellularService">0</definedName>
    <definedName name="RevenuesCellularTotal">0</definedName>
    <definedName name="RevenuesPagingEquipment">0</definedName>
    <definedName name="RevenuesPagingOther">0</definedName>
    <definedName name="RevenuesPagingService">0</definedName>
    <definedName name="RevenuesPagingTotal">0</definedName>
    <definedName name="RevenuesWirelessEquipment">0</definedName>
    <definedName name="RevenuesWirelessOther">0</definedName>
    <definedName name="RevenuesWirelessService">0</definedName>
    <definedName name="rew" hidden="1">{"view1",#N/A,FALSE,"Tables";"view2",#N/A,FALSE,"Tables";"view3",#N/A,FALSE,"Tables"}</definedName>
    <definedName name="RIC" localSheetId="10">IndexInformation!$B$21</definedName>
    <definedName name="rrrrrrrr" localSheetId="1" hidden="1">{"'RCIM'!$E$128"}</definedName>
    <definedName name="rrrrrrrr" hidden="1">{"'RCIM'!$E$128"}</definedName>
    <definedName name="SAPFuncF4Help" hidden="1">Main.SAPF4Help()</definedName>
    <definedName name="SECSettlement" localSheetId="0">ImportantDisclosures!#REF!</definedName>
    <definedName name="SEDOL" localSheetId="10">IndexInformation!$B$22</definedName>
    <definedName name="sencount" hidden="1">1</definedName>
    <definedName name="seniorRate">"SrRate"</definedName>
    <definedName name="SharesConvertibleSecurities">0</definedName>
    <definedName name="SharesFullyDiluted">0</definedName>
    <definedName name="SharesOptions">0</definedName>
    <definedName name="SharesOutstandingLatestDate">0</definedName>
    <definedName name="SharesOutstandingOther">0</definedName>
    <definedName name="SharesOutstandingSenior">0</definedName>
    <definedName name="SharesOutstandingSubordinate">0</definedName>
    <definedName name="SharesPrimary">0</definedName>
    <definedName name="SharesWarrants">0</definedName>
    <definedName name="solver_lin" hidden="1">0</definedName>
    <definedName name="solver_num" hidden="1">0</definedName>
    <definedName name="solver_typ" hidden="1">3</definedName>
    <definedName name="solver_val" hidden="1">0.1076</definedName>
    <definedName name="SourceDefined" localSheetId="0">ImportantDisclosures!$A$19</definedName>
    <definedName name="spebdy" localSheetId="1" hidden="1">{"'RCIM'!$E$128"}</definedName>
    <definedName name="spebdy" hidden="1">{"'RCIM'!$E$128"}</definedName>
    <definedName name="SPWS_WBID">"F1754E3C-8B33-11D3-B915-000086369788"</definedName>
    <definedName name="SrRate">"SrRating"</definedName>
    <definedName name="StatsAccessLinesDomesticInternationalTotalAverage">0</definedName>
    <definedName name="StatsAccessLinesTotalAverage">0</definedName>
    <definedName name="StatsAverageMonthlyRevenue">0</definedName>
    <definedName name="StatsEmployeesConsolidatedInternational">0</definedName>
    <definedName name="StatsEmployeesTelephoneInternational">0</definedName>
    <definedName name="StatsPagingAverageMonthlyRevenue">0</definedName>
    <definedName name="StatsPagingSubscribers">0</definedName>
    <definedName name="StatsPenetration">0</definedName>
    <definedName name="StatsPOPS">0</definedName>
    <definedName name="StatsProportionatePenetration">0</definedName>
    <definedName name="StatsProportionatePOPS">0</definedName>
    <definedName name="StatsProportionateSubscribersAverage">0</definedName>
    <definedName name="StatsProportionateSubscribersBeginning">0</definedName>
    <definedName name="StatsProportionateSubscribersEnding">0</definedName>
    <definedName name="StatsProportionateSubscribersNetAdds">0</definedName>
    <definedName name="StatsSubscribersAverage">0</definedName>
    <definedName name="StatsSubscribersBeginning">0</definedName>
    <definedName name="StatsSubscribersEnding">0</definedName>
    <definedName name="StatsSubscribersNetAdds">0</definedName>
    <definedName name="StockRating" localSheetId="0">ImportantDisclosures!$A$11</definedName>
    <definedName name="SubjectCode" localSheetId="10">IndexInformation!$B$6</definedName>
    <definedName name="SubmitterUserId">IndexInformation!$B$39</definedName>
    <definedName name="SUPPRESSED" localSheetId="11">ModPubIndex!$A$13</definedName>
    <definedName name="Target_Net_Debt">"targ_netdebt"</definedName>
    <definedName name="TargetPrice" localSheetId="0">ImportantDisclosures!$A$15</definedName>
    <definedName name="tax_rate">38%</definedName>
    <definedName name="Template.WIRE">"DBACCESS"</definedName>
    <definedName name="TemplateRegion">IndexInformation!$B$36</definedName>
    <definedName name="Test" localSheetId="1">BS_LongTermInvestments</definedName>
    <definedName name="Test">BS_LongTermInvestments</definedName>
    <definedName name="tester" localSheetId="1">BS_LongTermInvestments</definedName>
    <definedName name="tester">BS_LongTermInvestments</definedName>
    <definedName name="Theater" localSheetId="1" hidden="1">{#N/A,#N/A,FALSE,"Index";"Stmts_Qtrs",#N/A,FALSE,"Summary";"Stmts_24 mo",#N/A,FALSE,"Summary";"Summary_24",#N/A,FALSE,"Revenue";"Month_24",#N/A,FALSE,"Engineering";"Month_24",#N/A,FALSE,"Marketing";"Month_24",#N/A,FALSE,"G &amp; A";"Month_24",#N/A,FALSE,"Manufacturing"}</definedName>
    <definedName name="Theater" hidden="1">{#N/A,#N/A,FALSE,"Index";"Stmts_Qtrs",#N/A,FALSE,"Summary";"Stmts_24 mo",#N/A,FALSE,"Summary";"Summary_24",#N/A,FALSE,"Revenue";"Month_24",#N/A,FALSE,"Engineering";"Month_24",#N/A,FALSE,"Marketing";"Month_24",#N/A,FALSE,"G &amp; A";"Month_24",#N/A,FALSE,"Manufacturing"}</definedName>
    <definedName name="This_Year">"1998E"</definedName>
    <definedName name="Ticker" localSheetId="0">ImportantDisclosures!$A$10</definedName>
    <definedName name="TickerRegion">IndexInformation!$B$41</definedName>
    <definedName name="Tickers" localSheetId="10">IndexInformation!$B$19</definedName>
    <definedName name="Total_Fair_Market_Value_Per_Share">"dcfval03"</definedName>
    <definedName name="UpdateReason" localSheetId="10">IndexInformation!$B$17</definedName>
    <definedName name="USRegDisclosures" localSheetId="0">ImportantDisclosures!#REF!</definedName>
    <definedName name="Valuation_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Valuation_Bull"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ValuationAdjustmentsOther">0</definedName>
    <definedName name="ValuationAdjustmentsValue">0</definedName>
    <definedName name="ValuationCellularValue">0</definedName>
    <definedName name="ValuationDebtAdjustment">0</definedName>
    <definedName name="ValuationDebtNet">0</definedName>
    <definedName name="ValuationDebtTotal">0</definedName>
    <definedName name="ValuationFirmValue">0</definedName>
    <definedName name="ValuationInvestments">0</definedName>
    <definedName name="ValuationMarketCapitalization">0</definedName>
    <definedName name="ValuationOtherValue">0</definedName>
    <definedName name="ValuationPagingValue">0</definedName>
    <definedName name="ValuationTelephoneValue">0</definedName>
    <definedName name="ValuationWirelessValue">0</definedName>
    <definedName name="Version.WIRE">1</definedName>
    <definedName name="workmodel" localSheetId="1">workis,workrev1,balsheet</definedName>
    <definedName name="workmodel">workis,workrev1,balsheet</definedName>
    <definedName name="wrn.2._.pagers." localSheetId="1" hidden="1">{"Cover",#N/A,FALSE,"Cover";"Summary",#N/A,FALSE,"Summarpage"}</definedName>
    <definedName name="wrn.2._.pagers." hidden="1">{"Cover",#N/A,FALSE,"Cover";"Summary",#N/A,FALSE,"Summarpage"}</definedName>
    <definedName name="wrn.2._.pagers._1" hidden="1">{"Cover",#N/A,FALSE,"Cover";"Summary",#N/A,FALSE,"Summarpage"}</definedName>
    <definedName name="wrn.2._.pagers._2" hidden="1">{"Cover",#N/A,FALSE,"Cover";"Summary",#N/A,FALSE,"Summarpage"}</definedName>
    <definedName name="wrn.2._.pagers._3" hidden="1">{"Cover",#N/A,FALSE,"Cover";"Summary",#N/A,FALSE,"Summarpage"}</definedName>
    <definedName name="wrn.2._.pagers._4" hidden="1">{"Cover",#N/A,FALSE,"Cover";"Summary",#N/A,FALSE,"Summarpage"}</definedName>
    <definedName name="wrn.2._.pagers._5" hidden="1">{"Cover",#N/A,FALSE,"Cover";"Summary",#N/A,FALSE,"Summarpage"}</definedName>
    <definedName name="wrn.allpages." localSheetId="1" hidden="1">{#N/A,#N/A,TRUE,"Historicals";#N/A,#N/A,TRUE,"Charts";#N/A,#N/A,TRUE,"Forecasts"}</definedName>
    <definedName name="wrn.allpages." hidden="1">{#N/A,#N/A,TRUE,"Historicals";#N/A,#N/A,TRUE,"Charts";#N/A,#N/A,TRUE,"Forecasts"}</definedName>
    <definedName name="wrn.allpages._1" hidden="1">{#N/A,#N/A,TRUE,"Historicals";#N/A,#N/A,TRUE,"Charts";#N/A,#N/A,TRUE,"Forecasts"}</definedName>
    <definedName name="wrn.allpages._2" hidden="1">{#N/A,#N/A,TRUE,"Historicals";#N/A,#N/A,TRUE,"Charts";#N/A,#N/A,TRUE,"Forecasts"}</definedName>
    <definedName name="wrn.allpages._3" hidden="1">{#N/A,#N/A,TRUE,"Historicals";#N/A,#N/A,TRUE,"Charts";#N/A,#N/A,TRUE,"Forecasts"}</definedName>
    <definedName name="wrn.allpages._4" hidden="1">{#N/A,#N/A,TRUE,"Historicals";#N/A,#N/A,TRUE,"Charts";#N/A,#N/A,TRUE,"Forecasts"}</definedName>
    <definedName name="wrn.allpages._5" hidden="1">{#N/A,#N/A,TRUE,"Historicals";#N/A,#N/A,TRUE,"Charts";#N/A,#N/A,TRUE,"Forecasts"}</definedName>
    <definedName name="wrn.Complete." localSheetId="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3"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4"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nsolidated._.Statements." localSheetId="1" hidden="1">{"view1",#N/A,FALSE,"EARN (US$)";"view1",#N/A,FALSE,"DASTBS (US$)";"view1",#N/A,FALSE,"DASTCF (US$)"}</definedName>
    <definedName name="wrn.Consolidated._.Statements." hidden="1">{"view1",#N/A,FALSE,"EARN (US$)";"view1",#N/A,FALSE,"DASTBS (US$)";"view1",#N/A,FALSE,"DASTCF (US$)"}</definedName>
    <definedName name="wrn.Consolidated._.Statements._1" hidden="1">{"view1",#N/A,FALSE,"EARN (US$)";"view1",#N/A,FALSE,"DASTBS (US$)";"view1",#N/A,FALSE,"DASTCF (US$)"}</definedName>
    <definedName name="wrn.Consolidated._.Statements._2" hidden="1">{"view1",#N/A,FALSE,"EARN (US$)";"view1",#N/A,FALSE,"DASTBS (US$)";"view1",#N/A,FALSE,"DASTCF (US$)"}</definedName>
    <definedName name="wrn.Consolidated._.Statements._3" hidden="1">{"view1",#N/A,FALSE,"EARN (US$)";"view1",#N/A,FALSE,"DASTBS (US$)";"view1",#N/A,FALSE,"DASTCF (US$)"}</definedName>
    <definedName name="wrn.Consolidated._.Statements._4" hidden="1">{"view1",#N/A,FALSE,"EARN (US$)";"view1",#N/A,FALSE,"DASTBS (US$)";"view1",#N/A,FALSE,"DASTCF (US$)"}</definedName>
    <definedName name="wrn.Consolidated._.Statements._5" hidden="1">{"view1",#N/A,FALSE,"EARN (US$)";"view1",#N/A,FALSE,"DASTBS (US$)";"view1",#N/A,FALSE,"DASTCF (US$)"}</definedName>
    <definedName name="wrn.Covers." localSheetId="1" hidden="1">{"view1",#N/A,FALSE,"MOTEARN";"view1",#N/A,FALSE,"Bal Sht";"view1",#N/A,FALSE,"Cash Flows"}</definedName>
    <definedName name="wrn.Covers." hidden="1">{"view1",#N/A,FALSE,"MOTEARN";"view1",#N/A,FALSE,"Bal Sht";"view1",#N/A,FALSE,"Cash Flows"}</definedName>
    <definedName name="wrn.Covers._1" hidden="1">{"view1",#N/A,FALSE,"MOTEARN";"view1",#N/A,FALSE,"Bal Sht";"view1",#N/A,FALSE,"Cash Flows"}</definedName>
    <definedName name="wrn.Covers._2" hidden="1">{"view1",#N/A,FALSE,"MOTEARN";"view1",#N/A,FALSE,"Bal Sht";"view1",#N/A,FALSE,"Cash Flows"}</definedName>
    <definedName name="wrn.Covers._3" hidden="1">{"view1",#N/A,FALSE,"MOTEARN";"view1",#N/A,FALSE,"Bal Sht";"view1",#N/A,FALSE,"Cash Flows"}</definedName>
    <definedName name="wrn.Covers._4" hidden="1">{"view1",#N/A,FALSE,"MOTEARN";"view1",#N/A,FALSE,"Bal Sht";"view1",#N/A,FALSE,"Cash Flows"}</definedName>
    <definedName name="wrn.Covers._5" hidden="1">{"view1",#N/A,FALSE,"MOTEARN";"view1",#N/A,FALSE,"Bal Sht";"view1",#N/A,FALSE,"Cash Flows"}</definedName>
    <definedName name="wrn.FISV._.5._.year._.model." hidden="1">{"Assns Fax",#N/A,FALSE,"Assumptions";"Financial View",#N/A,FALSE,"Earnings";"DCF View",#N/A,FALSE,"Earnings";"Sensitivity",#N/A,FALSE,"DCF"}</definedName>
    <definedName name="wrn.Industry.xls." hidden="1">{#N/A,#N/A,FALSE,"Earnings";#N/A,#N/A,FALSE,"Overview";#N/A,#N/A,FALSE,"Summary";#N/A,#N/A,FALSE,"Summary II";#N/A,#N/A,FALSE,"R&amp;D";#N/A,#N/A,FALSE,"R&amp;D Forecast";#N/A,#N/A,FALSE,"Tax Adj";#N/A,#N/A,FALSE,"Goodwill";#N/A,#N/A,FALSE,"FX ";#N/A,#N/A,FALSE,"Consolidation";#N/A,#N/A,FALSE,"Provisions"}</definedName>
    <definedName name="wrn.Industry.xls._1" hidden="1">{#N/A,#N/A,FALSE,"Earnings";#N/A,#N/A,FALSE,"Overview";#N/A,#N/A,FALSE,"Summary";#N/A,#N/A,FALSE,"Summary II";#N/A,#N/A,FALSE,"R&amp;D";#N/A,#N/A,FALSE,"R&amp;D Forecast";#N/A,#N/A,FALSE,"Tax Adj";#N/A,#N/A,FALSE,"Goodwill";#N/A,#N/A,FALSE,"FX ";#N/A,#N/A,FALSE,"Consolidation";#N/A,#N/A,FALSE,"Provisions"}</definedName>
    <definedName name="wrn.Marketing._.Backup." hidden="1">{"1. Earnings Variance",#N/A,FALSE,"Earnings Variance";"2.Income Statement",#N/A,FALSE,"Income Statement";"3. Balance Sheet",#N/A,FALSE,"Balance Sheet";"4. Cash Flow",#N/A,FALSE,"Cash Flow"}</definedName>
    <definedName name="wrn.MOBIL." localSheetId="1" hidden="1">{"quarter",#N/A,FALSE,"MOB"}</definedName>
    <definedName name="wrn.MOBIL." hidden="1">{"quarter",#N/A,FALSE,"MOB"}</definedName>
    <definedName name="wrn.MOBIL._1" hidden="1">{"quarter",#N/A,FALSE,"MOB"}</definedName>
    <definedName name="wrn.OUTPUT." localSheetId="1" hidden="1">{"DCF","UPSIDE CASE",FALSE,"Sheet1";"DCF","BASE CASE",FALSE,"Sheet1";"DCF","DOWNSIDE CASE",FALSE,"Sheet1"}</definedName>
    <definedName name="wrn.OUTPUT." hidden="1">{"DCF","UPSIDE CASE",FALSE,"Sheet1";"DCF","BASE CASE",FALSE,"Sheet1";"DCF","DOWNSIDE CASE",FALSE,"Sheet1"}</definedName>
    <definedName name="wrn.Print._.24." localSheetId="1" hidden="1">{#N/A,#N/A,FALSE,"Index";"Stmts_Qtrs",#N/A,FALSE,"Summary";"Stmts_24 mo",#N/A,FALSE,"Summary";"Summary_24",#N/A,FALSE,"Revenue";"Month_24",#N/A,FALSE,"Engineering";"Month_24",#N/A,FALSE,"Marketing";"Month_24",#N/A,FALSE,"G &amp; A";"Month_24",#N/A,FALSE,"Manufacturing"}</definedName>
    <definedName name="wrn.Print._.24." hidden="1">{#N/A,#N/A,FALSE,"Index";"Stmts_Qtrs",#N/A,FALSE,"Summary";"Stmts_24 mo",#N/A,FALSE,"Summary";"Summary_24",#N/A,FALSE,"Revenue";"Month_24",#N/A,FALSE,"Engineering";"Month_24",#N/A,FALSE,"Marketing";"Month_24",#N/A,FALSE,"G &amp; A";"Month_24",#N/A,FALSE,"Manufacturing"}</definedName>
    <definedName name="wrn.Print._.24._1" hidden="1">{#N/A,#N/A,FALSE,"Index";"Stmts_Qtrs",#N/A,FALSE,"Summary";"Stmts_24 mo",#N/A,FALSE,"Summary";"Summary_24",#N/A,FALSE,"Revenue";"Month_24",#N/A,FALSE,"Engineering";"Month_24",#N/A,FALSE,"Marketing";"Month_24",#N/A,FALSE,"G &amp; A";"Month_24",#N/A,FALSE,"Manufacturing"}</definedName>
    <definedName name="wrn.Pulp." localSheetId="1" hidden="1">{"Pulp Production",#N/A,FALSE,"Pulp";"Pulp Earnings",#N/A,FALSE,"Pulp"}</definedName>
    <definedName name="wrn.Pulp." hidden="1">{"Pulp Production",#N/A,FALSE,"Pulp";"Pulp Earnings",#N/A,FALSE,"Pulp"}</definedName>
    <definedName name="wrn.Pulp._1" hidden="1">{"Pulp Production",#N/A,FALSE,"Pulp";"Pulp Earnings",#N/A,FALSE,"Pulp"}</definedName>
    <definedName name="wrn.Pulp._2" hidden="1">{"Pulp Production",#N/A,FALSE,"Pulp";"Pulp Earnings",#N/A,FALSE,"Pulp"}</definedName>
    <definedName name="wrn.Pulp._3" hidden="1">{"Pulp Production",#N/A,FALSE,"Pulp";"Pulp Earnings",#N/A,FALSE,"Pulp"}</definedName>
    <definedName name="wrn.Pulp._4" hidden="1">{"Pulp Production",#N/A,FALSE,"Pulp";"Pulp Earnings",#N/A,FALSE,"Pulp"}</definedName>
    <definedName name="wrn.Pulp._5" hidden="1">{"Pulp Production",#N/A,FALSE,"Pulp";"Pulp Earnings",#N/A,FALSE,"Pulp"}</definedName>
    <definedName name="wrn.Segments." localSheetId="1" hidden="1">{"view1",#N/A,FALSE,"Consolidated";"view2",#N/A,FALSE,"Consolidated (sum)";"view1",#N/A,FALSE,"Gen Sys";"view1",#N/A,FALSE,"Semicon";"view1",#N/A,FALSE,"Mess|Med";"view1",#N/A,FALSE,"Land Mob";"view1",#N/A,FALSE,"Other Prod";"view1",#N/A,FALSE,"Adj|Elim"}</definedName>
    <definedName name="wrn.Segments." hidden="1">{"view1",#N/A,FALSE,"Consolidated";"view2",#N/A,FALSE,"Consolidated (sum)";"view1",#N/A,FALSE,"Gen Sys";"view1",#N/A,FALSE,"Semicon";"view1",#N/A,FALSE,"Mess|Med";"view1",#N/A,FALSE,"Land Mob";"view1",#N/A,FALSE,"Other Prod";"view1",#N/A,FALSE,"Adj|Elim"}</definedName>
    <definedName name="wrn.Segments._1" hidden="1">{"view1",#N/A,FALSE,"Consolidated";"view2",#N/A,FALSE,"Consolidated (sum)";"view1",#N/A,FALSE,"Gen Sys";"view1",#N/A,FALSE,"Semicon";"view1",#N/A,FALSE,"Mess|Med";"view1",#N/A,FALSE,"Land Mob";"view1",#N/A,FALSE,"Other Prod";"view1",#N/A,FALSE,"Adj|Elim"}</definedName>
    <definedName name="wrn.Segments._2" hidden="1">{"view1",#N/A,FALSE,"Consolidated";"view2",#N/A,FALSE,"Consolidated (sum)";"view1",#N/A,FALSE,"Gen Sys";"view1",#N/A,FALSE,"Semicon";"view1",#N/A,FALSE,"Mess|Med";"view1",#N/A,FALSE,"Land Mob";"view1",#N/A,FALSE,"Other Prod";"view1",#N/A,FALSE,"Adj|Elim"}</definedName>
    <definedName name="wrn.Segments._3" hidden="1">{"view1",#N/A,FALSE,"Consolidated";"view2",#N/A,FALSE,"Consolidated (sum)";"view1",#N/A,FALSE,"Gen Sys";"view1",#N/A,FALSE,"Semicon";"view1",#N/A,FALSE,"Mess|Med";"view1",#N/A,FALSE,"Land Mob";"view1",#N/A,FALSE,"Other Prod";"view1",#N/A,FALSE,"Adj|Elim"}</definedName>
    <definedName name="wrn.Segments._4" hidden="1">{"view1",#N/A,FALSE,"Consolidated";"view2",#N/A,FALSE,"Consolidated (sum)";"view1",#N/A,FALSE,"Gen Sys";"view1",#N/A,FALSE,"Semicon";"view1",#N/A,FALSE,"Mess|Med";"view1",#N/A,FALSE,"Land Mob";"view1",#N/A,FALSE,"Other Prod";"view1",#N/A,FALSE,"Adj|Elim"}</definedName>
    <definedName name="wrn.Segments._5" hidden="1">{"view1",#N/A,FALSE,"Consolidated";"view2",#N/A,FALSE,"Consolidated (sum)";"view1",#N/A,FALSE,"Gen Sys";"view1",#N/A,FALSE,"Semicon";"view1",#N/A,FALSE,"Mess|Med";"view1",#N/A,FALSE,"Land Mob";"view1",#N/A,FALSE,"Other Prod";"view1",#N/A,FALSE,"Adj|Elim"}</definedName>
    <definedName name="wrn.Sensitivity._.Analysis." hidden="1">{"Sensitivity Tables",#N/A,FALSE,"DCF"}</definedName>
    <definedName name="wrn.Tables." localSheetId="1" hidden="1">{"view1",#N/A,FALSE,"Tables";"view2",#N/A,FALSE,"Tables";"view3",#N/A,FALSE,"Tables"}</definedName>
    <definedName name="wrn.Tables." hidden="1">{"view1",#N/A,FALSE,"Tables";"view2",#N/A,FALSE,"Tables";"view3",#N/A,FALSE,"Tables"}</definedName>
    <definedName name="wrn.Tables._1" hidden="1">{"view1",#N/A,FALSE,"Tables";"view2",#N/A,FALSE,"Tables";"view3",#N/A,FALSE,"Tables"}</definedName>
    <definedName name="wrn.Tables._2" hidden="1">{"view1",#N/A,FALSE,"Tables";"view2",#N/A,FALSE,"Tables";"view3",#N/A,FALSE,"Tables"}</definedName>
    <definedName name="wrn.Tables._3" hidden="1">{"view1",#N/A,FALSE,"Tables";"view2",#N/A,FALSE,"Tables";"view3",#N/A,FALSE,"Tables"}</definedName>
    <definedName name="wrn.Tables._4" hidden="1">{"view1",#N/A,FALSE,"Tables";"view2",#N/A,FALSE,"Tables";"view3",#N/A,FALSE,"Tables"}</definedName>
    <definedName name="wrn.Tables._5" hidden="1">{"view1",#N/A,FALSE,"Tables";"view2",#N/A,FALSE,"Tables";"view3",#N/A,FALSE,"Tables"}</definedName>
    <definedName name="wvu.cash." localSheetId="1" hidden="1">{TRUE,TRUE,-1.25,-15.5,456.75,279.75,FALSE,FALSE,TRUE,TRUE,0,1,18,1,199,6,3,4,TRUE,TRUE,3,TRUE,1,TRUE,100,"Swvu.cash.","ACwvu.cash.",1,FALSE,FALSE,0.511811023622047,0.511811023622047,0.511811023622047,0.511811023622047,1,"","",FALSE,FALSE,FALSE,FALSE,1,#N/A,1,1,#DIV/0!,FALSE,"Rwvu.cash.",#N/A,FALSE,FALSE}</definedName>
    <definedName name="wvu.cash." hidden="1">{TRUE,TRUE,-1.25,-15.5,456.75,279.75,FALSE,FALSE,TRUE,TRUE,0,1,18,1,199,6,3,4,TRUE,TRUE,3,TRUE,1,TRUE,100,"Swvu.cash.","ACwvu.cash.",1,FALSE,FALSE,0.511811023622047,0.511811023622047,0.511811023622047,0.511811023622047,1,"","",FALSE,FALSE,FALSE,FALSE,1,#N/A,1,1,#DIV/0!,FALSE,"Rwvu.cash.",#N/A,FALSE,FALSE}</definedName>
    <definedName name="wvu.profits." localSheetId="1" hidden="1">{TRUE,TRUE,-1.25,-15.5,456.75,279.75,FALSE,FALSE,TRUE,TRUE,0,1,21,1,127,6,3,4,TRUE,TRUE,3,TRUE,1,TRUE,100,"Swvu.profits.","ACwvu.profits.",1,FALSE,FALSE,0.511811023622047,0.511811023622047,0.511811023622047,0.511811023622047,1,"","",FALSE,FALSE,FALSE,FALSE,1,#N/A,1,1,#DIV/0!,FALSE,"Rwvu.profits.",#N/A,FALSE,FALSE}</definedName>
    <definedName name="wvu.profits." hidden="1">{TRUE,TRUE,-1.25,-15.5,456.75,279.75,FALSE,FALSE,TRUE,TRUE,0,1,21,1,127,6,3,4,TRUE,TRUE,3,TRUE,1,TRUE,100,"Swvu.profits.","ACwvu.profits.",1,FALSE,FALSE,0.511811023622047,0.511811023622047,0.511811023622047,0.511811023622047,1,"","",FALSE,FALSE,FALSE,FALSE,1,#N/A,1,1,#DIV/0!,FALSE,"Rwvu.profits.",#N/A,FALSE,FALSE}</definedName>
    <definedName name="wvu.turnover." localSheetId="1" hidden="1">{TRUE,TRUE,-1.25,-15.5,456.75,279.75,FALSE,FALSE,TRUE,TRUE,0,1,8,1,4,6,3,4,TRUE,TRUE,3,TRUE,1,TRUE,100,"Swvu.turnover.","ACwvu.turnover.",1,FALSE,FALSE,0.511811023622047,0.511811023622047,0.511811023622047,0.511811023622047,1,"","",FALSE,FALSE,FALSE,FALSE,1,#N/A,1,1,#DIV/0!,FALSE,"Rwvu.turnover.",#N/A,FALSE,FALSE}</definedName>
    <definedName name="wvu.turnover." hidden="1">{TRUE,TRUE,-1.25,-15.5,456.75,279.75,FALSE,FALSE,TRUE,TRUE,0,1,8,1,4,6,3,4,TRUE,TRUE,3,TRUE,1,TRUE,100,"Swvu.turnover.","ACwvu.turnover.",1,FALSE,FALSE,0.511811023622047,0.511811023622047,0.511811023622047,0.511811023622047,1,"","",FALSE,FALSE,FALSE,FALSE,1,#N/A,1,1,#DIV/0!,FALSE,"Rwvu.turnover.",#N/A,FALSE,FALSE}</definedName>
    <definedName name="x" hidden="1">{"view1",#N/A,FALSE,"EARN (US$)";"view1",#N/A,FALSE,"DASTBS (US$)";"view1",#N/A,FALSE,"DASTCF (US$)"}</definedName>
    <definedName name="xysz" localSheetId="1" hidden="1">{TRUE,TRUE,-1.25,-15.5,456.75,279.75,FALSE,FALSE,TRUE,TRUE,0,1,21,1,127,6,3,4,TRUE,TRUE,3,TRUE,1,TRUE,100,"Swvu.profits.","ACwvu.profits.",1,FALSE,FALSE,0.511811023622047,0.511811023622047,0.511811023622047,0.511811023622047,1,"","",FALSE,FALSE,FALSE,FALSE,1,#N/A,1,1,#DIV/0!,FALSE,"Rwvu.profits.",#N/A,FALSE,FALSE}</definedName>
    <definedName name="xysz" hidden="1">{TRUE,TRUE,-1.25,-15.5,456.75,279.75,FALSE,FALSE,TRUE,TRUE,0,1,21,1,127,6,3,4,TRUE,TRUE,3,TRUE,1,TRUE,100,"Swvu.profits.","ACwvu.profits.",1,FALSE,FALSE,0.511811023622047,0.511811023622047,0.511811023622047,0.511811023622047,1,"","",FALSE,FALSE,FALSE,FALSE,1,#N/A,1,1,#DIV/0!,FALSE,"Rwvu.profits.",#N/A,FALSE,FALSE}</definedName>
    <definedName name="Year_End">1988</definedName>
    <definedName name="YrEnd_FFr_USD">0.1767</definedName>
    <definedName name="ytr" hidden="1">{"view1",#N/A,FALSE,"Consolidated";"view2",#N/A,FALSE,"Consolidated (sum)";"view1",#N/A,FALSE,"Gen Sys";"view1",#N/A,FALSE,"Semicon";"view1",#N/A,FALSE,"Mess|Med";"view1",#N/A,FALSE,"Land Mob";"view1",#N/A,FALSE,"Other Prod";"view1",#N/A,FALSE,"Adj|Elim"}</definedName>
  </definedNames>
  <calcPr calcId="145621"/>
</workbook>
</file>

<file path=xl/calcChain.xml><?xml version="1.0" encoding="utf-8"?>
<calcChain xmlns="http://schemas.openxmlformats.org/spreadsheetml/2006/main">
  <c r="E54" i="6" l="1"/>
  <c r="AU99" i="2"/>
  <c r="AT99" i="2"/>
  <c r="AS99" i="2"/>
  <c r="AR99" i="2" l="1"/>
  <c r="AL191" i="3" l="1"/>
  <c r="AM191" i="3"/>
  <c r="AN191" i="3"/>
  <c r="P11" i="20" l="1"/>
  <c r="O11" i="20"/>
  <c r="N11" i="20"/>
  <c r="M11" i="20"/>
  <c r="K11" i="20"/>
  <c r="J11" i="20"/>
  <c r="I11" i="20"/>
  <c r="H11" i="20"/>
  <c r="F11" i="20"/>
  <c r="E11" i="20"/>
  <c r="D11" i="20"/>
  <c r="C11" i="20"/>
  <c r="H5" i="20"/>
  <c r="H9" i="20" s="1"/>
  <c r="C5" i="20"/>
  <c r="C9" i="20" s="1"/>
  <c r="I4" i="20"/>
  <c r="J4" i="20" s="1"/>
  <c r="D4" i="20"/>
  <c r="E4" i="20" s="1"/>
  <c r="H25" i="20"/>
  <c r="C20" i="20"/>
  <c r="H23" i="20"/>
  <c r="C23" i="20"/>
  <c r="C25" i="20"/>
  <c r="H20" i="20"/>
  <c r="C22" i="20"/>
  <c r="H22" i="20"/>
  <c r="C29" i="20" l="1"/>
  <c r="C24" i="20"/>
  <c r="C21" i="20"/>
  <c r="H24" i="20"/>
  <c r="H21" i="20"/>
  <c r="K4" i="20"/>
  <c r="K5" i="20" s="1"/>
  <c r="K9" i="20" s="1"/>
  <c r="J5" i="20"/>
  <c r="J9" i="20" s="1"/>
  <c r="C18" i="20"/>
  <c r="C27" i="20" s="1"/>
  <c r="H18" i="20"/>
  <c r="H27" i="20" s="1"/>
  <c r="F4" i="20"/>
  <c r="E5" i="20"/>
  <c r="E9" i="20" s="1"/>
  <c r="H29" i="20"/>
  <c r="I5" i="20"/>
  <c r="I9" i="20" s="1"/>
  <c r="D5" i="20"/>
  <c r="D9" i="20" s="1"/>
  <c r="D23" i="20"/>
  <c r="K25" i="20"/>
  <c r="E23" i="20"/>
  <c r="I23" i="20"/>
  <c r="D20" i="20"/>
  <c r="D25" i="20"/>
  <c r="E22" i="20"/>
  <c r="E25" i="20"/>
  <c r="J20" i="20"/>
  <c r="K23" i="20"/>
  <c r="J25" i="20"/>
  <c r="J23" i="20"/>
  <c r="I22" i="20"/>
  <c r="I20" i="20"/>
  <c r="K20" i="20"/>
  <c r="E20" i="20"/>
  <c r="D22" i="20"/>
  <c r="J22" i="20"/>
  <c r="I25" i="20"/>
  <c r="K22" i="20"/>
  <c r="I24" i="20" l="1"/>
  <c r="I21" i="20"/>
  <c r="I29" i="20"/>
  <c r="E24" i="20"/>
  <c r="E21" i="20"/>
  <c r="E29" i="20"/>
  <c r="J24" i="20"/>
  <c r="J21" i="20"/>
  <c r="J29" i="20"/>
  <c r="D24" i="20"/>
  <c r="D21" i="20"/>
  <c r="D29" i="20"/>
  <c r="K24" i="20"/>
  <c r="K21" i="20"/>
  <c r="K29" i="20"/>
  <c r="I18" i="20"/>
  <c r="I27" i="20" s="1"/>
  <c r="E18" i="20"/>
  <c r="E27" i="20" s="1"/>
  <c r="F5" i="20"/>
  <c r="F9" i="20" s="1"/>
  <c r="M4" i="20"/>
  <c r="J18" i="20"/>
  <c r="J27" i="20" s="1"/>
  <c r="D18" i="20"/>
  <c r="D27" i="20" s="1"/>
  <c r="K18" i="20"/>
  <c r="K27" i="20" s="1"/>
  <c r="AD162" i="3"/>
  <c r="AD125" i="1"/>
  <c r="AE125" i="1" s="1"/>
  <c r="AF125" i="1" s="1"/>
  <c r="AG125" i="1" s="1"/>
  <c r="F22" i="20"/>
  <c r="F25" i="20"/>
  <c r="F20" i="20"/>
  <c r="F23" i="20"/>
  <c r="F24" i="20" l="1"/>
  <c r="F21" i="20"/>
  <c r="F29" i="20"/>
  <c r="M5" i="20"/>
  <c r="M9" i="20" s="1"/>
  <c r="N4" i="20"/>
  <c r="F18" i="20"/>
  <c r="F27" i="20" s="1"/>
  <c r="B809" i="4"/>
  <c r="C809" i="4"/>
  <c r="D809" i="4"/>
  <c r="E809" i="4"/>
  <c r="F809" i="4"/>
  <c r="G809" i="4"/>
  <c r="H809" i="4"/>
  <c r="I809" i="4"/>
  <c r="J809" i="4"/>
  <c r="K809" i="4"/>
  <c r="L809" i="4"/>
  <c r="M809" i="4"/>
  <c r="N809" i="4"/>
  <c r="O809" i="4"/>
  <c r="P809" i="4"/>
  <c r="Q809" i="4"/>
  <c r="R809" i="4"/>
  <c r="S809" i="4"/>
  <c r="T809" i="4"/>
  <c r="U809" i="4"/>
  <c r="V809" i="4"/>
  <c r="W809" i="4"/>
  <c r="X809" i="4"/>
  <c r="Y809" i="4"/>
  <c r="Z809" i="4"/>
  <c r="AA809" i="4"/>
  <c r="AB809" i="4"/>
  <c r="AC809" i="4"/>
  <c r="AD809" i="4"/>
  <c r="AE809" i="4"/>
  <c r="AF809" i="4"/>
  <c r="AG809" i="4"/>
  <c r="AH809" i="4"/>
  <c r="AI809" i="4"/>
  <c r="AJ809" i="4"/>
  <c r="AK809" i="4"/>
  <c r="AL809" i="4"/>
  <c r="AM809" i="4"/>
  <c r="AN809" i="4"/>
  <c r="AO809" i="4"/>
  <c r="AP809" i="4"/>
  <c r="B810" i="4"/>
  <c r="C810" i="4"/>
  <c r="D810" i="4"/>
  <c r="E810" i="4"/>
  <c r="F810" i="4"/>
  <c r="G810" i="4"/>
  <c r="H810" i="4"/>
  <c r="I810" i="4"/>
  <c r="J810" i="4"/>
  <c r="K810" i="4"/>
  <c r="L810" i="4"/>
  <c r="M810" i="4"/>
  <c r="N810" i="4"/>
  <c r="O810" i="4"/>
  <c r="P810" i="4"/>
  <c r="Q810" i="4"/>
  <c r="R810" i="4"/>
  <c r="S810" i="4"/>
  <c r="T810" i="4"/>
  <c r="U810" i="4"/>
  <c r="V810" i="4"/>
  <c r="W810" i="4"/>
  <c r="X810" i="4"/>
  <c r="Y810" i="4"/>
  <c r="Z810" i="4"/>
  <c r="AA810" i="4"/>
  <c r="AB810" i="4"/>
  <c r="AC810" i="4"/>
  <c r="AD810" i="4"/>
  <c r="AE810" i="4"/>
  <c r="AF810" i="4"/>
  <c r="AG810" i="4"/>
  <c r="AH810" i="4"/>
  <c r="AI810" i="4"/>
  <c r="AJ810" i="4"/>
  <c r="AK810" i="4"/>
  <c r="AL810" i="4"/>
  <c r="AM810" i="4"/>
  <c r="AN810" i="4"/>
  <c r="AO810" i="4"/>
  <c r="AP810" i="4"/>
  <c r="A810" i="4"/>
  <c r="A809" i="4"/>
  <c r="M20" i="20"/>
  <c r="M25" i="20"/>
  <c r="M22" i="20"/>
  <c r="M23" i="20"/>
  <c r="M24" i="20" l="1"/>
  <c r="M21" i="20"/>
  <c r="M29" i="20"/>
  <c r="O4" i="20"/>
  <c r="N5" i="20"/>
  <c r="N9" i="20" s="1"/>
  <c r="M18" i="20"/>
  <c r="M27" i="20" s="1"/>
  <c r="AC190" i="3"/>
  <c r="N20" i="20"/>
  <c r="N25" i="20"/>
  <c r="N22" i="20"/>
  <c r="N23" i="20"/>
  <c r="N24" i="20" l="1"/>
  <c r="N21" i="20"/>
  <c r="N29" i="20"/>
  <c r="N18" i="20"/>
  <c r="N27" i="20" s="1"/>
  <c r="P4" i="20"/>
  <c r="P5" i="20" s="1"/>
  <c r="P9" i="20" s="1"/>
  <c r="O5" i="20"/>
  <c r="O9" i="20" s="1"/>
  <c r="AC43" i="2"/>
  <c r="Y43" i="2"/>
  <c r="AC42" i="2"/>
  <c r="Y42" i="2"/>
  <c r="X43" i="2"/>
  <c r="W43" i="2"/>
  <c r="V34" i="2"/>
  <c r="V43" i="2"/>
  <c r="O20" i="20"/>
  <c r="O22" i="20"/>
  <c r="O23" i="20"/>
  <c r="P23" i="20"/>
  <c r="P25" i="20"/>
  <c r="P22" i="20"/>
  <c r="P20" i="20"/>
  <c r="O25" i="20"/>
  <c r="P24" i="20" l="1"/>
  <c r="P21" i="20"/>
  <c r="P29" i="20"/>
  <c r="O24" i="20"/>
  <c r="O21" i="20"/>
  <c r="O29" i="20"/>
  <c r="P18" i="20"/>
  <c r="P27" i="20" s="1"/>
  <c r="O18" i="20"/>
  <c r="O27" i="20" s="1"/>
  <c r="AC169" i="2"/>
  <c r="AB169" i="2" s="1"/>
  <c r="Z170" i="2"/>
  <c r="AA170" i="2"/>
  <c r="Z168" i="2"/>
  <c r="AA168" i="2"/>
  <c r="AB168" i="2"/>
  <c r="AC168" i="2"/>
  <c r="AM65" i="2"/>
  <c r="AC170" i="2" l="1"/>
  <c r="AB170" i="2"/>
  <c r="AG22" i="2" l="1"/>
  <c r="AF22" i="2"/>
  <c r="AE22" i="2"/>
  <c r="AU122" i="2" l="1"/>
  <c r="AT122" i="2"/>
  <c r="AO122" i="2"/>
  <c r="AQ146" i="2"/>
  <c r="AP146" i="2"/>
  <c r="AO146" i="2"/>
  <c r="AC244" i="3" l="1"/>
  <c r="AC182" i="3"/>
  <c r="AM3" i="1"/>
  <c r="AC241" i="1"/>
  <c r="AC240" i="1"/>
  <c r="AC236" i="1"/>
  <c r="AC233" i="1"/>
  <c r="AG139" i="2" l="1"/>
  <c r="AF139" i="2"/>
  <c r="AE139" i="2"/>
  <c r="AG92" i="2"/>
  <c r="AF92" i="2"/>
  <c r="AE92" i="2"/>
  <c r="AD92" i="2"/>
  <c r="AC174" i="1"/>
  <c r="AC171" i="1" l="1"/>
  <c r="AC120" i="1"/>
  <c r="AC126" i="1" s="1"/>
  <c r="AC132" i="1"/>
  <c r="AC136" i="1" s="1"/>
  <c r="AC139" i="1"/>
  <c r="AC144" i="1" s="1"/>
  <c r="AB171" i="1"/>
  <c r="AC146" i="1" l="1"/>
  <c r="AC147" i="1" s="1"/>
  <c r="AC57" i="1"/>
  <c r="AC32" i="1"/>
  <c r="Z2" i="2" l="1"/>
  <c r="AM3" i="2"/>
  <c r="AM3" i="3"/>
  <c r="Z2" i="3"/>
  <c r="AC162" i="3"/>
  <c r="AC149" i="3"/>
  <c r="AC139" i="3"/>
  <c r="AC128" i="3"/>
  <c r="AC58" i="3"/>
  <c r="AC37" i="3"/>
  <c r="AC149" i="2"/>
  <c r="AC125" i="2"/>
  <c r="AC102" i="2"/>
  <c r="AC139" i="2"/>
  <c r="AC115" i="2"/>
  <c r="AC92" i="2"/>
  <c r="I2" i="6"/>
  <c r="Y4" i="2"/>
  <c r="X4" i="2"/>
  <c r="AG31" i="1" l="1"/>
  <c r="AF31" i="1"/>
  <c r="AE31" i="1"/>
  <c r="AD31" i="1"/>
  <c r="U403" i="4" l="1"/>
  <c r="AB9" i="3" l="1"/>
  <c r="AM32" i="1" l="1"/>
  <c r="AM31" i="1"/>
  <c r="AP82" i="3" l="1"/>
  <c r="AT190" i="3" l="1"/>
  <c r="AU190" i="3" s="1"/>
  <c r="AD808" i="4"/>
  <c r="AC808" i="4"/>
  <c r="AB808" i="4"/>
  <c r="AA808" i="4"/>
  <c r="Z808" i="4"/>
  <c r="Q808" i="4"/>
  <c r="P808" i="4"/>
  <c r="O808" i="4"/>
  <c r="N808" i="4"/>
  <c r="M808" i="4"/>
  <c r="L808" i="4"/>
  <c r="K808" i="4"/>
  <c r="J808" i="4"/>
  <c r="I808" i="4"/>
  <c r="H808" i="4"/>
  <c r="G808" i="4"/>
  <c r="F808" i="4"/>
  <c r="E808" i="4"/>
  <c r="D808" i="4"/>
  <c r="C808" i="4"/>
  <c r="B808" i="4"/>
  <c r="A808" i="4"/>
  <c r="AM807" i="4"/>
  <c r="AL807" i="4"/>
  <c r="AK807" i="4"/>
  <c r="AJ807" i="4"/>
  <c r="AI807" i="4"/>
  <c r="AH807" i="4"/>
  <c r="AG807" i="4"/>
  <c r="AF807" i="4"/>
  <c r="AE807" i="4"/>
  <c r="AD807" i="4"/>
  <c r="AC807" i="4"/>
  <c r="AB807" i="4"/>
  <c r="AA807" i="4"/>
  <c r="Z807" i="4"/>
  <c r="Y807" i="4"/>
  <c r="X807" i="4"/>
  <c r="W807" i="4"/>
  <c r="V807" i="4"/>
  <c r="U807" i="4"/>
  <c r="T807" i="4"/>
  <c r="S807" i="4"/>
  <c r="R807" i="4"/>
  <c r="Q807" i="4"/>
  <c r="P807" i="4"/>
  <c r="O807" i="4"/>
  <c r="N807" i="4"/>
  <c r="M807" i="4"/>
  <c r="L807" i="4"/>
  <c r="K807" i="4"/>
  <c r="J807" i="4"/>
  <c r="I807" i="4"/>
  <c r="H807" i="4"/>
  <c r="G807" i="4"/>
  <c r="F807" i="4"/>
  <c r="E807" i="4"/>
  <c r="D807" i="4"/>
  <c r="C807" i="4"/>
  <c r="B807" i="4"/>
  <c r="A807" i="4"/>
  <c r="AM806" i="4"/>
  <c r="AL806" i="4"/>
  <c r="AK806" i="4"/>
  <c r="AJ806" i="4"/>
  <c r="AI806" i="4"/>
  <c r="AH806" i="4"/>
  <c r="AG806" i="4"/>
  <c r="AF806" i="4"/>
  <c r="AE806" i="4"/>
  <c r="AD806" i="4"/>
  <c r="AC806" i="4"/>
  <c r="AB806" i="4"/>
  <c r="AA806" i="4"/>
  <c r="Z806" i="4"/>
  <c r="T806" i="4"/>
  <c r="S806" i="4"/>
  <c r="R806" i="4"/>
  <c r="Q806" i="4"/>
  <c r="P806" i="4"/>
  <c r="O806" i="4"/>
  <c r="N806" i="4"/>
  <c r="M806" i="4"/>
  <c r="L806" i="4"/>
  <c r="K806" i="4"/>
  <c r="J806" i="4"/>
  <c r="I806" i="4"/>
  <c r="H806" i="4"/>
  <c r="G806" i="4"/>
  <c r="F806" i="4"/>
  <c r="E806" i="4"/>
  <c r="D806" i="4"/>
  <c r="C806" i="4"/>
  <c r="B806" i="4"/>
  <c r="A806" i="4"/>
  <c r="AM805" i="4"/>
  <c r="AL805" i="4"/>
  <c r="AK805" i="4"/>
  <c r="AJ805" i="4"/>
  <c r="AI805" i="4"/>
  <c r="AH805" i="4"/>
  <c r="AG805" i="4"/>
  <c r="AF805" i="4"/>
  <c r="AE805" i="4"/>
  <c r="AD805" i="4"/>
  <c r="AC805" i="4"/>
  <c r="AB805" i="4"/>
  <c r="AA805" i="4"/>
  <c r="Z805" i="4"/>
  <c r="T805" i="4"/>
  <c r="S805" i="4"/>
  <c r="R805" i="4"/>
  <c r="Q805" i="4"/>
  <c r="P805" i="4"/>
  <c r="O805" i="4"/>
  <c r="N805" i="4"/>
  <c r="M805" i="4"/>
  <c r="L805" i="4"/>
  <c r="K805" i="4"/>
  <c r="J805" i="4"/>
  <c r="I805" i="4"/>
  <c r="H805" i="4"/>
  <c r="G805" i="4"/>
  <c r="F805" i="4"/>
  <c r="E805" i="4"/>
  <c r="D805" i="4"/>
  <c r="C805" i="4"/>
  <c r="B805" i="4"/>
  <c r="A805" i="4"/>
  <c r="AD804" i="4"/>
  <c r="AC804" i="4"/>
  <c r="AB804" i="4"/>
  <c r="AA804" i="4"/>
  <c r="Z804" i="4"/>
  <c r="T804" i="4"/>
  <c r="S804" i="4"/>
  <c r="R804" i="4"/>
  <c r="Q804" i="4"/>
  <c r="P804" i="4"/>
  <c r="O804" i="4"/>
  <c r="N804" i="4"/>
  <c r="M804" i="4"/>
  <c r="L804" i="4"/>
  <c r="K804" i="4"/>
  <c r="J804" i="4"/>
  <c r="I804" i="4"/>
  <c r="H804" i="4"/>
  <c r="G804" i="4"/>
  <c r="F804" i="4"/>
  <c r="E804" i="4"/>
  <c r="D804" i="4"/>
  <c r="C804" i="4"/>
  <c r="B804" i="4"/>
  <c r="A804" i="4"/>
  <c r="AD803" i="4"/>
  <c r="AC803" i="4"/>
  <c r="AB803" i="4"/>
  <c r="AA803" i="4"/>
  <c r="Z803" i="4"/>
  <c r="T803" i="4"/>
  <c r="S803" i="4"/>
  <c r="R803" i="4"/>
  <c r="Q803" i="4"/>
  <c r="P803" i="4"/>
  <c r="O803" i="4"/>
  <c r="N803" i="4"/>
  <c r="M803" i="4"/>
  <c r="L803" i="4"/>
  <c r="K803" i="4"/>
  <c r="J803" i="4"/>
  <c r="I803" i="4"/>
  <c r="H803" i="4"/>
  <c r="G803" i="4"/>
  <c r="F803" i="4"/>
  <c r="E803" i="4"/>
  <c r="D803" i="4"/>
  <c r="C803" i="4"/>
  <c r="B803" i="4"/>
  <c r="A803" i="4"/>
  <c r="AD802" i="4"/>
  <c r="AC802" i="4"/>
  <c r="AB802" i="4"/>
  <c r="AA802" i="4"/>
  <c r="Z802" i="4"/>
  <c r="T802" i="4"/>
  <c r="S802" i="4"/>
  <c r="R802" i="4"/>
  <c r="Q802" i="4"/>
  <c r="P802" i="4"/>
  <c r="O802" i="4"/>
  <c r="N802" i="4"/>
  <c r="M802" i="4"/>
  <c r="L802" i="4"/>
  <c r="K802" i="4"/>
  <c r="J802" i="4"/>
  <c r="I802" i="4"/>
  <c r="H802" i="4"/>
  <c r="G802" i="4"/>
  <c r="F802" i="4"/>
  <c r="E802" i="4"/>
  <c r="D802" i="4"/>
  <c r="C802" i="4"/>
  <c r="B802" i="4"/>
  <c r="A802" i="4"/>
  <c r="K801" i="4"/>
  <c r="J801" i="4"/>
  <c r="I801" i="4"/>
  <c r="G801" i="4"/>
  <c r="F801" i="4"/>
  <c r="E801" i="4"/>
  <c r="C801" i="4"/>
  <c r="B801" i="4"/>
  <c r="A801" i="4"/>
  <c r="K800" i="4"/>
  <c r="J800" i="4"/>
  <c r="I800" i="4"/>
  <c r="G800" i="4"/>
  <c r="F800" i="4"/>
  <c r="E800" i="4"/>
  <c r="C800" i="4"/>
  <c r="B800" i="4"/>
  <c r="A800" i="4"/>
  <c r="K799" i="4"/>
  <c r="J799" i="4"/>
  <c r="I799" i="4"/>
  <c r="G799" i="4"/>
  <c r="F799" i="4"/>
  <c r="E799" i="4"/>
  <c r="C799" i="4"/>
  <c r="B799" i="4"/>
  <c r="A799" i="4"/>
  <c r="K798" i="4"/>
  <c r="J798" i="4"/>
  <c r="I798" i="4"/>
  <c r="G798" i="4"/>
  <c r="F798" i="4"/>
  <c r="E798" i="4"/>
  <c r="C798" i="4"/>
  <c r="B798" i="4"/>
  <c r="A798" i="4"/>
  <c r="L797" i="4"/>
  <c r="K797" i="4"/>
  <c r="J797" i="4"/>
  <c r="I797" i="4"/>
  <c r="H797" i="4"/>
  <c r="G797" i="4"/>
  <c r="F797" i="4"/>
  <c r="E797" i="4"/>
  <c r="D797" i="4"/>
  <c r="C797" i="4"/>
  <c r="B797" i="4"/>
  <c r="A797" i="4"/>
  <c r="K796" i="4"/>
  <c r="J796" i="4"/>
  <c r="I796" i="4"/>
  <c r="G796" i="4"/>
  <c r="F796" i="4"/>
  <c r="E796" i="4"/>
  <c r="C796" i="4"/>
  <c r="B796" i="4"/>
  <c r="A796" i="4"/>
  <c r="K795" i="4"/>
  <c r="J795" i="4"/>
  <c r="I795" i="4"/>
  <c r="G795" i="4"/>
  <c r="F795" i="4"/>
  <c r="E795" i="4"/>
  <c r="C795" i="4"/>
  <c r="B795" i="4"/>
  <c r="A795" i="4"/>
  <c r="K794" i="4"/>
  <c r="J794" i="4"/>
  <c r="I794" i="4"/>
  <c r="G794" i="4"/>
  <c r="F794" i="4"/>
  <c r="E794" i="4"/>
  <c r="C794" i="4"/>
  <c r="B794" i="4"/>
  <c r="A794" i="4"/>
  <c r="L793" i="4"/>
  <c r="K793" i="4"/>
  <c r="J793" i="4"/>
  <c r="I793" i="4"/>
  <c r="H793" i="4"/>
  <c r="G793" i="4"/>
  <c r="F793" i="4"/>
  <c r="E793" i="4"/>
  <c r="D793" i="4"/>
  <c r="C793" i="4"/>
  <c r="B793" i="4"/>
  <c r="A793" i="4"/>
  <c r="AD792" i="4"/>
  <c r="AC792" i="4"/>
  <c r="AB792" i="4"/>
  <c r="AA792" i="4"/>
  <c r="Z792" i="4"/>
  <c r="T792" i="4"/>
  <c r="S792" i="4"/>
  <c r="R792" i="4"/>
  <c r="Q792" i="4"/>
  <c r="P792" i="4"/>
  <c r="O792" i="4"/>
  <c r="N792" i="4"/>
  <c r="M792" i="4"/>
  <c r="L792" i="4"/>
  <c r="K792" i="4"/>
  <c r="J792" i="4"/>
  <c r="I792" i="4"/>
  <c r="H792" i="4"/>
  <c r="G792" i="4"/>
  <c r="F792" i="4"/>
  <c r="E792" i="4"/>
  <c r="D792" i="4"/>
  <c r="C792" i="4"/>
  <c r="B792" i="4"/>
  <c r="A792" i="4"/>
  <c r="AD791" i="4"/>
  <c r="AC791" i="4"/>
  <c r="AB791" i="4"/>
  <c r="AA791" i="4"/>
  <c r="Z791" i="4"/>
  <c r="T791" i="4"/>
  <c r="S791" i="4"/>
  <c r="R791" i="4"/>
  <c r="Q791" i="4"/>
  <c r="P791" i="4"/>
  <c r="O791" i="4"/>
  <c r="N791" i="4"/>
  <c r="M791" i="4"/>
  <c r="L791" i="4"/>
  <c r="K791" i="4"/>
  <c r="J791" i="4"/>
  <c r="I791" i="4"/>
  <c r="H791" i="4"/>
  <c r="G791" i="4"/>
  <c r="F791" i="4"/>
  <c r="E791" i="4"/>
  <c r="D791" i="4"/>
  <c r="C791" i="4"/>
  <c r="B791" i="4"/>
  <c r="A791" i="4"/>
  <c r="AM789" i="4"/>
  <c r="AL789" i="4"/>
  <c r="AK789" i="4"/>
  <c r="AJ789" i="4"/>
  <c r="AI789" i="4"/>
  <c r="AH789" i="4"/>
  <c r="AG789" i="4"/>
  <c r="AF789" i="4"/>
  <c r="AE789" i="4"/>
  <c r="AD789" i="4"/>
  <c r="AC789" i="4"/>
  <c r="AB789" i="4"/>
  <c r="AA789" i="4"/>
  <c r="Z789" i="4"/>
  <c r="T789" i="4"/>
  <c r="S789" i="4"/>
  <c r="R789" i="4"/>
  <c r="Q789" i="4"/>
  <c r="P789" i="4"/>
  <c r="O789" i="4"/>
  <c r="N789" i="4"/>
  <c r="M789" i="4"/>
  <c r="L789" i="4"/>
  <c r="K789" i="4"/>
  <c r="J789" i="4"/>
  <c r="I789" i="4"/>
  <c r="H789" i="4"/>
  <c r="G789" i="4"/>
  <c r="F789" i="4"/>
  <c r="E789" i="4"/>
  <c r="D789" i="4"/>
  <c r="C789" i="4"/>
  <c r="B789" i="4"/>
  <c r="A789" i="4"/>
  <c r="AM788" i="4"/>
  <c r="AL788" i="4"/>
  <c r="AK788" i="4"/>
  <c r="AJ788" i="4"/>
  <c r="AI788" i="4"/>
  <c r="AH788" i="4"/>
  <c r="AG788" i="4"/>
  <c r="AF788" i="4"/>
  <c r="AE788" i="4"/>
  <c r="AD788" i="4"/>
  <c r="AC788" i="4"/>
  <c r="AB788" i="4"/>
  <c r="AA788" i="4"/>
  <c r="Z788" i="4"/>
  <c r="T788" i="4"/>
  <c r="S788" i="4"/>
  <c r="R788" i="4"/>
  <c r="Q788" i="4"/>
  <c r="P788" i="4"/>
  <c r="O788" i="4"/>
  <c r="N788" i="4"/>
  <c r="M788" i="4"/>
  <c r="L788" i="4"/>
  <c r="K788" i="4"/>
  <c r="J788" i="4"/>
  <c r="I788" i="4"/>
  <c r="H788" i="4"/>
  <c r="G788" i="4"/>
  <c r="F788" i="4"/>
  <c r="E788" i="4"/>
  <c r="D788" i="4"/>
  <c r="C788" i="4"/>
  <c r="B788" i="4"/>
  <c r="A788" i="4"/>
  <c r="AD787" i="4"/>
  <c r="AC787" i="4"/>
  <c r="AB787" i="4"/>
  <c r="AA787" i="4"/>
  <c r="Z787" i="4"/>
  <c r="T787" i="4"/>
  <c r="S787" i="4"/>
  <c r="R787" i="4"/>
  <c r="Q787" i="4"/>
  <c r="P787" i="4"/>
  <c r="O787" i="4"/>
  <c r="N787" i="4"/>
  <c r="M787" i="4"/>
  <c r="L787" i="4"/>
  <c r="K787" i="4"/>
  <c r="J787" i="4"/>
  <c r="I787" i="4"/>
  <c r="H787" i="4"/>
  <c r="G787" i="4"/>
  <c r="F787" i="4"/>
  <c r="E787" i="4"/>
  <c r="D787" i="4"/>
  <c r="C787" i="4"/>
  <c r="B787" i="4"/>
  <c r="A787" i="4"/>
  <c r="AD786" i="4"/>
  <c r="AC786" i="4"/>
  <c r="AB786" i="4"/>
  <c r="AA786" i="4"/>
  <c r="Z786" i="4"/>
  <c r="T786" i="4"/>
  <c r="S786" i="4"/>
  <c r="R786" i="4"/>
  <c r="Q786" i="4"/>
  <c r="P786" i="4"/>
  <c r="O786" i="4"/>
  <c r="N786" i="4"/>
  <c r="M786" i="4"/>
  <c r="L786" i="4"/>
  <c r="K786" i="4"/>
  <c r="J786" i="4"/>
  <c r="I786" i="4"/>
  <c r="H786" i="4"/>
  <c r="G786" i="4"/>
  <c r="F786" i="4"/>
  <c r="E786" i="4"/>
  <c r="D786" i="4"/>
  <c r="C786" i="4"/>
  <c r="B786" i="4"/>
  <c r="A786" i="4"/>
  <c r="AD785" i="4"/>
  <c r="AC785" i="4"/>
  <c r="AB785" i="4"/>
  <c r="AA785" i="4"/>
  <c r="Z785" i="4"/>
  <c r="T785" i="4"/>
  <c r="S785" i="4"/>
  <c r="R785" i="4"/>
  <c r="Q785" i="4"/>
  <c r="P785" i="4"/>
  <c r="O785" i="4"/>
  <c r="N785" i="4"/>
  <c r="M785" i="4"/>
  <c r="L785" i="4"/>
  <c r="K785" i="4"/>
  <c r="J785" i="4"/>
  <c r="I785" i="4"/>
  <c r="H785" i="4"/>
  <c r="G785" i="4"/>
  <c r="F785" i="4"/>
  <c r="E785" i="4"/>
  <c r="D785" i="4"/>
  <c r="C785" i="4"/>
  <c r="B785" i="4"/>
  <c r="A785" i="4"/>
  <c r="AM784" i="4"/>
  <c r="AL784" i="4"/>
  <c r="AK784" i="4"/>
  <c r="AJ784" i="4"/>
  <c r="AI784" i="4"/>
  <c r="AH784" i="4"/>
  <c r="AG784" i="4"/>
  <c r="AF784" i="4"/>
  <c r="AE784" i="4"/>
  <c r="AD784" i="4"/>
  <c r="AC784" i="4"/>
  <c r="AB784" i="4"/>
  <c r="AA784" i="4"/>
  <c r="Z784" i="4"/>
  <c r="Y784" i="4"/>
  <c r="X784" i="4"/>
  <c r="W784" i="4"/>
  <c r="V784" i="4"/>
  <c r="U784" i="4"/>
  <c r="T784" i="4"/>
  <c r="S784" i="4"/>
  <c r="R784" i="4"/>
  <c r="Q784" i="4"/>
  <c r="P784" i="4"/>
  <c r="O784" i="4"/>
  <c r="N784" i="4"/>
  <c r="M784" i="4"/>
  <c r="L784" i="4"/>
  <c r="K784" i="4"/>
  <c r="J784" i="4"/>
  <c r="I784" i="4"/>
  <c r="H784" i="4"/>
  <c r="G784" i="4"/>
  <c r="F784" i="4"/>
  <c r="E784" i="4"/>
  <c r="D784" i="4"/>
  <c r="C784" i="4"/>
  <c r="B784" i="4"/>
  <c r="A784" i="4"/>
  <c r="AB783" i="4"/>
  <c r="AA783" i="4"/>
  <c r="Z783" i="4"/>
  <c r="Q783" i="4"/>
  <c r="P783" i="4"/>
  <c r="O783" i="4"/>
  <c r="N783" i="4"/>
  <c r="M783" i="4"/>
  <c r="L783" i="4"/>
  <c r="K783" i="4"/>
  <c r="J783" i="4"/>
  <c r="I783" i="4"/>
  <c r="H783" i="4"/>
  <c r="G783" i="4"/>
  <c r="F783" i="4"/>
  <c r="E783" i="4"/>
  <c r="D783" i="4"/>
  <c r="C783" i="4"/>
  <c r="B783" i="4"/>
  <c r="A783" i="4"/>
  <c r="AB782" i="4"/>
  <c r="AA782" i="4"/>
  <c r="Z782" i="4"/>
  <c r="Q782" i="4"/>
  <c r="P782" i="4"/>
  <c r="O782" i="4"/>
  <c r="N782" i="4"/>
  <c r="M782" i="4"/>
  <c r="L782" i="4"/>
  <c r="K782" i="4"/>
  <c r="J782" i="4"/>
  <c r="I782" i="4"/>
  <c r="H782" i="4"/>
  <c r="G782" i="4"/>
  <c r="F782" i="4"/>
  <c r="E782" i="4"/>
  <c r="D782" i="4"/>
  <c r="C782" i="4"/>
  <c r="B782" i="4"/>
  <c r="A782" i="4"/>
  <c r="AB781" i="4"/>
  <c r="AA781" i="4"/>
  <c r="Z781" i="4"/>
  <c r="Q781" i="4"/>
  <c r="P781" i="4"/>
  <c r="O781" i="4"/>
  <c r="N781" i="4"/>
  <c r="M781" i="4"/>
  <c r="L781" i="4"/>
  <c r="K781" i="4"/>
  <c r="J781" i="4"/>
  <c r="I781" i="4"/>
  <c r="H781" i="4"/>
  <c r="G781" i="4"/>
  <c r="F781" i="4"/>
  <c r="E781" i="4"/>
  <c r="D781" i="4"/>
  <c r="C781" i="4"/>
  <c r="B781" i="4"/>
  <c r="A781" i="4"/>
  <c r="T780" i="4"/>
  <c r="S780" i="4"/>
  <c r="R780" i="4"/>
  <c r="Q780" i="4"/>
  <c r="F780" i="4"/>
  <c r="E780" i="4"/>
  <c r="D780" i="4"/>
  <c r="C780" i="4"/>
  <c r="B780" i="4"/>
  <c r="A780" i="4"/>
  <c r="T779" i="4"/>
  <c r="S779" i="4"/>
  <c r="R779" i="4"/>
  <c r="Q779" i="4"/>
  <c r="P779" i="4"/>
  <c r="O779" i="4"/>
  <c r="N779" i="4"/>
  <c r="M779" i="4"/>
  <c r="L779" i="4"/>
  <c r="K779" i="4"/>
  <c r="J779" i="4"/>
  <c r="I779" i="4"/>
  <c r="H779" i="4"/>
  <c r="G779" i="4"/>
  <c r="F779" i="4"/>
  <c r="E779" i="4"/>
  <c r="D779" i="4"/>
  <c r="C779" i="4"/>
  <c r="B779" i="4"/>
  <c r="A779" i="4"/>
  <c r="T777" i="4"/>
  <c r="S777" i="4"/>
  <c r="R777" i="4"/>
  <c r="Q777" i="4"/>
  <c r="P777" i="4"/>
  <c r="O777" i="4"/>
  <c r="N777" i="4"/>
  <c r="M777" i="4"/>
  <c r="L777" i="4"/>
  <c r="K777" i="4"/>
  <c r="J777" i="4"/>
  <c r="I777" i="4"/>
  <c r="H777" i="4"/>
  <c r="G777" i="4"/>
  <c r="F777" i="4"/>
  <c r="E777" i="4"/>
  <c r="D777" i="4"/>
  <c r="C777" i="4"/>
  <c r="B777" i="4"/>
  <c r="A777" i="4"/>
  <c r="T776" i="4"/>
  <c r="S776" i="4"/>
  <c r="R776" i="4"/>
  <c r="Q776" i="4"/>
  <c r="P776" i="4"/>
  <c r="O776" i="4"/>
  <c r="N776" i="4"/>
  <c r="M776" i="4"/>
  <c r="L776" i="4"/>
  <c r="K776" i="4"/>
  <c r="J776" i="4"/>
  <c r="I776" i="4"/>
  <c r="H776" i="4"/>
  <c r="G776" i="4"/>
  <c r="F776" i="4"/>
  <c r="E776" i="4"/>
  <c r="D776" i="4"/>
  <c r="C776" i="4"/>
  <c r="B776" i="4"/>
  <c r="A776" i="4"/>
  <c r="T775" i="4"/>
  <c r="S775" i="4"/>
  <c r="R775" i="4"/>
  <c r="Q775" i="4"/>
  <c r="P775" i="4"/>
  <c r="O775" i="4"/>
  <c r="N775" i="4"/>
  <c r="M775" i="4"/>
  <c r="L775" i="4"/>
  <c r="K775" i="4"/>
  <c r="J775" i="4"/>
  <c r="I775" i="4"/>
  <c r="H775" i="4"/>
  <c r="G775" i="4"/>
  <c r="F775" i="4"/>
  <c r="E775" i="4"/>
  <c r="D775" i="4"/>
  <c r="C775" i="4"/>
  <c r="B775" i="4"/>
  <c r="A775" i="4"/>
  <c r="T774" i="4"/>
  <c r="S774" i="4"/>
  <c r="R774" i="4"/>
  <c r="Q774" i="4"/>
  <c r="P774" i="4"/>
  <c r="O774" i="4"/>
  <c r="N774" i="4"/>
  <c r="M774" i="4"/>
  <c r="L774" i="4"/>
  <c r="K774" i="4"/>
  <c r="J774" i="4"/>
  <c r="I774" i="4"/>
  <c r="H774" i="4"/>
  <c r="G774" i="4"/>
  <c r="F774" i="4"/>
  <c r="E774" i="4"/>
  <c r="D774" i="4"/>
  <c r="C774" i="4"/>
  <c r="B774" i="4"/>
  <c r="A774" i="4"/>
  <c r="T773" i="4"/>
  <c r="S773" i="4"/>
  <c r="R773" i="4"/>
  <c r="Q773" i="4"/>
  <c r="P773" i="4"/>
  <c r="O773" i="4"/>
  <c r="N773" i="4"/>
  <c r="M773" i="4"/>
  <c r="L773" i="4"/>
  <c r="K773" i="4"/>
  <c r="J773" i="4"/>
  <c r="I773" i="4"/>
  <c r="H773" i="4"/>
  <c r="G773" i="4"/>
  <c r="F773" i="4"/>
  <c r="E773" i="4"/>
  <c r="D773" i="4"/>
  <c r="C773" i="4"/>
  <c r="B773" i="4"/>
  <c r="A773" i="4"/>
  <c r="T772" i="4"/>
  <c r="S772" i="4"/>
  <c r="R772" i="4"/>
  <c r="Q772" i="4"/>
  <c r="P772" i="4"/>
  <c r="O772" i="4"/>
  <c r="N772" i="4"/>
  <c r="M772" i="4"/>
  <c r="L772" i="4"/>
  <c r="K772" i="4"/>
  <c r="J772" i="4"/>
  <c r="I772" i="4"/>
  <c r="H772" i="4"/>
  <c r="G772" i="4"/>
  <c r="F772" i="4"/>
  <c r="E772" i="4"/>
  <c r="D772" i="4"/>
  <c r="C772" i="4"/>
  <c r="B772" i="4"/>
  <c r="A772" i="4"/>
  <c r="T771" i="4"/>
  <c r="S771" i="4"/>
  <c r="R771" i="4"/>
  <c r="Q771" i="4"/>
  <c r="P771" i="4"/>
  <c r="O771" i="4"/>
  <c r="N771" i="4"/>
  <c r="M771" i="4"/>
  <c r="L771" i="4"/>
  <c r="K771" i="4"/>
  <c r="J771" i="4"/>
  <c r="I771" i="4"/>
  <c r="H771" i="4"/>
  <c r="G771" i="4"/>
  <c r="F771" i="4"/>
  <c r="E771" i="4"/>
  <c r="D771" i="4"/>
  <c r="C771" i="4"/>
  <c r="B771" i="4"/>
  <c r="A771" i="4"/>
  <c r="T770" i="4"/>
  <c r="S770" i="4"/>
  <c r="R770" i="4"/>
  <c r="Q770" i="4"/>
  <c r="P770" i="4"/>
  <c r="O770" i="4"/>
  <c r="N770" i="4"/>
  <c r="M770" i="4"/>
  <c r="L770" i="4"/>
  <c r="K770" i="4"/>
  <c r="J770" i="4"/>
  <c r="I770" i="4"/>
  <c r="H770" i="4"/>
  <c r="G770" i="4"/>
  <c r="F770" i="4"/>
  <c r="E770" i="4"/>
  <c r="D770" i="4"/>
  <c r="C770" i="4"/>
  <c r="B770" i="4"/>
  <c r="A770" i="4"/>
  <c r="T769" i="4"/>
  <c r="S769" i="4"/>
  <c r="R769" i="4"/>
  <c r="Q769" i="4"/>
  <c r="P769" i="4"/>
  <c r="O769" i="4"/>
  <c r="N769" i="4"/>
  <c r="M769" i="4"/>
  <c r="L769" i="4"/>
  <c r="K769" i="4"/>
  <c r="J769" i="4"/>
  <c r="I769" i="4"/>
  <c r="H769" i="4"/>
  <c r="G769" i="4"/>
  <c r="F769" i="4"/>
  <c r="E769" i="4"/>
  <c r="D769" i="4"/>
  <c r="C769" i="4"/>
  <c r="B769" i="4"/>
  <c r="A769" i="4"/>
  <c r="T768" i="4"/>
  <c r="S768" i="4"/>
  <c r="R768" i="4"/>
  <c r="Q768" i="4"/>
  <c r="P768" i="4"/>
  <c r="O768" i="4"/>
  <c r="N768" i="4"/>
  <c r="M768" i="4"/>
  <c r="L768" i="4"/>
  <c r="K768" i="4"/>
  <c r="J768" i="4"/>
  <c r="I768" i="4"/>
  <c r="H768" i="4"/>
  <c r="G768" i="4"/>
  <c r="F768" i="4"/>
  <c r="E768" i="4"/>
  <c r="D768" i="4"/>
  <c r="C768" i="4"/>
  <c r="B768" i="4"/>
  <c r="A768" i="4"/>
  <c r="T767" i="4"/>
  <c r="S767" i="4"/>
  <c r="R767" i="4"/>
  <c r="Q767" i="4"/>
  <c r="P767" i="4"/>
  <c r="O767" i="4"/>
  <c r="N767" i="4"/>
  <c r="M767" i="4"/>
  <c r="L767" i="4"/>
  <c r="K767" i="4"/>
  <c r="J767" i="4"/>
  <c r="I767" i="4"/>
  <c r="H767" i="4"/>
  <c r="G767" i="4"/>
  <c r="F767" i="4"/>
  <c r="E767" i="4"/>
  <c r="D767" i="4"/>
  <c r="C767" i="4"/>
  <c r="B767" i="4"/>
  <c r="A767" i="4"/>
  <c r="T766" i="4"/>
  <c r="S766" i="4"/>
  <c r="R766" i="4"/>
  <c r="Q766" i="4"/>
  <c r="P766" i="4"/>
  <c r="O766" i="4"/>
  <c r="N766" i="4"/>
  <c r="M766" i="4"/>
  <c r="L766" i="4"/>
  <c r="K766" i="4"/>
  <c r="J766" i="4"/>
  <c r="I766" i="4"/>
  <c r="H766" i="4"/>
  <c r="G766" i="4"/>
  <c r="F766" i="4"/>
  <c r="E766" i="4"/>
  <c r="D766" i="4"/>
  <c r="C766" i="4"/>
  <c r="B766" i="4"/>
  <c r="A766" i="4"/>
  <c r="T764" i="4"/>
  <c r="S764" i="4"/>
  <c r="R764" i="4"/>
  <c r="Q764" i="4"/>
  <c r="P764" i="4"/>
  <c r="O764" i="4"/>
  <c r="N764" i="4"/>
  <c r="M764" i="4"/>
  <c r="L764" i="4"/>
  <c r="K764" i="4"/>
  <c r="J764" i="4"/>
  <c r="I764" i="4"/>
  <c r="H764" i="4"/>
  <c r="G764" i="4"/>
  <c r="F764" i="4"/>
  <c r="E764" i="4"/>
  <c r="D764" i="4"/>
  <c r="C764" i="4"/>
  <c r="B764" i="4"/>
  <c r="A764" i="4"/>
  <c r="T763" i="4"/>
  <c r="S763" i="4"/>
  <c r="R763" i="4"/>
  <c r="Q763" i="4"/>
  <c r="P763" i="4"/>
  <c r="O763" i="4"/>
  <c r="N763" i="4"/>
  <c r="M763" i="4"/>
  <c r="L763" i="4"/>
  <c r="K763" i="4"/>
  <c r="J763" i="4"/>
  <c r="I763" i="4"/>
  <c r="H763" i="4"/>
  <c r="G763" i="4"/>
  <c r="F763" i="4"/>
  <c r="E763" i="4"/>
  <c r="D763" i="4"/>
  <c r="C763" i="4"/>
  <c r="B763" i="4"/>
  <c r="A763" i="4"/>
  <c r="T762" i="4"/>
  <c r="S762" i="4"/>
  <c r="R762" i="4"/>
  <c r="Q762" i="4"/>
  <c r="P762" i="4"/>
  <c r="O762" i="4"/>
  <c r="N762" i="4"/>
  <c r="M762" i="4"/>
  <c r="L762" i="4"/>
  <c r="K762" i="4"/>
  <c r="J762" i="4"/>
  <c r="I762" i="4"/>
  <c r="H762" i="4"/>
  <c r="G762" i="4"/>
  <c r="F762" i="4"/>
  <c r="E762" i="4"/>
  <c r="C762" i="4"/>
  <c r="B762" i="4"/>
  <c r="A762" i="4"/>
  <c r="T761" i="4"/>
  <c r="S761" i="4"/>
  <c r="R761" i="4"/>
  <c r="Q761" i="4"/>
  <c r="P761" i="4"/>
  <c r="O761" i="4"/>
  <c r="N761" i="4"/>
  <c r="M761" i="4"/>
  <c r="L761" i="4"/>
  <c r="K761" i="4"/>
  <c r="J761" i="4"/>
  <c r="I761" i="4"/>
  <c r="H761" i="4"/>
  <c r="G761" i="4"/>
  <c r="F761" i="4"/>
  <c r="E761" i="4"/>
  <c r="C761" i="4"/>
  <c r="B761" i="4"/>
  <c r="A761" i="4"/>
  <c r="T760" i="4"/>
  <c r="S760" i="4"/>
  <c r="R760" i="4"/>
  <c r="Q760" i="4"/>
  <c r="P760" i="4"/>
  <c r="O760" i="4"/>
  <c r="N760" i="4"/>
  <c r="M760" i="4"/>
  <c r="L760" i="4"/>
  <c r="K760" i="4"/>
  <c r="J760" i="4"/>
  <c r="I760" i="4"/>
  <c r="H760" i="4"/>
  <c r="G760" i="4"/>
  <c r="F760" i="4"/>
  <c r="E760" i="4"/>
  <c r="C760" i="4"/>
  <c r="B760" i="4"/>
  <c r="A760" i="4"/>
  <c r="T759" i="4"/>
  <c r="S759" i="4"/>
  <c r="R759" i="4"/>
  <c r="Q759" i="4"/>
  <c r="P759" i="4"/>
  <c r="O759" i="4"/>
  <c r="N759" i="4"/>
  <c r="M759" i="4"/>
  <c r="L759" i="4"/>
  <c r="K759" i="4"/>
  <c r="J759" i="4"/>
  <c r="I759" i="4"/>
  <c r="H759" i="4"/>
  <c r="G759" i="4"/>
  <c r="F759" i="4"/>
  <c r="E759" i="4"/>
  <c r="C759" i="4"/>
  <c r="B759" i="4"/>
  <c r="A759" i="4"/>
  <c r="I758" i="4"/>
  <c r="H758" i="4"/>
  <c r="G758" i="4"/>
  <c r="F758" i="4"/>
  <c r="E758" i="4"/>
  <c r="D758" i="4"/>
  <c r="C758" i="4"/>
  <c r="B758" i="4"/>
  <c r="A758" i="4"/>
  <c r="T758" i="4"/>
  <c r="S758" i="4"/>
  <c r="R758" i="4"/>
  <c r="Q758" i="4"/>
  <c r="P758" i="4"/>
  <c r="O758" i="4"/>
  <c r="N758" i="4"/>
  <c r="M758" i="4"/>
  <c r="L758" i="4"/>
  <c r="K758" i="4"/>
  <c r="T757" i="4"/>
  <c r="S757" i="4"/>
  <c r="R757" i="4"/>
  <c r="Q757" i="4"/>
  <c r="P757" i="4"/>
  <c r="O757" i="4"/>
  <c r="N757" i="4"/>
  <c r="M757" i="4"/>
  <c r="L757" i="4"/>
  <c r="K757" i="4"/>
  <c r="T756" i="4"/>
  <c r="S756" i="4"/>
  <c r="R756" i="4"/>
  <c r="Q756" i="4"/>
  <c r="P756" i="4"/>
  <c r="O756" i="4"/>
  <c r="N756" i="4"/>
  <c r="M756" i="4"/>
  <c r="L756" i="4"/>
  <c r="K756" i="4"/>
  <c r="T755" i="4"/>
  <c r="S755" i="4"/>
  <c r="R755" i="4"/>
  <c r="Q755" i="4"/>
  <c r="P755" i="4"/>
  <c r="O755" i="4"/>
  <c r="N755" i="4"/>
  <c r="M755" i="4"/>
  <c r="L755" i="4"/>
  <c r="K755" i="4"/>
  <c r="T754" i="4"/>
  <c r="S754" i="4"/>
  <c r="R754" i="4"/>
  <c r="Q754" i="4"/>
  <c r="P754" i="4"/>
  <c r="O754" i="4"/>
  <c r="N754" i="4"/>
  <c r="M754" i="4"/>
  <c r="L754" i="4"/>
  <c r="K754" i="4"/>
  <c r="T753" i="4"/>
  <c r="S753" i="4"/>
  <c r="R753" i="4"/>
  <c r="Q753" i="4"/>
  <c r="P753" i="4"/>
  <c r="O753" i="4"/>
  <c r="N753" i="4"/>
  <c r="M753" i="4"/>
  <c r="L753" i="4"/>
  <c r="K753" i="4"/>
  <c r="T752" i="4"/>
  <c r="S752" i="4"/>
  <c r="R752" i="4"/>
  <c r="Q752" i="4"/>
  <c r="P752" i="4"/>
  <c r="O752" i="4"/>
  <c r="N752" i="4"/>
  <c r="M752" i="4"/>
  <c r="L752" i="4"/>
  <c r="K752" i="4"/>
  <c r="T751" i="4"/>
  <c r="S751" i="4"/>
  <c r="R751" i="4"/>
  <c r="Q751" i="4"/>
  <c r="P751" i="4"/>
  <c r="O751" i="4"/>
  <c r="N751" i="4"/>
  <c r="M751" i="4"/>
  <c r="L751" i="4"/>
  <c r="K751" i="4"/>
  <c r="T750" i="4"/>
  <c r="S750" i="4"/>
  <c r="R750" i="4"/>
  <c r="Q750" i="4"/>
  <c r="P750" i="4"/>
  <c r="O750" i="4"/>
  <c r="N750" i="4"/>
  <c r="M750" i="4"/>
  <c r="L750" i="4"/>
  <c r="K750" i="4"/>
  <c r="T749" i="4"/>
  <c r="S749" i="4"/>
  <c r="R749" i="4"/>
  <c r="Q749" i="4"/>
  <c r="P749" i="4"/>
  <c r="O749" i="4"/>
  <c r="N749" i="4"/>
  <c r="M749" i="4"/>
  <c r="L749" i="4"/>
  <c r="K749" i="4"/>
  <c r="T748" i="4"/>
  <c r="S748" i="4"/>
  <c r="R748" i="4"/>
  <c r="Q748" i="4"/>
  <c r="P748" i="4"/>
  <c r="O748" i="4"/>
  <c r="N748" i="4"/>
  <c r="M748" i="4"/>
  <c r="L748" i="4"/>
  <c r="K748" i="4"/>
  <c r="T747" i="4"/>
  <c r="S747" i="4"/>
  <c r="R747" i="4"/>
  <c r="Q747" i="4"/>
  <c r="P747" i="4"/>
  <c r="O747" i="4"/>
  <c r="N747" i="4"/>
  <c r="M747" i="4"/>
  <c r="L747" i="4"/>
  <c r="K747" i="4"/>
  <c r="T746" i="4"/>
  <c r="S746" i="4"/>
  <c r="R746" i="4"/>
  <c r="Q746" i="4"/>
  <c r="P746" i="4"/>
  <c r="O746" i="4"/>
  <c r="N746" i="4"/>
  <c r="M746" i="4"/>
  <c r="L746" i="4"/>
  <c r="K746" i="4"/>
  <c r="T745" i="4"/>
  <c r="S745" i="4"/>
  <c r="R745" i="4"/>
  <c r="Q745" i="4"/>
  <c r="P745" i="4"/>
  <c r="O745" i="4"/>
  <c r="N745" i="4"/>
  <c r="M745" i="4"/>
  <c r="L745" i="4"/>
  <c r="K745" i="4"/>
  <c r="T744" i="4"/>
  <c r="S744" i="4"/>
  <c r="R744" i="4"/>
  <c r="Q744" i="4"/>
  <c r="P744" i="4"/>
  <c r="O744" i="4"/>
  <c r="N744" i="4"/>
  <c r="M744" i="4"/>
  <c r="L744" i="4"/>
  <c r="K744" i="4"/>
  <c r="T743" i="4"/>
  <c r="S743" i="4"/>
  <c r="R743" i="4"/>
  <c r="Q743" i="4"/>
  <c r="P743" i="4"/>
  <c r="O743" i="4"/>
  <c r="N743" i="4"/>
  <c r="M743" i="4"/>
  <c r="L743" i="4"/>
  <c r="K743" i="4"/>
  <c r="J757" i="4"/>
  <c r="I757" i="4"/>
  <c r="H757" i="4"/>
  <c r="G757" i="4"/>
  <c r="F757" i="4"/>
  <c r="E757" i="4"/>
  <c r="C757" i="4"/>
  <c r="B757" i="4"/>
  <c r="A757" i="4"/>
  <c r="J756" i="4"/>
  <c r="I756" i="4"/>
  <c r="H756" i="4"/>
  <c r="G756" i="4"/>
  <c r="F756" i="4"/>
  <c r="E756" i="4"/>
  <c r="C756" i="4"/>
  <c r="B756" i="4"/>
  <c r="A756" i="4"/>
  <c r="J755" i="4"/>
  <c r="I755" i="4"/>
  <c r="H755" i="4"/>
  <c r="G755" i="4"/>
  <c r="F755" i="4"/>
  <c r="E755" i="4"/>
  <c r="C755" i="4"/>
  <c r="B755" i="4"/>
  <c r="A755" i="4"/>
  <c r="J754" i="4"/>
  <c r="I754" i="4"/>
  <c r="H754" i="4"/>
  <c r="G754" i="4"/>
  <c r="F754" i="4"/>
  <c r="E754" i="4"/>
  <c r="D754" i="4"/>
  <c r="C754" i="4"/>
  <c r="B754" i="4"/>
  <c r="A754" i="4"/>
  <c r="J753" i="4"/>
  <c r="I753" i="4"/>
  <c r="H753" i="4"/>
  <c r="G753" i="4"/>
  <c r="F753" i="4"/>
  <c r="E753" i="4"/>
  <c r="D753" i="4"/>
  <c r="C753" i="4"/>
  <c r="B753" i="4"/>
  <c r="A753" i="4"/>
  <c r="J752" i="4"/>
  <c r="I752" i="4"/>
  <c r="H752" i="4"/>
  <c r="G752" i="4"/>
  <c r="F752" i="4"/>
  <c r="E752" i="4"/>
  <c r="C752" i="4"/>
  <c r="B752" i="4"/>
  <c r="A752" i="4"/>
  <c r="J751" i="4"/>
  <c r="I751" i="4"/>
  <c r="H751" i="4"/>
  <c r="G751" i="4"/>
  <c r="F751" i="4"/>
  <c r="E751" i="4"/>
  <c r="C751" i="4"/>
  <c r="B751" i="4"/>
  <c r="A751" i="4"/>
  <c r="J750" i="4"/>
  <c r="I750" i="4"/>
  <c r="H750" i="4"/>
  <c r="G750" i="4"/>
  <c r="F750" i="4"/>
  <c r="E750" i="4"/>
  <c r="C750" i="4"/>
  <c r="B750" i="4"/>
  <c r="A750" i="4"/>
  <c r="J749" i="4"/>
  <c r="I749" i="4"/>
  <c r="H749" i="4"/>
  <c r="G749" i="4"/>
  <c r="F749" i="4"/>
  <c r="E749" i="4"/>
  <c r="C749" i="4"/>
  <c r="B749" i="4"/>
  <c r="A749" i="4"/>
  <c r="J748" i="4"/>
  <c r="I748" i="4"/>
  <c r="H748" i="4"/>
  <c r="G748" i="4"/>
  <c r="F748" i="4"/>
  <c r="E748" i="4"/>
  <c r="D748" i="4"/>
  <c r="C748" i="4"/>
  <c r="B748" i="4"/>
  <c r="A748" i="4"/>
  <c r="J747" i="4"/>
  <c r="I747" i="4"/>
  <c r="H747" i="4"/>
  <c r="G747" i="4"/>
  <c r="F747" i="4"/>
  <c r="E747" i="4"/>
  <c r="C747" i="4"/>
  <c r="B747" i="4"/>
  <c r="A747" i="4"/>
  <c r="J746" i="4"/>
  <c r="I746" i="4"/>
  <c r="H746" i="4"/>
  <c r="G746" i="4"/>
  <c r="F746" i="4"/>
  <c r="E746" i="4"/>
  <c r="C746" i="4"/>
  <c r="B746" i="4"/>
  <c r="A746" i="4"/>
  <c r="J745" i="4"/>
  <c r="I745" i="4"/>
  <c r="H745" i="4"/>
  <c r="G745" i="4"/>
  <c r="F745" i="4"/>
  <c r="E745" i="4"/>
  <c r="C745" i="4"/>
  <c r="B745" i="4"/>
  <c r="A745" i="4"/>
  <c r="J744" i="4"/>
  <c r="I744" i="4"/>
  <c r="H744" i="4"/>
  <c r="G744" i="4"/>
  <c r="F744" i="4"/>
  <c r="E744" i="4"/>
  <c r="D744" i="4"/>
  <c r="C744" i="4"/>
  <c r="B744" i="4"/>
  <c r="A744" i="4"/>
  <c r="J743" i="4"/>
  <c r="I743" i="4"/>
  <c r="H743" i="4"/>
  <c r="G743" i="4"/>
  <c r="F743" i="4"/>
  <c r="E743" i="4"/>
  <c r="D743" i="4"/>
  <c r="C743" i="4"/>
  <c r="B743" i="4"/>
  <c r="A743" i="4"/>
  <c r="T736" i="4"/>
  <c r="S736" i="4"/>
  <c r="R736" i="4"/>
  <c r="Q736" i="4"/>
  <c r="P736" i="4"/>
  <c r="O736" i="4"/>
  <c r="N736" i="4"/>
  <c r="M736" i="4"/>
  <c r="L736" i="4"/>
  <c r="K736" i="4"/>
  <c r="J736" i="4"/>
  <c r="I736" i="4"/>
  <c r="H736" i="4"/>
  <c r="G736" i="4"/>
  <c r="F736" i="4"/>
  <c r="E736" i="4"/>
  <c r="D736" i="4"/>
  <c r="C736" i="4"/>
  <c r="B736" i="4"/>
  <c r="A736" i="4"/>
  <c r="T735" i="4"/>
  <c r="S735" i="4"/>
  <c r="R735" i="4"/>
  <c r="Q735" i="4"/>
  <c r="I735" i="4"/>
  <c r="H735" i="4"/>
  <c r="G735" i="4"/>
  <c r="F735" i="4"/>
  <c r="E735" i="4"/>
  <c r="D735" i="4"/>
  <c r="C735" i="4"/>
  <c r="B735" i="4"/>
  <c r="A735" i="4"/>
  <c r="T734" i="4"/>
  <c r="S734" i="4"/>
  <c r="R734" i="4"/>
  <c r="Q734" i="4"/>
  <c r="P734" i="4"/>
  <c r="O734" i="4"/>
  <c r="N734" i="4"/>
  <c r="M734" i="4"/>
  <c r="L734" i="4"/>
  <c r="K734" i="4"/>
  <c r="J734" i="4"/>
  <c r="I734" i="4"/>
  <c r="H734" i="4"/>
  <c r="G734" i="4"/>
  <c r="F734" i="4"/>
  <c r="E734" i="4"/>
  <c r="D734" i="4"/>
  <c r="C734" i="4"/>
  <c r="B734" i="4"/>
  <c r="A734" i="4"/>
  <c r="T733" i="4"/>
  <c r="S733" i="4"/>
  <c r="R733" i="4"/>
  <c r="Q733" i="4"/>
  <c r="P733" i="4"/>
  <c r="O733" i="4"/>
  <c r="N733" i="4"/>
  <c r="M733" i="4"/>
  <c r="L733" i="4"/>
  <c r="K733" i="4"/>
  <c r="J733" i="4"/>
  <c r="I733" i="4"/>
  <c r="H733" i="4"/>
  <c r="G733" i="4"/>
  <c r="F733" i="4"/>
  <c r="E733" i="4"/>
  <c r="D733" i="4"/>
  <c r="C733" i="4"/>
  <c r="B733" i="4"/>
  <c r="A733" i="4"/>
  <c r="T732" i="4"/>
  <c r="S732" i="4"/>
  <c r="R732" i="4"/>
  <c r="Q732" i="4"/>
  <c r="P732" i="4"/>
  <c r="O732" i="4"/>
  <c r="N732" i="4"/>
  <c r="M732" i="4"/>
  <c r="L732" i="4"/>
  <c r="K732" i="4"/>
  <c r="J732" i="4"/>
  <c r="I732" i="4"/>
  <c r="H732" i="4"/>
  <c r="G732" i="4"/>
  <c r="F732" i="4"/>
  <c r="E732" i="4"/>
  <c r="D732" i="4"/>
  <c r="C732" i="4"/>
  <c r="B732" i="4"/>
  <c r="A732" i="4"/>
  <c r="T731" i="4"/>
  <c r="S731" i="4"/>
  <c r="R731" i="4"/>
  <c r="Q731" i="4"/>
  <c r="G731" i="4"/>
  <c r="F731" i="4"/>
  <c r="E731" i="4"/>
  <c r="D731" i="4"/>
  <c r="C731" i="4"/>
  <c r="B731" i="4"/>
  <c r="A731" i="4"/>
  <c r="T730" i="4"/>
  <c r="S730" i="4"/>
  <c r="R730" i="4"/>
  <c r="Q730" i="4"/>
  <c r="P730" i="4"/>
  <c r="O730" i="4"/>
  <c r="N730" i="4"/>
  <c r="M730" i="4"/>
  <c r="L730" i="4"/>
  <c r="K730" i="4"/>
  <c r="J730" i="4"/>
  <c r="I730" i="4"/>
  <c r="H730" i="4"/>
  <c r="G730" i="4"/>
  <c r="F730" i="4"/>
  <c r="E730" i="4"/>
  <c r="D730" i="4"/>
  <c r="C730" i="4"/>
  <c r="B730" i="4"/>
  <c r="A730" i="4"/>
  <c r="T729" i="4"/>
  <c r="S729" i="4"/>
  <c r="R729" i="4"/>
  <c r="Q729" i="4"/>
  <c r="G729" i="4"/>
  <c r="F729" i="4"/>
  <c r="E729" i="4"/>
  <c r="D729" i="4"/>
  <c r="C729" i="4"/>
  <c r="B729" i="4"/>
  <c r="A729" i="4"/>
  <c r="T728" i="4"/>
  <c r="S728" i="4"/>
  <c r="R728" i="4"/>
  <c r="Q728" i="4"/>
  <c r="P728" i="4"/>
  <c r="O728" i="4"/>
  <c r="N728" i="4"/>
  <c r="M728" i="4"/>
  <c r="L728" i="4"/>
  <c r="K728" i="4"/>
  <c r="J728" i="4"/>
  <c r="I728" i="4"/>
  <c r="H728" i="4"/>
  <c r="G728" i="4"/>
  <c r="F728" i="4"/>
  <c r="E728" i="4"/>
  <c r="D728" i="4"/>
  <c r="C728" i="4"/>
  <c r="B728" i="4"/>
  <c r="A728" i="4"/>
  <c r="T727" i="4"/>
  <c r="S727" i="4"/>
  <c r="R727" i="4"/>
  <c r="Q727" i="4"/>
  <c r="E727" i="4"/>
  <c r="D727" i="4"/>
  <c r="C727" i="4"/>
  <c r="B727" i="4"/>
  <c r="A727" i="4"/>
  <c r="T726" i="4"/>
  <c r="S726" i="4"/>
  <c r="R726" i="4"/>
  <c r="Q726" i="4"/>
  <c r="F726" i="4"/>
  <c r="E726" i="4"/>
  <c r="D726" i="4"/>
  <c r="C726" i="4"/>
  <c r="B726" i="4"/>
  <c r="A726" i="4"/>
  <c r="T725" i="4"/>
  <c r="S725" i="4"/>
  <c r="R725" i="4"/>
  <c r="E725" i="4"/>
  <c r="D725" i="4"/>
  <c r="C725" i="4"/>
  <c r="B725" i="4"/>
  <c r="A725" i="4"/>
  <c r="T724" i="4"/>
  <c r="S724" i="4"/>
  <c r="R724" i="4"/>
  <c r="Q724" i="4"/>
  <c r="P724" i="4"/>
  <c r="O724" i="4"/>
  <c r="N724" i="4"/>
  <c r="M724" i="4"/>
  <c r="L724" i="4"/>
  <c r="K724" i="4"/>
  <c r="J724" i="4"/>
  <c r="I724" i="4"/>
  <c r="H724" i="4"/>
  <c r="G724" i="4"/>
  <c r="F724" i="4"/>
  <c r="E724" i="4"/>
  <c r="D724" i="4"/>
  <c r="C724" i="4"/>
  <c r="B724" i="4"/>
  <c r="A724" i="4"/>
  <c r="T723" i="4"/>
  <c r="S723" i="4"/>
  <c r="R723" i="4"/>
  <c r="Q723" i="4"/>
  <c r="P723" i="4"/>
  <c r="O723" i="4"/>
  <c r="N723" i="4"/>
  <c r="M723" i="4"/>
  <c r="L723" i="4"/>
  <c r="K723" i="4"/>
  <c r="J723" i="4"/>
  <c r="I723" i="4"/>
  <c r="H723" i="4"/>
  <c r="G723" i="4"/>
  <c r="F723" i="4"/>
  <c r="E723" i="4"/>
  <c r="D723" i="4"/>
  <c r="C723" i="4"/>
  <c r="B723" i="4"/>
  <c r="A723" i="4"/>
  <c r="T722" i="4"/>
  <c r="S722" i="4"/>
  <c r="R722" i="4"/>
  <c r="E722" i="4"/>
  <c r="D722" i="4"/>
  <c r="C722" i="4"/>
  <c r="B722" i="4"/>
  <c r="A722" i="4"/>
  <c r="T721" i="4"/>
  <c r="S721" i="4"/>
  <c r="R721" i="4"/>
  <c r="Q721" i="4"/>
  <c r="H721" i="4"/>
  <c r="E721" i="4"/>
  <c r="D721" i="4"/>
  <c r="C721" i="4"/>
  <c r="B721" i="4"/>
  <c r="A721" i="4"/>
  <c r="T720" i="4"/>
  <c r="S720" i="4"/>
  <c r="R720" i="4"/>
  <c r="Q720" i="4"/>
  <c r="E720" i="4"/>
  <c r="D720" i="4"/>
  <c r="C720" i="4"/>
  <c r="B720" i="4"/>
  <c r="A720" i="4"/>
  <c r="T719" i="4"/>
  <c r="S719" i="4"/>
  <c r="R719" i="4"/>
  <c r="Q719" i="4"/>
  <c r="E719" i="4"/>
  <c r="D719" i="4"/>
  <c r="C719" i="4"/>
  <c r="B719" i="4"/>
  <c r="A719" i="4"/>
  <c r="T718" i="4"/>
  <c r="S718" i="4"/>
  <c r="R718" i="4"/>
  <c r="Q718" i="4"/>
  <c r="I718" i="4"/>
  <c r="H718" i="4"/>
  <c r="G718" i="4"/>
  <c r="E718" i="4"/>
  <c r="D718" i="4"/>
  <c r="C718" i="4"/>
  <c r="B718" i="4"/>
  <c r="A718" i="4"/>
  <c r="T717" i="4"/>
  <c r="S717" i="4"/>
  <c r="R717" i="4"/>
  <c r="E717" i="4"/>
  <c r="D717" i="4"/>
  <c r="C717" i="4"/>
  <c r="B717" i="4"/>
  <c r="A717" i="4"/>
  <c r="T716" i="4"/>
  <c r="S716" i="4"/>
  <c r="R716" i="4"/>
  <c r="Q716" i="4"/>
  <c r="P716" i="4"/>
  <c r="O716" i="4"/>
  <c r="N716" i="4"/>
  <c r="M716" i="4"/>
  <c r="L716" i="4"/>
  <c r="K716" i="4"/>
  <c r="J716" i="4"/>
  <c r="I716" i="4"/>
  <c r="H716" i="4"/>
  <c r="G716" i="4"/>
  <c r="F716" i="4"/>
  <c r="E716" i="4"/>
  <c r="D716" i="4"/>
  <c r="C716" i="4"/>
  <c r="B716" i="4"/>
  <c r="A716" i="4"/>
  <c r="T715" i="4"/>
  <c r="S715" i="4"/>
  <c r="R715" i="4"/>
  <c r="G715" i="4"/>
  <c r="F715" i="4"/>
  <c r="E715" i="4"/>
  <c r="D715" i="4"/>
  <c r="C715" i="4"/>
  <c r="B715" i="4"/>
  <c r="A715" i="4"/>
  <c r="T714" i="4"/>
  <c r="R714" i="4"/>
  <c r="D714" i="4"/>
  <c r="C714" i="4"/>
  <c r="B714" i="4"/>
  <c r="A714" i="4"/>
  <c r="T713" i="4"/>
  <c r="S713" i="4"/>
  <c r="R713" i="4"/>
  <c r="Q713" i="4"/>
  <c r="P713" i="4"/>
  <c r="O713" i="4"/>
  <c r="N713" i="4"/>
  <c r="M713" i="4"/>
  <c r="L713" i="4"/>
  <c r="K713" i="4"/>
  <c r="J713" i="4"/>
  <c r="I713" i="4"/>
  <c r="H713" i="4"/>
  <c r="G713" i="4"/>
  <c r="F713" i="4"/>
  <c r="E713" i="4"/>
  <c r="D713" i="4"/>
  <c r="C713" i="4"/>
  <c r="B713" i="4"/>
  <c r="A713" i="4"/>
  <c r="T712" i="4"/>
  <c r="S712" i="4"/>
  <c r="R712" i="4"/>
  <c r="Q712" i="4"/>
  <c r="G712" i="4"/>
  <c r="F712" i="4"/>
  <c r="E712" i="4"/>
  <c r="D712" i="4"/>
  <c r="C712" i="4"/>
  <c r="B712" i="4"/>
  <c r="A712" i="4"/>
  <c r="AC711" i="4"/>
  <c r="AB711" i="4"/>
  <c r="AA711" i="4"/>
  <c r="Z711" i="4"/>
  <c r="Y711" i="4"/>
  <c r="X711" i="4"/>
  <c r="W711" i="4"/>
  <c r="V711" i="4"/>
  <c r="U711" i="4"/>
  <c r="T711" i="4"/>
  <c r="S711" i="4"/>
  <c r="R711" i="4"/>
  <c r="Q711" i="4"/>
  <c r="F711" i="4"/>
  <c r="E711" i="4"/>
  <c r="D711" i="4"/>
  <c r="C711" i="4"/>
  <c r="B711" i="4"/>
  <c r="A711" i="4"/>
  <c r="AC710" i="4"/>
  <c r="AB710" i="4"/>
  <c r="AA710" i="4"/>
  <c r="Z710" i="4"/>
  <c r="Y710" i="4"/>
  <c r="X710" i="4"/>
  <c r="W710" i="4"/>
  <c r="V710" i="4"/>
  <c r="U710" i="4"/>
  <c r="T710" i="4"/>
  <c r="S710" i="4"/>
  <c r="R710" i="4"/>
  <c r="Q710" i="4"/>
  <c r="P710" i="4"/>
  <c r="O710" i="4"/>
  <c r="N710" i="4"/>
  <c r="M710" i="4"/>
  <c r="L710" i="4"/>
  <c r="K710" i="4"/>
  <c r="J710" i="4"/>
  <c r="I710" i="4"/>
  <c r="H710" i="4"/>
  <c r="G710" i="4"/>
  <c r="F710" i="4"/>
  <c r="E710" i="4"/>
  <c r="D710" i="4"/>
  <c r="C710" i="4"/>
  <c r="B710" i="4"/>
  <c r="A710" i="4"/>
  <c r="E709" i="4"/>
  <c r="D709" i="4"/>
  <c r="C709" i="4"/>
  <c r="B709" i="4"/>
  <c r="A709" i="4"/>
  <c r="AC709" i="4"/>
  <c r="AB709" i="4"/>
  <c r="AA709" i="4"/>
  <c r="Z709" i="4"/>
  <c r="Y709" i="4"/>
  <c r="X709" i="4"/>
  <c r="W709" i="4"/>
  <c r="V709" i="4"/>
  <c r="U709" i="4"/>
  <c r="T709" i="4"/>
  <c r="S709" i="4"/>
  <c r="R709" i="4"/>
  <c r="Q709" i="4"/>
  <c r="AC708" i="4"/>
  <c r="AB708" i="4"/>
  <c r="AA708" i="4"/>
  <c r="Z708" i="4"/>
  <c r="Y708" i="4"/>
  <c r="X708" i="4"/>
  <c r="W708" i="4"/>
  <c r="V708" i="4"/>
  <c r="U708" i="4"/>
  <c r="T708" i="4"/>
  <c r="S708" i="4"/>
  <c r="R708" i="4"/>
  <c r="Q708" i="4"/>
  <c r="F708" i="4"/>
  <c r="E708" i="4"/>
  <c r="D708" i="4"/>
  <c r="C708" i="4"/>
  <c r="B708" i="4"/>
  <c r="A708" i="4"/>
  <c r="AC706" i="4"/>
  <c r="AB706" i="4"/>
  <c r="AA706" i="4"/>
  <c r="Z706" i="4"/>
  <c r="Y706" i="4"/>
  <c r="X706" i="4"/>
  <c r="W706" i="4"/>
  <c r="V706" i="4"/>
  <c r="U706" i="4"/>
  <c r="T706" i="4"/>
  <c r="S706" i="4"/>
  <c r="R706" i="4"/>
  <c r="Q706" i="4"/>
  <c r="P706" i="4"/>
  <c r="O706" i="4"/>
  <c r="N706" i="4"/>
  <c r="M706" i="4"/>
  <c r="L706" i="4"/>
  <c r="K706" i="4"/>
  <c r="J706" i="4"/>
  <c r="I706" i="4"/>
  <c r="H706" i="4"/>
  <c r="G706" i="4"/>
  <c r="F706" i="4"/>
  <c r="E706" i="4"/>
  <c r="D706" i="4"/>
  <c r="C706" i="4"/>
  <c r="B706" i="4"/>
  <c r="A706" i="4"/>
  <c r="AC705" i="4"/>
  <c r="AB705" i="4"/>
  <c r="AA705" i="4"/>
  <c r="Z705" i="4"/>
  <c r="Y705" i="4"/>
  <c r="X705" i="4"/>
  <c r="W705" i="4"/>
  <c r="V705" i="4"/>
  <c r="U705" i="4"/>
  <c r="T705" i="4"/>
  <c r="S705" i="4"/>
  <c r="R705" i="4"/>
  <c r="Q705" i="4"/>
  <c r="P705" i="4"/>
  <c r="O705" i="4"/>
  <c r="N705" i="4"/>
  <c r="M705" i="4"/>
  <c r="L705" i="4"/>
  <c r="K705" i="4"/>
  <c r="J705" i="4"/>
  <c r="I705" i="4"/>
  <c r="H705" i="4"/>
  <c r="G705" i="4"/>
  <c r="F705" i="4"/>
  <c r="E705" i="4"/>
  <c r="D705" i="4"/>
  <c r="C705" i="4"/>
  <c r="B705" i="4"/>
  <c r="A705" i="4"/>
  <c r="AC704" i="4"/>
  <c r="AB704" i="4"/>
  <c r="AA704" i="4"/>
  <c r="Z704" i="4"/>
  <c r="Y704" i="4"/>
  <c r="X704" i="4"/>
  <c r="W704" i="4"/>
  <c r="V704" i="4"/>
  <c r="U704" i="4"/>
  <c r="T704" i="4"/>
  <c r="S704" i="4"/>
  <c r="R704" i="4"/>
  <c r="Q704" i="4"/>
  <c r="P704" i="4"/>
  <c r="O704" i="4"/>
  <c r="N704" i="4"/>
  <c r="M704" i="4"/>
  <c r="L704" i="4"/>
  <c r="K704" i="4"/>
  <c r="J704" i="4"/>
  <c r="I704" i="4"/>
  <c r="H704" i="4"/>
  <c r="G704" i="4"/>
  <c r="F704" i="4"/>
  <c r="E704" i="4"/>
  <c r="D704" i="4"/>
  <c r="C704" i="4"/>
  <c r="B704" i="4"/>
  <c r="A704" i="4"/>
  <c r="AC703" i="4"/>
  <c r="AB703" i="4"/>
  <c r="AA703" i="4"/>
  <c r="Z703" i="4"/>
  <c r="Y703" i="4"/>
  <c r="X703" i="4"/>
  <c r="W703" i="4"/>
  <c r="V703" i="4"/>
  <c r="U703" i="4"/>
  <c r="T703" i="4"/>
  <c r="S703" i="4"/>
  <c r="R703" i="4"/>
  <c r="Q703" i="4"/>
  <c r="P703" i="4"/>
  <c r="O703" i="4"/>
  <c r="N703" i="4"/>
  <c r="M703" i="4"/>
  <c r="L703" i="4"/>
  <c r="K703" i="4"/>
  <c r="J703" i="4"/>
  <c r="I703" i="4"/>
  <c r="H703" i="4"/>
  <c r="G703" i="4"/>
  <c r="F703" i="4"/>
  <c r="E703" i="4"/>
  <c r="D703" i="4"/>
  <c r="C703" i="4"/>
  <c r="B703" i="4"/>
  <c r="A703" i="4"/>
  <c r="AC702" i="4"/>
  <c r="AB702" i="4"/>
  <c r="AA702" i="4"/>
  <c r="Z702" i="4"/>
  <c r="Y702" i="4"/>
  <c r="X702" i="4"/>
  <c r="W702" i="4"/>
  <c r="V702" i="4"/>
  <c r="U702" i="4"/>
  <c r="T702" i="4"/>
  <c r="S702" i="4"/>
  <c r="R702" i="4"/>
  <c r="Q702" i="4"/>
  <c r="P702" i="4"/>
  <c r="O702" i="4"/>
  <c r="N702" i="4"/>
  <c r="M702" i="4"/>
  <c r="L702" i="4"/>
  <c r="K702" i="4"/>
  <c r="J702" i="4"/>
  <c r="I702" i="4"/>
  <c r="H702" i="4"/>
  <c r="G702" i="4"/>
  <c r="F702" i="4"/>
  <c r="E702" i="4"/>
  <c r="D702" i="4"/>
  <c r="C702" i="4"/>
  <c r="B702" i="4"/>
  <c r="A702" i="4"/>
  <c r="AC701" i="4"/>
  <c r="AB701" i="4"/>
  <c r="AA701" i="4"/>
  <c r="Z701" i="4"/>
  <c r="Y701" i="4"/>
  <c r="X701" i="4"/>
  <c r="W701" i="4"/>
  <c r="V701" i="4"/>
  <c r="U701" i="4"/>
  <c r="T701" i="4"/>
  <c r="S701" i="4"/>
  <c r="R701" i="4"/>
  <c r="Q701" i="4"/>
  <c r="P701" i="4"/>
  <c r="O701" i="4"/>
  <c r="N701" i="4"/>
  <c r="M701" i="4"/>
  <c r="L701" i="4"/>
  <c r="K701" i="4"/>
  <c r="J701" i="4"/>
  <c r="I701" i="4"/>
  <c r="H701" i="4"/>
  <c r="G701" i="4"/>
  <c r="F701" i="4"/>
  <c r="E701" i="4"/>
  <c r="D701" i="4"/>
  <c r="C701" i="4"/>
  <c r="B701" i="4"/>
  <c r="A701" i="4"/>
  <c r="AC700" i="4"/>
  <c r="AB700" i="4"/>
  <c r="AA700" i="4"/>
  <c r="Z700" i="4"/>
  <c r="Y700" i="4"/>
  <c r="X700" i="4"/>
  <c r="W700" i="4"/>
  <c r="V700" i="4"/>
  <c r="U700" i="4"/>
  <c r="T700" i="4"/>
  <c r="S700" i="4"/>
  <c r="R700" i="4"/>
  <c r="Q700" i="4"/>
  <c r="P700" i="4"/>
  <c r="O700" i="4"/>
  <c r="N700" i="4"/>
  <c r="M700" i="4"/>
  <c r="L700" i="4"/>
  <c r="K700" i="4"/>
  <c r="J700" i="4"/>
  <c r="I700" i="4"/>
  <c r="H700" i="4"/>
  <c r="G700" i="4"/>
  <c r="F700" i="4"/>
  <c r="E700" i="4"/>
  <c r="D700" i="4"/>
  <c r="C700" i="4"/>
  <c r="B700" i="4"/>
  <c r="A700" i="4"/>
  <c r="AC699" i="4"/>
  <c r="AB699" i="4"/>
  <c r="AA699" i="4"/>
  <c r="Z699" i="4"/>
  <c r="Y699" i="4"/>
  <c r="X699" i="4"/>
  <c r="W699" i="4"/>
  <c r="V699" i="4"/>
  <c r="U699" i="4"/>
  <c r="T699" i="4"/>
  <c r="S699" i="4"/>
  <c r="R699" i="4"/>
  <c r="Q699" i="4"/>
  <c r="P699" i="4"/>
  <c r="O699" i="4"/>
  <c r="N699" i="4"/>
  <c r="M699" i="4"/>
  <c r="L699" i="4"/>
  <c r="K699" i="4"/>
  <c r="J699" i="4"/>
  <c r="I699" i="4"/>
  <c r="H699" i="4"/>
  <c r="G699" i="4"/>
  <c r="F699" i="4"/>
  <c r="E699" i="4"/>
  <c r="D699" i="4"/>
  <c r="C699" i="4"/>
  <c r="B699" i="4"/>
  <c r="A699" i="4"/>
  <c r="AC698" i="4"/>
  <c r="AB698" i="4"/>
  <c r="AA698" i="4"/>
  <c r="Z698" i="4"/>
  <c r="Y698" i="4"/>
  <c r="X698" i="4"/>
  <c r="W698" i="4"/>
  <c r="V698" i="4"/>
  <c r="U698" i="4"/>
  <c r="T698" i="4"/>
  <c r="S698" i="4"/>
  <c r="R698" i="4"/>
  <c r="Q698" i="4"/>
  <c r="P698" i="4"/>
  <c r="O698" i="4"/>
  <c r="N698" i="4"/>
  <c r="M698" i="4"/>
  <c r="L698" i="4"/>
  <c r="K698" i="4"/>
  <c r="J698" i="4"/>
  <c r="I698" i="4"/>
  <c r="H698" i="4"/>
  <c r="G698" i="4"/>
  <c r="F698" i="4"/>
  <c r="E698" i="4"/>
  <c r="D698" i="4"/>
  <c r="C698" i="4"/>
  <c r="B698" i="4"/>
  <c r="A698" i="4"/>
  <c r="AC697" i="4"/>
  <c r="AB697" i="4"/>
  <c r="AA697" i="4"/>
  <c r="Z697" i="4"/>
  <c r="Y697" i="4"/>
  <c r="X697" i="4"/>
  <c r="W697" i="4"/>
  <c r="V697" i="4"/>
  <c r="U697" i="4"/>
  <c r="T697" i="4"/>
  <c r="S697" i="4"/>
  <c r="R697" i="4"/>
  <c r="Q697" i="4"/>
  <c r="P697" i="4"/>
  <c r="O697" i="4"/>
  <c r="N697" i="4"/>
  <c r="M697" i="4"/>
  <c r="L697" i="4"/>
  <c r="K697" i="4"/>
  <c r="J697" i="4"/>
  <c r="I697" i="4"/>
  <c r="H697" i="4"/>
  <c r="G697" i="4"/>
  <c r="F697" i="4"/>
  <c r="E697" i="4"/>
  <c r="D697" i="4"/>
  <c r="C697" i="4"/>
  <c r="B697" i="4"/>
  <c r="A697" i="4"/>
  <c r="AC696" i="4"/>
  <c r="AB696" i="4"/>
  <c r="AA696" i="4"/>
  <c r="Z696" i="4"/>
  <c r="Y696" i="4"/>
  <c r="X696" i="4"/>
  <c r="W696" i="4"/>
  <c r="V696" i="4"/>
  <c r="U696" i="4"/>
  <c r="T696" i="4"/>
  <c r="S696" i="4"/>
  <c r="R696" i="4"/>
  <c r="Q696" i="4"/>
  <c r="P696" i="4"/>
  <c r="O696" i="4"/>
  <c r="N696" i="4"/>
  <c r="M696" i="4"/>
  <c r="L696" i="4"/>
  <c r="K696" i="4"/>
  <c r="J696" i="4"/>
  <c r="I696" i="4"/>
  <c r="H696" i="4"/>
  <c r="G696" i="4"/>
  <c r="F696" i="4"/>
  <c r="E696" i="4"/>
  <c r="D696" i="4"/>
  <c r="C696" i="4"/>
  <c r="B696" i="4"/>
  <c r="A696" i="4"/>
  <c r="AC695" i="4"/>
  <c r="AB695" i="4"/>
  <c r="AA695" i="4"/>
  <c r="Z695" i="4"/>
  <c r="Y695" i="4"/>
  <c r="X695" i="4"/>
  <c r="W695" i="4"/>
  <c r="V695" i="4"/>
  <c r="U695" i="4"/>
  <c r="T695" i="4"/>
  <c r="S695" i="4"/>
  <c r="R695" i="4"/>
  <c r="Q695" i="4"/>
  <c r="P695" i="4"/>
  <c r="O695" i="4"/>
  <c r="N695" i="4"/>
  <c r="M695" i="4"/>
  <c r="L695" i="4"/>
  <c r="K695" i="4"/>
  <c r="J695" i="4"/>
  <c r="I695" i="4"/>
  <c r="H695" i="4"/>
  <c r="G695" i="4"/>
  <c r="F695" i="4"/>
  <c r="E695" i="4"/>
  <c r="D695" i="4"/>
  <c r="C695" i="4"/>
  <c r="B695" i="4"/>
  <c r="A695" i="4"/>
  <c r="AC694" i="4"/>
  <c r="AB694" i="4"/>
  <c r="AA694" i="4"/>
  <c r="Z694" i="4"/>
  <c r="Y694" i="4"/>
  <c r="X694" i="4"/>
  <c r="W694" i="4"/>
  <c r="V694" i="4"/>
  <c r="U694" i="4"/>
  <c r="T694" i="4"/>
  <c r="S694" i="4"/>
  <c r="R694" i="4"/>
  <c r="Q694" i="4"/>
  <c r="P694" i="4"/>
  <c r="O694" i="4"/>
  <c r="N694" i="4"/>
  <c r="M694" i="4"/>
  <c r="L694" i="4"/>
  <c r="K694" i="4"/>
  <c r="J694" i="4"/>
  <c r="I694" i="4"/>
  <c r="H694" i="4"/>
  <c r="G694" i="4"/>
  <c r="F694" i="4"/>
  <c r="E694" i="4"/>
  <c r="D694" i="4"/>
  <c r="C694" i="4"/>
  <c r="B694" i="4"/>
  <c r="A694" i="4"/>
  <c r="AC692" i="4"/>
  <c r="AB692" i="4"/>
  <c r="AA692" i="4"/>
  <c r="Z692" i="4"/>
  <c r="Y692" i="4"/>
  <c r="X692" i="4"/>
  <c r="W692" i="4"/>
  <c r="V692" i="4"/>
  <c r="U692" i="4"/>
  <c r="T692" i="4"/>
  <c r="S692" i="4"/>
  <c r="R692" i="4"/>
  <c r="Q692" i="4"/>
  <c r="P692" i="4"/>
  <c r="O692" i="4"/>
  <c r="N692" i="4"/>
  <c r="M692" i="4"/>
  <c r="L692" i="4"/>
  <c r="K692" i="4"/>
  <c r="J692" i="4"/>
  <c r="I692" i="4"/>
  <c r="H692" i="4"/>
  <c r="G692" i="4"/>
  <c r="F692" i="4"/>
  <c r="E692" i="4"/>
  <c r="D692" i="4"/>
  <c r="C692" i="4"/>
  <c r="B692" i="4"/>
  <c r="A692" i="4"/>
  <c r="AC691" i="4"/>
  <c r="AB691" i="4"/>
  <c r="AA691" i="4"/>
  <c r="Z691" i="4"/>
  <c r="Y691" i="4"/>
  <c r="X691" i="4"/>
  <c r="W691" i="4"/>
  <c r="V691" i="4"/>
  <c r="U691" i="4"/>
  <c r="T691" i="4"/>
  <c r="S691" i="4"/>
  <c r="R691" i="4"/>
  <c r="Q691" i="4"/>
  <c r="P691" i="4"/>
  <c r="O691" i="4"/>
  <c r="N691" i="4"/>
  <c r="M691" i="4"/>
  <c r="L691" i="4"/>
  <c r="K691" i="4"/>
  <c r="J691" i="4"/>
  <c r="I691" i="4"/>
  <c r="H691" i="4"/>
  <c r="G691" i="4"/>
  <c r="F691" i="4"/>
  <c r="E691" i="4"/>
  <c r="D691" i="4"/>
  <c r="C691" i="4"/>
  <c r="B691" i="4"/>
  <c r="A691" i="4"/>
  <c r="AC690" i="4"/>
  <c r="AB690" i="4"/>
  <c r="AA690" i="4"/>
  <c r="Z690" i="4"/>
  <c r="Y690" i="4"/>
  <c r="X690" i="4"/>
  <c r="W690" i="4"/>
  <c r="V690" i="4"/>
  <c r="U690" i="4"/>
  <c r="T690" i="4"/>
  <c r="S690" i="4"/>
  <c r="R690" i="4"/>
  <c r="Q690" i="4"/>
  <c r="P690" i="4"/>
  <c r="O690" i="4"/>
  <c r="N690" i="4"/>
  <c r="M690" i="4"/>
  <c r="L690" i="4"/>
  <c r="K690" i="4"/>
  <c r="J690" i="4"/>
  <c r="I690" i="4"/>
  <c r="H690" i="4"/>
  <c r="G690" i="4"/>
  <c r="F690" i="4"/>
  <c r="E690" i="4"/>
  <c r="C690" i="4"/>
  <c r="B690" i="4"/>
  <c r="A690" i="4"/>
  <c r="AC689" i="4"/>
  <c r="AB689" i="4"/>
  <c r="AA689" i="4"/>
  <c r="Z689" i="4"/>
  <c r="Y689" i="4"/>
  <c r="X689" i="4"/>
  <c r="W689" i="4"/>
  <c r="V689" i="4"/>
  <c r="U689" i="4"/>
  <c r="T689" i="4"/>
  <c r="S689" i="4"/>
  <c r="R689" i="4"/>
  <c r="Q689" i="4"/>
  <c r="P689" i="4"/>
  <c r="O689" i="4"/>
  <c r="N689" i="4"/>
  <c r="M689" i="4"/>
  <c r="L689" i="4"/>
  <c r="K689" i="4"/>
  <c r="J689" i="4"/>
  <c r="I689" i="4"/>
  <c r="H689" i="4"/>
  <c r="G689" i="4"/>
  <c r="F689" i="4"/>
  <c r="E689" i="4"/>
  <c r="C689" i="4"/>
  <c r="B689" i="4"/>
  <c r="A689" i="4"/>
  <c r="AC688" i="4"/>
  <c r="AB688" i="4"/>
  <c r="AA688" i="4"/>
  <c r="Z688" i="4"/>
  <c r="Y688" i="4"/>
  <c r="X688" i="4"/>
  <c r="W688" i="4"/>
  <c r="V688" i="4"/>
  <c r="U688" i="4"/>
  <c r="T688" i="4"/>
  <c r="S688" i="4"/>
  <c r="R688" i="4"/>
  <c r="Q688" i="4"/>
  <c r="P688" i="4"/>
  <c r="O688" i="4"/>
  <c r="N688" i="4"/>
  <c r="M688" i="4"/>
  <c r="L688" i="4"/>
  <c r="K688" i="4"/>
  <c r="J688" i="4"/>
  <c r="I688" i="4"/>
  <c r="H688" i="4"/>
  <c r="G688" i="4"/>
  <c r="F688" i="4"/>
  <c r="E688" i="4"/>
  <c r="C688" i="4"/>
  <c r="B688" i="4"/>
  <c r="A688" i="4"/>
  <c r="AC687" i="4"/>
  <c r="AB687" i="4"/>
  <c r="AA687" i="4"/>
  <c r="Z687" i="4"/>
  <c r="Y687" i="4"/>
  <c r="X687" i="4"/>
  <c r="W687" i="4"/>
  <c r="V687" i="4"/>
  <c r="U687" i="4"/>
  <c r="T687" i="4"/>
  <c r="S687" i="4"/>
  <c r="R687" i="4"/>
  <c r="Q687" i="4"/>
  <c r="P687" i="4"/>
  <c r="O687" i="4"/>
  <c r="N687" i="4"/>
  <c r="M687" i="4"/>
  <c r="L687" i="4"/>
  <c r="K687" i="4"/>
  <c r="J687" i="4"/>
  <c r="I687" i="4"/>
  <c r="H687" i="4"/>
  <c r="G687" i="4"/>
  <c r="F687" i="4"/>
  <c r="E687" i="4"/>
  <c r="C687" i="4"/>
  <c r="B687" i="4"/>
  <c r="A687" i="4"/>
  <c r="AC686" i="4"/>
  <c r="AB686" i="4"/>
  <c r="AA686" i="4"/>
  <c r="Z686" i="4"/>
  <c r="Y686" i="4"/>
  <c r="X686" i="4"/>
  <c r="W686" i="4"/>
  <c r="V686" i="4"/>
  <c r="U686" i="4"/>
  <c r="T686" i="4"/>
  <c r="S686" i="4"/>
  <c r="R686" i="4"/>
  <c r="Q686" i="4"/>
  <c r="P686" i="4"/>
  <c r="O686" i="4"/>
  <c r="N686" i="4"/>
  <c r="M686" i="4"/>
  <c r="L686" i="4"/>
  <c r="K686" i="4"/>
  <c r="J686" i="4"/>
  <c r="I686" i="4"/>
  <c r="H686" i="4"/>
  <c r="G686" i="4"/>
  <c r="F686" i="4"/>
  <c r="E686" i="4"/>
  <c r="D686" i="4"/>
  <c r="C686" i="4"/>
  <c r="B686" i="4"/>
  <c r="A686" i="4"/>
  <c r="AC685" i="4"/>
  <c r="AB685" i="4"/>
  <c r="AA685" i="4"/>
  <c r="Z685" i="4"/>
  <c r="Y685" i="4"/>
  <c r="X685" i="4"/>
  <c r="W685" i="4"/>
  <c r="V685" i="4"/>
  <c r="U685" i="4"/>
  <c r="T685" i="4"/>
  <c r="S685" i="4"/>
  <c r="R685" i="4"/>
  <c r="Q685" i="4"/>
  <c r="P685" i="4"/>
  <c r="O685" i="4"/>
  <c r="N685" i="4"/>
  <c r="M685" i="4"/>
  <c r="L685" i="4"/>
  <c r="K685" i="4"/>
  <c r="J685" i="4"/>
  <c r="I685" i="4"/>
  <c r="H685" i="4"/>
  <c r="G685" i="4"/>
  <c r="F685" i="4"/>
  <c r="E685" i="4"/>
  <c r="C685" i="4"/>
  <c r="B685" i="4"/>
  <c r="A685" i="4"/>
  <c r="AC684" i="4"/>
  <c r="AB684" i="4"/>
  <c r="AA684" i="4"/>
  <c r="Z684" i="4"/>
  <c r="Y684" i="4"/>
  <c r="X684" i="4"/>
  <c r="W684" i="4"/>
  <c r="V684" i="4"/>
  <c r="U684" i="4"/>
  <c r="T684" i="4"/>
  <c r="S684" i="4"/>
  <c r="R684" i="4"/>
  <c r="Q684" i="4"/>
  <c r="P684" i="4"/>
  <c r="O684" i="4"/>
  <c r="N684" i="4"/>
  <c r="M684" i="4"/>
  <c r="L684" i="4"/>
  <c r="K684" i="4"/>
  <c r="J684" i="4"/>
  <c r="I684" i="4"/>
  <c r="H684" i="4"/>
  <c r="G684" i="4"/>
  <c r="F684" i="4"/>
  <c r="E684" i="4"/>
  <c r="C684" i="4"/>
  <c r="B684" i="4"/>
  <c r="A684" i="4"/>
  <c r="AC683" i="4"/>
  <c r="AB683" i="4"/>
  <c r="AA683" i="4"/>
  <c r="Z683" i="4"/>
  <c r="Y683" i="4"/>
  <c r="X683" i="4"/>
  <c r="W683" i="4"/>
  <c r="V683" i="4"/>
  <c r="U683" i="4"/>
  <c r="T683" i="4"/>
  <c r="S683" i="4"/>
  <c r="R683" i="4"/>
  <c r="Q683" i="4"/>
  <c r="P683" i="4"/>
  <c r="O683" i="4"/>
  <c r="N683" i="4"/>
  <c r="M683" i="4"/>
  <c r="L683" i="4"/>
  <c r="K683" i="4"/>
  <c r="J683" i="4"/>
  <c r="I683" i="4"/>
  <c r="H683" i="4"/>
  <c r="G683" i="4"/>
  <c r="F683" i="4"/>
  <c r="E683" i="4"/>
  <c r="C683" i="4"/>
  <c r="B683" i="4"/>
  <c r="A683" i="4"/>
  <c r="AC682" i="4"/>
  <c r="AB682" i="4"/>
  <c r="AA682" i="4"/>
  <c r="Z682" i="4"/>
  <c r="Y682" i="4"/>
  <c r="X682" i="4"/>
  <c r="W682" i="4"/>
  <c r="V682" i="4"/>
  <c r="U682" i="4"/>
  <c r="T682" i="4"/>
  <c r="S682" i="4"/>
  <c r="R682" i="4"/>
  <c r="Q682" i="4"/>
  <c r="P682" i="4"/>
  <c r="O682" i="4"/>
  <c r="N682" i="4"/>
  <c r="M682" i="4"/>
  <c r="L682" i="4"/>
  <c r="K682" i="4"/>
  <c r="J682" i="4"/>
  <c r="I682" i="4"/>
  <c r="H682" i="4"/>
  <c r="G682" i="4"/>
  <c r="F682" i="4"/>
  <c r="E682" i="4"/>
  <c r="D682" i="4"/>
  <c r="C682" i="4"/>
  <c r="B682" i="4"/>
  <c r="A682" i="4"/>
  <c r="AC681" i="4"/>
  <c r="AB681" i="4"/>
  <c r="AA681" i="4"/>
  <c r="Z681" i="4"/>
  <c r="Y681" i="4"/>
  <c r="X681" i="4"/>
  <c r="W681" i="4"/>
  <c r="V681" i="4"/>
  <c r="U681" i="4"/>
  <c r="T681" i="4"/>
  <c r="S681" i="4"/>
  <c r="R681" i="4"/>
  <c r="Q681" i="4"/>
  <c r="P681" i="4"/>
  <c r="O681" i="4"/>
  <c r="N681" i="4"/>
  <c r="M681" i="4"/>
  <c r="L681" i="4"/>
  <c r="K681" i="4"/>
  <c r="J681" i="4"/>
  <c r="I681" i="4"/>
  <c r="H681" i="4"/>
  <c r="G681" i="4"/>
  <c r="F681" i="4"/>
  <c r="E681" i="4"/>
  <c r="D681" i="4"/>
  <c r="C681" i="4"/>
  <c r="B681" i="4"/>
  <c r="A681" i="4"/>
  <c r="AC680" i="4"/>
  <c r="AB680" i="4"/>
  <c r="AA680" i="4"/>
  <c r="Z680" i="4"/>
  <c r="Y680" i="4"/>
  <c r="X680" i="4"/>
  <c r="W680" i="4"/>
  <c r="V680" i="4"/>
  <c r="U680" i="4"/>
  <c r="T680" i="4"/>
  <c r="S680" i="4"/>
  <c r="R680" i="4"/>
  <c r="Q680" i="4"/>
  <c r="P680" i="4"/>
  <c r="O680" i="4"/>
  <c r="N680" i="4"/>
  <c r="M680" i="4"/>
  <c r="L680" i="4"/>
  <c r="K680" i="4"/>
  <c r="J680" i="4"/>
  <c r="I680" i="4"/>
  <c r="H680" i="4"/>
  <c r="G680" i="4"/>
  <c r="F680" i="4"/>
  <c r="E680" i="4"/>
  <c r="C680" i="4"/>
  <c r="B680" i="4"/>
  <c r="A680" i="4"/>
  <c r="AC679" i="4"/>
  <c r="AB679" i="4"/>
  <c r="AA679" i="4"/>
  <c r="Z679" i="4"/>
  <c r="Y679" i="4"/>
  <c r="X679" i="4"/>
  <c r="W679" i="4"/>
  <c r="V679" i="4"/>
  <c r="U679" i="4"/>
  <c r="T679" i="4"/>
  <c r="S679" i="4"/>
  <c r="R679" i="4"/>
  <c r="Q679" i="4"/>
  <c r="P679" i="4"/>
  <c r="O679" i="4"/>
  <c r="N679" i="4"/>
  <c r="M679" i="4"/>
  <c r="L679" i="4"/>
  <c r="K679" i="4"/>
  <c r="J679" i="4"/>
  <c r="I679" i="4"/>
  <c r="H679" i="4"/>
  <c r="G679" i="4"/>
  <c r="F679" i="4"/>
  <c r="E679" i="4"/>
  <c r="C679" i="4"/>
  <c r="B679" i="4"/>
  <c r="A679" i="4"/>
  <c r="AC678" i="4"/>
  <c r="AB678" i="4"/>
  <c r="AA678" i="4"/>
  <c r="Z678" i="4"/>
  <c r="Y678" i="4"/>
  <c r="X678" i="4"/>
  <c r="W678" i="4"/>
  <c r="V678" i="4"/>
  <c r="U678" i="4"/>
  <c r="T678" i="4"/>
  <c r="S678" i="4"/>
  <c r="R678" i="4"/>
  <c r="Q678" i="4"/>
  <c r="P678" i="4"/>
  <c r="O678" i="4"/>
  <c r="N678" i="4"/>
  <c r="M678" i="4"/>
  <c r="L678" i="4"/>
  <c r="K678" i="4"/>
  <c r="J678" i="4"/>
  <c r="I678" i="4"/>
  <c r="H678" i="4"/>
  <c r="G678" i="4"/>
  <c r="F678" i="4"/>
  <c r="E678" i="4"/>
  <c r="C678" i="4"/>
  <c r="B678" i="4"/>
  <c r="A678" i="4"/>
  <c r="AC677" i="4"/>
  <c r="AB677" i="4"/>
  <c r="AA677" i="4"/>
  <c r="Z677" i="4"/>
  <c r="Y677" i="4"/>
  <c r="X677" i="4"/>
  <c r="W677" i="4"/>
  <c r="V677" i="4"/>
  <c r="U677" i="4"/>
  <c r="T677" i="4"/>
  <c r="S677" i="4"/>
  <c r="R677" i="4"/>
  <c r="Q677" i="4"/>
  <c r="P677" i="4"/>
  <c r="O677" i="4"/>
  <c r="N677" i="4"/>
  <c r="M677" i="4"/>
  <c r="L677" i="4"/>
  <c r="K677" i="4"/>
  <c r="J677" i="4"/>
  <c r="I677" i="4"/>
  <c r="H677" i="4"/>
  <c r="G677" i="4"/>
  <c r="F677" i="4"/>
  <c r="E677" i="4"/>
  <c r="C677" i="4"/>
  <c r="B677" i="4"/>
  <c r="A677" i="4"/>
  <c r="AC676" i="4"/>
  <c r="AB676" i="4"/>
  <c r="AA676" i="4"/>
  <c r="Z676" i="4"/>
  <c r="Y676" i="4"/>
  <c r="X676" i="4"/>
  <c r="W676" i="4"/>
  <c r="V676" i="4"/>
  <c r="U676" i="4"/>
  <c r="T676" i="4"/>
  <c r="S676" i="4"/>
  <c r="R676" i="4"/>
  <c r="Q676" i="4"/>
  <c r="P676" i="4"/>
  <c r="O676" i="4"/>
  <c r="N676" i="4"/>
  <c r="M676" i="4"/>
  <c r="L676" i="4"/>
  <c r="K676" i="4"/>
  <c r="J676" i="4"/>
  <c r="I676" i="4"/>
  <c r="H676" i="4"/>
  <c r="G676" i="4"/>
  <c r="F676" i="4"/>
  <c r="E676" i="4"/>
  <c r="D676" i="4"/>
  <c r="C676" i="4"/>
  <c r="B676" i="4"/>
  <c r="A676" i="4"/>
  <c r="AC675" i="4"/>
  <c r="AB675" i="4"/>
  <c r="AA675" i="4"/>
  <c r="Z675" i="4"/>
  <c r="Y675" i="4"/>
  <c r="X675" i="4"/>
  <c r="W675" i="4"/>
  <c r="V675" i="4"/>
  <c r="U675" i="4"/>
  <c r="T675" i="4"/>
  <c r="S675" i="4"/>
  <c r="R675" i="4"/>
  <c r="Q675" i="4"/>
  <c r="P675" i="4"/>
  <c r="O675" i="4"/>
  <c r="N675" i="4"/>
  <c r="M675" i="4"/>
  <c r="L675" i="4"/>
  <c r="K675" i="4"/>
  <c r="J675" i="4"/>
  <c r="I675" i="4"/>
  <c r="H675" i="4"/>
  <c r="G675" i="4"/>
  <c r="F675" i="4"/>
  <c r="E675" i="4"/>
  <c r="C675" i="4"/>
  <c r="B675" i="4"/>
  <c r="A675" i="4"/>
  <c r="AC674" i="4"/>
  <c r="AB674" i="4"/>
  <c r="AA674" i="4"/>
  <c r="Z674" i="4"/>
  <c r="Y674" i="4"/>
  <c r="X674" i="4"/>
  <c r="W674" i="4"/>
  <c r="V674" i="4"/>
  <c r="U674" i="4"/>
  <c r="T674" i="4"/>
  <c r="S674" i="4"/>
  <c r="R674" i="4"/>
  <c r="Q674" i="4"/>
  <c r="P674" i="4"/>
  <c r="O674" i="4"/>
  <c r="N674" i="4"/>
  <c r="M674" i="4"/>
  <c r="L674" i="4"/>
  <c r="K674" i="4"/>
  <c r="J674" i="4"/>
  <c r="I674" i="4"/>
  <c r="H674" i="4"/>
  <c r="G674" i="4"/>
  <c r="F674" i="4"/>
  <c r="E674" i="4"/>
  <c r="C674" i="4"/>
  <c r="B674" i="4"/>
  <c r="A674" i="4"/>
  <c r="AC673" i="4"/>
  <c r="AB673" i="4"/>
  <c r="AA673" i="4"/>
  <c r="Z673" i="4"/>
  <c r="Y673" i="4"/>
  <c r="X673" i="4"/>
  <c r="W673" i="4"/>
  <c r="V673" i="4"/>
  <c r="U673" i="4"/>
  <c r="T673" i="4"/>
  <c r="S673" i="4"/>
  <c r="R673" i="4"/>
  <c r="Q673" i="4"/>
  <c r="P673" i="4"/>
  <c r="O673" i="4"/>
  <c r="N673" i="4"/>
  <c r="M673" i="4"/>
  <c r="L673" i="4"/>
  <c r="K673" i="4"/>
  <c r="J673" i="4"/>
  <c r="I673" i="4"/>
  <c r="H673" i="4"/>
  <c r="G673" i="4"/>
  <c r="F673" i="4"/>
  <c r="E673" i="4"/>
  <c r="C673" i="4"/>
  <c r="B673" i="4"/>
  <c r="A673" i="4"/>
  <c r="AC672" i="4"/>
  <c r="AB672" i="4"/>
  <c r="AA672" i="4"/>
  <c r="Z672" i="4"/>
  <c r="Y672" i="4"/>
  <c r="X672" i="4"/>
  <c r="W672" i="4"/>
  <c r="V672" i="4"/>
  <c r="U672" i="4"/>
  <c r="T672" i="4"/>
  <c r="S672" i="4"/>
  <c r="R672" i="4"/>
  <c r="Q672" i="4"/>
  <c r="P672" i="4"/>
  <c r="O672" i="4"/>
  <c r="N672" i="4"/>
  <c r="M672" i="4"/>
  <c r="L672" i="4"/>
  <c r="K672" i="4"/>
  <c r="J672" i="4"/>
  <c r="I672" i="4"/>
  <c r="H672" i="4"/>
  <c r="G672" i="4"/>
  <c r="F672" i="4"/>
  <c r="E672" i="4"/>
  <c r="D672" i="4"/>
  <c r="C672" i="4"/>
  <c r="B672" i="4"/>
  <c r="A672" i="4"/>
  <c r="AC670" i="4"/>
  <c r="AB670" i="4"/>
  <c r="AA670" i="4"/>
  <c r="Z670" i="4"/>
  <c r="Y670" i="4"/>
  <c r="X670" i="4"/>
  <c r="W670" i="4"/>
  <c r="V670" i="4"/>
  <c r="U670" i="4"/>
  <c r="T670" i="4"/>
  <c r="S670" i="4"/>
  <c r="R670" i="4"/>
  <c r="Q670" i="4"/>
  <c r="P670" i="4"/>
  <c r="O670" i="4"/>
  <c r="N670" i="4"/>
  <c r="M670" i="4"/>
  <c r="L670" i="4"/>
  <c r="K670" i="4"/>
  <c r="J670" i="4"/>
  <c r="I670" i="4"/>
  <c r="H670" i="4"/>
  <c r="G670" i="4"/>
  <c r="F670" i="4"/>
  <c r="E670" i="4"/>
  <c r="D670" i="4"/>
  <c r="C670" i="4"/>
  <c r="B670" i="4"/>
  <c r="A670" i="4"/>
  <c r="AC664" i="4"/>
  <c r="AB664" i="4"/>
  <c r="AA664" i="4"/>
  <c r="Z664" i="4"/>
  <c r="Y664" i="4"/>
  <c r="X664" i="4"/>
  <c r="W664" i="4"/>
  <c r="V664" i="4"/>
  <c r="U664" i="4"/>
  <c r="T664" i="4"/>
  <c r="S664" i="4"/>
  <c r="R664" i="4"/>
  <c r="Q664" i="4"/>
  <c r="P664" i="4"/>
  <c r="O664" i="4"/>
  <c r="N664" i="4"/>
  <c r="M664" i="4"/>
  <c r="L664" i="4"/>
  <c r="K664" i="4"/>
  <c r="J664" i="4"/>
  <c r="I664" i="4"/>
  <c r="H664" i="4"/>
  <c r="G664" i="4"/>
  <c r="F664" i="4"/>
  <c r="E664" i="4"/>
  <c r="D664" i="4"/>
  <c r="C664" i="4"/>
  <c r="B664" i="4"/>
  <c r="A664" i="4"/>
  <c r="AC663" i="4"/>
  <c r="AB663" i="4"/>
  <c r="AA663" i="4"/>
  <c r="Z663" i="4"/>
  <c r="Y663" i="4"/>
  <c r="X663" i="4"/>
  <c r="W663" i="4"/>
  <c r="V663" i="4"/>
  <c r="U663" i="4"/>
  <c r="T663" i="4"/>
  <c r="S663" i="4"/>
  <c r="R663" i="4"/>
  <c r="Q663" i="4"/>
  <c r="I663" i="4"/>
  <c r="H663" i="4"/>
  <c r="G663" i="4"/>
  <c r="F663" i="4"/>
  <c r="E663" i="4"/>
  <c r="D663" i="4"/>
  <c r="C663" i="4"/>
  <c r="B663" i="4"/>
  <c r="A663" i="4"/>
  <c r="AC662" i="4"/>
  <c r="AB662" i="4"/>
  <c r="AA662" i="4"/>
  <c r="Z662" i="4"/>
  <c r="Y662" i="4"/>
  <c r="X662" i="4"/>
  <c r="W662" i="4"/>
  <c r="V662" i="4"/>
  <c r="U662" i="4"/>
  <c r="T662" i="4"/>
  <c r="S662" i="4"/>
  <c r="R662" i="4"/>
  <c r="Q662" i="4"/>
  <c r="P662" i="4"/>
  <c r="O662" i="4"/>
  <c r="N662" i="4"/>
  <c r="M662" i="4"/>
  <c r="L662" i="4"/>
  <c r="K662" i="4"/>
  <c r="J662" i="4"/>
  <c r="I662" i="4"/>
  <c r="H662" i="4"/>
  <c r="G662" i="4"/>
  <c r="F662" i="4"/>
  <c r="E662" i="4"/>
  <c r="D662" i="4"/>
  <c r="C662" i="4"/>
  <c r="B662" i="4"/>
  <c r="A662" i="4"/>
  <c r="AC661" i="4"/>
  <c r="AB661" i="4"/>
  <c r="AA661" i="4"/>
  <c r="Z661" i="4"/>
  <c r="Y661" i="4"/>
  <c r="X661" i="4"/>
  <c r="W661" i="4"/>
  <c r="V661" i="4"/>
  <c r="U661" i="4"/>
  <c r="T661" i="4"/>
  <c r="S661" i="4"/>
  <c r="R661" i="4"/>
  <c r="Q661" i="4"/>
  <c r="P661" i="4"/>
  <c r="O661" i="4"/>
  <c r="N661" i="4"/>
  <c r="M661" i="4"/>
  <c r="L661" i="4"/>
  <c r="K661" i="4"/>
  <c r="J661" i="4"/>
  <c r="I661" i="4"/>
  <c r="H661" i="4"/>
  <c r="G661" i="4"/>
  <c r="F661" i="4"/>
  <c r="E661" i="4"/>
  <c r="D661" i="4"/>
  <c r="C661" i="4"/>
  <c r="B661" i="4"/>
  <c r="A661" i="4"/>
  <c r="AC660" i="4"/>
  <c r="AB660" i="4"/>
  <c r="AA660" i="4"/>
  <c r="Z660" i="4"/>
  <c r="Y660" i="4"/>
  <c r="X660" i="4"/>
  <c r="W660" i="4"/>
  <c r="V660" i="4"/>
  <c r="U660" i="4"/>
  <c r="T660" i="4"/>
  <c r="S660" i="4"/>
  <c r="R660" i="4"/>
  <c r="Q660" i="4"/>
  <c r="P660" i="4"/>
  <c r="O660" i="4"/>
  <c r="N660" i="4"/>
  <c r="M660" i="4"/>
  <c r="L660" i="4"/>
  <c r="K660" i="4"/>
  <c r="J660" i="4"/>
  <c r="I660" i="4"/>
  <c r="H660" i="4"/>
  <c r="G660" i="4"/>
  <c r="F660" i="4"/>
  <c r="E660" i="4"/>
  <c r="D660" i="4"/>
  <c r="C660" i="4"/>
  <c r="B660" i="4"/>
  <c r="A660" i="4"/>
  <c r="AC659" i="4"/>
  <c r="AB659" i="4"/>
  <c r="AA659" i="4"/>
  <c r="Z659" i="4"/>
  <c r="Y659" i="4"/>
  <c r="X659" i="4"/>
  <c r="W659" i="4"/>
  <c r="V659" i="4"/>
  <c r="U659" i="4"/>
  <c r="T659" i="4"/>
  <c r="S659" i="4"/>
  <c r="R659" i="4"/>
  <c r="Q659" i="4"/>
  <c r="G659" i="4"/>
  <c r="F659" i="4"/>
  <c r="E659" i="4"/>
  <c r="D659" i="4"/>
  <c r="C659" i="4"/>
  <c r="B659" i="4"/>
  <c r="A659" i="4"/>
  <c r="AC658" i="4"/>
  <c r="AB658" i="4"/>
  <c r="AA658" i="4"/>
  <c r="Z658" i="4"/>
  <c r="Y658" i="4"/>
  <c r="X658" i="4"/>
  <c r="W658" i="4"/>
  <c r="V658" i="4"/>
  <c r="U658" i="4"/>
  <c r="T658" i="4"/>
  <c r="S658" i="4"/>
  <c r="R658" i="4"/>
  <c r="Q658" i="4"/>
  <c r="P658" i="4"/>
  <c r="O658" i="4"/>
  <c r="N658" i="4"/>
  <c r="M658" i="4"/>
  <c r="L658" i="4"/>
  <c r="K658" i="4"/>
  <c r="J658" i="4"/>
  <c r="I658" i="4"/>
  <c r="H658" i="4"/>
  <c r="G658" i="4"/>
  <c r="F658" i="4"/>
  <c r="E658" i="4"/>
  <c r="D658" i="4"/>
  <c r="C658" i="4"/>
  <c r="B658" i="4"/>
  <c r="A658" i="4"/>
  <c r="AC657" i="4"/>
  <c r="AB657" i="4"/>
  <c r="AA657" i="4"/>
  <c r="Z657" i="4"/>
  <c r="Y657" i="4"/>
  <c r="X657" i="4"/>
  <c r="W657" i="4"/>
  <c r="V657" i="4"/>
  <c r="U657" i="4"/>
  <c r="T657" i="4"/>
  <c r="S657" i="4"/>
  <c r="R657" i="4"/>
  <c r="Q657" i="4"/>
  <c r="G657" i="4"/>
  <c r="F657" i="4"/>
  <c r="E657" i="4"/>
  <c r="D657" i="4"/>
  <c r="C657" i="4"/>
  <c r="B657" i="4"/>
  <c r="A657" i="4"/>
  <c r="AC656" i="4"/>
  <c r="AB656" i="4"/>
  <c r="AA656" i="4"/>
  <c r="Z656" i="4"/>
  <c r="Y656" i="4"/>
  <c r="X656" i="4"/>
  <c r="W656" i="4"/>
  <c r="V656" i="4"/>
  <c r="U656" i="4"/>
  <c r="T656" i="4"/>
  <c r="S656" i="4"/>
  <c r="R656" i="4"/>
  <c r="Q656" i="4"/>
  <c r="P656" i="4"/>
  <c r="O656" i="4"/>
  <c r="N656" i="4"/>
  <c r="M656" i="4"/>
  <c r="L656" i="4"/>
  <c r="K656" i="4"/>
  <c r="J656" i="4"/>
  <c r="I656" i="4"/>
  <c r="H656" i="4"/>
  <c r="G656" i="4"/>
  <c r="F656" i="4"/>
  <c r="E656" i="4"/>
  <c r="D656" i="4"/>
  <c r="C656" i="4"/>
  <c r="B656" i="4"/>
  <c r="A656" i="4"/>
  <c r="AC655" i="4"/>
  <c r="AB655" i="4"/>
  <c r="AA655" i="4"/>
  <c r="Z655" i="4"/>
  <c r="Y655" i="4"/>
  <c r="X655" i="4"/>
  <c r="W655" i="4"/>
  <c r="V655" i="4"/>
  <c r="U655" i="4"/>
  <c r="T655" i="4"/>
  <c r="S655" i="4"/>
  <c r="R655" i="4"/>
  <c r="Q655" i="4"/>
  <c r="E655" i="4"/>
  <c r="D655" i="4"/>
  <c r="C655" i="4"/>
  <c r="B655" i="4"/>
  <c r="A655" i="4"/>
  <c r="AC654" i="4"/>
  <c r="AB654" i="4"/>
  <c r="AA654" i="4"/>
  <c r="Z654" i="4"/>
  <c r="Y654" i="4"/>
  <c r="X654" i="4"/>
  <c r="W654" i="4"/>
  <c r="V654" i="4"/>
  <c r="U654" i="4"/>
  <c r="T654" i="4"/>
  <c r="S654" i="4"/>
  <c r="R654" i="4"/>
  <c r="Q654" i="4"/>
  <c r="F654" i="4"/>
  <c r="E654" i="4"/>
  <c r="D654" i="4"/>
  <c r="C654" i="4"/>
  <c r="B654" i="4"/>
  <c r="A654" i="4"/>
  <c r="AC653" i="4"/>
  <c r="AB653" i="4"/>
  <c r="AA653" i="4"/>
  <c r="Z653" i="4"/>
  <c r="Y653" i="4"/>
  <c r="X653" i="4"/>
  <c r="W653" i="4"/>
  <c r="V653" i="4"/>
  <c r="U653" i="4"/>
  <c r="T653" i="4"/>
  <c r="S653" i="4"/>
  <c r="R653" i="4"/>
  <c r="E653" i="4"/>
  <c r="D653" i="4"/>
  <c r="C653" i="4"/>
  <c r="B653" i="4"/>
  <c r="A653" i="4"/>
  <c r="AC652" i="4"/>
  <c r="AB652" i="4"/>
  <c r="AA652" i="4"/>
  <c r="Z652" i="4"/>
  <c r="Y652" i="4"/>
  <c r="X652" i="4"/>
  <c r="W652" i="4"/>
  <c r="V652" i="4"/>
  <c r="U652" i="4"/>
  <c r="T652" i="4"/>
  <c r="S652" i="4"/>
  <c r="R652" i="4"/>
  <c r="Q652" i="4"/>
  <c r="P652" i="4"/>
  <c r="O652" i="4"/>
  <c r="N652" i="4"/>
  <c r="M652" i="4"/>
  <c r="L652" i="4"/>
  <c r="K652" i="4"/>
  <c r="J652" i="4"/>
  <c r="I652" i="4"/>
  <c r="H652" i="4"/>
  <c r="G652" i="4"/>
  <c r="F652" i="4"/>
  <c r="E652" i="4"/>
  <c r="D652" i="4"/>
  <c r="C652" i="4"/>
  <c r="B652" i="4"/>
  <c r="A652" i="4"/>
  <c r="AC651" i="4"/>
  <c r="AB651" i="4"/>
  <c r="AA651" i="4"/>
  <c r="Z651" i="4"/>
  <c r="Y651" i="4"/>
  <c r="X651" i="4"/>
  <c r="W651" i="4"/>
  <c r="V651" i="4"/>
  <c r="U651" i="4"/>
  <c r="T651" i="4"/>
  <c r="S651" i="4"/>
  <c r="R651" i="4"/>
  <c r="Q651" i="4"/>
  <c r="P651" i="4"/>
  <c r="O651" i="4"/>
  <c r="N651" i="4"/>
  <c r="M651" i="4"/>
  <c r="L651" i="4"/>
  <c r="K651" i="4"/>
  <c r="J651" i="4"/>
  <c r="I651" i="4"/>
  <c r="H651" i="4"/>
  <c r="G651" i="4"/>
  <c r="F651" i="4"/>
  <c r="E651" i="4"/>
  <c r="D651" i="4"/>
  <c r="C651" i="4"/>
  <c r="B651" i="4"/>
  <c r="A651" i="4"/>
  <c r="AC650" i="4"/>
  <c r="AB650" i="4"/>
  <c r="AA650" i="4"/>
  <c r="Z650" i="4"/>
  <c r="Y650" i="4"/>
  <c r="X650" i="4"/>
  <c r="W650" i="4"/>
  <c r="V650" i="4"/>
  <c r="U650" i="4"/>
  <c r="T650" i="4"/>
  <c r="S650" i="4"/>
  <c r="R650" i="4"/>
  <c r="E650" i="4"/>
  <c r="D650" i="4"/>
  <c r="C650" i="4"/>
  <c r="B650" i="4"/>
  <c r="A650" i="4"/>
  <c r="AC649" i="4"/>
  <c r="AB649" i="4"/>
  <c r="AA649" i="4"/>
  <c r="Z649" i="4"/>
  <c r="Y649" i="4"/>
  <c r="X649" i="4"/>
  <c r="W649" i="4"/>
  <c r="V649" i="4"/>
  <c r="U649" i="4"/>
  <c r="T649" i="4"/>
  <c r="S649" i="4"/>
  <c r="R649" i="4"/>
  <c r="Q649" i="4"/>
  <c r="H649" i="4"/>
  <c r="E649" i="4"/>
  <c r="D649" i="4"/>
  <c r="C649" i="4"/>
  <c r="B649" i="4"/>
  <c r="A649" i="4"/>
  <c r="AC648" i="4"/>
  <c r="AB648" i="4"/>
  <c r="AA648" i="4"/>
  <c r="Z648" i="4"/>
  <c r="Y648" i="4"/>
  <c r="X648" i="4"/>
  <c r="W648" i="4"/>
  <c r="V648" i="4"/>
  <c r="U648" i="4"/>
  <c r="T648" i="4"/>
  <c r="S648" i="4"/>
  <c r="R648" i="4"/>
  <c r="Q648" i="4"/>
  <c r="E648" i="4"/>
  <c r="D648" i="4"/>
  <c r="C648" i="4"/>
  <c r="B648" i="4"/>
  <c r="A648" i="4"/>
  <c r="AC647" i="4"/>
  <c r="AB647" i="4"/>
  <c r="AA647" i="4"/>
  <c r="Z647" i="4"/>
  <c r="Y647" i="4"/>
  <c r="X647" i="4"/>
  <c r="W647" i="4"/>
  <c r="V647" i="4"/>
  <c r="U647" i="4"/>
  <c r="T647" i="4"/>
  <c r="S647" i="4"/>
  <c r="R647" i="4"/>
  <c r="Q647" i="4"/>
  <c r="E647" i="4"/>
  <c r="D647" i="4"/>
  <c r="C647" i="4"/>
  <c r="B647" i="4"/>
  <c r="A647" i="4"/>
  <c r="AC646" i="4"/>
  <c r="AB646" i="4"/>
  <c r="AA646" i="4"/>
  <c r="Z646" i="4"/>
  <c r="Y646" i="4"/>
  <c r="X646" i="4"/>
  <c r="W646" i="4"/>
  <c r="V646" i="4"/>
  <c r="U646" i="4"/>
  <c r="T646" i="4"/>
  <c r="S646" i="4"/>
  <c r="R646" i="4"/>
  <c r="Q646" i="4"/>
  <c r="I646" i="4"/>
  <c r="H646" i="4"/>
  <c r="G646" i="4"/>
  <c r="E646" i="4"/>
  <c r="D646" i="4"/>
  <c r="C646" i="4"/>
  <c r="B646" i="4"/>
  <c r="A646" i="4"/>
  <c r="AC645" i="4"/>
  <c r="AB645" i="4"/>
  <c r="AA645" i="4"/>
  <c r="Z645" i="4"/>
  <c r="Y645" i="4"/>
  <c r="X645" i="4"/>
  <c r="W645" i="4"/>
  <c r="V645" i="4"/>
  <c r="U645" i="4"/>
  <c r="T645" i="4"/>
  <c r="S645" i="4"/>
  <c r="R645" i="4"/>
  <c r="E645" i="4"/>
  <c r="D645" i="4"/>
  <c r="C645" i="4"/>
  <c r="B645" i="4"/>
  <c r="A645" i="4"/>
  <c r="AC644" i="4"/>
  <c r="AB644" i="4"/>
  <c r="AA644" i="4"/>
  <c r="Z644" i="4"/>
  <c r="Y644" i="4"/>
  <c r="X644" i="4"/>
  <c r="W644" i="4"/>
  <c r="V644" i="4"/>
  <c r="U644" i="4"/>
  <c r="T644" i="4"/>
  <c r="S644" i="4"/>
  <c r="R644" i="4"/>
  <c r="Q644" i="4"/>
  <c r="P644" i="4"/>
  <c r="O644" i="4"/>
  <c r="N644" i="4"/>
  <c r="M644" i="4"/>
  <c r="L644" i="4"/>
  <c r="K644" i="4"/>
  <c r="J644" i="4"/>
  <c r="I644" i="4"/>
  <c r="H644" i="4"/>
  <c r="G644" i="4"/>
  <c r="F644" i="4"/>
  <c r="E644" i="4"/>
  <c r="D644" i="4"/>
  <c r="C644" i="4"/>
  <c r="B644" i="4"/>
  <c r="A644" i="4"/>
  <c r="AC643" i="4"/>
  <c r="AB643" i="4"/>
  <c r="AA643" i="4"/>
  <c r="Z643" i="4"/>
  <c r="Y643" i="4"/>
  <c r="X643" i="4"/>
  <c r="W643" i="4"/>
  <c r="V643" i="4"/>
  <c r="U643" i="4"/>
  <c r="T643" i="4"/>
  <c r="S643" i="4"/>
  <c r="R643" i="4"/>
  <c r="G643" i="4"/>
  <c r="F643" i="4"/>
  <c r="E643" i="4"/>
  <c r="D643" i="4"/>
  <c r="C643" i="4"/>
  <c r="B643" i="4"/>
  <c r="A643" i="4"/>
  <c r="AC642" i="4"/>
  <c r="AB642" i="4"/>
  <c r="AA642" i="4"/>
  <c r="Z642" i="4"/>
  <c r="Y642" i="4"/>
  <c r="X642" i="4"/>
  <c r="W642" i="4"/>
  <c r="V642" i="4"/>
  <c r="U642" i="4"/>
  <c r="T642" i="4"/>
  <c r="R642" i="4"/>
  <c r="D642" i="4"/>
  <c r="C642" i="4"/>
  <c r="B642" i="4"/>
  <c r="A642" i="4"/>
  <c r="AC641" i="4"/>
  <c r="AB641" i="4"/>
  <c r="AA641" i="4"/>
  <c r="Z641" i="4"/>
  <c r="Y641" i="4"/>
  <c r="X641" i="4"/>
  <c r="W641" i="4"/>
  <c r="V641" i="4"/>
  <c r="U641" i="4"/>
  <c r="T641" i="4"/>
  <c r="S641" i="4"/>
  <c r="R641" i="4"/>
  <c r="Q641" i="4"/>
  <c r="G641" i="4"/>
  <c r="F641" i="4"/>
  <c r="E641" i="4"/>
  <c r="D641" i="4"/>
  <c r="C641" i="4"/>
  <c r="B641" i="4"/>
  <c r="A641" i="4"/>
  <c r="AC640" i="4"/>
  <c r="AB640" i="4"/>
  <c r="AA640" i="4"/>
  <c r="Z640" i="4"/>
  <c r="Y640" i="4"/>
  <c r="X640" i="4"/>
  <c r="W640" i="4"/>
  <c r="V640" i="4"/>
  <c r="U640" i="4"/>
  <c r="T640" i="4"/>
  <c r="S640" i="4"/>
  <c r="R640" i="4"/>
  <c r="Q640" i="4"/>
  <c r="G640" i="4"/>
  <c r="F640" i="4"/>
  <c r="E640" i="4"/>
  <c r="D640" i="4"/>
  <c r="C640" i="4"/>
  <c r="B640" i="4"/>
  <c r="A640" i="4"/>
  <c r="AM639" i="4"/>
  <c r="AL639" i="4"/>
  <c r="AK639" i="4"/>
  <c r="AJ639" i="4"/>
  <c r="AI639" i="4"/>
  <c r="AH639" i="4"/>
  <c r="AG639" i="4"/>
  <c r="AF639" i="4"/>
  <c r="AE639" i="4"/>
  <c r="AD639" i="4"/>
  <c r="AC639" i="4"/>
  <c r="AB639" i="4"/>
  <c r="AA639" i="4"/>
  <c r="Z639" i="4"/>
  <c r="Y639" i="4"/>
  <c r="X639" i="4"/>
  <c r="W639" i="4"/>
  <c r="V639" i="4"/>
  <c r="U639" i="4"/>
  <c r="T639" i="4"/>
  <c r="S639" i="4"/>
  <c r="R639" i="4"/>
  <c r="Q639" i="4"/>
  <c r="P639" i="4"/>
  <c r="O639" i="4"/>
  <c r="N639" i="4"/>
  <c r="M639" i="4"/>
  <c r="L639" i="4"/>
  <c r="K639" i="4"/>
  <c r="J639" i="4"/>
  <c r="I639" i="4"/>
  <c r="H639" i="4"/>
  <c r="G639" i="4"/>
  <c r="F639" i="4"/>
  <c r="E639" i="4"/>
  <c r="D639" i="4"/>
  <c r="C639" i="4"/>
  <c r="B639" i="4"/>
  <c r="A639" i="4"/>
  <c r="AM638" i="4"/>
  <c r="AL638" i="4"/>
  <c r="AK638" i="4"/>
  <c r="AJ638" i="4"/>
  <c r="AI638" i="4"/>
  <c r="AH638" i="4"/>
  <c r="AG638" i="4"/>
  <c r="AF638" i="4"/>
  <c r="AE638" i="4"/>
  <c r="AD638" i="4"/>
  <c r="AC638" i="4"/>
  <c r="AB638" i="4"/>
  <c r="AA638" i="4"/>
  <c r="Z638" i="4"/>
  <c r="Y638" i="4"/>
  <c r="X638" i="4"/>
  <c r="W638" i="4"/>
  <c r="V638" i="4"/>
  <c r="U638" i="4"/>
  <c r="T638" i="4"/>
  <c r="S638" i="4"/>
  <c r="R638" i="4"/>
  <c r="Q638" i="4"/>
  <c r="P638" i="4"/>
  <c r="O638" i="4"/>
  <c r="N638" i="4"/>
  <c r="M638" i="4"/>
  <c r="L638" i="4"/>
  <c r="K638" i="4"/>
  <c r="J638" i="4"/>
  <c r="I638" i="4"/>
  <c r="H638" i="4"/>
  <c r="G638" i="4"/>
  <c r="F638" i="4"/>
  <c r="E638" i="4"/>
  <c r="D638" i="4"/>
  <c r="C638" i="4"/>
  <c r="B638" i="4"/>
  <c r="A638" i="4"/>
  <c r="AM637" i="4"/>
  <c r="AL637" i="4"/>
  <c r="AK637" i="4"/>
  <c r="AJ637" i="4"/>
  <c r="AI637" i="4"/>
  <c r="AH637" i="4"/>
  <c r="AG637" i="4"/>
  <c r="AF637" i="4"/>
  <c r="AE637" i="4"/>
  <c r="AD637" i="4"/>
  <c r="AC637" i="4"/>
  <c r="AB637" i="4"/>
  <c r="AA637" i="4"/>
  <c r="Z637" i="4"/>
  <c r="T637" i="4"/>
  <c r="S637" i="4"/>
  <c r="R637" i="4"/>
  <c r="Q637" i="4"/>
  <c r="P637" i="4"/>
  <c r="O637" i="4"/>
  <c r="N637" i="4"/>
  <c r="M637" i="4"/>
  <c r="L637" i="4"/>
  <c r="K637" i="4"/>
  <c r="J637" i="4"/>
  <c r="I637" i="4"/>
  <c r="H637" i="4"/>
  <c r="G637" i="4"/>
  <c r="F637" i="4"/>
  <c r="E637" i="4"/>
  <c r="D637" i="4"/>
  <c r="C637" i="4"/>
  <c r="B637" i="4"/>
  <c r="A637" i="4"/>
  <c r="AM636" i="4"/>
  <c r="AL636" i="4"/>
  <c r="AK636" i="4"/>
  <c r="AJ636" i="4"/>
  <c r="AI636" i="4"/>
  <c r="AH636" i="4"/>
  <c r="AG636" i="4"/>
  <c r="AF636" i="4"/>
  <c r="AE636" i="4"/>
  <c r="AD636" i="4"/>
  <c r="AC636" i="4"/>
  <c r="AB636" i="4"/>
  <c r="AA636" i="4"/>
  <c r="Z636" i="4"/>
  <c r="T636" i="4"/>
  <c r="S636" i="4"/>
  <c r="R636" i="4"/>
  <c r="Q636" i="4"/>
  <c r="P636" i="4"/>
  <c r="O636" i="4"/>
  <c r="N636" i="4"/>
  <c r="M636" i="4"/>
  <c r="L636" i="4"/>
  <c r="K636" i="4"/>
  <c r="J636" i="4"/>
  <c r="I636" i="4"/>
  <c r="H636" i="4"/>
  <c r="G636" i="4"/>
  <c r="F636" i="4"/>
  <c r="E636" i="4"/>
  <c r="D636" i="4"/>
  <c r="C636" i="4"/>
  <c r="B636" i="4"/>
  <c r="A636" i="4"/>
  <c r="AD635" i="4"/>
  <c r="AC635" i="4"/>
  <c r="AB635" i="4"/>
  <c r="AA635" i="4"/>
  <c r="Z635" i="4"/>
  <c r="T635" i="4"/>
  <c r="S635" i="4"/>
  <c r="R635" i="4"/>
  <c r="Q635" i="4"/>
  <c r="P635" i="4"/>
  <c r="O635" i="4"/>
  <c r="N635" i="4"/>
  <c r="M635" i="4"/>
  <c r="L635" i="4"/>
  <c r="K635" i="4"/>
  <c r="J635" i="4"/>
  <c r="I635" i="4"/>
  <c r="H635" i="4"/>
  <c r="G635" i="4"/>
  <c r="F635" i="4"/>
  <c r="E635" i="4"/>
  <c r="D635" i="4"/>
  <c r="C635" i="4"/>
  <c r="B635" i="4"/>
  <c r="A635" i="4"/>
  <c r="AD634" i="4"/>
  <c r="AC634" i="4"/>
  <c r="AB634" i="4"/>
  <c r="AA634" i="4"/>
  <c r="Z634" i="4"/>
  <c r="T634" i="4"/>
  <c r="S634" i="4"/>
  <c r="R634" i="4"/>
  <c r="Q634" i="4"/>
  <c r="P634" i="4"/>
  <c r="O634" i="4"/>
  <c r="N634" i="4"/>
  <c r="M634" i="4"/>
  <c r="L634" i="4"/>
  <c r="K634" i="4"/>
  <c r="J634" i="4"/>
  <c r="I634" i="4"/>
  <c r="H634" i="4"/>
  <c r="G634" i="4"/>
  <c r="F634" i="4"/>
  <c r="E634" i="4"/>
  <c r="D634" i="4"/>
  <c r="C634" i="4"/>
  <c r="B634" i="4"/>
  <c r="A634" i="4"/>
  <c r="AD633" i="4"/>
  <c r="AC633" i="4"/>
  <c r="AB633" i="4"/>
  <c r="AA633" i="4"/>
  <c r="Z633" i="4"/>
  <c r="T633" i="4"/>
  <c r="S633" i="4"/>
  <c r="R633" i="4"/>
  <c r="Q633" i="4"/>
  <c r="P633" i="4"/>
  <c r="O633" i="4"/>
  <c r="N633" i="4"/>
  <c r="M633" i="4"/>
  <c r="L633" i="4"/>
  <c r="K633" i="4"/>
  <c r="J633" i="4"/>
  <c r="I633" i="4"/>
  <c r="H633" i="4"/>
  <c r="G633" i="4"/>
  <c r="F633" i="4"/>
  <c r="E633" i="4"/>
  <c r="D633" i="4"/>
  <c r="C633" i="4"/>
  <c r="B633" i="4"/>
  <c r="A633" i="4"/>
  <c r="AM632" i="4"/>
  <c r="AL632" i="4"/>
  <c r="AK632" i="4"/>
  <c r="AJ632" i="4"/>
  <c r="AI632" i="4"/>
  <c r="AH632" i="4"/>
  <c r="AG632" i="4"/>
  <c r="AF632" i="4"/>
  <c r="AE632" i="4"/>
  <c r="AD632" i="4"/>
  <c r="AC632" i="4"/>
  <c r="AB632" i="4"/>
  <c r="AA632" i="4"/>
  <c r="Z632" i="4"/>
  <c r="Y632" i="4"/>
  <c r="X632" i="4"/>
  <c r="W632" i="4"/>
  <c r="V632" i="4"/>
  <c r="U632" i="4"/>
  <c r="T632" i="4"/>
  <c r="S632" i="4"/>
  <c r="R632" i="4"/>
  <c r="Q632" i="4"/>
  <c r="P632" i="4"/>
  <c r="O632" i="4"/>
  <c r="N632" i="4"/>
  <c r="M632" i="4"/>
  <c r="L632" i="4"/>
  <c r="K632" i="4"/>
  <c r="J632" i="4"/>
  <c r="I632" i="4"/>
  <c r="H632" i="4"/>
  <c r="G632" i="4"/>
  <c r="F632" i="4"/>
  <c r="E632" i="4"/>
  <c r="D632" i="4"/>
  <c r="C632" i="4"/>
  <c r="B632" i="4"/>
  <c r="A632" i="4"/>
  <c r="AC631" i="4"/>
  <c r="AB631" i="4"/>
  <c r="AA631" i="4"/>
  <c r="Z631" i="4"/>
  <c r="S631" i="4"/>
  <c r="R631" i="4"/>
  <c r="O631" i="4"/>
  <c r="N631" i="4"/>
  <c r="M631" i="4"/>
  <c r="L631" i="4"/>
  <c r="K631" i="4"/>
  <c r="J631" i="4"/>
  <c r="I631" i="4"/>
  <c r="H631" i="4"/>
  <c r="G631" i="4"/>
  <c r="F631" i="4"/>
  <c r="E631" i="4"/>
  <c r="D631" i="4"/>
  <c r="C631" i="4"/>
  <c r="B631" i="4"/>
  <c r="A631" i="4"/>
  <c r="AC630" i="4"/>
  <c r="AB630" i="4"/>
  <c r="AA630" i="4"/>
  <c r="Z630" i="4"/>
  <c r="T630" i="4"/>
  <c r="S630" i="4"/>
  <c r="R630" i="4"/>
  <c r="O630" i="4"/>
  <c r="N630" i="4"/>
  <c r="M630" i="4"/>
  <c r="L630" i="4"/>
  <c r="K630" i="4"/>
  <c r="J630" i="4"/>
  <c r="I630" i="4"/>
  <c r="H630" i="4"/>
  <c r="G630" i="4"/>
  <c r="F630" i="4"/>
  <c r="E630" i="4"/>
  <c r="D630" i="4"/>
  <c r="C630" i="4"/>
  <c r="B630" i="4"/>
  <c r="A630" i="4"/>
  <c r="AM629" i="4"/>
  <c r="AL629" i="4"/>
  <c r="AK629" i="4"/>
  <c r="AJ629" i="4"/>
  <c r="AI629" i="4"/>
  <c r="AH629" i="4"/>
  <c r="AG629" i="4"/>
  <c r="AF629" i="4"/>
  <c r="AE629" i="4"/>
  <c r="AD629" i="4"/>
  <c r="AC629" i="4"/>
  <c r="AB629" i="4"/>
  <c r="AA629" i="4"/>
  <c r="Z629" i="4"/>
  <c r="Y629" i="4"/>
  <c r="X629" i="4"/>
  <c r="W629" i="4"/>
  <c r="V629" i="4"/>
  <c r="U629" i="4"/>
  <c r="T629" i="4"/>
  <c r="S629" i="4"/>
  <c r="R629" i="4"/>
  <c r="Q629" i="4"/>
  <c r="P629" i="4"/>
  <c r="O629" i="4"/>
  <c r="N629" i="4"/>
  <c r="M629" i="4"/>
  <c r="L629" i="4"/>
  <c r="K629" i="4"/>
  <c r="J629" i="4"/>
  <c r="I629" i="4"/>
  <c r="H629" i="4"/>
  <c r="G629" i="4"/>
  <c r="F629" i="4"/>
  <c r="E629" i="4"/>
  <c r="D629" i="4"/>
  <c r="C629" i="4"/>
  <c r="B629" i="4"/>
  <c r="A629" i="4"/>
  <c r="AM628" i="4"/>
  <c r="AL628" i="4"/>
  <c r="AK628" i="4"/>
  <c r="AJ628" i="4"/>
  <c r="AI628" i="4"/>
  <c r="AH628" i="4"/>
  <c r="AG628" i="4"/>
  <c r="AF628" i="4"/>
  <c r="AE628" i="4"/>
  <c r="AD628" i="4"/>
  <c r="AC628" i="4"/>
  <c r="AB628" i="4"/>
  <c r="AA628" i="4"/>
  <c r="Z628" i="4"/>
  <c r="T628" i="4"/>
  <c r="S628" i="4"/>
  <c r="R628" i="4"/>
  <c r="Q628" i="4"/>
  <c r="P628" i="4"/>
  <c r="O628" i="4"/>
  <c r="N628" i="4"/>
  <c r="M628" i="4"/>
  <c r="L628" i="4"/>
  <c r="K628" i="4"/>
  <c r="J628" i="4"/>
  <c r="I628" i="4"/>
  <c r="H628" i="4"/>
  <c r="G628" i="4"/>
  <c r="F628" i="4"/>
  <c r="E628" i="4"/>
  <c r="D628" i="4"/>
  <c r="C628" i="4"/>
  <c r="B628" i="4"/>
  <c r="A628" i="4"/>
  <c r="AD627" i="4"/>
  <c r="AC627" i="4"/>
  <c r="AB627" i="4"/>
  <c r="AA627" i="4"/>
  <c r="Z627" i="4"/>
  <c r="T627" i="4"/>
  <c r="S627" i="4"/>
  <c r="R627" i="4"/>
  <c r="Q627" i="4"/>
  <c r="P627" i="4"/>
  <c r="O627" i="4"/>
  <c r="N627" i="4"/>
  <c r="M627" i="4"/>
  <c r="L627" i="4"/>
  <c r="K627" i="4"/>
  <c r="J627" i="4"/>
  <c r="I627" i="4"/>
  <c r="H627" i="4"/>
  <c r="G627" i="4"/>
  <c r="F627" i="4"/>
  <c r="E627" i="4"/>
  <c r="D627" i="4"/>
  <c r="C627" i="4"/>
  <c r="B627" i="4"/>
  <c r="A627" i="4"/>
  <c r="AD626" i="4"/>
  <c r="AC626" i="4"/>
  <c r="AB626" i="4"/>
  <c r="AA626" i="4"/>
  <c r="Z626" i="4"/>
  <c r="T626" i="4"/>
  <c r="S626" i="4"/>
  <c r="R626" i="4"/>
  <c r="Q626" i="4"/>
  <c r="P626" i="4"/>
  <c r="O626" i="4"/>
  <c r="N626" i="4"/>
  <c r="M626" i="4"/>
  <c r="L626" i="4"/>
  <c r="K626" i="4"/>
  <c r="J626" i="4"/>
  <c r="I626" i="4"/>
  <c r="H626" i="4"/>
  <c r="G626" i="4"/>
  <c r="F626" i="4"/>
  <c r="E626" i="4"/>
  <c r="D626" i="4"/>
  <c r="C626" i="4"/>
  <c r="B626" i="4"/>
  <c r="A626" i="4"/>
  <c r="AD625" i="4"/>
  <c r="AC625" i="4"/>
  <c r="AB625" i="4"/>
  <c r="AA625" i="4"/>
  <c r="Z625" i="4"/>
  <c r="U625" i="4"/>
  <c r="T625" i="4"/>
  <c r="S625" i="4"/>
  <c r="R625" i="4"/>
  <c r="Q625" i="4"/>
  <c r="P625" i="4"/>
  <c r="O625" i="4"/>
  <c r="N625" i="4"/>
  <c r="M625" i="4"/>
  <c r="L625" i="4"/>
  <c r="K625" i="4"/>
  <c r="J625" i="4"/>
  <c r="I625" i="4"/>
  <c r="H625" i="4"/>
  <c r="G625" i="4"/>
  <c r="F625" i="4"/>
  <c r="E625" i="4"/>
  <c r="D625" i="4"/>
  <c r="C625" i="4"/>
  <c r="B625" i="4"/>
  <c r="A625" i="4"/>
  <c r="AM624" i="4"/>
  <c r="AL624" i="4"/>
  <c r="AK624" i="4"/>
  <c r="AJ624" i="4"/>
  <c r="AI624" i="4"/>
  <c r="AH624" i="4"/>
  <c r="AG624" i="4"/>
  <c r="AF624" i="4"/>
  <c r="AE624" i="4"/>
  <c r="AD624" i="4"/>
  <c r="AC624" i="4"/>
  <c r="AB624" i="4"/>
  <c r="AA624" i="4"/>
  <c r="Z624" i="4"/>
  <c r="U624" i="4"/>
  <c r="T624" i="4"/>
  <c r="S624" i="4"/>
  <c r="R624" i="4"/>
  <c r="Q624" i="4"/>
  <c r="P624" i="4"/>
  <c r="O624" i="4"/>
  <c r="N624" i="4"/>
  <c r="M624" i="4"/>
  <c r="L624" i="4"/>
  <c r="K624" i="4"/>
  <c r="J624" i="4"/>
  <c r="I624" i="4"/>
  <c r="H624" i="4"/>
  <c r="G624" i="4"/>
  <c r="F624" i="4"/>
  <c r="E624" i="4"/>
  <c r="D624" i="4"/>
  <c r="C624" i="4"/>
  <c r="B624" i="4"/>
  <c r="A624" i="4"/>
  <c r="AD623" i="4"/>
  <c r="AC623" i="4"/>
  <c r="AB623" i="4"/>
  <c r="AA623" i="4"/>
  <c r="Z623" i="4"/>
  <c r="T623" i="4"/>
  <c r="S623" i="4"/>
  <c r="R623" i="4"/>
  <c r="Q623" i="4"/>
  <c r="P623" i="4"/>
  <c r="O623" i="4"/>
  <c r="N623" i="4"/>
  <c r="M623" i="4"/>
  <c r="L623" i="4"/>
  <c r="K623" i="4"/>
  <c r="J623" i="4"/>
  <c r="I623" i="4"/>
  <c r="H623" i="4"/>
  <c r="G623" i="4"/>
  <c r="F623" i="4"/>
  <c r="E623" i="4"/>
  <c r="D623" i="4"/>
  <c r="C623" i="4"/>
  <c r="B623" i="4"/>
  <c r="A623" i="4"/>
  <c r="AD622" i="4"/>
  <c r="AC622" i="4"/>
  <c r="AB622" i="4"/>
  <c r="AA622" i="4"/>
  <c r="Z622" i="4"/>
  <c r="T622" i="4"/>
  <c r="S622" i="4"/>
  <c r="R622" i="4"/>
  <c r="Q622" i="4"/>
  <c r="P622" i="4"/>
  <c r="O622" i="4"/>
  <c r="N622" i="4"/>
  <c r="M622" i="4"/>
  <c r="L622" i="4"/>
  <c r="K622" i="4"/>
  <c r="J622" i="4"/>
  <c r="I622" i="4"/>
  <c r="H622" i="4"/>
  <c r="G622" i="4"/>
  <c r="F622" i="4"/>
  <c r="E622" i="4"/>
  <c r="D622" i="4"/>
  <c r="C622" i="4"/>
  <c r="B622" i="4"/>
  <c r="A622" i="4"/>
  <c r="AM621" i="4"/>
  <c r="AL621" i="4"/>
  <c r="AK621" i="4"/>
  <c r="AJ621" i="4"/>
  <c r="AI621" i="4"/>
  <c r="AH621" i="4"/>
  <c r="AG621" i="4"/>
  <c r="AF621" i="4"/>
  <c r="AE621" i="4"/>
  <c r="AD621" i="4"/>
  <c r="AC621" i="4"/>
  <c r="AB621" i="4"/>
  <c r="AA621" i="4"/>
  <c r="Z621" i="4"/>
  <c r="T621" i="4"/>
  <c r="S621" i="4"/>
  <c r="R621" i="4"/>
  <c r="Q621" i="4"/>
  <c r="P621" i="4"/>
  <c r="O621" i="4"/>
  <c r="N621" i="4"/>
  <c r="M621" i="4"/>
  <c r="L621" i="4"/>
  <c r="K621" i="4"/>
  <c r="J621" i="4"/>
  <c r="I621" i="4"/>
  <c r="H621" i="4"/>
  <c r="G621" i="4"/>
  <c r="F621" i="4"/>
  <c r="E621" i="4"/>
  <c r="D621" i="4"/>
  <c r="C621" i="4"/>
  <c r="B621" i="4"/>
  <c r="A621" i="4"/>
  <c r="AD620" i="4"/>
  <c r="AC620" i="4"/>
  <c r="AB620" i="4"/>
  <c r="AA620" i="4"/>
  <c r="Z620" i="4"/>
  <c r="T620" i="4"/>
  <c r="S620" i="4"/>
  <c r="R620" i="4"/>
  <c r="Q620" i="4"/>
  <c r="P620" i="4"/>
  <c r="O620" i="4"/>
  <c r="N620" i="4"/>
  <c r="M620" i="4"/>
  <c r="L620" i="4"/>
  <c r="K620" i="4"/>
  <c r="J620" i="4"/>
  <c r="I620" i="4"/>
  <c r="H620" i="4"/>
  <c r="G620" i="4"/>
  <c r="F620" i="4"/>
  <c r="E620" i="4"/>
  <c r="D620" i="4"/>
  <c r="C620" i="4"/>
  <c r="B620" i="4"/>
  <c r="A620" i="4"/>
  <c r="AD619" i="4"/>
  <c r="AC619" i="4"/>
  <c r="AB619" i="4"/>
  <c r="AA619" i="4"/>
  <c r="Z619" i="4"/>
  <c r="X619" i="4"/>
  <c r="W619" i="4"/>
  <c r="V619" i="4"/>
  <c r="U619" i="4"/>
  <c r="T619" i="4"/>
  <c r="S619" i="4"/>
  <c r="R619" i="4"/>
  <c r="Q619" i="4"/>
  <c r="P619" i="4"/>
  <c r="O619" i="4"/>
  <c r="N619" i="4"/>
  <c r="M619" i="4"/>
  <c r="L619" i="4"/>
  <c r="K619" i="4"/>
  <c r="J619" i="4"/>
  <c r="I619" i="4"/>
  <c r="H619" i="4"/>
  <c r="G619" i="4"/>
  <c r="F619" i="4"/>
  <c r="E619" i="4"/>
  <c r="D619" i="4"/>
  <c r="C619" i="4"/>
  <c r="B619" i="4"/>
  <c r="A619" i="4"/>
  <c r="AD618" i="4"/>
  <c r="AC618" i="4"/>
  <c r="AB618" i="4"/>
  <c r="AA618" i="4"/>
  <c r="Z618" i="4"/>
  <c r="U618" i="4"/>
  <c r="T618" i="4"/>
  <c r="S618" i="4"/>
  <c r="R618" i="4"/>
  <c r="Q618" i="4"/>
  <c r="P618" i="4"/>
  <c r="O618" i="4"/>
  <c r="N618" i="4"/>
  <c r="M618" i="4"/>
  <c r="L618" i="4"/>
  <c r="K618" i="4"/>
  <c r="J618" i="4"/>
  <c r="I618" i="4"/>
  <c r="H618" i="4"/>
  <c r="G618" i="4"/>
  <c r="F618" i="4"/>
  <c r="E618" i="4"/>
  <c r="D618" i="4"/>
  <c r="C618" i="4"/>
  <c r="B618" i="4"/>
  <c r="A618" i="4"/>
  <c r="AM617" i="4"/>
  <c r="AL617" i="4"/>
  <c r="AK617" i="4"/>
  <c r="AJ617" i="4"/>
  <c r="AI617" i="4"/>
  <c r="AH617" i="4"/>
  <c r="AG617" i="4"/>
  <c r="AF617" i="4"/>
  <c r="AE617" i="4"/>
  <c r="AD617" i="4"/>
  <c r="AC617" i="4"/>
  <c r="AB617" i="4"/>
  <c r="AA617" i="4"/>
  <c r="Z617" i="4"/>
  <c r="Y617" i="4"/>
  <c r="X617" i="4"/>
  <c r="W617" i="4"/>
  <c r="V617" i="4"/>
  <c r="U617" i="4"/>
  <c r="T617" i="4"/>
  <c r="S617" i="4"/>
  <c r="R617" i="4"/>
  <c r="Q617" i="4"/>
  <c r="P617" i="4"/>
  <c r="O617" i="4"/>
  <c r="N617" i="4"/>
  <c r="M617" i="4"/>
  <c r="L617" i="4"/>
  <c r="K617" i="4"/>
  <c r="J617" i="4"/>
  <c r="I617" i="4"/>
  <c r="H617" i="4"/>
  <c r="G617" i="4"/>
  <c r="F617" i="4"/>
  <c r="E617" i="4"/>
  <c r="D617" i="4"/>
  <c r="C617" i="4"/>
  <c r="B617" i="4"/>
  <c r="A617" i="4"/>
  <c r="AM616" i="4"/>
  <c r="AL616" i="4"/>
  <c r="AK616" i="4"/>
  <c r="AJ616" i="4"/>
  <c r="AI616" i="4"/>
  <c r="AH616" i="4"/>
  <c r="AG616" i="4"/>
  <c r="AF616" i="4"/>
  <c r="AE616" i="4"/>
  <c r="AD616" i="4"/>
  <c r="AC616" i="4"/>
  <c r="AB616" i="4"/>
  <c r="AA616" i="4"/>
  <c r="Z616" i="4"/>
  <c r="Y616" i="4"/>
  <c r="X616" i="4"/>
  <c r="W616" i="4"/>
  <c r="V616" i="4"/>
  <c r="U616" i="4"/>
  <c r="T616" i="4"/>
  <c r="S616" i="4"/>
  <c r="R616" i="4"/>
  <c r="Q616" i="4"/>
  <c r="P616" i="4"/>
  <c r="O616" i="4"/>
  <c r="N616" i="4"/>
  <c r="M616" i="4"/>
  <c r="L616" i="4"/>
  <c r="K616" i="4"/>
  <c r="J616" i="4"/>
  <c r="I616" i="4"/>
  <c r="H616" i="4"/>
  <c r="G616" i="4"/>
  <c r="F616" i="4"/>
  <c r="E616" i="4"/>
  <c r="D616" i="4"/>
  <c r="C616" i="4"/>
  <c r="B616" i="4"/>
  <c r="A616" i="4"/>
  <c r="AM615" i="4"/>
  <c r="AL615" i="4"/>
  <c r="AK615" i="4"/>
  <c r="AJ615" i="4"/>
  <c r="AI615" i="4"/>
  <c r="AH615" i="4"/>
  <c r="AG615" i="4"/>
  <c r="AF615" i="4"/>
  <c r="AE615" i="4"/>
  <c r="AD615" i="4"/>
  <c r="AC615" i="4"/>
  <c r="AB615" i="4"/>
  <c r="AA615" i="4"/>
  <c r="Z615" i="4"/>
  <c r="Y615" i="4"/>
  <c r="X615" i="4"/>
  <c r="W615" i="4"/>
  <c r="V615" i="4"/>
  <c r="U615" i="4"/>
  <c r="T615" i="4"/>
  <c r="S615" i="4"/>
  <c r="R615" i="4"/>
  <c r="Q615" i="4"/>
  <c r="P615" i="4"/>
  <c r="O615" i="4"/>
  <c r="N615" i="4"/>
  <c r="M615" i="4"/>
  <c r="L615" i="4"/>
  <c r="K615" i="4"/>
  <c r="J615" i="4"/>
  <c r="I615" i="4"/>
  <c r="H615" i="4"/>
  <c r="G615" i="4"/>
  <c r="F615" i="4"/>
  <c r="E615" i="4"/>
  <c r="D615" i="4"/>
  <c r="C615" i="4"/>
  <c r="B615" i="4"/>
  <c r="A615" i="4"/>
  <c r="AM614" i="4"/>
  <c r="AL614" i="4"/>
  <c r="AK614" i="4"/>
  <c r="AJ614" i="4"/>
  <c r="AI614" i="4"/>
  <c r="AH614" i="4"/>
  <c r="AG614" i="4"/>
  <c r="AF614" i="4"/>
  <c r="AE614" i="4"/>
  <c r="AD614" i="4"/>
  <c r="AC614" i="4"/>
  <c r="AB614" i="4"/>
  <c r="AA614" i="4"/>
  <c r="Z614" i="4"/>
  <c r="T614" i="4"/>
  <c r="S614" i="4"/>
  <c r="R614" i="4"/>
  <c r="Q614" i="4"/>
  <c r="P614" i="4"/>
  <c r="O614" i="4"/>
  <c r="N614" i="4"/>
  <c r="M614" i="4"/>
  <c r="L614" i="4"/>
  <c r="K614" i="4"/>
  <c r="J614" i="4"/>
  <c r="I614" i="4"/>
  <c r="H614" i="4"/>
  <c r="G614" i="4"/>
  <c r="F614" i="4"/>
  <c r="E614" i="4"/>
  <c r="D614" i="4"/>
  <c r="C614" i="4"/>
  <c r="B614" i="4"/>
  <c r="A614" i="4"/>
  <c r="AM613" i="4"/>
  <c r="AL613" i="4"/>
  <c r="AK613" i="4"/>
  <c r="AJ613" i="4"/>
  <c r="AI613" i="4"/>
  <c r="AH613" i="4"/>
  <c r="AG613" i="4"/>
  <c r="AF613" i="4"/>
  <c r="AE613" i="4"/>
  <c r="AD613" i="4"/>
  <c r="AC613" i="4"/>
  <c r="AB613" i="4"/>
  <c r="AA613" i="4"/>
  <c r="Z613" i="4"/>
  <c r="T613" i="4"/>
  <c r="S613" i="4"/>
  <c r="R613" i="4"/>
  <c r="Q613" i="4"/>
  <c r="P613" i="4"/>
  <c r="O613" i="4"/>
  <c r="N613" i="4"/>
  <c r="M613" i="4"/>
  <c r="L613" i="4"/>
  <c r="K613" i="4"/>
  <c r="J613" i="4"/>
  <c r="I613" i="4"/>
  <c r="H613" i="4"/>
  <c r="G613" i="4"/>
  <c r="F613" i="4"/>
  <c r="E613" i="4"/>
  <c r="D613" i="4"/>
  <c r="C613" i="4"/>
  <c r="B613" i="4"/>
  <c r="A613" i="4"/>
  <c r="AD612" i="4"/>
  <c r="AC612" i="4"/>
  <c r="AB612" i="4"/>
  <c r="AA612" i="4"/>
  <c r="Z612" i="4"/>
  <c r="T612" i="4"/>
  <c r="S612" i="4"/>
  <c r="R612" i="4"/>
  <c r="Q612" i="4"/>
  <c r="P612" i="4"/>
  <c r="O612" i="4"/>
  <c r="N612" i="4"/>
  <c r="M612" i="4"/>
  <c r="L612" i="4"/>
  <c r="K612" i="4"/>
  <c r="J612" i="4"/>
  <c r="I612" i="4"/>
  <c r="H612" i="4"/>
  <c r="G612" i="4"/>
  <c r="F612" i="4"/>
  <c r="E612" i="4"/>
  <c r="D612" i="4"/>
  <c r="C612" i="4"/>
  <c r="B612" i="4"/>
  <c r="A612" i="4"/>
  <c r="AD611" i="4"/>
  <c r="AC611" i="4"/>
  <c r="AB611" i="4"/>
  <c r="AA611" i="4"/>
  <c r="Z611" i="4"/>
  <c r="T611" i="4"/>
  <c r="S611" i="4"/>
  <c r="R611" i="4"/>
  <c r="Q611" i="4"/>
  <c r="P611" i="4"/>
  <c r="O611" i="4"/>
  <c r="N611" i="4"/>
  <c r="M611" i="4"/>
  <c r="L611" i="4"/>
  <c r="K611" i="4"/>
  <c r="J611" i="4"/>
  <c r="I611" i="4"/>
  <c r="H611" i="4"/>
  <c r="G611" i="4"/>
  <c r="F611" i="4"/>
  <c r="E611" i="4"/>
  <c r="D611" i="4"/>
  <c r="C611" i="4"/>
  <c r="B611" i="4"/>
  <c r="A611" i="4"/>
  <c r="AD610" i="4"/>
  <c r="AC610" i="4"/>
  <c r="AB610" i="4"/>
  <c r="AA610" i="4"/>
  <c r="Z610" i="4"/>
  <c r="T610" i="4"/>
  <c r="S610" i="4"/>
  <c r="R610" i="4"/>
  <c r="Q610" i="4"/>
  <c r="P610" i="4"/>
  <c r="O610" i="4"/>
  <c r="N610" i="4"/>
  <c r="M610" i="4"/>
  <c r="L610" i="4"/>
  <c r="K610" i="4"/>
  <c r="J610" i="4"/>
  <c r="I610" i="4"/>
  <c r="H610" i="4"/>
  <c r="G610" i="4"/>
  <c r="F610" i="4"/>
  <c r="E610" i="4"/>
  <c r="D610" i="4"/>
  <c r="C610" i="4"/>
  <c r="B610" i="4"/>
  <c r="A610" i="4"/>
  <c r="AM609" i="4"/>
  <c r="AL609" i="4"/>
  <c r="AK609" i="4"/>
  <c r="AJ609" i="4"/>
  <c r="AI609" i="4"/>
  <c r="AH609" i="4"/>
  <c r="AG609" i="4"/>
  <c r="AF609" i="4"/>
  <c r="AE609" i="4"/>
  <c r="AD609" i="4"/>
  <c r="AC609" i="4"/>
  <c r="AB609" i="4"/>
  <c r="AA609" i="4"/>
  <c r="Z609" i="4"/>
  <c r="Y609" i="4"/>
  <c r="X609" i="4"/>
  <c r="W609" i="4"/>
  <c r="V609" i="4"/>
  <c r="U609" i="4"/>
  <c r="T609" i="4"/>
  <c r="S609" i="4"/>
  <c r="R609" i="4"/>
  <c r="Q609" i="4"/>
  <c r="P609" i="4"/>
  <c r="O609" i="4"/>
  <c r="N609" i="4"/>
  <c r="M609" i="4"/>
  <c r="L609" i="4"/>
  <c r="K609" i="4"/>
  <c r="J609" i="4"/>
  <c r="I609" i="4"/>
  <c r="H609" i="4"/>
  <c r="G609" i="4"/>
  <c r="F609" i="4"/>
  <c r="E609" i="4"/>
  <c r="D609" i="4"/>
  <c r="C609" i="4"/>
  <c r="B609" i="4"/>
  <c r="A609" i="4"/>
  <c r="AM608" i="4"/>
  <c r="AL608" i="4"/>
  <c r="AK608" i="4"/>
  <c r="AJ608" i="4"/>
  <c r="AI608" i="4"/>
  <c r="AH608" i="4"/>
  <c r="AG608" i="4"/>
  <c r="AF608" i="4"/>
  <c r="AE608" i="4"/>
  <c r="AD608" i="4"/>
  <c r="AC608" i="4"/>
  <c r="AB608" i="4"/>
  <c r="AA608" i="4"/>
  <c r="Z608" i="4"/>
  <c r="Y608" i="4"/>
  <c r="X608" i="4"/>
  <c r="W608" i="4"/>
  <c r="V608" i="4"/>
  <c r="U608" i="4"/>
  <c r="T608" i="4"/>
  <c r="S608" i="4"/>
  <c r="R608" i="4"/>
  <c r="Q608" i="4"/>
  <c r="P608" i="4"/>
  <c r="O608" i="4"/>
  <c r="N608" i="4"/>
  <c r="M608" i="4"/>
  <c r="L608" i="4"/>
  <c r="K608" i="4"/>
  <c r="J608" i="4"/>
  <c r="I608" i="4"/>
  <c r="H608" i="4"/>
  <c r="G608" i="4"/>
  <c r="F608" i="4"/>
  <c r="E608" i="4"/>
  <c r="D608" i="4"/>
  <c r="C608" i="4"/>
  <c r="B608" i="4"/>
  <c r="A608" i="4"/>
  <c r="AC607" i="4"/>
  <c r="AB607" i="4"/>
  <c r="AA607" i="4"/>
  <c r="Z607" i="4"/>
  <c r="S607" i="4"/>
  <c r="R607" i="4"/>
  <c r="O607" i="4"/>
  <c r="N607" i="4"/>
  <c r="M607" i="4"/>
  <c r="L607" i="4"/>
  <c r="K607" i="4"/>
  <c r="J607" i="4"/>
  <c r="I607" i="4"/>
  <c r="H607" i="4"/>
  <c r="G607" i="4"/>
  <c r="F607" i="4"/>
  <c r="E607" i="4"/>
  <c r="D607" i="4"/>
  <c r="C607" i="4"/>
  <c r="B607" i="4"/>
  <c r="A607" i="4"/>
  <c r="AC606" i="4"/>
  <c r="AB606" i="4"/>
  <c r="AA606" i="4"/>
  <c r="Z606" i="4"/>
  <c r="T606" i="4"/>
  <c r="S606" i="4"/>
  <c r="R606" i="4"/>
  <c r="O606" i="4"/>
  <c r="N606" i="4"/>
  <c r="M606" i="4"/>
  <c r="L606" i="4"/>
  <c r="K606" i="4"/>
  <c r="J606" i="4"/>
  <c r="I606" i="4"/>
  <c r="H606" i="4"/>
  <c r="G606" i="4"/>
  <c r="F606" i="4"/>
  <c r="E606" i="4"/>
  <c r="D606" i="4"/>
  <c r="C606" i="4"/>
  <c r="B606" i="4"/>
  <c r="A606" i="4"/>
  <c r="AM605" i="4"/>
  <c r="AL605" i="4"/>
  <c r="AK605" i="4"/>
  <c r="AJ605" i="4"/>
  <c r="AI605" i="4"/>
  <c r="AH605" i="4"/>
  <c r="AG605" i="4"/>
  <c r="AF605" i="4"/>
  <c r="AE605" i="4"/>
  <c r="AD605" i="4"/>
  <c r="AC605" i="4"/>
  <c r="AB605" i="4"/>
  <c r="AA605" i="4"/>
  <c r="Z605" i="4"/>
  <c r="Y605" i="4"/>
  <c r="X605" i="4"/>
  <c r="W605" i="4"/>
  <c r="V605" i="4"/>
  <c r="U605" i="4"/>
  <c r="T605" i="4"/>
  <c r="S605" i="4"/>
  <c r="R605" i="4"/>
  <c r="Q605" i="4"/>
  <c r="P605" i="4"/>
  <c r="O605" i="4"/>
  <c r="N605" i="4"/>
  <c r="M605" i="4"/>
  <c r="L605" i="4"/>
  <c r="K605" i="4"/>
  <c r="J605" i="4"/>
  <c r="I605" i="4"/>
  <c r="H605" i="4"/>
  <c r="G605" i="4"/>
  <c r="F605" i="4"/>
  <c r="E605" i="4"/>
  <c r="D605" i="4"/>
  <c r="C605" i="4"/>
  <c r="B605" i="4"/>
  <c r="A605" i="4"/>
  <c r="AM604" i="4"/>
  <c r="AK604" i="4"/>
  <c r="AJ604" i="4"/>
  <c r="AI604" i="4"/>
  <c r="AH604" i="4"/>
  <c r="AG604" i="4"/>
  <c r="AF604" i="4"/>
  <c r="AE604" i="4"/>
  <c r="AD604" i="4"/>
  <c r="AC604" i="4"/>
  <c r="AB604" i="4"/>
  <c r="AA604" i="4"/>
  <c r="Z604" i="4"/>
  <c r="T604" i="4"/>
  <c r="S604" i="4"/>
  <c r="R604" i="4"/>
  <c r="Q604" i="4"/>
  <c r="P604" i="4"/>
  <c r="O604" i="4"/>
  <c r="N604" i="4"/>
  <c r="M604" i="4"/>
  <c r="L604" i="4"/>
  <c r="K604" i="4"/>
  <c r="J604" i="4"/>
  <c r="I604" i="4"/>
  <c r="H604" i="4"/>
  <c r="G604" i="4"/>
  <c r="F604" i="4"/>
  <c r="E604" i="4"/>
  <c r="D604" i="4"/>
  <c r="C604" i="4"/>
  <c r="B604" i="4"/>
  <c r="A604" i="4"/>
  <c r="AD603" i="4"/>
  <c r="AC603" i="4"/>
  <c r="AB603" i="4"/>
  <c r="AA603" i="4"/>
  <c r="Z603" i="4"/>
  <c r="T603" i="4"/>
  <c r="S603" i="4"/>
  <c r="R603" i="4"/>
  <c r="Q603" i="4"/>
  <c r="P603" i="4"/>
  <c r="O603" i="4"/>
  <c r="N603" i="4"/>
  <c r="M603" i="4"/>
  <c r="L603" i="4"/>
  <c r="K603" i="4"/>
  <c r="J603" i="4"/>
  <c r="I603" i="4"/>
  <c r="H603" i="4"/>
  <c r="G603" i="4"/>
  <c r="F603" i="4"/>
  <c r="E603" i="4"/>
  <c r="D603" i="4"/>
  <c r="C603" i="4"/>
  <c r="B603" i="4"/>
  <c r="A603" i="4"/>
  <c r="AD602" i="4"/>
  <c r="AC602" i="4"/>
  <c r="AB602" i="4"/>
  <c r="AA602" i="4"/>
  <c r="Z602" i="4"/>
  <c r="T602" i="4"/>
  <c r="S602" i="4"/>
  <c r="R602" i="4"/>
  <c r="Q602" i="4"/>
  <c r="P602" i="4"/>
  <c r="O602" i="4"/>
  <c r="N602" i="4"/>
  <c r="M602" i="4"/>
  <c r="L602" i="4"/>
  <c r="K602" i="4"/>
  <c r="J602" i="4"/>
  <c r="I602" i="4"/>
  <c r="H602" i="4"/>
  <c r="G602" i="4"/>
  <c r="F602" i="4"/>
  <c r="E602" i="4"/>
  <c r="D602" i="4"/>
  <c r="C602" i="4"/>
  <c r="B602" i="4"/>
  <c r="A602" i="4"/>
  <c r="AD601" i="4"/>
  <c r="AC601" i="4"/>
  <c r="AB601" i="4"/>
  <c r="AA601" i="4"/>
  <c r="Z601" i="4"/>
  <c r="T601" i="4"/>
  <c r="S601" i="4"/>
  <c r="R601" i="4"/>
  <c r="Q601" i="4"/>
  <c r="P601" i="4"/>
  <c r="O601" i="4"/>
  <c r="N601" i="4"/>
  <c r="M601" i="4"/>
  <c r="L601" i="4"/>
  <c r="K601" i="4"/>
  <c r="J601" i="4"/>
  <c r="I601" i="4"/>
  <c r="H601" i="4"/>
  <c r="G601" i="4"/>
  <c r="F601" i="4"/>
  <c r="E601" i="4"/>
  <c r="D601" i="4"/>
  <c r="C601" i="4"/>
  <c r="B601" i="4"/>
  <c r="A601" i="4"/>
  <c r="AM600" i="4"/>
  <c r="AL600" i="4"/>
  <c r="AK600" i="4"/>
  <c r="AJ600" i="4"/>
  <c r="AI600" i="4"/>
  <c r="AH600" i="4"/>
  <c r="AG600" i="4"/>
  <c r="AF600" i="4"/>
  <c r="AE600" i="4"/>
  <c r="AD600" i="4"/>
  <c r="AC600" i="4"/>
  <c r="AB600" i="4"/>
  <c r="AA600" i="4"/>
  <c r="Z600" i="4"/>
  <c r="U600" i="4"/>
  <c r="T600" i="4"/>
  <c r="S600" i="4"/>
  <c r="R600" i="4"/>
  <c r="Q600" i="4"/>
  <c r="P600" i="4"/>
  <c r="O600" i="4"/>
  <c r="N600" i="4"/>
  <c r="M600" i="4"/>
  <c r="L600" i="4"/>
  <c r="K600" i="4"/>
  <c r="J600" i="4"/>
  <c r="I600" i="4"/>
  <c r="H600" i="4"/>
  <c r="G600" i="4"/>
  <c r="F600" i="4"/>
  <c r="E600" i="4"/>
  <c r="D600" i="4"/>
  <c r="C600" i="4"/>
  <c r="B600" i="4"/>
  <c r="A600" i="4"/>
  <c r="AD599" i="4"/>
  <c r="AC599" i="4"/>
  <c r="AB599" i="4"/>
  <c r="AA599" i="4"/>
  <c r="Z599" i="4"/>
  <c r="T599" i="4"/>
  <c r="S599" i="4"/>
  <c r="R599" i="4"/>
  <c r="Q599" i="4"/>
  <c r="P599" i="4"/>
  <c r="O599" i="4"/>
  <c r="N599" i="4"/>
  <c r="M599" i="4"/>
  <c r="L599" i="4"/>
  <c r="K599" i="4"/>
  <c r="J599" i="4"/>
  <c r="I599" i="4"/>
  <c r="H599" i="4"/>
  <c r="G599" i="4"/>
  <c r="F599" i="4"/>
  <c r="E599" i="4"/>
  <c r="D599" i="4"/>
  <c r="C599" i="4"/>
  <c r="B599" i="4"/>
  <c r="A599" i="4"/>
  <c r="AD598" i="4"/>
  <c r="AC598" i="4"/>
  <c r="AB598" i="4"/>
  <c r="AA598" i="4"/>
  <c r="Z598" i="4"/>
  <c r="T598" i="4"/>
  <c r="S598" i="4"/>
  <c r="R598" i="4"/>
  <c r="Q598" i="4"/>
  <c r="P598" i="4"/>
  <c r="O598" i="4"/>
  <c r="N598" i="4"/>
  <c r="M598" i="4"/>
  <c r="L598" i="4"/>
  <c r="K598" i="4"/>
  <c r="J598" i="4"/>
  <c r="I598" i="4"/>
  <c r="H598" i="4"/>
  <c r="G598" i="4"/>
  <c r="F598" i="4"/>
  <c r="E598" i="4"/>
  <c r="D598" i="4"/>
  <c r="C598" i="4"/>
  <c r="B598" i="4"/>
  <c r="A598" i="4"/>
  <c r="AM597" i="4"/>
  <c r="AL597" i="4"/>
  <c r="AK597" i="4"/>
  <c r="AJ597" i="4"/>
  <c r="AI597" i="4"/>
  <c r="AH597" i="4"/>
  <c r="AG597" i="4"/>
  <c r="AF597" i="4"/>
  <c r="AE597" i="4"/>
  <c r="AD597" i="4"/>
  <c r="AC597" i="4"/>
  <c r="AB597" i="4"/>
  <c r="AA597" i="4"/>
  <c r="Z597" i="4"/>
  <c r="T597" i="4"/>
  <c r="S597" i="4"/>
  <c r="R597" i="4"/>
  <c r="Q597" i="4"/>
  <c r="P597" i="4"/>
  <c r="O597" i="4"/>
  <c r="N597" i="4"/>
  <c r="M597" i="4"/>
  <c r="L597" i="4"/>
  <c r="K597" i="4"/>
  <c r="J597" i="4"/>
  <c r="I597" i="4"/>
  <c r="H597" i="4"/>
  <c r="G597" i="4"/>
  <c r="F597" i="4"/>
  <c r="E597" i="4"/>
  <c r="D597" i="4"/>
  <c r="C597" i="4"/>
  <c r="B597" i="4"/>
  <c r="A597" i="4"/>
  <c r="AD596" i="4"/>
  <c r="AC596" i="4"/>
  <c r="AB596" i="4"/>
  <c r="AA596" i="4"/>
  <c r="Z596" i="4"/>
  <c r="T596" i="4"/>
  <c r="S596" i="4"/>
  <c r="R596" i="4"/>
  <c r="Q596" i="4"/>
  <c r="P596" i="4"/>
  <c r="O596" i="4"/>
  <c r="N596" i="4"/>
  <c r="M596" i="4"/>
  <c r="L596" i="4"/>
  <c r="K596" i="4"/>
  <c r="J596" i="4"/>
  <c r="I596" i="4"/>
  <c r="H596" i="4"/>
  <c r="G596" i="4"/>
  <c r="F596" i="4"/>
  <c r="E596" i="4"/>
  <c r="D596" i="4"/>
  <c r="C596" i="4"/>
  <c r="B596" i="4"/>
  <c r="A596" i="4"/>
  <c r="AD595" i="4"/>
  <c r="AC595" i="4"/>
  <c r="AB595" i="4"/>
  <c r="AA595" i="4"/>
  <c r="Z595" i="4"/>
  <c r="Y595" i="4"/>
  <c r="X595" i="4"/>
  <c r="W595" i="4"/>
  <c r="V595" i="4"/>
  <c r="U595" i="4"/>
  <c r="T595" i="4"/>
  <c r="S595" i="4"/>
  <c r="R595" i="4"/>
  <c r="Q595" i="4"/>
  <c r="P595" i="4"/>
  <c r="O595" i="4"/>
  <c r="N595" i="4"/>
  <c r="M595" i="4"/>
  <c r="L595" i="4"/>
  <c r="K595" i="4"/>
  <c r="J595" i="4"/>
  <c r="I595" i="4"/>
  <c r="H595" i="4"/>
  <c r="G595" i="4"/>
  <c r="F595" i="4"/>
  <c r="E595" i="4"/>
  <c r="D595" i="4"/>
  <c r="C595" i="4"/>
  <c r="B595" i="4"/>
  <c r="A595" i="4"/>
  <c r="AD594" i="4"/>
  <c r="AC594" i="4"/>
  <c r="AB594" i="4"/>
  <c r="AA594" i="4"/>
  <c r="Z594" i="4"/>
  <c r="U594" i="4"/>
  <c r="T594" i="4"/>
  <c r="S594" i="4"/>
  <c r="R594" i="4"/>
  <c r="Q594" i="4"/>
  <c r="P594" i="4"/>
  <c r="O594" i="4"/>
  <c r="N594" i="4"/>
  <c r="M594" i="4"/>
  <c r="L594" i="4"/>
  <c r="K594" i="4"/>
  <c r="J594" i="4"/>
  <c r="I594" i="4"/>
  <c r="H594" i="4"/>
  <c r="G594" i="4"/>
  <c r="F594" i="4"/>
  <c r="E594" i="4"/>
  <c r="D594" i="4"/>
  <c r="C594" i="4"/>
  <c r="B594" i="4"/>
  <c r="A594" i="4"/>
  <c r="AM593" i="4"/>
  <c r="AL593" i="4"/>
  <c r="AK593" i="4"/>
  <c r="AJ593" i="4"/>
  <c r="AI593" i="4"/>
  <c r="AH593" i="4"/>
  <c r="AG593" i="4"/>
  <c r="AF593" i="4"/>
  <c r="AE593" i="4"/>
  <c r="AD593" i="4"/>
  <c r="AC593" i="4"/>
  <c r="AB593" i="4"/>
  <c r="AA593" i="4"/>
  <c r="Z593" i="4"/>
  <c r="Y593" i="4"/>
  <c r="X593" i="4"/>
  <c r="W593" i="4"/>
  <c r="V593" i="4"/>
  <c r="U593" i="4"/>
  <c r="T593" i="4"/>
  <c r="S593" i="4"/>
  <c r="R593" i="4"/>
  <c r="Q593" i="4"/>
  <c r="P593" i="4"/>
  <c r="O593" i="4"/>
  <c r="N593" i="4"/>
  <c r="M593" i="4"/>
  <c r="L593" i="4"/>
  <c r="K593" i="4"/>
  <c r="J593" i="4"/>
  <c r="I593" i="4"/>
  <c r="H593" i="4"/>
  <c r="G593" i="4"/>
  <c r="F593" i="4"/>
  <c r="E593" i="4"/>
  <c r="D593" i="4"/>
  <c r="C593" i="4"/>
  <c r="B593" i="4"/>
  <c r="A593" i="4"/>
  <c r="AM592" i="4"/>
  <c r="AL592" i="4"/>
  <c r="AK592" i="4"/>
  <c r="AJ592" i="4"/>
  <c r="AI592" i="4"/>
  <c r="AH592" i="4"/>
  <c r="AG592" i="4"/>
  <c r="AF592" i="4"/>
  <c r="AE592" i="4"/>
  <c r="AD592" i="4"/>
  <c r="AC592" i="4"/>
  <c r="AB592" i="4"/>
  <c r="AA592" i="4"/>
  <c r="Z592" i="4"/>
  <c r="Y592" i="4"/>
  <c r="X592" i="4"/>
  <c r="W592" i="4"/>
  <c r="V592" i="4"/>
  <c r="U592" i="4"/>
  <c r="T592" i="4"/>
  <c r="S592" i="4"/>
  <c r="R592" i="4"/>
  <c r="Q592" i="4"/>
  <c r="P592" i="4"/>
  <c r="O592" i="4"/>
  <c r="N592" i="4"/>
  <c r="M592" i="4"/>
  <c r="L592" i="4"/>
  <c r="K592" i="4"/>
  <c r="J592" i="4"/>
  <c r="I592" i="4"/>
  <c r="H592" i="4"/>
  <c r="G592" i="4"/>
  <c r="F592" i="4"/>
  <c r="E592" i="4"/>
  <c r="D592" i="4"/>
  <c r="C592" i="4"/>
  <c r="B592" i="4"/>
  <c r="A592" i="4"/>
  <c r="AM591" i="4"/>
  <c r="AL591" i="4"/>
  <c r="AK591" i="4"/>
  <c r="AJ591" i="4"/>
  <c r="AI591" i="4"/>
  <c r="AH591" i="4"/>
  <c r="AG591" i="4"/>
  <c r="AF591" i="4"/>
  <c r="AE591" i="4"/>
  <c r="AD591" i="4"/>
  <c r="AC591" i="4"/>
  <c r="AB591" i="4"/>
  <c r="AA591" i="4"/>
  <c r="Z591" i="4"/>
  <c r="Y591" i="4"/>
  <c r="X591" i="4"/>
  <c r="W591" i="4"/>
  <c r="V591" i="4"/>
  <c r="U591" i="4"/>
  <c r="T591" i="4"/>
  <c r="S591" i="4"/>
  <c r="R591" i="4"/>
  <c r="Q591" i="4"/>
  <c r="P591" i="4"/>
  <c r="O591" i="4"/>
  <c r="N591" i="4"/>
  <c r="M591" i="4"/>
  <c r="L591" i="4"/>
  <c r="K591" i="4"/>
  <c r="J591" i="4"/>
  <c r="I591" i="4"/>
  <c r="H591" i="4"/>
  <c r="G591" i="4"/>
  <c r="F591" i="4"/>
  <c r="E591" i="4"/>
  <c r="D591" i="4"/>
  <c r="C591" i="4"/>
  <c r="B591" i="4"/>
  <c r="A591" i="4"/>
  <c r="AM590" i="4"/>
  <c r="AL590" i="4"/>
  <c r="AK590" i="4"/>
  <c r="AJ590" i="4"/>
  <c r="AI590" i="4"/>
  <c r="AH590" i="4"/>
  <c r="AG590" i="4"/>
  <c r="AF590" i="4"/>
  <c r="AE590" i="4"/>
  <c r="AD590" i="4"/>
  <c r="AC590" i="4"/>
  <c r="AB590" i="4"/>
  <c r="AA590" i="4"/>
  <c r="Z590" i="4"/>
  <c r="T590" i="4"/>
  <c r="S590" i="4"/>
  <c r="P590" i="4"/>
  <c r="O590" i="4"/>
  <c r="N590" i="4"/>
  <c r="M590" i="4"/>
  <c r="L590" i="4"/>
  <c r="K590" i="4"/>
  <c r="J590" i="4"/>
  <c r="I590" i="4"/>
  <c r="H590" i="4"/>
  <c r="G590" i="4"/>
  <c r="F590" i="4"/>
  <c r="E590" i="4"/>
  <c r="D590" i="4"/>
  <c r="C590" i="4"/>
  <c r="B590" i="4"/>
  <c r="A590" i="4"/>
  <c r="AM589" i="4"/>
  <c r="AL589" i="4"/>
  <c r="AK589" i="4"/>
  <c r="AJ589" i="4"/>
  <c r="AI589" i="4"/>
  <c r="AH589" i="4"/>
  <c r="AG589" i="4"/>
  <c r="AF589" i="4"/>
  <c r="AE589" i="4"/>
  <c r="AD589" i="4"/>
  <c r="AC589" i="4"/>
  <c r="AB589" i="4"/>
  <c r="AA589" i="4"/>
  <c r="Z589" i="4"/>
  <c r="T589" i="4"/>
  <c r="S589" i="4"/>
  <c r="P589" i="4"/>
  <c r="O589" i="4"/>
  <c r="N589" i="4"/>
  <c r="M589" i="4"/>
  <c r="L589" i="4"/>
  <c r="K589" i="4"/>
  <c r="J589" i="4"/>
  <c r="I589" i="4"/>
  <c r="H589" i="4"/>
  <c r="G589" i="4"/>
  <c r="F589" i="4"/>
  <c r="E589" i="4"/>
  <c r="D589" i="4"/>
  <c r="C589" i="4"/>
  <c r="B589" i="4"/>
  <c r="A589" i="4"/>
  <c r="AC588" i="4"/>
  <c r="AB588" i="4"/>
  <c r="AA588" i="4"/>
  <c r="Z588" i="4"/>
  <c r="T588" i="4"/>
  <c r="S588" i="4"/>
  <c r="R588" i="4"/>
  <c r="P588" i="4"/>
  <c r="O588" i="4"/>
  <c r="N588" i="4"/>
  <c r="M588" i="4"/>
  <c r="L588" i="4"/>
  <c r="K588" i="4"/>
  <c r="J588" i="4"/>
  <c r="I588" i="4"/>
  <c r="H588" i="4"/>
  <c r="G588" i="4"/>
  <c r="F588" i="4"/>
  <c r="E588" i="4"/>
  <c r="D588" i="4"/>
  <c r="C588" i="4"/>
  <c r="B588" i="4"/>
  <c r="A588" i="4"/>
  <c r="AC587" i="4"/>
  <c r="AB587" i="4"/>
  <c r="AA587" i="4"/>
  <c r="Z587" i="4"/>
  <c r="T587" i="4"/>
  <c r="S587" i="4"/>
  <c r="R587" i="4"/>
  <c r="P587" i="4"/>
  <c r="O587" i="4"/>
  <c r="N587" i="4"/>
  <c r="M587" i="4"/>
  <c r="L587" i="4"/>
  <c r="K587" i="4"/>
  <c r="J587" i="4"/>
  <c r="I587" i="4"/>
  <c r="H587" i="4"/>
  <c r="G587" i="4"/>
  <c r="F587" i="4"/>
  <c r="E587" i="4"/>
  <c r="D587" i="4"/>
  <c r="C587" i="4"/>
  <c r="B587" i="4"/>
  <c r="A587" i="4"/>
  <c r="AC586" i="4"/>
  <c r="AB586" i="4"/>
  <c r="AA586" i="4"/>
  <c r="Z586" i="4"/>
  <c r="T586" i="4"/>
  <c r="S586" i="4"/>
  <c r="R586" i="4"/>
  <c r="P586" i="4"/>
  <c r="O586" i="4"/>
  <c r="N586" i="4"/>
  <c r="M586" i="4"/>
  <c r="L586" i="4"/>
  <c r="K586" i="4"/>
  <c r="J586" i="4"/>
  <c r="I586" i="4"/>
  <c r="H586" i="4"/>
  <c r="G586" i="4"/>
  <c r="F586" i="4"/>
  <c r="E586" i="4"/>
  <c r="D586" i="4"/>
  <c r="C586" i="4"/>
  <c r="B586" i="4"/>
  <c r="A586" i="4"/>
  <c r="AM584" i="4"/>
  <c r="AL584" i="4"/>
  <c r="AK584" i="4"/>
  <c r="AJ584" i="4"/>
  <c r="AI584" i="4"/>
  <c r="AH584" i="4"/>
  <c r="AG584" i="4"/>
  <c r="AF584" i="4"/>
  <c r="AE584" i="4"/>
  <c r="AD584" i="4"/>
  <c r="AC584" i="4"/>
  <c r="AB584" i="4"/>
  <c r="AA584" i="4"/>
  <c r="Z584" i="4"/>
  <c r="Y584" i="4"/>
  <c r="X584" i="4"/>
  <c r="W584" i="4"/>
  <c r="V584" i="4"/>
  <c r="U584" i="4"/>
  <c r="T584" i="4"/>
  <c r="S584" i="4"/>
  <c r="R584" i="4"/>
  <c r="Q584" i="4"/>
  <c r="P584" i="4"/>
  <c r="O584" i="4"/>
  <c r="N584" i="4"/>
  <c r="M584" i="4"/>
  <c r="L584" i="4"/>
  <c r="K584" i="4"/>
  <c r="J584" i="4"/>
  <c r="I584" i="4"/>
  <c r="H584" i="4"/>
  <c r="G584" i="4"/>
  <c r="F584" i="4"/>
  <c r="E584" i="4"/>
  <c r="D584" i="4"/>
  <c r="C584" i="4"/>
  <c r="B584" i="4"/>
  <c r="A584" i="4"/>
  <c r="AC583" i="4"/>
  <c r="AB583" i="4"/>
  <c r="AA583" i="4"/>
  <c r="Z583" i="4"/>
  <c r="S583" i="4"/>
  <c r="R583" i="4"/>
  <c r="O583" i="4"/>
  <c r="N583" i="4"/>
  <c r="M583" i="4"/>
  <c r="L583" i="4"/>
  <c r="K583" i="4"/>
  <c r="J583" i="4"/>
  <c r="I583" i="4"/>
  <c r="H583" i="4"/>
  <c r="G583" i="4"/>
  <c r="F583" i="4"/>
  <c r="E583" i="4"/>
  <c r="D583" i="4"/>
  <c r="C583" i="4"/>
  <c r="B583" i="4"/>
  <c r="A583" i="4"/>
  <c r="AC582" i="4"/>
  <c r="AB582" i="4"/>
  <c r="AA582" i="4"/>
  <c r="Z582" i="4"/>
  <c r="T582" i="4"/>
  <c r="S582" i="4"/>
  <c r="R582" i="4"/>
  <c r="O582" i="4"/>
  <c r="N582" i="4"/>
  <c r="M582" i="4"/>
  <c r="L582" i="4"/>
  <c r="K582" i="4"/>
  <c r="J582" i="4"/>
  <c r="I582" i="4"/>
  <c r="H582" i="4"/>
  <c r="G582" i="4"/>
  <c r="F582" i="4"/>
  <c r="E582" i="4"/>
  <c r="D582" i="4"/>
  <c r="C582" i="4"/>
  <c r="B582" i="4"/>
  <c r="A582" i="4"/>
  <c r="AM581" i="4"/>
  <c r="AL581" i="4"/>
  <c r="AK581" i="4"/>
  <c r="AJ581" i="4"/>
  <c r="AI581" i="4"/>
  <c r="AH581" i="4"/>
  <c r="AG581" i="4"/>
  <c r="AF581" i="4"/>
  <c r="AE581" i="4"/>
  <c r="AD581" i="4"/>
  <c r="AC581" i="4"/>
  <c r="AB581" i="4"/>
  <c r="AA581" i="4"/>
  <c r="Z581" i="4"/>
  <c r="Y581" i="4"/>
  <c r="X581" i="4"/>
  <c r="W581" i="4"/>
  <c r="V581" i="4"/>
  <c r="U581" i="4"/>
  <c r="T581" i="4"/>
  <c r="S581" i="4"/>
  <c r="P581" i="4"/>
  <c r="O581" i="4"/>
  <c r="N581" i="4"/>
  <c r="M581" i="4"/>
  <c r="L581" i="4"/>
  <c r="K581" i="4"/>
  <c r="J581" i="4"/>
  <c r="I581" i="4"/>
  <c r="H581" i="4"/>
  <c r="G581" i="4"/>
  <c r="F581" i="4"/>
  <c r="E581" i="4"/>
  <c r="D581" i="4"/>
  <c r="C581" i="4"/>
  <c r="B581" i="4"/>
  <c r="A581" i="4"/>
  <c r="AM580" i="4"/>
  <c r="AF580" i="4"/>
  <c r="AE580" i="4"/>
  <c r="AD580" i="4"/>
  <c r="AC580" i="4"/>
  <c r="AB580" i="4"/>
  <c r="AA580" i="4"/>
  <c r="Z580" i="4"/>
  <c r="T580" i="4"/>
  <c r="S580" i="4"/>
  <c r="P580" i="4"/>
  <c r="O580" i="4"/>
  <c r="N580" i="4"/>
  <c r="M580" i="4"/>
  <c r="L580" i="4"/>
  <c r="K580" i="4"/>
  <c r="J580" i="4"/>
  <c r="I580" i="4"/>
  <c r="H580" i="4"/>
  <c r="G580" i="4"/>
  <c r="F580" i="4"/>
  <c r="E580" i="4"/>
  <c r="D580" i="4"/>
  <c r="C580" i="4"/>
  <c r="B580" i="4"/>
  <c r="A580" i="4"/>
  <c r="AC579" i="4"/>
  <c r="AB579" i="4"/>
  <c r="AA579" i="4"/>
  <c r="Z579" i="4"/>
  <c r="T579" i="4"/>
  <c r="S579" i="4"/>
  <c r="R579" i="4"/>
  <c r="P579" i="4"/>
  <c r="O579" i="4"/>
  <c r="N579" i="4"/>
  <c r="M579" i="4"/>
  <c r="L579" i="4"/>
  <c r="K579" i="4"/>
  <c r="J579" i="4"/>
  <c r="I579" i="4"/>
  <c r="H579" i="4"/>
  <c r="G579" i="4"/>
  <c r="F579" i="4"/>
  <c r="E579" i="4"/>
  <c r="D579" i="4"/>
  <c r="C579" i="4"/>
  <c r="B579" i="4"/>
  <c r="A579" i="4"/>
  <c r="AC578" i="4"/>
  <c r="AB578" i="4"/>
  <c r="AA578" i="4"/>
  <c r="Z578" i="4"/>
  <c r="T578" i="4"/>
  <c r="S578" i="4"/>
  <c r="R578" i="4"/>
  <c r="P578" i="4"/>
  <c r="O578" i="4"/>
  <c r="N578" i="4"/>
  <c r="M578" i="4"/>
  <c r="L578" i="4"/>
  <c r="K578" i="4"/>
  <c r="J578" i="4"/>
  <c r="I578" i="4"/>
  <c r="H578" i="4"/>
  <c r="G578" i="4"/>
  <c r="F578" i="4"/>
  <c r="E578" i="4"/>
  <c r="D578" i="4"/>
  <c r="C578" i="4"/>
  <c r="B578" i="4"/>
  <c r="A578" i="4"/>
  <c r="AC577" i="4"/>
  <c r="AB577" i="4"/>
  <c r="AA577" i="4"/>
  <c r="Z577" i="4"/>
  <c r="T577" i="4"/>
  <c r="S577" i="4"/>
  <c r="R577" i="4"/>
  <c r="Q577" i="4"/>
  <c r="P577" i="4"/>
  <c r="O577" i="4"/>
  <c r="N577" i="4"/>
  <c r="M577" i="4"/>
  <c r="L577" i="4"/>
  <c r="K577" i="4"/>
  <c r="J577" i="4"/>
  <c r="I577" i="4"/>
  <c r="H577" i="4"/>
  <c r="G577" i="4"/>
  <c r="F577" i="4"/>
  <c r="E577" i="4"/>
  <c r="D577" i="4"/>
  <c r="C577" i="4"/>
  <c r="B577" i="4"/>
  <c r="A577" i="4"/>
  <c r="AM576" i="4"/>
  <c r="AF576" i="4"/>
  <c r="AE576" i="4"/>
  <c r="AD576" i="4"/>
  <c r="AC576" i="4"/>
  <c r="AB576" i="4"/>
  <c r="AA576" i="4"/>
  <c r="Z576" i="4"/>
  <c r="U576" i="4"/>
  <c r="T576" i="4"/>
  <c r="S576" i="4"/>
  <c r="R576" i="4"/>
  <c r="Q576" i="4"/>
  <c r="P576" i="4"/>
  <c r="O576" i="4"/>
  <c r="N576" i="4"/>
  <c r="M576" i="4"/>
  <c r="L576" i="4"/>
  <c r="K576" i="4"/>
  <c r="J576" i="4"/>
  <c r="I576" i="4"/>
  <c r="H576" i="4"/>
  <c r="G576" i="4"/>
  <c r="F576" i="4"/>
  <c r="E576" i="4"/>
  <c r="D576" i="4"/>
  <c r="C576" i="4"/>
  <c r="B576" i="4"/>
  <c r="A576" i="4"/>
  <c r="AD575" i="4"/>
  <c r="AC575" i="4"/>
  <c r="AB575" i="4"/>
  <c r="AA575" i="4"/>
  <c r="Z575" i="4"/>
  <c r="T575" i="4"/>
  <c r="S575" i="4"/>
  <c r="R575" i="4"/>
  <c r="Q575" i="4"/>
  <c r="P575" i="4"/>
  <c r="O575" i="4"/>
  <c r="N575" i="4"/>
  <c r="M575" i="4"/>
  <c r="L575" i="4"/>
  <c r="K575" i="4"/>
  <c r="J575" i="4"/>
  <c r="I575" i="4"/>
  <c r="H575" i="4"/>
  <c r="G575" i="4"/>
  <c r="F575" i="4"/>
  <c r="E575" i="4"/>
  <c r="D575" i="4"/>
  <c r="C575" i="4"/>
  <c r="B575" i="4"/>
  <c r="A575" i="4"/>
  <c r="AD574" i="4"/>
  <c r="AC574" i="4"/>
  <c r="AB574" i="4"/>
  <c r="AA574" i="4"/>
  <c r="Z574" i="4"/>
  <c r="T574" i="4"/>
  <c r="S574" i="4"/>
  <c r="R574" i="4"/>
  <c r="Q574" i="4"/>
  <c r="P574" i="4"/>
  <c r="O574" i="4"/>
  <c r="N574" i="4"/>
  <c r="M574" i="4"/>
  <c r="L574" i="4"/>
  <c r="K574" i="4"/>
  <c r="J574" i="4"/>
  <c r="I574" i="4"/>
  <c r="H574" i="4"/>
  <c r="G574" i="4"/>
  <c r="F574" i="4"/>
  <c r="E574" i="4"/>
  <c r="D574" i="4"/>
  <c r="C574" i="4"/>
  <c r="B574" i="4"/>
  <c r="A574" i="4"/>
  <c r="AM573" i="4"/>
  <c r="AL573" i="4"/>
  <c r="AK573" i="4"/>
  <c r="AJ573" i="4"/>
  <c r="AI573" i="4"/>
  <c r="AH573" i="4"/>
  <c r="AG573" i="4"/>
  <c r="AF573" i="4"/>
  <c r="AE573" i="4"/>
  <c r="AD573" i="4"/>
  <c r="AC573" i="4"/>
  <c r="AB573" i="4"/>
  <c r="AA573" i="4"/>
  <c r="Z573" i="4"/>
  <c r="T573" i="4"/>
  <c r="S573" i="4"/>
  <c r="R573" i="4"/>
  <c r="Q573" i="4"/>
  <c r="P573" i="4"/>
  <c r="O573" i="4"/>
  <c r="N573" i="4"/>
  <c r="M573" i="4"/>
  <c r="L573" i="4"/>
  <c r="K573" i="4"/>
  <c r="J573" i="4"/>
  <c r="I573" i="4"/>
  <c r="H573" i="4"/>
  <c r="G573" i="4"/>
  <c r="F573" i="4"/>
  <c r="E573" i="4"/>
  <c r="D573" i="4"/>
  <c r="C573" i="4"/>
  <c r="B573" i="4"/>
  <c r="A573" i="4"/>
  <c r="AD572" i="4"/>
  <c r="AC572" i="4"/>
  <c r="AB572" i="4"/>
  <c r="AA572" i="4"/>
  <c r="Z572" i="4"/>
  <c r="T572" i="4"/>
  <c r="S572" i="4"/>
  <c r="R572" i="4"/>
  <c r="Q572" i="4"/>
  <c r="P572" i="4"/>
  <c r="O572" i="4"/>
  <c r="N572" i="4"/>
  <c r="M572" i="4"/>
  <c r="L572" i="4"/>
  <c r="K572" i="4"/>
  <c r="J572" i="4"/>
  <c r="I572" i="4"/>
  <c r="H572" i="4"/>
  <c r="G572" i="4"/>
  <c r="F572" i="4"/>
  <c r="E572" i="4"/>
  <c r="D572" i="4"/>
  <c r="C572" i="4"/>
  <c r="B572" i="4"/>
  <c r="A572" i="4"/>
  <c r="AD571" i="4"/>
  <c r="AC571" i="4"/>
  <c r="AB571" i="4"/>
  <c r="AA571" i="4"/>
  <c r="Z571" i="4"/>
  <c r="U571" i="4"/>
  <c r="T571" i="4"/>
  <c r="S571" i="4"/>
  <c r="R571" i="4"/>
  <c r="Q571" i="4"/>
  <c r="P571" i="4"/>
  <c r="O571" i="4"/>
  <c r="N571" i="4"/>
  <c r="M571" i="4"/>
  <c r="L571" i="4"/>
  <c r="K571" i="4"/>
  <c r="J571" i="4"/>
  <c r="I571" i="4"/>
  <c r="H571" i="4"/>
  <c r="G571" i="4"/>
  <c r="F571" i="4"/>
  <c r="E571" i="4"/>
  <c r="D571" i="4"/>
  <c r="C571" i="4"/>
  <c r="B571" i="4"/>
  <c r="A571" i="4"/>
  <c r="AD570" i="4"/>
  <c r="AC570" i="4"/>
  <c r="AB570" i="4"/>
  <c r="AA570" i="4"/>
  <c r="Z570" i="4"/>
  <c r="U570" i="4"/>
  <c r="T570" i="4"/>
  <c r="S570" i="4"/>
  <c r="R570" i="4"/>
  <c r="Q570" i="4"/>
  <c r="P570" i="4"/>
  <c r="O570" i="4"/>
  <c r="N570" i="4"/>
  <c r="M570" i="4"/>
  <c r="L570" i="4"/>
  <c r="K570" i="4"/>
  <c r="J570" i="4"/>
  <c r="I570" i="4"/>
  <c r="H570" i="4"/>
  <c r="G570" i="4"/>
  <c r="F570" i="4"/>
  <c r="E570" i="4"/>
  <c r="D570" i="4"/>
  <c r="C570" i="4"/>
  <c r="B570" i="4"/>
  <c r="A570" i="4"/>
  <c r="AM569" i="4"/>
  <c r="AL569" i="4"/>
  <c r="AK569" i="4"/>
  <c r="AJ569" i="4"/>
  <c r="AI569" i="4"/>
  <c r="AH569" i="4"/>
  <c r="AG569" i="4"/>
  <c r="AF569" i="4"/>
  <c r="AE569" i="4"/>
  <c r="AD569" i="4"/>
  <c r="AC569" i="4"/>
  <c r="AB569" i="4"/>
  <c r="AA569" i="4"/>
  <c r="Z569" i="4"/>
  <c r="Y569" i="4"/>
  <c r="X569" i="4"/>
  <c r="W569" i="4"/>
  <c r="V569" i="4"/>
  <c r="U569" i="4"/>
  <c r="T569" i="4"/>
  <c r="S569" i="4"/>
  <c r="R569" i="4"/>
  <c r="Q569" i="4"/>
  <c r="P569" i="4"/>
  <c r="O569" i="4"/>
  <c r="N569" i="4"/>
  <c r="M569" i="4"/>
  <c r="L569" i="4"/>
  <c r="K569" i="4"/>
  <c r="J569" i="4"/>
  <c r="I569" i="4"/>
  <c r="H569" i="4"/>
  <c r="G569" i="4"/>
  <c r="F569" i="4"/>
  <c r="E569" i="4"/>
  <c r="D569" i="4"/>
  <c r="C569" i="4"/>
  <c r="B569" i="4"/>
  <c r="A569" i="4"/>
  <c r="AM568" i="4"/>
  <c r="AL568" i="4"/>
  <c r="AK568" i="4"/>
  <c r="AJ568" i="4"/>
  <c r="AI568" i="4"/>
  <c r="AH568" i="4"/>
  <c r="AG568" i="4"/>
  <c r="AF568" i="4"/>
  <c r="AE568" i="4"/>
  <c r="AD568" i="4"/>
  <c r="AC568" i="4"/>
  <c r="AB568" i="4"/>
  <c r="AA568" i="4"/>
  <c r="Z568" i="4"/>
  <c r="Y568" i="4"/>
  <c r="X568" i="4"/>
  <c r="W568" i="4"/>
  <c r="V568" i="4"/>
  <c r="U568" i="4"/>
  <c r="T568" i="4"/>
  <c r="S568" i="4"/>
  <c r="R568" i="4"/>
  <c r="Q568" i="4"/>
  <c r="P568" i="4"/>
  <c r="O568" i="4"/>
  <c r="N568" i="4"/>
  <c r="M568" i="4"/>
  <c r="L568" i="4"/>
  <c r="K568" i="4"/>
  <c r="J568" i="4"/>
  <c r="I568" i="4"/>
  <c r="H568" i="4"/>
  <c r="G568" i="4"/>
  <c r="F568" i="4"/>
  <c r="E568" i="4"/>
  <c r="D568" i="4"/>
  <c r="C568" i="4"/>
  <c r="B568" i="4"/>
  <c r="A568" i="4"/>
  <c r="AM567" i="4"/>
  <c r="AL567" i="4"/>
  <c r="AK567" i="4"/>
  <c r="AJ567" i="4"/>
  <c r="AI567" i="4"/>
  <c r="AH567" i="4"/>
  <c r="AG567" i="4"/>
  <c r="AF567" i="4"/>
  <c r="AE567" i="4"/>
  <c r="AD567" i="4"/>
  <c r="AC567" i="4"/>
  <c r="AB567" i="4"/>
  <c r="AA567" i="4"/>
  <c r="Z567" i="4"/>
  <c r="Y567" i="4"/>
  <c r="X567" i="4"/>
  <c r="W567" i="4"/>
  <c r="V567" i="4"/>
  <c r="U567" i="4"/>
  <c r="T567" i="4"/>
  <c r="S567" i="4"/>
  <c r="R567" i="4"/>
  <c r="Q567" i="4"/>
  <c r="P567" i="4"/>
  <c r="O567" i="4"/>
  <c r="N567" i="4"/>
  <c r="M567" i="4"/>
  <c r="L567" i="4"/>
  <c r="K567" i="4"/>
  <c r="J567" i="4"/>
  <c r="I567" i="4"/>
  <c r="H567" i="4"/>
  <c r="G567" i="4"/>
  <c r="F567" i="4"/>
  <c r="E567" i="4"/>
  <c r="D567" i="4"/>
  <c r="C567" i="4"/>
  <c r="B567" i="4"/>
  <c r="A567" i="4"/>
  <c r="AM566" i="4"/>
  <c r="AL566" i="4"/>
  <c r="AK566" i="4"/>
  <c r="AJ566" i="4"/>
  <c r="AI566" i="4"/>
  <c r="AH566" i="4"/>
  <c r="AG566" i="4"/>
  <c r="AF566" i="4"/>
  <c r="AE566" i="4"/>
  <c r="AD566" i="4"/>
  <c r="AC566" i="4"/>
  <c r="AB566" i="4"/>
  <c r="AA566" i="4"/>
  <c r="Z566" i="4"/>
  <c r="Y566" i="4"/>
  <c r="X566" i="4"/>
  <c r="W566" i="4"/>
  <c r="V566" i="4"/>
  <c r="U566" i="4"/>
  <c r="T566" i="4"/>
  <c r="S566" i="4"/>
  <c r="R566" i="4"/>
  <c r="Q566" i="4"/>
  <c r="P566" i="4"/>
  <c r="O566" i="4"/>
  <c r="N566" i="4"/>
  <c r="M566" i="4"/>
  <c r="L566" i="4"/>
  <c r="K566" i="4"/>
  <c r="J566" i="4"/>
  <c r="I566" i="4"/>
  <c r="H566" i="4"/>
  <c r="G566" i="4"/>
  <c r="F566" i="4"/>
  <c r="E566" i="4"/>
  <c r="D566" i="4"/>
  <c r="C566" i="4"/>
  <c r="B566" i="4"/>
  <c r="A566" i="4"/>
  <c r="AE565" i="4"/>
  <c r="AD565" i="4"/>
  <c r="AC565" i="4"/>
  <c r="AB565" i="4"/>
  <c r="AA565" i="4"/>
  <c r="Z565" i="4"/>
  <c r="T565" i="4"/>
  <c r="S565" i="4"/>
  <c r="R565" i="4"/>
  <c r="Q565" i="4"/>
  <c r="P565" i="4"/>
  <c r="O565" i="4"/>
  <c r="N565" i="4"/>
  <c r="M565" i="4"/>
  <c r="L565" i="4"/>
  <c r="K565" i="4"/>
  <c r="J565" i="4"/>
  <c r="I565" i="4"/>
  <c r="H565" i="4"/>
  <c r="G565" i="4"/>
  <c r="F565" i="4"/>
  <c r="E565" i="4"/>
  <c r="D565" i="4"/>
  <c r="C565" i="4"/>
  <c r="B565" i="4"/>
  <c r="A565" i="4"/>
  <c r="AC564" i="4"/>
  <c r="AB564" i="4"/>
  <c r="AA564" i="4"/>
  <c r="Z564" i="4"/>
  <c r="P564" i="4"/>
  <c r="O564" i="4"/>
  <c r="N564" i="4"/>
  <c r="M564" i="4"/>
  <c r="L564" i="4"/>
  <c r="K564" i="4"/>
  <c r="J564" i="4"/>
  <c r="I564" i="4"/>
  <c r="H564" i="4"/>
  <c r="G564" i="4"/>
  <c r="F564" i="4"/>
  <c r="E564" i="4"/>
  <c r="D564" i="4"/>
  <c r="C564" i="4"/>
  <c r="B564" i="4"/>
  <c r="A564" i="4"/>
  <c r="AM563" i="4"/>
  <c r="AL563" i="4"/>
  <c r="AK563" i="4"/>
  <c r="AJ563" i="4"/>
  <c r="AI563" i="4"/>
  <c r="AH563" i="4"/>
  <c r="AG563" i="4"/>
  <c r="AF563" i="4"/>
  <c r="AE563" i="4"/>
  <c r="AD563" i="4"/>
  <c r="AC563" i="4"/>
  <c r="AB563" i="4"/>
  <c r="AA563" i="4"/>
  <c r="Z563" i="4"/>
  <c r="Y563" i="4"/>
  <c r="X563" i="4"/>
  <c r="W563" i="4"/>
  <c r="V563" i="4"/>
  <c r="U563" i="4"/>
  <c r="T563" i="4"/>
  <c r="S563" i="4"/>
  <c r="R563" i="4"/>
  <c r="Q563" i="4"/>
  <c r="P563" i="4"/>
  <c r="O563" i="4"/>
  <c r="N563" i="4"/>
  <c r="M563" i="4"/>
  <c r="L563" i="4"/>
  <c r="K563" i="4"/>
  <c r="J563" i="4"/>
  <c r="I563" i="4"/>
  <c r="H563" i="4"/>
  <c r="G563" i="4"/>
  <c r="F563" i="4"/>
  <c r="E563" i="4"/>
  <c r="D563" i="4"/>
  <c r="C563" i="4"/>
  <c r="B563" i="4"/>
  <c r="A563" i="4"/>
  <c r="AD562" i="4"/>
  <c r="AC562" i="4"/>
  <c r="AB562" i="4"/>
  <c r="AA562" i="4"/>
  <c r="Z562" i="4"/>
  <c r="X562" i="4"/>
  <c r="W562" i="4"/>
  <c r="V562" i="4"/>
  <c r="T562" i="4"/>
  <c r="S562" i="4"/>
  <c r="R562" i="4"/>
  <c r="Q562" i="4"/>
  <c r="P562" i="4"/>
  <c r="O562" i="4"/>
  <c r="N562" i="4"/>
  <c r="M562" i="4"/>
  <c r="L562" i="4"/>
  <c r="K562" i="4"/>
  <c r="J562" i="4"/>
  <c r="I562" i="4"/>
  <c r="H562" i="4"/>
  <c r="G562" i="4"/>
  <c r="F562" i="4"/>
  <c r="E562" i="4"/>
  <c r="D562" i="4"/>
  <c r="C562" i="4"/>
  <c r="B562" i="4"/>
  <c r="A562" i="4"/>
  <c r="AM561" i="4"/>
  <c r="AL561" i="4"/>
  <c r="AK561" i="4"/>
  <c r="AJ561" i="4"/>
  <c r="AI561" i="4"/>
  <c r="AH561" i="4"/>
  <c r="AG561" i="4"/>
  <c r="AF561" i="4"/>
  <c r="AE561" i="4"/>
  <c r="AD561" i="4"/>
  <c r="AC561" i="4"/>
  <c r="AB561" i="4"/>
  <c r="AA561" i="4"/>
  <c r="Z561" i="4"/>
  <c r="Y561" i="4"/>
  <c r="X561" i="4"/>
  <c r="W561" i="4"/>
  <c r="V561" i="4"/>
  <c r="U561" i="4"/>
  <c r="T561" i="4"/>
  <c r="S561" i="4"/>
  <c r="R561" i="4"/>
  <c r="Q561" i="4"/>
  <c r="P561" i="4"/>
  <c r="O561" i="4"/>
  <c r="N561" i="4"/>
  <c r="M561" i="4"/>
  <c r="L561" i="4"/>
  <c r="K561" i="4"/>
  <c r="J561" i="4"/>
  <c r="I561" i="4"/>
  <c r="H561" i="4"/>
  <c r="G561" i="4"/>
  <c r="F561" i="4"/>
  <c r="E561" i="4"/>
  <c r="D561" i="4"/>
  <c r="C561" i="4"/>
  <c r="B561" i="4"/>
  <c r="A561" i="4"/>
  <c r="AM560" i="4"/>
  <c r="AL560" i="4"/>
  <c r="AK560" i="4"/>
  <c r="AJ560" i="4"/>
  <c r="AI560" i="4"/>
  <c r="AH560" i="4"/>
  <c r="AG560" i="4"/>
  <c r="AF560" i="4"/>
  <c r="AE560" i="4"/>
  <c r="AD560" i="4"/>
  <c r="AC560" i="4"/>
  <c r="AB560" i="4"/>
  <c r="AA560" i="4"/>
  <c r="Z560" i="4"/>
  <c r="Y560" i="4"/>
  <c r="X560" i="4"/>
  <c r="W560" i="4"/>
  <c r="V560" i="4"/>
  <c r="U560" i="4"/>
  <c r="T560" i="4"/>
  <c r="S560" i="4"/>
  <c r="R560" i="4"/>
  <c r="Q560" i="4"/>
  <c r="P560" i="4"/>
  <c r="O560" i="4"/>
  <c r="N560" i="4"/>
  <c r="M560" i="4"/>
  <c r="L560" i="4"/>
  <c r="K560" i="4"/>
  <c r="J560" i="4"/>
  <c r="I560" i="4"/>
  <c r="H560" i="4"/>
  <c r="G560" i="4"/>
  <c r="F560" i="4"/>
  <c r="E560" i="4"/>
  <c r="D560" i="4"/>
  <c r="C560" i="4"/>
  <c r="B560" i="4"/>
  <c r="A560" i="4"/>
  <c r="AD559" i="4"/>
  <c r="AC559" i="4"/>
  <c r="AB559" i="4"/>
  <c r="AA559" i="4"/>
  <c r="Z559" i="4"/>
  <c r="T559" i="4"/>
  <c r="S559" i="4"/>
  <c r="R559" i="4"/>
  <c r="Q559" i="4"/>
  <c r="P559" i="4"/>
  <c r="O559" i="4"/>
  <c r="N559" i="4"/>
  <c r="M559" i="4"/>
  <c r="L559" i="4"/>
  <c r="K559" i="4"/>
  <c r="J559" i="4"/>
  <c r="I559" i="4"/>
  <c r="H559" i="4"/>
  <c r="G559" i="4"/>
  <c r="F559" i="4"/>
  <c r="E559" i="4"/>
  <c r="D559" i="4"/>
  <c r="C559" i="4"/>
  <c r="B559" i="4"/>
  <c r="A559" i="4"/>
  <c r="AD558" i="4"/>
  <c r="AC558" i="4"/>
  <c r="AB558" i="4"/>
  <c r="AA558" i="4"/>
  <c r="Z558" i="4"/>
  <c r="T558" i="4"/>
  <c r="S558" i="4"/>
  <c r="R558" i="4"/>
  <c r="Q558" i="4"/>
  <c r="P558" i="4"/>
  <c r="O558" i="4"/>
  <c r="N558" i="4"/>
  <c r="M558" i="4"/>
  <c r="L558" i="4"/>
  <c r="K558" i="4"/>
  <c r="J558" i="4"/>
  <c r="I558" i="4"/>
  <c r="H558" i="4"/>
  <c r="G558" i="4"/>
  <c r="F558" i="4"/>
  <c r="E558" i="4"/>
  <c r="D558" i="4"/>
  <c r="C558" i="4"/>
  <c r="B558" i="4"/>
  <c r="A558" i="4"/>
  <c r="AD557" i="4"/>
  <c r="AC557" i="4"/>
  <c r="AB557" i="4"/>
  <c r="AA557" i="4"/>
  <c r="Z557" i="4"/>
  <c r="Y557" i="4"/>
  <c r="X557" i="4"/>
  <c r="W557" i="4"/>
  <c r="V557" i="4"/>
  <c r="U557" i="4"/>
  <c r="T557" i="4"/>
  <c r="S557" i="4"/>
  <c r="R557" i="4"/>
  <c r="Q557" i="4"/>
  <c r="P557" i="4"/>
  <c r="O557" i="4"/>
  <c r="N557" i="4"/>
  <c r="M557" i="4"/>
  <c r="L557" i="4"/>
  <c r="K557" i="4"/>
  <c r="J557" i="4"/>
  <c r="I557" i="4"/>
  <c r="H557" i="4"/>
  <c r="G557" i="4"/>
  <c r="F557" i="4"/>
  <c r="E557" i="4"/>
  <c r="D557" i="4"/>
  <c r="C557" i="4"/>
  <c r="B557" i="4"/>
  <c r="A557" i="4"/>
  <c r="AM556" i="4"/>
  <c r="AL556" i="4"/>
  <c r="AK556" i="4"/>
  <c r="AJ556" i="4"/>
  <c r="AI556" i="4"/>
  <c r="AH556" i="4"/>
  <c r="AG556" i="4"/>
  <c r="AE556" i="4"/>
  <c r="AD556" i="4"/>
  <c r="AC556" i="4"/>
  <c r="AB556" i="4"/>
  <c r="AA556" i="4"/>
  <c r="Z556" i="4"/>
  <c r="Y556" i="4"/>
  <c r="X556" i="4"/>
  <c r="W556" i="4"/>
  <c r="V556" i="4"/>
  <c r="U556" i="4"/>
  <c r="T556" i="4"/>
  <c r="S556" i="4"/>
  <c r="R556" i="4"/>
  <c r="Q556" i="4"/>
  <c r="P556" i="4"/>
  <c r="O556" i="4"/>
  <c r="N556" i="4"/>
  <c r="M556" i="4"/>
  <c r="L556" i="4"/>
  <c r="K556" i="4"/>
  <c r="J556" i="4"/>
  <c r="I556" i="4"/>
  <c r="H556" i="4"/>
  <c r="G556" i="4"/>
  <c r="F556" i="4"/>
  <c r="E556" i="4"/>
  <c r="D556" i="4"/>
  <c r="C556" i="4"/>
  <c r="B556" i="4"/>
  <c r="A556" i="4"/>
  <c r="AD555" i="4"/>
  <c r="AC555" i="4"/>
  <c r="AB555" i="4"/>
  <c r="AA555" i="4"/>
  <c r="Z555" i="4"/>
  <c r="X555" i="4"/>
  <c r="W555" i="4"/>
  <c r="V555" i="4"/>
  <c r="T555" i="4"/>
  <c r="S555" i="4"/>
  <c r="R555" i="4"/>
  <c r="Q555" i="4"/>
  <c r="P555" i="4"/>
  <c r="O555" i="4"/>
  <c r="N555" i="4"/>
  <c r="M555" i="4"/>
  <c r="L555" i="4"/>
  <c r="K555" i="4"/>
  <c r="J555" i="4"/>
  <c r="I555" i="4"/>
  <c r="H555" i="4"/>
  <c r="G555" i="4"/>
  <c r="F555" i="4"/>
  <c r="E555" i="4"/>
  <c r="D555" i="4"/>
  <c r="C555" i="4"/>
  <c r="B555" i="4"/>
  <c r="A555" i="4"/>
  <c r="AM554" i="4"/>
  <c r="AL554" i="4"/>
  <c r="AK554" i="4"/>
  <c r="AJ554" i="4"/>
  <c r="AI554" i="4"/>
  <c r="AH554" i="4"/>
  <c r="AG554" i="4"/>
  <c r="AF554" i="4"/>
  <c r="AE554" i="4"/>
  <c r="AD554" i="4"/>
  <c r="AC554" i="4"/>
  <c r="AB554" i="4"/>
  <c r="AA554" i="4"/>
  <c r="Z554" i="4"/>
  <c r="Y554" i="4"/>
  <c r="X554" i="4"/>
  <c r="W554" i="4"/>
  <c r="V554" i="4"/>
  <c r="U554" i="4"/>
  <c r="T554" i="4"/>
  <c r="S554" i="4"/>
  <c r="R554" i="4"/>
  <c r="Q554" i="4"/>
  <c r="P554" i="4"/>
  <c r="O554" i="4"/>
  <c r="N554" i="4"/>
  <c r="M554" i="4"/>
  <c r="L554" i="4"/>
  <c r="K554" i="4"/>
  <c r="J554" i="4"/>
  <c r="I554" i="4"/>
  <c r="H554" i="4"/>
  <c r="G554" i="4"/>
  <c r="F554" i="4"/>
  <c r="E554" i="4"/>
  <c r="D554" i="4"/>
  <c r="C554" i="4"/>
  <c r="B554" i="4"/>
  <c r="A554" i="4"/>
  <c r="AM553" i="4"/>
  <c r="AL553" i="4"/>
  <c r="AK553" i="4"/>
  <c r="AJ553" i="4"/>
  <c r="AI553" i="4"/>
  <c r="AH553" i="4"/>
  <c r="AG553" i="4"/>
  <c r="AF553" i="4"/>
  <c r="AE553" i="4"/>
  <c r="AD553" i="4"/>
  <c r="AC553" i="4"/>
  <c r="AB553" i="4"/>
  <c r="AA553" i="4"/>
  <c r="Z553" i="4"/>
  <c r="L553" i="4"/>
  <c r="K553" i="4"/>
  <c r="J553" i="4"/>
  <c r="I553" i="4"/>
  <c r="H553" i="4"/>
  <c r="G553" i="4"/>
  <c r="F553" i="4"/>
  <c r="E553" i="4"/>
  <c r="D553" i="4"/>
  <c r="C553" i="4"/>
  <c r="B553" i="4"/>
  <c r="A553" i="4"/>
  <c r="AC552" i="4"/>
  <c r="AB552" i="4"/>
  <c r="AA552" i="4"/>
  <c r="Z552" i="4"/>
  <c r="M552" i="4"/>
  <c r="L552" i="4"/>
  <c r="K552" i="4"/>
  <c r="J552" i="4"/>
  <c r="I552" i="4"/>
  <c r="H552" i="4"/>
  <c r="G552" i="4"/>
  <c r="F552" i="4"/>
  <c r="E552" i="4"/>
  <c r="D552" i="4"/>
  <c r="C552" i="4"/>
  <c r="B552" i="4"/>
  <c r="A552" i="4"/>
  <c r="AB551" i="4"/>
  <c r="AA551" i="4"/>
  <c r="Z551" i="4"/>
  <c r="L551" i="4"/>
  <c r="K551" i="4"/>
  <c r="J551" i="4"/>
  <c r="I551" i="4"/>
  <c r="H551" i="4"/>
  <c r="G551" i="4"/>
  <c r="F551" i="4"/>
  <c r="E551" i="4"/>
  <c r="D551" i="4"/>
  <c r="C551" i="4"/>
  <c r="B551" i="4"/>
  <c r="A551" i="4"/>
  <c r="AM550" i="4"/>
  <c r="AL550" i="4"/>
  <c r="AK550" i="4"/>
  <c r="AJ550" i="4"/>
  <c r="AI550" i="4"/>
  <c r="AH550" i="4"/>
  <c r="AG550" i="4"/>
  <c r="AF550" i="4"/>
  <c r="AE550" i="4"/>
  <c r="AD550" i="4"/>
  <c r="AC550" i="4"/>
  <c r="AB550" i="4"/>
  <c r="AA550" i="4"/>
  <c r="Z550" i="4"/>
  <c r="Y550" i="4"/>
  <c r="X550" i="4"/>
  <c r="W550" i="4"/>
  <c r="V550" i="4"/>
  <c r="U550" i="4"/>
  <c r="T550" i="4"/>
  <c r="S550" i="4"/>
  <c r="R550" i="4"/>
  <c r="Q550" i="4"/>
  <c r="P550" i="4"/>
  <c r="O550" i="4"/>
  <c r="N550" i="4"/>
  <c r="M550" i="4"/>
  <c r="L550" i="4"/>
  <c r="K550" i="4"/>
  <c r="J550" i="4"/>
  <c r="I550" i="4"/>
  <c r="H550" i="4"/>
  <c r="G550" i="4"/>
  <c r="F550" i="4"/>
  <c r="E550" i="4"/>
  <c r="D550" i="4"/>
  <c r="C550" i="4"/>
  <c r="B550" i="4"/>
  <c r="A550" i="4"/>
  <c r="AM549" i="4"/>
  <c r="AL549" i="4"/>
  <c r="AK549" i="4"/>
  <c r="AJ549" i="4"/>
  <c r="AI549" i="4"/>
  <c r="AH549" i="4"/>
  <c r="AG549" i="4"/>
  <c r="AF549" i="4"/>
  <c r="AE549" i="4"/>
  <c r="AD549" i="4"/>
  <c r="AC549" i="4"/>
  <c r="AB549" i="4"/>
  <c r="AA549" i="4"/>
  <c r="Z549" i="4"/>
  <c r="L549" i="4"/>
  <c r="K549" i="4"/>
  <c r="J549" i="4"/>
  <c r="I549" i="4"/>
  <c r="H549" i="4"/>
  <c r="G549" i="4"/>
  <c r="F549" i="4"/>
  <c r="E549" i="4"/>
  <c r="D549" i="4"/>
  <c r="C549" i="4"/>
  <c r="B549" i="4"/>
  <c r="A549" i="4"/>
  <c r="AC548" i="4"/>
  <c r="AB548" i="4"/>
  <c r="AA548" i="4"/>
  <c r="Z548" i="4"/>
  <c r="M548" i="4"/>
  <c r="L548" i="4"/>
  <c r="K548" i="4"/>
  <c r="J548" i="4"/>
  <c r="I548" i="4"/>
  <c r="H548" i="4"/>
  <c r="G548" i="4"/>
  <c r="F548" i="4"/>
  <c r="E548" i="4"/>
  <c r="D548" i="4"/>
  <c r="C548" i="4"/>
  <c r="B548" i="4"/>
  <c r="A548" i="4"/>
  <c r="AB547" i="4"/>
  <c r="AA547" i="4"/>
  <c r="Z547" i="4"/>
  <c r="L547" i="4"/>
  <c r="K547" i="4"/>
  <c r="J547" i="4"/>
  <c r="I547" i="4"/>
  <c r="H547" i="4"/>
  <c r="G547" i="4"/>
  <c r="F547" i="4"/>
  <c r="E547" i="4"/>
  <c r="D547" i="4"/>
  <c r="C547" i="4"/>
  <c r="B547" i="4"/>
  <c r="A547" i="4"/>
  <c r="AM546" i="4"/>
  <c r="AL546" i="4"/>
  <c r="AK546" i="4"/>
  <c r="AJ546" i="4"/>
  <c r="AI546" i="4"/>
  <c r="AH546" i="4"/>
  <c r="AG546" i="4"/>
  <c r="AF546" i="4"/>
  <c r="AE546" i="4"/>
  <c r="AD546" i="4"/>
  <c r="AC546" i="4"/>
  <c r="AB546" i="4"/>
  <c r="AA546" i="4"/>
  <c r="Z546" i="4"/>
  <c r="Y546" i="4"/>
  <c r="X546" i="4"/>
  <c r="W546" i="4"/>
  <c r="V546" i="4"/>
  <c r="T546" i="4"/>
  <c r="S546" i="4"/>
  <c r="R546" i="4"/>
  <c r="Q546" i="4"/>
  <c r="P546" i="4"/>
  <c r="O546" i="4"/>
  <c r="N546" i="4"/>
  <c r="M546" i="4"/>
  <c r="L546" i="4"/>
  <c r="K546" i="4"/>
  <c r="J546" i="4"/>
  <c r="I546" i="4"/>
  <c r="H546" i="4"/>
  <c r="G546" i="4"/>
  <c r="F546" i="4"/>
  <c r="E546" i="4"/>
  <c r="D546" i="4"/>
  <c r="C546" i="4"/>
  <c r="B546" i="4"/>
  <c r="A546" i="4"/>
  <c r="AM545" i="4"/>
  <c r="AL545" i="4"/>
  <c r="AK545" i="4"/>
  <c r="AJ545" i="4"/>
  <c r="AI545" i="4"/>
  <c r="AH545" i="4"/>
  <c r="AG545" i="4"/>
  <c r="AC545" i="4"/>
  <c r="AB545" i="4"/>
  <c r="AA545" i="4"/>
  <c r="Z545" i="4"/>
  <c r="Y545" i="4"/>
  <c r="X545" i="4"/>
  <c r="W545" i="4"/>
  <c r="V545" i="4"/>
  <c r="R545" i="4"/>
  <c r="L545" i="4"/>
  <c r="K545" i="4"/>
  <c r="J545" i="4"/>
  <c r="I545" i="4"/>
  <c r="H545" i="4"/>
  <c r="G545" i="4"/>
  <c r="F545" i="4"/>
  <c r="E545" i="4"/>
  <c r="D545" i="4"/>
  <c r="C545" i="4"/>
  <c r="B545" i="4"/>
  <c r="A545" i="4"/>
  <c r="AB544" i="4"/>
  <c r="AA544" i="4"/>
  <c r="Z544" i="4"/>
  <c r="M544" i="4"/>
  <c r="L544" i="4"/>
  <c r="K544" i="4"/>
  <c r="J544" i="4"/>
  <c r="I544" i="4"/>
  <c r="H544" i="4"/>
  <c r="G544" i="4"/>
  <c r="F544" i="4"/>
  <c r="E544" i="4"/>
  <c r="D544" i="4"/>
  <c r="C544" i="4"/>
  <c r="B544" i="4"/>
  <c r="A544" i="4"/>
  <c r="AM543" i="4"/>
  <c r="AL543" i="4"/>
  <c r="AK543" i="4"/>
  <c r="AJ543" i="4"/>
  <c r="AI543" i="4"/>
  <c r="AH543" i="4"/>
  <c r="AG543" i="4"/>
  <c r="AF543" i="4"/>
  <c r="AE543" i="4"/>
  <c r="AD543" i="4"/>
  <c r="AC543" i="4"/>
  <c r="AB543" i="4"/>
  <c r="AA543" i="4"/>
  <c r="Z543" i="4"/>
  <c r="Y543" i="4"/>
  <c r="X543" i="4"/>
  <c r="W543" i="4"/>
  <c r="V543" i="4"/>
  <c r="S543" i="4"/>
  <c r="R543" i="4"/>
  <c r="Q543" i="4"/>
  <c r="P543" i="4"/>
  <c r="O543" i="4"/>
  <c r="N543" i="4"/>
  <c r="M543" i="4"/>
  <c r="L543" i="4"/>
  <c r="K543" i="4"/>
  <c r="J543" i="4"/>
  <c r="I543" i="4"/>
  <c r="H543" i="4"/>
  <c r="G543" i="4"/>
  <c r="F543" i="4"/>
  <c r="E543" i="4"/>
  <c r="D543" i="4"/>
  <c r="C543" i="4"/>
  <c r="B543" i="4"/>
  <c r="A543" i="4"/>
  <c r="AM542" i="4"/>
  <c r="AL542" i="4"/>
  <c r="AK542" i="4"/>
  <c r="AJ542" i="4"/>
  <c r="AI542" i="4"/>
  <c r="AH542" i="4"/>
  <c r="AG542" i="4"/>
  <c r="AF542" i="4"/>
  <c r="AE542" i="4"/>
  <c r="AD542" i="4"/>
  <c r="AC542" i="4"/>
  <c r="AB542" i="4"/>
  <c r="AA542" i="4"/>
  <c r="Z542" i="4"/>
  <c r="Y542" i="4"/>
  <c r="X542" i="4"/>
  <c r="W542" i="4"/>
  <c r="V542" i="4"/>
  <c r="U542" i="4"/>
  <c r="T542" i="4"/>
  <c r="S542" i="4"/>
  <c r="R542" i="4"/>
  <c r="Q542" i="4"/>
  <c r="P542" i="4"/>
  <c r="O542" i="4"/>
  <c r="N542" i="4"/>
  <c r="M542" i="4"/>
  <c r="L542" i="4"/>
  <c r="K542" i="4"/>
  <c r="J542" i="4"/>
  <c r="I542" i="4"/>
  <c r="H542" i="4"/>
  <c r="G542" i="4"/>
  <c r="F542" i="4"/>
  <c r="E542" i="4"/>
  <c r="D542" i="4"/>
  <c r="C542" i="4"/>
  <c r="B542" i="4"/>
  <c r="A542" i="4"/>
  <c r="AM541" i="4"/>
  <c r="AL541" i="4"/>
  <c r="AK541" i="4"/>
  <c r="AJ541" i="4"/>
  <c r="AI541" i="4"/>
  <c r="AH541" i="4"/>
  <c r="AG541" i="4"/>
  <c r="AF541" i="4"/>
  <c r="AE541" i="4"/>
  <c r="AD541" i="4"/>
  <c r="AC541" i="4"/>
  <c r="AB541" i="4"/>
  <c r="AA541" i="4"/>
  <c r="Z541" i="4"/>
  <c r="Y541" i="4"/>
  <c r="X541" i="4"/>
  <c r="W541" i="4"/>
  <c r="V541" i="4"/>
  <c r="U541" i="4"/>
  <c r="T541" i="4"/>
  <c r="S541" i="4"/>
  <c r="R541" i="4"/>
  <c r="O541" i="4"/>
  <c r="N541" i="4"/>
  <c r="M541" i="4"/>
  <c r="L541" i="4"/>
  <c r="K541" i="4"/>
  <c r="J541" i="4"/>
  <c r="I541" i="4"/>
  <c r="H541" i="4"/>
  <c r="G541" i="4"/>
  <c r="F541" i="4"/>
  <c r="E541" i="4"/>
  <c r="D541" i="4"/>
  <c r="C541" i="4"/>
  <c r="B541" i="4"/>
  <c r="A541" i="4"/>
  <c r="AM540" i="4"/>
  <c r="AL540" i="4"/>
  <c r="AK540" i="4"/>
  <c r="AJ540" i="4"/>
  <c r="AI540" i="4"/>
  <c r="AH540" i="4"/>
  <c r="AG540" i="4"/>
  <c r="AF540" i="4"/>
  <c r="AE540" i="4"/>
  <c r="AD540" i="4"/>
  <c r="AC540" i="4"/>
  <c r="AB540" i="4"/>
  <c r="AA540" i="4"/>
  <c r="Z540" i="4"/>
  <c r="Y540" i="4"/>
  <c r="X540" i="4"/>
  <c r="W540" i="4"/>
  <c r="V540" i="4"/>
  <c r="U540" i="4"/>
  <c r="T540" i="4"/>
  <c r="S540" i="4"/>
  <c r="R540" i="4"/>
  <c r="Q540" i="4"/>
  <c r="P540" i="4"/>
  <c r="O540" i="4"/>
  <c r="N540" i="4"/>
  <c r="M540" i="4"/>
  <c r="L540" i="4"/>
  <c r="K540" i="4"/>
  <c r="J540" i="4"/>
  <c r="I540" i="4"/>
  <c r="H540" i="4"/>
  <c r="G540" i="4"/>
  <c r="F540" i="4"/>
  <c r="E540" i="4"/>
  <c r="D540" i="4"/>
  <c r="C540" i="4"/>
  <c r="B540" i="4"/>
  <c r="A540" i="4"/>
  <c r="AM539" i="4"/>
  <c r="AL539" i="4"/>
  <c r="AK539" i="4"/>
  <c r="AJ539" i="4"/>
  <c r="AI539" i="4"/>
  <c r="AH539" i="4"/>
  <c r="AG539" i="4"/>
  <c r="AF539" i="4"/>
  <c r="AE539" i="4"/>
  <c r="AD539" i="4"/>
  <c r="AC539" i="4"/>
  <c r="AB539" i="4"/>
  <c r="AA539" i="4"/>
  <c r="Z539" i="4"/>
  <c r="Y539" i="4"/>
  <c r="X539" i="4"/>
  <c r="W539" i="4"/>
  <c r="V539" i="4"/>
  <c r="U539" i="4"/>
  <c r="T539" i="4"/>
  <c r="S539" i="4"/>
  <c r="R539" i="4"/>
  <c r="Q539" i="4"/>
  <c r="P539" i="4"/>
  <c r="O539" i="4"/>
  <c r="N539" i="4"/>
  <c r="M539" i="4"/>
  <c r="L539" i="4"/>
  <c r="K539" i="4"/>
  <c r="J539" i="4"/>
  <c r="I539" i="4"/>
  <c r="H539" i="4"/>
  <c r="G539" i="4"/>
  <c r="F539" i="4"/>
  <c r="E539" i="4"/>
  <c r="D539" i="4"/>
  <c r="C539" i="4"/>
  <c r="B539" i="4"/>
  <c r="A539" i="4"/>
  <c r="AM538" i="4"/>
  <c r="AL538" i="4"/>
  <c r="AK538" i="4"/>
  <c r="AJ538" i="4"/>
  <c r="AI538" i="4"/>
  <c r="AH538" i="4"/>
  <c r="AG538" i="4"/>
  <c r="AF538" i="4"/>
  <c r="AE538" i="4"/>
  <c r="AD538" i="4"/>
  <c r="AC538" i="4"/>
  <c r="AB538" i="4"/>
  <c r="AA538" i="4"/>
  <c r="Z538" i="4"/>
  <c r="Y538" i="4"/>
  <c r="X538" i="4"/>
  <c r="W538" i="4"/>
  <c r="V538" i="4"/>
  <c r="U538" i="4"/>
  <c r="T538" i="4"/>
  <c r="S538" i="4"/>
  <c r="R538" i="4"/>
  <c r="Q538" i="4"/>
  <c r="P538" i="4"/>
  <c r="O538" i="4"/>
  <c r="N538" i="4"/>
  <c r="M538" i="4"/>
  <c r="L538" i="4"/>
  <c r="K538" i="4"/>
  <c r="J538" i="4"/>
  <c r="I538" i="4"/>
  <c r="H538" i="4"/>
  <c r="G538" i="4"/>
  <c r="F538" i="4"/>
  <c r="E538" i="4"/>
  <c r="D538" i="4"/>
  <c r="C538" i="4"/>
  <c r="B538" i="4"/>
  <c r="A538" i="4"/>
  <c r="AM537" i="4"/>
  <c r="AL537" i="4"/>
  <c r="AK537" i="4"/>
  <c r="AJ537" i="4"/>
  <c r="AI537" i="4"/>
  <c r="AH537" i="4"/>
  <c r="AG537" i="4"/>
  <c r="AF537" i="4"/>
  <c r="AE537" i="4"/>
  <c r="AD537" i="4"/>
  <c r="AC537" i="4"/>
  <c r="AB537" i="4"/>
  <c r="AA537" i="4"/>
  <c r="Z537" i="4"/>
  <c r="Y537" i="4"/>
  <c r="X537" i="4"/>
  <c r="W537" i="4"/>
  <c r="V537" i="4"/>
  <c r="U537" i="4"/>
  <c r="T537" i="4"/>
  <c r="S537" i="4"/>
  <c r="R537" i="4"/>
  <c r="Q537" i="4"/>
  <c r="P537" i="4"/>
  <c r="O537" i="4"/>
  <c r="N537" i="4"/>
  <c r="M537" i="4"/>
  <c r="L537" i="4"/>
  <c r="K537" i="4"/>
  <c r="J537" i="4"/>
  <c r="I537" i="4"/>
  <c r="H537" i="4"/>
  <c r="G537" i="4"/>
  <c r="F537" i="4"/>
  <c r="E537" i="4"/>
  <c r="D537" i="4"/>
  <c r="C537" i="4"/>
  <c r="B537" i="4"/>
  <c r="A537" i="4"/>
  <c r="AM536" i="4"/>
  <c r="AL536" i="4"/>
  <c r="AK536" i="4"/>
  <c r="AJ536" i="4"/>
  <c r="AI536" i="4"/>
  <c r="AH536" i="4"/>
  <c r="AG536" i="4"/>
  <c r="AF536" i="4"/>
  <c r="AE536" i="4"/>
  <c r="AD536" i="4"/>
  <c r="AC536" i="4"/>
  <c r="AB536" i="4"/>
  <c r="AA536" i="4"/>
  <c r="Z536" i="4"/>
  <c r="Y536" i="4"/>
  <c r="X536" i="4"/>
  <c r="W536" i="4"/>
  <c r="V536" i="4"/>
  <c r="U536" i="4"/>
  <c r="T536" i="4"/>
  <c r="S536" i="4"/>
  <c r="R536" i="4"/>
  <c r="Q536" i="4"/>
  <c r="P536" i="4"/>
  <c r="O536" i="4"/>
  <c r="N536" i="4"/>
  <c r="M536" i="4"/>
  <c r="L536" i="4"/>
  <c r="K536" i="4"/>
  <c r="J536" i="4"/>
  <c r="I536" i="4"/>
  <c r="H536" i="4"/>
  <c r="G536" i="4"/>
  <c r="F536" i="4"/>
  <c r="E536" i="4"/>
  <c r="D536" i="4"/>
  <c r="C536" i="4"/>
  <c r="B536" i="4"/>
  <c r="A536" i="4"/>
  <c r="AM535" i="4"/>
  <c r="AL535" i="4"/>
  <c r="AK535" i="4"/>
  <c r="AJ535" i="4"/>
  <c r="AI535" i="4"/>
  <c r="AH535" i="4"/>
  <c r="AG535" i="4"/>
  <c r="AF535" i="4"/>
  <c r="AE535" i="4"/>
  <c r="AD535" i="4"/>
  <c r="AC535" i="4"/>
  <c r="AB535" i="4"/>
  <c r="AA535" i="4"/>
  <c r="Z535" i="4"/>
  <c r="Y535" i="4"/>
  <c r="X535" i="4"/>
  <c r="W535" i="4"/>
  <c r="V535" i="4"/>
  <c r="U535" i="4"/>
  <c r="T535" i="4"/>
  <c r="S535" i="4"/>
  <c r="R535" i="4"/>
  <c r="Q535" i="4"/>
  <c r="P535" i="4"/>
  <c r="O535" i="4"/>
  <c r="N535" i="4"/>
  <c r="M535" i="4"/>
  <c r="L535" i="4"/>
  <c r="K535" i="4"/>
  <c r="J535" i="4"/>
  <c r="I535" i="4"/>
  <c r="H535" i="4"/>
  <c r="G535" i="4"/>
  <c r="F535" i="4"/>
  <c r="E535" i="4"/>
  <c r="D535" i="4"/>
  <c r="C535" i="4"/>
  <c r="B535" i="4"/>
  <c r="A535" i="4"/>
  <c r="AM534" i="4"/>
  <c r="AL534" i="4"/>
  <c r="AK534" i="4"/>
  <c r="AJ534" i="4"/>
  <c r="AI534" i="4"/>
  <c r="AH534" i="4"/>
  <c r="AG534" i="4"/>
  <c r="AF534" i="4"/>
  <c r="AE534" i="4"/>
  <c r="AD534" i="4"/>
  <c r="AC534" i="4"/>
  <c r="AB534" i="4"/>
  <c r="AA534" i="4"/>
  <c r="Z534" i="4"/>
  <c r="T534" i="4"/>
  <c r="S534" i="4"/>
  <c r="R534" i="4"/>
  <c r="Q534" i="4"/>
  <c r="P534" i="4"/>
  <c r="O534" i="4"/>
  <c r="N534" i="4"/>
  <c r="M534" i="4"/>
  <c r="L534" i="4"/>
  <c r="K534" i="4"/>
  <c r="J534" i="4"/>
  <c r="I534" i="4"/>
  <c r="H534" i="4"/>
  <c r="G534" i="4"/>
  <c r="F534" i="4"/>
  <c r="E534" i="4"/>
  <c r="D534" i="4"/>
  <c r="C534" i="4"/>
  <c r="B534" i="4"/>
  <c r="A534" i="4"/>
  <c r="AD533" i="4"/>
  <c r="AC533" i="4"/>
  <c r="AB533" i="4"/>
  <c r="AA533" i="4"/>
  <c r="Z533" i="4"/>
  <c r="T533" i="4"/>
  <c r="S533" i="4"/>
  <c r="R533" i="4"/>
  <c r="Q533" i="4"/>
  <c r="P533" i="4"/>
  <c r="O533" i="4"/>
  <c r="N533" i="4"/>
  <c r="M533" i="4"/>
  <c r="L533" i="4"/>
  <c r="K533" i="4"/>
  <c r="J533" i="4"/>
  <c r="I533" i="4"/>
  <c r="H533" i="4"/>
  <c r="G533" i="4"/>
  <c r="F533" i="4"/>
  <c r="E533" i="4"/>
  <c r="D533" i="4"/>
  <c r="C533" i="4"/>
  <c r="B533" i="4"/>
  <c r="A533" i="4"/>
  <c r="AD532" i="4"/>
  <c r="AC532" i="4"/>
  <c r="AB532" i="4"/>
  <c r="AA532" i="4"/>
  <c r="Z532" i="4"/>
  <c r="T532" i="4"/>
  <c r="S532" i="4"/>
  <c r="R532" i="4"/>
  <c r="Q532" i="4"/>
  <c r="P532" i="4"/>
  <c r="O532" i="4"/>
  <c r="N532" i="4"/>
  <c r="M532" i="4"/>
  <c r="L532" i="4"/>
  <c r="K532" i="4"/>
  <c r="J532" i="4"/>
  <c r="I532" i="4"/>
  <c r="H532" i="4"/>
  <c r="G532" i="4"/>
  <c r="F532" i="4"/>
  <c r="E532" i="4"/>
  <c r="D532" i="4"/>
  <c r="C532" i="4"/>
  <c r="B532" i="4"/>
  <c r="A532" i="4"/>
  <c r="AD531" i="4"/>
  <c r="AC531" i="4"/>
  <c r="AB531" i="4"/>
  <c r="AA531" i="4"/>
  <c r="Z531" i="4"/>
  <c r="T531" i="4"/>
  <c r="S531" i="4"/>
  <c r="R531" i="4"/>
  <c r="Q531" i="4"/>
  <c r="P531" i="4"/>
  <c r="O531" i="4"/>
  <c r="N531" i="4"/>
  <c r="M531" i="4"/>
  <c r="L531" i="4"/>
  <c r="K531" i="4"/>
  <c r="J531" i="4"/>
  <c r="I531" i="4"/>
  <c r="H531" i="4"/>
  <c r="G531" i="4"/>
  <c r="F531" i="4"/>
  <c r="E531" i="4"/>
  <c r="D531" i="4"/>
  <c r="C531" i="4"/>
  <c r="B531" i="4"/>
  <c r="A531" i="4"/>
  <c r="AM530" i="4"/>
  <c r="AL530" i="4"/>
  <c r="AK530" i="4"/>
  <c r="AJ530" i="4"/>
  <c r="AI530" i="4"/>
  <c r="AH530" i="4"/>
  <c r="AG530" i="4"/>
  <c r="AF530" i="4"/>
  <c r="AE530" i="4"/>
  <c r="AD530" i="4"/>
  <c r="AC530" i="4"/>
  <c r="AB530" i="4"/>
  <c r="AA530" i="4"/>
  <c r="Z530" i="4"/>
  <c r="Y530" i="4"/>
  <c r="X530" i="4"/>
  <c r="W530" i="4"/>
  <c r="V530" i="4"/>
  <c r="U530" i="4"/>
  <c r="T530" i="4"/>
  <c r="S530" i="4"/>
  <c r="R530" i="4"/>
  <c r="Q530" i="4"/>
  <c r="P530" i="4"/>
  <c r="O530" i="4"/>
  <c r="N530" i="4"/>
  <c r="M530" i="4"/>
  <c r="L530" i="4"/>
  <c r="K530" i="4"/>
  <c r="J530" i="4"/>
  <c r="I530" i="4"/>
  <c r="H530" i="4"/>
  <c r="G530" i="4"/>
  <c r="F530" i="4"/>
  <c r="E530" i="4"/>
  <c r="D530" i="4"/>
  <c r="C530" i="4"/>
  <c r="B530" i="4"/>
  <c r="A530" i="4"/>
  <c r="AM529" i="4"/>
  <c r="AL529" i="4"/>
  <c r="AK529" i="4"/>
  <c r="AJ529" i="4"/>
  <c r="AI529" i="4"/>
  <c r="AH529" i="4"/>
  <c r="AG529" i="4"/>
  <c r="AF529" i="4"/>
  <c r="AE529" i="4"/>
  <c r="AD529" i="4"/>
  <c r="AC529" i="4"/>
  <c r="AB529" i="4"/>
  <c r="AA529" i="4"/>
  <c r="Z529" i="4"/>
  <c r="Y529" i="4"/>
  <c r="X529" i="4"/>
  <c r="W529" i="4"/>
  <c r="V529" i="4"/>
  <c r="U529" i="4"/>
  <c r="T529" i="4"/>
  <c r="S529" i="4"/>
  <c r="R529" i="4"/>
  <c r="Q529" i="4"/>
  <c r="P529" i="4"/>
  <c r="O529" i="4"/>
  <c r="N529" i="4"/>
  <c r="M529" i="4"/>
  <c r="L529" i="4"/>
  <c r="K529" i="4"/>
  <c r="J529" i="4"/>
  <c r="I529" i="4"/>
  <c r="H529" i="4"/>
  <c r="G529" i="4"/>
  <c r="F529" i="4"/>
  <c r="E529" i="4"/>
  <c r="D529" i="4"/>
  <c r="C529" i="4"/>
  <c r="B529" i="4"/>
  <c r="A529" i="4"/>
  <c r="AC528" i="4"/>
  <c r="AB528" i="4"/>
  <c r="AA528" i="4"/>
  <c r="Z528" i="4"/>
  <c r="M528" i="4"/>
  <c r="L528" i="4"/>
  <c r="K528" i="4"/>
  <c r="J528" i="4"/>
  <c r="I528" i="4"/>
  <c r="H528" i="4"/>
  <c r="G528" i="4"/>
  <c r="F528" i="4"/>
  <c r="E528" i="4"/>
  <c r="D528" i="4"/>
  <c r="C528" i="4"/>
  <c r="B528" i="4"/>
  <c r="A528" i="4"/>
  <c r="AC527" i="4"/>
  <c r="AB527" i="4"/>
  <c r="AA527" i="4"/>
  <c r="Z527" i="4"/>
  <c r="R527" i="4"/>
  <c r="M527" i="4"/>
  <c r="L527" i="4"/>
  <c r="K527" i="4"/>
  <c r="J527" i="4"/>
  <c r="I527" i="4"/>
  <c r="H527" i="4"/>
  <c r="G527" i="4"/>
  <c r="F527" i="4"/>
  <c r="E527" i="4"/>
  <c r="D527" i="4"/>
  <c r="C527" i="4"/>
  <c r="B527" i="4"/>
  <c r="A527" i="4"/>
  <c r="AC526" i="4"/>
  <c r="AB526" i="4"/>
  <c r="AA526" i="4"/>
  <c r="Z526" i="4"/>
  <c r="R526" i="4"/>
  <c r="M526" i="4"/>
  <c r="L526" i="4"/>
  <c r="K526" i="4"/>
  <c r="J526" i="4"/>
  <c r="I526" i="4"/>
  <c r="H526" i="4"/>
  <c r="G526" i="4"/>
  <c r="F526" i="4"/>
  <c r="E526" i="4"/>
  <c r="D526" i="4"/>
  <c r="C526" i="4"/>
  <c r="B526" i="4"/>
  <c r="A526" i="4"/>
  <c r="AM525" i="4"/>
  <c r="AL525" i="4"/>
  <c r="AK525" i="4"/>
  <c r="AJ525" i="4"/>
  <c r="AI525" i="4"/>
  <c r="AH525" i="4"/>
  <c r="AG525" i="4"/>
  <c r="AF525" i="4"/>
  <c r="AE525" i="4"/>
  <c r="AD525" i="4"/>
  <c r="AC525" i="4"/>
  <c r="AB525" i="4"/>
  <c r="AA525" i="4"/>
  <c r="Z525" i="4"/>
  <c r="Y525" i="4"/>
  <c r="X525" i="4"/>
  <c r="W525" i="4"/>
  <c r="V525" i="4"/>
  <c r="U525" i="4"/>
  <c r="T525" i="4"/>
  <c r="S525" i="4"/>
  <c r="R525" i="4"/>
  <c r="Q525" i="4"/>
  <c r="P525" i="4"/>
  <c r="O525" i="4"/>
  <c r="N525" i="4"/>
  <c r="M525" i="4"/>
  <c r="L525" i="4"/>
  <c r="K525" i="4"/>
  <c r="J525" i="4"/>
  <c r="I525" i="4"/>
  <c r="H525" i="4"/>
  <c r="G525" i="4"/>
  <c r="F525" i="4"/>
  <c r="E525" i="4"/>
  <c r="D525" i="4"/>
  <c r="C525" i="4"/>
  <c r="B525" i="4"/>
  <c r="A525" i="4"/>
  <c r="AM524" i="4"/>
  <c r="AL524" i="4"/>
  <c r="AK524" i="4"/>
  <c r="AJ524" i="4"/>
  <c r="AI524" i="4"/>
  <c r="AH524" i="4"/>
  <c r="AG524" i="4"/>
  <c r="AF524" i="4"/>
  <c r="AE524" i="4"/>
  <c r="AD524" i="4"/>
  <c r="AC524" i="4"/>
  <c r="AB524" i="4"/>
  <c r="AA524" i="4"/>
  <c r="Z524" i="4"/>
  <c r="Y524" i="4"/>
  <c r="X524" i="4"/>
  <c r="W524" i="4"/>
  <c r="V524" i="4"/>
  <c r="U524" i="4"/>
  <c r="T524" i="4"/>
  <c r="S524" i="4"/>
  <c r="R524" i="4"/>
  <c r="Q524" i="4"/>
  <c r="P524" i="4"/>
  <c r="O524" i="4"/>
  <c r="N524" i="4"/>
  <c r="M524" i="4"/>
  <c r="L524" i="4"/>
  <c r="K524" i="4"/>
  <c r="J524" i="4"/>
  <c r="I524" i="4"/>
  <c r="H524" i="4"/>
  <c r="G524" i="4"/>
  <c r="F524" i="4"/>
  <c r="E524" i="4"/>
  <c r="D524" i="4"/>
  <c r="C524" i="4"/>
  <c r="B524" i="4"/>
  <c r="A524" i="4"/>
  <c r="AC523" i="4"/>
  <c r="AB523" i="4"/>
  <c r="AA523" i="4"/>
  <c r="Z523" i="4"/>
  <c r="M523" i="4"/>
  <c r="L523" i="4"/>
  <c r="K523" i="4"/>
  <c r="J523" i="4"/>
  <c r="I523" i="4"/>
  <c r="H523" i="4"/>
  <c r="G523" i="4"/>
  <c r="F523" i="4"/>
  <c r="E523" i="4"/>
  <c r="D523" i="4"/>
  <c r="C523" i="4"/>
  <c r="B523" i="4"/>
  <c r="A523" i="4"/>
  <c r="AC522" i="4"/>
  <c r="AB522" i="4"/>
  <c r="AA522" i="4"/>
  <c r="Z522" i="4"/>
  <c r="Y522" i="4"/>
  <c r="X522" i="4"/>
  <c r="W522" i="4"/>
  <c r="V522" i="4"/>
  <c r="U522" i="4"/>
  <c r="R522" i="4"/>
  <c r="Q522" i="4"/>
  <c r="P522" i="4"/>
  <c r="O522" i="4"/>
  <c r="N522" i="4"/>
  <c r="M522" i="4"/>
  <c r="L522" i="4"/>
  <c r="K522" i="4"/>
  <c r="J522" i="4"/>
  <c r="I522" i="4"/>
  <c r="H522" i="4"/>
  <c r="G522" i="4"/>
  <c r="F522" i="4"/>
  <c r="E522" i="4"/>
  <c r="D522" i="4"/>
  <c r="C522" i="4"/>
  <c r="B522" i="4"/>
  <c r="A522" i="4"/>
  <c r="AC521" i="4"/>
  <c r="AB521" i="4"/>
  <c r="AA521" i="4"/>
  <c r="Z521" i="4"/>
  <c r="T521" i="4"/>
  <c r="S521" i="4"/>
  <c r="R521" i="4"/>
  <c r="O521" i="4"/>
  <c r="N521" i="4"/>
  <c r="M521" i="4"/>
  <c r="L521" i="4"/>
  <c r="K521" i="4"/>
  <c r="J521" i="4"/>
  <c r="I521" i="4"/>
  <c r="H521" i="4"/>
  <c r="G521" i="4"/>
  <c r="F521" i="4"/>
  <c r="E521" i="4"/>
  <c r="D521" i="4"/>
  <c r="C521" i="4"/>
  <c r="B521" i="4"/>
  <c r="A521" i="4"/>
  <c r="AM520" i="4"/>
  <c r="AL520" i="4"/>
  <c r="AK520" i="4"/>
  <c r="AJ520" i="4"/>
  <c r="AI520" i="4"/>
  <c r="AH520" i="4"/>
  <c r="AG520" i="4"/>
  <c r="AF520" i="4"/>
  <c r="AE520" i="4"/>
  <c r="AD520" i="4"/>
  <c r="AC520" i="4"/>
  <c r="AB520" i="4"/>
  <c r="AA520" i="4"/>
  <c r="Z520" i="4"/>
  <c r="Y520" i="4"/>
  <c r="X520" i="4"/>
  <c r="W520" i="4"/>
  <c r="V520" i="4"/>
  <c r="U520" i="4"/>
  <c r="T520" i="4"/>
  <c r="S520" i="4"/>
  <c r="R520" i="4"/>
  <c r="Q520" i="4"/>
  <c r="P520" i="4"/>
  <c r="O520" i="4"/>
  <c r="N520" i="4"/>
  <c r="M520" i="4"/>
  <c r="L520" i="4"/>
  <c r="K520" i="4"/>
  <c r="J520" i="4"/>
  <c r="I520" i="4"/>
  <c r="H520" i="4"/>
  <c r="G520" i="4"/>
  <c r="F520" i="4"/>
  <c r="E520" i="4"/>
  <c r="D520" i="4"/>
  <c r="C520" i="4"/>
  <c r="B520" i="4"/>
  <c r="A520" i="4"/>
  <c r="AM519" i="4"/>
  <c r="AL519" i="4"/>
  <c r="AK519" i="4"/>
  <c r="AJ519" i="4"/>
  <c r="AI519" i="4"/>
  <c r="AH519" i="4"/>
  <c r="AG519" i="4"/>
  <c r="AF519" i="4"/>
  <c r="AE519" i="4"/>
  <c r="AD519" i="4"/>
  <c r="AC519" i="4"/>
  <c r="AB519" i="4"/>
  <c r="AA519" i="4"/>
  <c r="Z519" i="4"/>
  <c r="Y519" i="4"/>
  <c r="X519" i="4"/>
  <c r="W519" i="4"/>
  <c r="V519" i="4"/>
  <c r="U519" i="4"/>
  <c r="T519" i="4"/>
  <c r="S519" i="4"/>
  <c r="R519" i="4"/>
  <c r="Q519" i="4"/>
  <c r="P519" i="4"/>
  <c r="O519" i="4"/>
  <c r="N519" i="4"/>
  <c r="M519" i="4"/>
  <c r="L519" i="4"/>
  <c r="K519" i="4"/>
  <c r="J519" i="4"/>
  <c r="I519" i="4"/>
  <c r="H519" i="4"/>
  <c r="G519" i="4"/>
  <c r="F519" i="4"/>
  <c r="E519" i="4"/>
  <c r="D519" i="4"/>
  <c r="C519" i="4"/>
  <c r="B519" i="4"/>
  <c r="A519" i="4"/>
  <c r="AD518" i="4"/>
  <c r="AC518" i="4"/>
  <c r="AB518" i="4"/>
  <c r="AA518" i="4"/>
  <c r="Z518" i="4"/>
  <c r="S518" i="4"/>
  <c r="O518" i="4"/>
  <c r="M518" i="4"/>
  <c r="L518" i="4"/>
  <c r="K518" i="4"/>
  <c r="J518" i="4"/>
  <c r="I518" i="4"/>
  <c r="H518" i="4"/>
  <c r="G518" i="4"/>
  <c r="F518" i="4"/>
  <c r="E518" i="4"/>
  <c r="D518" i="4"/>
  <c r="C518" i="4"/>
  <c r="B518" i="4"/>
  <c r="A518" i="4"/>
  <c r="AC517" i="4"/>
  <c r="AB517" i="4"/>
  <c r="AA517" i="4"/>
  <c r="Z517" i="4"/>
  <c r="T517" i="4"/>
  <c r="S517" i="4"/>
  <c r="R517" i="4"/>
  <c r="O517" i="4"/>
  <c r="M517" i="4"/>
  <c r="L517" i="4"/>
  <c r="K517" i="4"/>
  <c r="J517" i="4"/>
  <c r="I517" i="4"/>
  <c r="H517" i="4"/>
  <c r="G517" i="4"/>
  <c r="F517" i="4"/>
  <c r="E517" i="4"/>
  <c r="D517" i="4"/>
  <c r="C517" i="4"/>
  <c r="B517" i="4"/>
  <c r="A517" i="4"/>
  <c r="AM516" i="4"/>
  <c r="AL516" i="4"/>
  <c r="AK516" i="4"/>
  <c r="AJ516" i="4"/>
  <c r="AI516" i="4"/>
  <c r="AH516" i="4"/>
  <c r="AG516" i="4"/>
  <c r="AF516" i="4"/>
  <c r="AE516" i="4"/>
  <c r="AD516" i="4"/>
  <c r="AC516" i="4"/>
  <c r="AB516" i="4"/>
  <c r="AA516" i="4"/>
  <c r="Z516" i="4"/>
  <c r="Y516" i="4"/>
  <c r="X516" i="4"/>
  <c r="W516" i="4"/>
  <c r="V516" i="4"/>
  <c r="U516" i="4"/>
  <c r="T516" i="4"/>
  <c r="S516" i="4"/>
  <c r="R516" i="4"/>
  <c r="Q516" i="4"/>
  <c r="P516" i="4"/>
  <c r="O516" i="4"/>
  <c r="N516" i="4"/>
  <c r="M516" i="4"/>
  <c r="L516" i="4"/>
  <c r="K516" i="4"/>
  <c r="J516" i="4"/>
  <c r="I516" i="4"/>
  <c r="H516" i="4"/>
  <c r="G516" i="4"/>
  <c r="F516" i="4"/>
  <c r="E516" i="4"/>
  <c r="D516" i="4"/>
  <c r="C516" i="4"/>
  <c r="B516" i="4"/>
  <c r="A516" i="4"/>
  <c r="AM515" i="4"/>
  <c r="AL515" i="4"/>
  <c r="AK515" i="4"/>
  <c r="AJ515" i="4"/>
  <c r="AI515" i="4"/>
  <c r="AH515" i="4"/>
  <c r="AG515" i="4"/>
  <c r="AF515" i="4"/>
  <c r="AE515" i="4"/>
  <c r="AD515" i="4"/>
  <c r="AC515" i="4"/>
  <c r="AB515" i="4"/>
  <c r="AA515" i="4"/>
  <c r="Z515" i="4"/>
  <c r="T515" i="4"/>
  <c r="S515" i="4"/>
  <c r="M515" i="4"/>
  <c r="L515" i="4"/>
  <c r="K515" i="4"/>
  <c r="J515" i="4"/>
  <c r="I515" i="4"/>
  <c r="H515" i="4"/>
  <c r="G515" i="4"/>
  <c r="F515" i="4"/>
  <c r="E515" i="4"/>
  <c r="D515" i="4"/>
  <c r="C515" i="4"/>
  <c r="B515" i="4"/>
  <c r="A515" i="4"/>
  <c r="AD514" i="4"/>
  <c r="AC514" i="4"/>
  <c r="AB514" i="4"/>
  <c r="AA514" i="4"/>
  <c r="Z514" i="4"/>
  <c r="S514" i="4"/>
  <c r="O514" i="4"/>
  <c r="M514" i="4"/>
  <c r="L514" i="4"/>
  <c r="K514" i="4"/>
  <c r="J514" i="4"/>
  <c r="I514" i="4"/>
  <c r="H514" i="4"/>
  <c r="G514" i="4"/>
  <c r="F514" i="4"/>
  <c r="E514" i="4"/>
  <c r="D514" i="4"/>
  <c r="C514" i="4"/>
  <c r="B514" i="4"/>
  <c r="A514" i="4"/>
  <c r="AC513" i="4"/>
  <c r="AB513" i="4"/>
  <c r="AA513" i="4"/>
  <c r="Z513" i="4"/>
  <c r="T513" i="4"/>
  <c r="S513" i="4"/>
  <c r="R513" i="4"/>
  <c r="O513" i="4"/>
  <c r="N513" i="4"/>
  <c r="M513" i="4"/>
  <c r="L513" i="4"/>
  <c r="K513" i="4"/>
  <c r="J513" i="4"/>
  <c r="I513" i="4"/>
  <c r="H513" i="4"/>
  <c r="G513" i="4"/>
  <c r="F513" i="4"/>
  <c r="E513" i="4"/>
  <c r="D513" i="4"/>
  <c r="C513" i="4"/>
  <c r="B513" i="4"/>
  <c r="A513" i="4"/>
  <c r="AM512" i="4"/>
  <c r="AL512" i="4"/>
  <c r="AK512" i="4"/>
  <c r="AJ512" i="4"/>
  <c r="AI512" i="4"/>
  <c r="AH512" i="4"/>
  <c r="AG512" i="4"/>
  <c r="AF512" i="4"/>
  <c r="AE512" i="4"/>
  <c r="AD512" i="4"/>
  <c r="AC512" i="4"/>
  <c r="AB512" i="4"/>
  <c r="AA512" i="4"/>
  <c r="Z512" i="4"/>
  <c r="Y512" i="4"/>
  <c r="X512" i="4"/>
  <c r="W512" i="4"/>
  <c r="V512" i="4"/>
  <c r="U512" i="4"/>
  <c r="T512" i="4"/>
  <c r="S512" i="4"/>
  <c r="R512" i="4"/>
  <c r="Q512" i="4"/>
  <c r="P512" i="4"/>
  <c r="O512" i="4"/>
  <c r="N512" i="4"/>
  <c r="M512" i="4"/>
  <c r="L512" i="4"/>
  <c r="K512" i="4"/>
  <c r="J512" i="4"/>
  <c r="I512" i="4"/>
  <c r="H512" i="4"/>
  <c r="G512" i="4"/>
  <c r="F512" i="4"/>
  <c r="E512" i="4"/>
  <c r="D512" i="4"/>
  <c r="C512" i="4"/>
  <c r="B512" i="4"/>
  <c r="A512" i="4"/>
  <c r="AD511" i="4"/>
  <c r="AC511" i="4"/>
  <c r="AB511" i="4"/>
  <c r="AA511" i="4"/>
  <c r="Z511" i="4"/>
  <c r="T511" i="4"/>
  <c r="S511" i="4"/>
  <c r="R511" i="4"/>
  <c r="Q511" i="4"/>
  <c r="P511" i="4"/>
  <c r="O511" i="4"/>
  <c r="N511" i="4"/>
  <c r="M511" i="4"/>
  <c r="L511" i="4"/>
  <c r="K511" i="4"/>
  <c r="J511" i="4"/>
  <c r="I511" i="4"/>
  <c r="H511" i="4"/>
  <c r="G511" i="4"/>
  <c r="F511" i="4"/>
  <c r="E511" i="4"/>
  <c r="D511" i="4"/>
  <c r="C511" i="4"/>
  <c r="B511" i="4"/>
  <c r="A511" i="4"/>
  <c r="AD510" i="4"/>
  <c r="AC510" i="4"/>
  <c r="AB510" i="4"/>
  <c r="AA510" i="4"/>
  <c r="Z510" i="4"/>
  <c r="U510" i="4"/>
  <c r="T510" i="4"/>
  <c r="S510" i="4"/>
  <c r="R510" i="4"/>
  <c r="Q510" i="4"/>
  <c r="P510" i="4"/>
  <c r="O510" i="4"/>
  <c r="N510" i="4"/>
  <c r="M510" i="4"/>
  <c r="L510" i="4"/>
  <c r="K510" i="4"/>
  <c r="J510" i="4"/>
  <c r="I510" i="4"/>
  <c r="H510" i="4"/>
  <c r="G510" i="4"/>
  <c r="F510" i="4"/>
  <c r="E510" i="4"/>
  <c r="D510" i="4"/>
  <c r="C510" i="4"/>
  <c r="B510" i="4"/>
  <c r="A510" i="4"/>
  <c r="AM509" i="4"/>
  <c r="AL509" i="4"/>
  <c r="AK509" i="4"/>
  <c r="AJ509" i="4"/>
  <c r="AI509" i="4"/>
  <c r="AH509" i="4"/>
  <c r="AG509" i="4"/>
  <c r="AF509" i="4"/>
  <c r="AE509" i="4"/>
  <c r="AD509" i="4"/>
  <c r="AC509" i="4"/>
  <c r="AB509" i="4"/>
  <c r="AA509" i="4"/>
  <c r="Z509" i="4"/>
  <c r="Y509" i="4"/>
  <c r="X509" i="4"/>
  <c r="W509" i="4"/>
  <c r="V509" i="4"/>
  <c r="U509" i="4"/>
  <c r="T509" i="4"/>
  <c r="S509" i="4"/>
  <c r="R509" i="4"/>
  <c r="Q509" i="4"/>
  <c r="P509" i="4"/>
  <c r="O509" i="4"/>
  <c r="N509" i="4"/>
  <c r="M509" i="4"/>
  <c r="L509" i="4"/>
  <c r="K509" i="4"/>
  <c r="J509" i="4"/>
  <c r="I509" i="4"/>
  <c r="H509" i="4"/>
  <c r="G509" i="4"/>
  <c r="F509" i="4"/>
  <c r="E509" i="4"/>
  <c r="D509" i="4"/>
  <c r="C509" i="4"/>
  <c r="B509" i="4"/>
  <c r="A509" i="4"/>
  <c r="AD508" i="4"/>
  <c r="AC508" i="4"/>
  <c r="AB508" i="4"/>
  <c r="AA508" i="4"/>
  <c r="Z508" i="4"/>
  <c r="Y508" i="4"/>
  <c r="X508" i="4"/>
  <c r="W508" i="4"/>
  <c r="V508" i="4"/>
  <c r="U508" i="4"/>
  <c r="T508" i="4"/>
  <c r="S508" i="4"/>
  <c r="R508" i="4"/>
  <c r="Q508" i="4"/>
  <c r="P508" i="4"/>
  <c r="O508" i="4"/>
  <c r="N508" i="4"/>
  <c r="M508" i="4"/>
  <c r="L508" i="4"/>
  <c r="K508" i="4"/>
  <c r="J508" i="4"/>
  <c r="I508" i="4"/>
  <c r="H508" i="4"/>
  <c r="G508" i="4"/>
  <c r="F508" i="4"/>
  <c r="E508" i="4"/>
  <c r="D508" i="4"/>
  <c r="C508" i="4"/>
  <c r="B508" i="4"/>
  <c r="A508" i="4"/>
  <c r="AD507" i="4"/>
  <c r="AC507" i="4"/>
  <c r="AB507" i="4"/>
  <c r="AA507" i="4"/>
  <c r="Z507" i="4"/>
  <c r="Y507" i="4"/>
  <c r="X507" i="4"/>
  <c r="W507" i="4"/>
  <c r="V507" i="4"/>
  <c r="U507" i="4"/>
  <c r="T507" i="4"/>
  <c r="S507" i="4"/>
  <c r="R507" i="4"/>
  <c r="Q507" i="4"/>
  <c r="P507" i="4"/>
  <c r="O507" i="4"/>
  <c r="N507" i="4"/>
  <c r="M507" i="4"/>
  <c r="L507" i="4"/>
  <c r="K507" i="4"/>
  <c r="J507" i="4"/>
  <c r="I507" i="4"/>
  <c r="H507" i="4"/>
  <c r="G507" i="4"/>
  <c r="F507" i="4"/>
  <c r="E507" i="4"/>
  <c r="D507" i="4"/>
  <c r="C507" i="4"/>
  <c r="B507" i="4"/>
  <c r="A507" i="4"/>
  <c r="AM506" i="4"/>
  <c r="AL506" i="4"/>
  <c r="AK506" i="4"/>
  <c r="AJ506" i="4"/>
  <c r="AI506" i="4"/>
  <c r="AH506" i="4"/>
  <c r="AG506" i="4"/>
  <c r="AF506" i="4"/>
  <c r="AE506" i="4"/>
  <c r="AD506" i="4"/>
  <c r="AC506" i="4"/>
  <c r="AB506" i="4"/>
  <c r="AA506" i="4"/>
  <c r="Z506" i="4"/>
  <c r="Y506" i="4"/>
  <c r="X506" i="4"/>
  <c r="W506" i="4"/>
  <c r="V506" i="4"/>
  <c r="U506" i="4"/>
  <c r="T506" i="4"/>
  <c r="S506" i="4"/>
  <c r="R506" i="4"/>
  <c r="Q506" i="4"/>
  <c r="P506" i="4"/>
  <c r="O506" i="4"/>
  <c r="N506" i="4"/>
  <c r="M506" i="4"/>
  <c r="L506" i="4"/>
  <c r="K506" i="4"/>
  <c r="J506" i="4"/>
  <c r="I506" i="4"/>
  <c r="H506" i="4"/>
  <c r="G506" i="4"/>
  <c r="F506" i="4"/>
  <c r="E506" i="4"/>
  <c r="D506" i="4"/>
  <c r="C506" i="4"/>
  <c r="B506" i="4"/>
  <c r="A506" i="4"/>
  <c r="AM505" i="4"/>
  <c r="AL505" i="4"/>
  <c r="AK505" i="4"/>
  <c r="AJ505" i="4"/>
  <c r="AI505" i="4"/>
  <c r="AH505" i="4"/>
  <c r="AG505" i="4"/>
  <c r="AF505" i="4"/>
  <c r="AE505" i="4"/>
  <c r="AD505" i="4"/>
  <c r="AC505" i="4"/>
  <c r="AB505" i="4"/>
  <c r="AA505" i="4"/>
  <c r="Z505" i="4"/>
  <c r="U505" i="4"/>
  <c r="T505" i="4"/>
  <c r="S505" i="4"/>
  <c r="R505" i="4"/>
  <c r="Q505" i="4"/>
  <c r="P505" i="4"/>
  <c r="O505" i="4"/>
  <c r="N505" i="4"/>
  <c r="M505" i="4"/>
  <c r="L505" i="4"/>
  <c r="K505" i="4"/>
  <c r="J505" i="4"/>
  <c r="I505" i="4"/>
  <c r="H505" i="4"/>
  <c r="G505" i="4"/>
  <c r="F505" i="4"/>
  <c r="E505" i="4"/>
  <c r="D505" i="4"/>
  <c r="C505" i="4"/>
  <c r="B505" i="4"/>
  <c r="A505" i="4"/>
  <c r="AM504" i="4"/>
  <c r="AL504" i="4"/>
  <c r="AK504" i="4"/>
  <c r="AJ504" i="4"/>
  <c r="AI504" i="4"/>
  <c r="AH504" i="4"/>
  <c r="AG504" i="4"/>
  <c r="AF504" i="4"/>
  <c r="AE504" i="4"/>
  <c r="AD504" i="4"/>
  <c r="AC504" i="4"/>
  <c r="AB504" i="4"/>
  <c r="AA504" i="4"/>
  <c r="Z504" i="4"/>
  <c r="U504" i="4"/>
  <c r="T504" i="4"/>
  <c r="S504" i="4"/>
  <c r="R504" i="4"/>
  <c r="Q504" i="4"/>
  <c r="P504" i="4"/>
  <c r="O504" i="4"/>
  <c r="N504" i="4"/>
  <c r="M504" i="4"/>
  <c r="L504" i="4"/>
  <c r="K504" i="4"/>
  <c r="J504" i="4"/>
  <c r="I504" i="4"/>
  <c r="H504" i="4"/>
  <c r="G504" i="4"/>
  <c r="F504" i="4"/>
  <c r="E504" i="4"/>
  <c r="D504" i="4"/>
  <c r="C504" i="4"/>
  <c r="B504" i="4"/>
  <c r="A504" i="4"/>
  <c r="AM503" i="4"/>
  <c r="AL503" i="4"/>
  <c r="AK503" i="4"/>
  <c r="AJ503" i="4"/>
  <c r="AI503" i="4"/>
  <c r="AH503" i="4"/>
  <c r="AE503" i="4"/>
  <c r="AD503" i="4"/>
  <c r="AC503" i="4"/>
  <c r="AB503" i="4"/>
  <c r="AA503" i="4"/>
  <c r="Z503" i="4"/>
  <c r="U503" i="4"/>
  <c r="T503" i="4"/>
  <c r="S503" i="4"/>
  <c r="R503" i="4"/>
  <c r="Q503" i="4"/>
  <c r="P503" i="4"/>
  <c r="O503" i="4"/>
  <c r="N503" i="4"/>
  <c r="M503" i="4"/>
  <c r="L503" i="4"/>
  <c r="K503" i="4"/>
  <c r="J503" i="4"/>
  <c r="I503" i="4"/>
  <c r="H503" i="4"/>
  <c r="G503" i="4"/>
  <c r="F503" i="4"/>
  <c r="E503" i="4"/>
  <c r="D503" i="4"/>
  <c r="C503" i="4"/>
  <c r="B503" i="4"/>
  <c r="A503" i="4"/>
  <c r="AE502" i="4"/>
  <c r="AD502" i="4"/>
  <c r="AC502" i="4"/>
  <c r="AB502" i="4"/>
  <c r="AA502" i="4"/>
  <c r="Z502" i="4"/>
  <c r="U502" i="4"/>
  <c r="T502" i="4"/>
  <c r="S502" i="4"/>
  <c r="R502" i="4"/>
  <c r="Q502" i="4"/>
  <c r="P502" i="4"/>
  <c r="O502" i="4"/>
  <c r="N502" i="4"/>
  <c r="M502" i="4"/>
  <c r="L502" i="4"/>
  <c r="K502" i="4"/>
  <c r="J502" i="4"/>
  <c r="I502" i="4"/>
  <c r="H502" i="4"/>
  <c r="G502" i="4"/>
  <c r="F502" i="4"/>
  <c r="E502" i="4"/>
  <c r="D502" i="4"/>
  <c r="C502" i="4"/>
  <c r="B502" i="4"/>
  <c r="A502" i="4"/>
  <c r="AE501" i="4"/>
  <c r="AD501" i="4"/>
  <c r="AC501" i="4"/>
  <c r="AB501" i="4"/>
  <c r="AA501" i="4"/>
  <c r="Z501" i="4"/>
  <c r="Y501" i="4"/>
  <c r="X501" i="4"/>
  <c r="W501" i="4"/>
  <c r="V501" i="4"/>
  <c r="U501" i="4"/>
  <c r="T501" i="4"/>
  <c r="S501" i="4"/>
  <c r="R501" i="4"/>
  <c r="Q501" i="4"/>
  <c r="P501" i="4"/>
  <c r="O501" i="4"/>
  <c r="N501" i="4"/>
  <c r="M501" i="4"/>
  <c r="L501" i="4"/>
  <c r="K501" i="4"/>
  <c r="J501" i="4"/>
  <c r="I501" i="4"/>
  <c r="H501" i="4"/>
  <c r="G501" i="4"/>
  <c r="F501" i="4"/>
  <c r="E501" i="4"/>
  <c r="D501" i="4"/>
  <c r="C501" i="4"/>
  <c r="B501" i="4"/>
  <c r="A501" i="4"/>
  <c r="AM500" i="4"/>
  <c r="AL500" i="4"/>
  <c r="AK500" i="4"/>
  <c r="AJ500" i="4"/>
  <c r="AI500" i="4"/>
  <c r="AH500" i="4"/>
  <c r="AG500" i="4"/>
  <c r="AF500" i="4"/>
  <c r="AE500" i="4"/>
  <c r="AD500" i="4"/>
  <c r="AC500" i="4"/>
  <c r="AB500" i="4"/>
  <c r="AA500" i="4"/>
  <c r="Z500" i="4"/>
  <c r="Y500" i="4"/>
  <c r="X500" i="4"/>
  <c r="W500" i="4"/>
  <c r="V500" i="4"/>
  <c r="U500" i="4"/>
  <c r="T500" i="4"/>
  <c r="S500" i="4"/>
  <c r="R500" i="4"/>
  <c r="Q500" i="4"/>
  <c r="P500" i="4"/>
  <c r="O500" i="4"/>
  <c r="N500" i="4"/>
  <c r="M500" i="4"/>
  <c r="L500" i="4"/>
  <c r="K500" i="4"/>
  <c r="J500" i="4"/>
  <c r="I500" i="4"/>
  <c r="H500" i="4"/>
  <c r="G500" i="4"/>
  <c r="F500" i="4"/>
  <c r="E500" i="4"/>
  <c r="D500" i="4"/>
  <c r="C500" i="4"/>
  <c r="B500" i="4"/>
  <c r="A500" i="4"/>
  <c r="AM499" i="4"/>
  <c r="AL499" i="4"/>
  <c r="AK499" i="4"/>
  <c r="AJ499" i="4"/>
  <c r="AI499" i="4"/>
  <c r="AH499" i="4"/>
  <c r="AG499" i="4"/>
  <c r="AF499" i="4"/>
  <c r="AE499" i="4"/>
  <c r="AD499" i="4"/>
  <c r="AC499" i="4"/>
  <c r="AB499" i="4"/>
  <c r="AA499" i="4"/>
  <c r="Z499" i="4"/>
  <c r="Y499" i="4"/>
  <c r="X499" i="4"/>
  <c r="W499" i="4"/>
  <c r="V499" i="4"/>
  <c r="U499" i="4"/>
  <c r="T499" i="4"/>
  <c r="S499" i="4"/>
  <c r="R499" i="4"/>
  <c r="Q499" i="4"/>
  <c r="P499" i="4"/>
  <c r="O499" i="4"/>
  <c r="N499" i="4"/>
  <c r="M499" i="4"/>
  <c r="L499" i="4"/>
  <c r="K499" i="4"/>
  <c r="J499" i="4"/>
  <c r="I499" i="4"/>
  <c r="H499" i="4"/>
  <c r="G499" i="4"/>
  <c r="F499" i="4"/>
  <c r="E499" i="4"/>
  <c r="D499" i="4"/>
  <c r="C499" i="4"/>
  <c r="B499" i="4"/>
  <c r="A499" i="4"/>
  <c r="AM498" i="4"/>
  <c r="AL498" i="4"/>
  <c r="AK498" i="4"/>
  <c r="AJ498" i="4"/>
  <c r="AI498" i="4"/>
  <c r="AH498" i="4"/>
  <c r="AG498" i="4"/>
  <c r="AF498" i="4"/>
  <c r="AE498" i="4"/>
  <c r="AD498" i="4"/>
  <c r="AC498" i="4"/>
  <c r="AB498" i="4"/>
  <c r="AA498" i="4"/>
  <c r="Z498" i="4"/>
  <c r="T498" i="4"/>
  <c r="S498" i="4"/>
  <c r="O498" i="4"/>
  <c r="N498" i="4"/>
  <c r="M498" i="4"/>
  <c r="L498" i="4"/>
  <c r="K498" i="4"/>
  <c r="J498" i="4"/>
  <c r="I498" i="4"/>
  <c r="H498" i="4"/>
  <c r="G498" i="4"/>
  <c r="F498" i="4"/>
  <c r="E498" i="4"/>
  <c r="D498" i="4"/>
  <c r="C498" i="4"/>
  <c r="B498" i="4"/>
  <c r="A498" i="4"/>
  <c r="AM497" i="4"/>
  <c r="AL497" i="4"/>
  <c r="AK497" i="4"/>
  <c r="AJ497" i="4"/>
  <c r="AI497" i="4"/>
  <c r="AH497" i="4"/>
  <c r="AG497" i="4"/>
  <c r="AF497" i="4"/>
  <c r="AE497" i="4"/>
  <c r="AD497" i="4"/>
  <c r="AC497" i="4"/>
  <c r="AB497" i="4"/>
  <c r="AA497" i="4"/>
  <c r="Z497" i="4"/>
  <c r="T497" i="4"/>
  <c r="S497" i="4"/>
  <c r="O497" i="4"/>
  <c r="N497" i="4"/>
  <c r="M497" i="4"/>
  <c r="L497" i="4"/>
  <c r="K497" i="4"/>
  <c r="J497" i="4"/>
  <c r="I497" i="4"/>
  <c r="H497" i="4"/>
  <c r="G497" i="4"/>
  <c r="F497" i="4"/>
  <c r="E497" i="4"/>
  <c r="D497" i="4"/>
  <c r="C497" i="4"/>
  <c r="B497" i="4"/>
  <c r="A497" i="4"/>
  <c r="AC496" i="4"/>
  <c r="AB496" i="4"/>
  <c r="AA496" i="4"/>
  <c r="Z496" i="4"/>
  <c r="S496" i="4"/>
  <c r="R496" i="4"/>
  <c r="O496" i="4"/>
  <c r="N496" i="4"/>
  <c r="M496" i="4"/>
  <c r="L496" i="4"/>
  <c r="K496" i="4"/>
  <c r="J496" i="4"/>
  <c r="I496" i="4"/>
  <c r="H496" i="4"/>
  <c r="G496" i="4"/>
  <c r="F496" i="4"/>
  <c r="E496" i="4"/>
  <c r="D496" i="4"/>
  <c r="C496" i="4"/>
  <c r="B496" i="4"/>
  <c r="A496" i="4"/>
  <c r="AC495" i="4"/>
  <c r="AB495" i="4"/>
  <c r="AA495" i="4"/>
  <c r="Z495" i="4"/>
  <c r="T495" i="4"/>
  <c r="S495" i="4"/>
  <c r="R495" i="4"/>
  <c r="O495" i="4"/>
  <c r="N495" i="4"/>
  <c r="M495" i="4"/>
  <c r="L495" i="4"/>
  <c r="K495" i="4"/>
  <c r="J495" i="4"/>
  <c r="I495" i="4"/>
  <c r="H495" i="4"/>
  <c r="G495" i="4"/>
  <c r="F495" i="4"/>
  <c r="E495" i="4"/>
  <c r="D495" i="4"/>
  <c r="C495" i="4"/>
  <c r="B495" i="4"/>
  <c r="A495" i="4"/>
  <c r="AM494" i="4"/>
  <c r="AL494" i="4"/>
  <c r="AK494" i="4"/>
  <c r="AJ494" i="4"/>
  <c r="AI494" i="4"/>
  <c r="AH494" i="4"/>
  <c r="AG494" i="4"/>
  <c r="AF494" i="4"/>
  <c r="AE494" i="4"/>
  <c r="AD494" i="4"/>
  <c r="AC494" i="4"/>
  <c r="AB494" i="4"/>
  <c r="AA494" i="4"/>
  <c r="Z494" i="4"/>
  <c r="Y494" i="4"/>
  <c r="X494" i="4"/>
  <c r="W494" i="4"/>
  <c r="V494" i="4"/>
  <c r="U494" i="4"/>
  <c r="T494" i="4"/>
  <c r="S494" i="4"/>
  <c r="R494" i="4"/>
  <c r="Q494" i="4"/>
  <c r="P494" i="4"/>
  <c r="O494" i="4"/>
  <c r="N494" i="4"/>
  <c r="M494" i="4"/>
  <c r="L494" i="4"/>
  <c r="K494" i="4"/>
  <c r="J494" i="4"/>
  <c r="I494" i="4"/>
  <c r="H494" i="4"/>
  <c r="G494" i="4"/>
  <c r="F494" i="4"/>
  <c r="E494" i="4"/>
  <c r="D494" i="4"/>
  <c r="C494" i="4"/>
  <c r="B494" i="4"/>
  <c r="A494" i="4"/>
  <c r="AM493" i="4"/>
  <c r="AL493" i="4"/>
  <c r="AK493" i="4"/>
  <c r="AJ493" i="4"/>
  <c r="AI493" i="4"/>
  <c r="AH493" i="4"/>
  <c r="AG493" i="4"/>
  <c r="AF493" i="4"/>
  <c r="AE493" i="4"/>
  <c r="AD493" i="4"/>
  <c r="AC493" i="4"/>
  <c r="AB493" i="4"/>
  <c r="AA493" i="4"/>
  <c r="Z493" i="4"/>
  <c r="T493" i="4"/>
  <c r="S493" i="4"/>
  <c r="R493" i="4"/>
  <c r="Q493" i="4"/>
  <c r="P493" i="4"/>
  <c r="O493" i="4"/>
  <c r="N493" i="4"/>
  <c r="M493" i="4"/>
  <c r="L493" i="4"/>
  <c r="K493" i="4"/>
  <c r="J493" i="4"/>
  <c r="I493" i="4"/>
  <c r="H493" i="4"/>
  <c r="G493" i="4"/>
  <c r="F493" i="4"/>
  <c r="E493" i="4"/>
  <c r="D493" i="4"/>
  <c r="C493" i="4"/>
  <c r="B493" i="4"/>
  <c r="A493" i="4"/>
  <c r="AD492" i="4"/>
  <c r="AC492" i="4"/>
  <c r="AB492" i="4"/>
  <c r="AA492" i="4"/>
  <c r="Z492" i="4"/>
  <c r="T492" i="4"/>
  <c r="S492" i="4"/>
  <c r="R492" i="4"/>
  <c r="Q492" i="4"/>
  <c r="P492" i="4"/>
  <c r="O492" i="4"/>
  <c r="N492" i="4"/>
  <c r="M492" i="4"/>
  <c r="L492" i="4"/>
  <c r="K492" i="4"/>
  <c r="J492" i="4"/>
  <c r="I492" i="4"/>
  <c r="H492" i="4"/>
  <c r="G492" i="4"/>
  <c r="F492" i="4"/>
  <c r="E492" i="4"/>
  <c r="D492" i="4"/>
  <c r="C492" i="4"/>
  <c r="B492" i="4"/>
  <c r="A492" i="4"/>
  <c r="AD491" i="4"/>
  <c r="AC491" i="4"/>
  <c r="AB491" i="4"/>
  <c r="AA491" i="4"/>
  <c r="Z491" i="4"/>
  <c r="T491" i="4"/>
  <c r="S491" i="4"/>
  <c r="R491" i="4"/>
  <c r="Q491" i="4"/>
  <c r="P491" i="4"/>
  <c r="O491" i="4"/>
  <c r="N491" i="4"/>
  <c r="M491" i="4"/>
  <c r="L491" i="4"/>
  <c r="K491" i="4"/>
  <c r="J491" i="4"/>
  <c r="I491" i="4"/>
  <c r="H491" i="4"/>
  <c r="G491" i="4"/>
  <c r="F491" i="4"/>
  <c r="E491" i="4"/>
  <c r="D491" i="4"/>
  <c r="C491" i="4"/>
  <c r="B491" i="4"/>
  <c r="A491" i="4"/>
  <c r="AD490" i="4"/>
  <c r="AC490" i="4"/>
  <c r="AB490" i="4"/>
  <c r="AA490" i="4"/>
  <c r="Z490" i="4"/>
  <c r="T490" i="4"/>
  <c r="S490" i="4"/>
  <c r="R490" i="4"/>
  <c r="Q490" i="4"/>
  <c r="P490" i="4"/>
  <c r="O490" i="4"/>
  <c r="N490" i="4"/>
  <c r="M490" i="4"/>
  <c r="L490" i="4"/>
  <c r="K490" i="4"/>
  <c r="J490" i="4"/>
  <c r="I490" i="4"/>
  <c r="H490" i="4"/>
  <c r="G490" i="4"/>
  <c r="F490" i="4"/>
  <c r="E490" i="4"/>
  <c r="D490" i="4"/>
  <c r="C490" i="4"/>
  <c r="B490" i="4"/>
  <c r="A490" i="4"/>
  <c r="AM489" i="4"/>
  <c r="AL489" i="4"/>
  <c r="AK489" i="4"/>
  <c r="AJ489" i="4"/>
  <c r="AI489" i="4"/>
  <c r="AH489" i="4"/>
  <c r="AG489" i="4"/>
  <c r="AF489" i="4"/>
  <c r="AE489" i="4"/>
  <c r="AD489" i="4"/>
  <c r="AC489" i="4"/>
  <c r="AB489" i="4"/>
  <c r="AA489" i="4"/>
  <c r="Z489" i="4"/>
  <c r="Y489" i="4"/>
  <c r="X489" i="4"/>
  <c r="W489" i="4"/>
  <c r="V489" i="4"/>
  <c r="U489" i="4"/>
  <c r="T489" i="4"/>
  <c r="S489" i="4"/>
  <c r="R489" i="4"/>
  <c r="Q489" i="4"/>
  <c r="P489" i="4"/>
  <c r="O489" i="4"/>
  <c r="N489" i="4"/>
  <c r="M489" i="4"/>
  <c r="L489" i="4"/>
  <c r="K489" i="4"/>
  <c r="J489" i="4"/>
  <c r="I489" i="4"/>
  <c r="H489" i="4"/>
  <c r="G489" i="4"/>
  <c r="F489" i="4"/>
  <c r="E489" i="4"/>
  <c r="D489" i="4"/>
  <c r="C489" i="4"/>
  <c r="B489" i="4"/>
  <c r="A489" i="4"/>
  <c r="AM488" i="4"/>
  <c r="AL488" i="4"/>
  <c r="AK488" i="4"/>
  <c r="AJ488" i="4"/>
  <c r="AI488" i="4"/>
  <c r="AH488" i="4"/>
  <c r="AG488" i="4"/>
  <c r="AF488" i="4"/>
  <c r="AE488" i="4"/>
  <c r="AD488" i="4"/>
  <c r="AC488" i="4"/>
  <c r="AB488" i="4"/>
  <c r="AA488" i="4"/>
  <c r="Z488" i="4"/>
  <c r="Y488" i="4"/>
  <c r="X488" i="4"/>
  <c r="W488" i="4"/>
  <c r="V488" i="4"/>
  <c r="U488" i="4"/>
  <c r="T488" i="4"/>
  <c r="S488" i="4"/>
  <c r="R488" i="4"/>
  <c r="Q488" i="4"/>
  <c r="P488" i="4"/>
  <c r="O488" i="4"/>
  <c r="N488" i="4"/>
  <c r="M488" i="4"/>
  <c r="L488" i="4"/>
  <c r="K488" i="4"/>
  <c r="J488" i="4"/>
  <c r="I488" i="4"/>
  <c r="H488" i="4"/>
  <c r="G488" i="4"/>
  <c r="F488" i="4"/>
  <c r="E488" i="4"/>
  <c r="D488" i="4"/>
  <c r="C488" i="4"/>
  <c r="B488" i="4"/>
  <c r="A488" i="4"/>
  <c r="AM487" i="4"/>
  <c r="AL487" i="4"/>
  <c r="AK487" i="4"/>
  <c r="AJ487" i="4"/>
  <c r="AI487" i="4"/>
  <c r="AH487" i="4"/>
  <c r="AG487" i="4"/>
  <c r="AF487" i="4"/>
  <c r="AE487" i="4"/>
  <c r="AD487" i="4"/>
  <c r="AC487" i="4"/>
  <c r="AB487" i="4"/>
  <c r="AA487" i="4"/>
  <c r="Z487" i="4"/>
  <c r="T487" i="4"/>
  <c r="S487" i="4"/>
  <c r="O487" i="4"/>
  <c r="N487" i="4"/>
  <c r="M487" i="4"/>
  <c r="L487" i="4"/>
  <c r="K487" i="4"/>
  <c r="J487" i="4"/>
  <c r="I487" i="4"/>
  <c r="H487" i="4"/>
  <c r="G487" i="4"/>
  <c r="F487" i="4"/>
  <c r="E487" i="4"/>
  <c r="D487" i="4"/>
  <c r="C487" i="4"/>
  <c r="B487" i="4"/>
  <c r="A487" i="4"/>
  <c r="AC486" i="4"/>
  <c r="AB486" i="4"/>
  <c r="AA486" i="4"/>
  <c r="Z486" i="4"/>
  <c r="S486" i="4"/>
  <c r="R486" i="4"/>
  <c r="O486" i="4"/>
  <c r="N486" i="4"/>
  <c r="M486" i="4"/>
  <c r="L486" i="4"/>
  <c r="K486" i="4"/>
  <c r="J486" i="4"/>
  <c r="I486" i="4"/>
  <c r="H486" i="4"/>
  <c r="G486" i="4"/>
  <c r="F486" i="4"/>
  <c r="E486" i="4"/>
  <c r="D486" i="4"/>
  <c r="C486" i="4"/>
  <c r="B486" i="4"/>
  <c r="A486" i="4"/>
  <c r="AM485" i="4"/>
  <c r="AL485" i="4"/>
  <c r="AK485" i="4"/>
  <c r="AJ485" i="4"/>
  <c r="AI485" i="4"/>
  <c r="AH485" i="4"/>
  <c r="AG485" i="4"/>
  <c r="AF485" i="4"/>
  <c r="AE485" i="4"/>
  <c r="AD485" i="4"/>
  <c r="AC485" i="4"/>
  <c r="AB485" i="4"/>
  <c r="AA485" i="4"/>
  <c r="Z485" i="4"/>
  <c r="T485" i="4"/>
  <c r="S485" i="4"/>
  <c r="O485" i="4"/>
  <c r="N485" i="4"/>
  <c r="M485" i="4"/>
  <c r="L485" i="4"/>
  <c r="K485" i="4"/>
  <c r="J485" i="4"/>
  <c r="I485" i="4"/>
  <c r="H485" i="4"/>
  <c r="G485" i="4"/>
  <c r="F485" i="4"/>
  <c r="E485" i="4"/>
  <c r="D485" i="4"/>
  <c r="C485" i="4"/>
  <c r="B485" i="4"/>
  <c r="A485" i="4"/>
  <c r="AC484" i="4"/>
  <c r="AB484" i="4"/>
  <c r="AA484" i="4"/>
  <c r="Z484" i="4"/>
  <c r="S484" i="4"/>
  <c r="R484" i="4"/>
  <c r="O484" i="4"/>
  <c r="N484" i="4"/>
  <c r="M484" i="4"/>
  <c r="L484" i="4"/>
  <c r="K484" i="4"/>
  <c r="J484" i="4"/>
  <c r="I484" i="4"/>
  <c r="H484" i="4"/>
  <c r="G484" i="4"/>
  <c r="F484" i="4"/>
  <c r="E484" i="4"/>
  <c r="D484" i="4"/>
  <c r="C484" i="4"/>
  <c r="B484" i="4"/>
  <c r="A484" i="4"/>
  <c r="AC483" i="4"/>
  <c r="AB483" i="4"/>
  <c r="AA483" i="4"/>
  <c r="Z483" i="4"/>
  <c r="T483" i="4"/>
  <c r="S483" i="4"/>
  <c r="R483" i="4"/>
  <c r="Q483" i="4"/>
  <c r="P483" i="4"/>
  <c r="O483" i="4"/>
  <c r="N483" i="4"/>
  <c r="M483" i="4"/>
  <c r="L483" i="4"/>
  <c r="K483" i="4"/>
  <c r="J483" i="4"/>
  <c r="I483" i="4"/>
  <c r="H483" i="4"/>
  <c r="G483" i="4"/>
  <c r="F483" i="4"/>
  <c r="E483" i="4"/>
  <c r="D483" i="4"/>
  <c r="C483" i="4"/>
  <c r="B483" i="4"/>
  <c r="A483" i="4"/>
  <c r="AO482" i="4"/>
  <c r="AN482" i="4"/>
  <c r="AM482" i="4"/>
  <c r="AL482" i="4"/>
  <c r="AK482" i="4"/>
  <c r="AJ482" i="4"/>
  <c r="AI482" i="4"/>
  <c r="AH482" i="4"/>
  <c r="AG482" i="4"/>
  <c r="AF482" i="4"/>
  <c r="AE482" i="4"/>
  <c r="AD482" i="4"/>
  <c r="AC482" i="4"/>
  <c r="AB482" i="4"/>
  <c r="AA482" i="4"/>
  <c r="Z482" i="4"/>
  <c r="Y482" i="4"/>
  <c r="X482" i="4"/>
  <c r="W482" i="4"/>
  <c r="V482" i="4"/>
  <c r="U482" i="4"/>
  <c r="T482" i="4"/>
  <c r="S482" i="4"/>
  <c r="R482" i="4"/>
  <c r="Q482" i="4"/>
  <c r="P482" i="4"/>
  <c r="O482" i="4"/>
  <c r="N482" i="4"/>
  <c r="M482" i="4"/>
  <c r="L482" i="4"/>
  <c r="K482" i="4"/>
  <c r="J482" i="4"/>
  <c r="I482" i="4"/>
  <c r="H482" i="4"/>
  <c r="G482" i="4"/>
  <c r="F482" i="4"/>
  <c r="E482" i="4"/>
  <c r="D482" i="4"/>
  <c r="C482" i="4"/>
  <c r="B482" i="4"/>
  <c r="A482" i="4"/>
  <c r="AO481" i="4"/>
  <c r="AN481" i="4"/>
  <c r="AB481" i="4"/>
  <c r="AA481" i="4"/>
  <c r="Z481" i="4"/>
  <c r="E481" i="4"/>
  <c r="D481" i="4"/>
  <c r="C481" i="4"/>
  <c r="B481" i="4"/>
  <c r="A481" i="4"/>
  <c r="AO480" i="4"/>
  <c r="AN480" i="4"/>
  <c r="AD480" i="4"/>
  <c r="AC480" i="4"/>
  <c r="AB480" i="4"/>
  <c r="AA480" i="4"/>
  <c r="Z480" i="4"/>
  <c r="Q480" i="4"/>
  <c r="P480" i="4"/>
  <c r="O480" i="4"/>
  <c r="N480" i="4"/>
  <c r="M480" i="4"/>
  <c r="L480" i="4"/>
  <c r="K480" i="4"/>
  <c r="J480" i="4"/>
  <c r="E480" i="4"/>
  <c r="D480" i="4"/>
  <c r="C480" i="4"/>
  <c r="B480" i="4"/>
  <c r="A480" i="4"/>
  <c r="AO479" i="4"/>
  <c r="AN479" i="4"/>
  <c r="AM479" i="4"/>
  <c r="AL479" i="4"/>
  <c r="AK479" i="4"/>
  <c r="AJ479" i="4"/>
  <c r="AI479" i="4"/>
  <c r="AH479" i="4"/>
  <c r="AG479" i="4"/>
  <c r="AF479" i="4"/>
  <c r="AE479" i="4"/>
  <c r="AD479" i="4"/>
  <c r="AC479" i="4"/>
  <c r="AB479" i="4"/>
  <c r="AA479" i="4"/>
  <c r="Z479" i="4"/>
  <c r="Y479" i="4"/>
  <c r="X479" i="4"/>
  <c r="W479" i="4"/>
  <c r="V479" i="4"/>
  <c r="U479" i="4"/>
  <c r="T479" i="4"/>
  <c r="S479" i="4"/>
  <c r="R479" i="4"/>
  <c r="Q479" i="4"/>
  <c r="P479" i="4"/>
  <c r="O479" i="4"/>
  <c r="N479" i="4"/>
  <c r="M479" i="4"/>
  <c r="L479" i="4"/>
  <c r="K479" i="4"/>
  <c r="J479" i="4"/>
  <c r="I479" i="4"/>
  <c r="H479" i="4"/>
  <c r="G479" i="4"/>
  <c r="F479" i="4"/>
  <c r="E479" i="4"/>
  <c r="D479" i="4"/>
  <c r="C479" i="4"/>
  <c r="B479" i="4"/>
  <c r="A479" i="4"/>
  <c r="AO478" i="4"/>
  <c r="AN478" i="4"/>
  <c r="AM478" i="4"/>
  <c r="AL478" i="4"/>
  <c r="AK478" i="4"/>
  <c r="AJ478" i="4"/>
  <c r="AI478" i="4"/>
  <c r="AH478" i="4"/>
  <c r="AG478" i="4"/>
  <c r="AF478" i="4"/>
  <c r="AE478" i="4"/>
  <c r="AD478" i="4"/>
  <c r="AC478" i="4"/>
  <c r="AB478" i="4"/>
  <c r="AA478" i="4"/>
  <c r="Z478" i="4"/>
  <c r="Y478" i="4"/>
  <c r="X478" i="4"/>
  <c r="W478" i="4"/>
  <c r="V478" i="4"/>
  <c r="U478" i="4"/>
  <c r="T478" i="4"/>
  <c r="S478" i="4"/>
  <c r="R478" i="4"/>
  <c r="Q478" i="4"/>
  <c r="P478" i="4"/>
  <c r="O478" i="4"/>
  <c r="N478" i="4"/>
  <c r="M478" i="4"/>
  <c r="L478" i="4"/>
  <c r="K478" i="4"/>
  <c r="J478" i="4"/>
  <c r="I478" i="4"/>
  <c r="H478" i="4"/>
  <c r="G478" i="4"/>
  <c r="F478" i="4"/>
  <c r="E478" i="4"/>
  <c r="D478" i="4"/>
  <c r="C478" i="4"/>
  <c r="B478" i="4"/>
  <c r="A478" i="4"/>
  <c r="AO477" i="4"/>
  <c r="AN477" i="4"/>
  <c r="AM477" i="4"/>
  <c r="AL477" i="4"/>
  <c r="AK477" i="4"/>
  <c r="AJ477" i="4"/>
  <c r="AI477" i="4"/>
  <c r="AH477" i="4"/>
  <c r="AG477" i="4"/>
  <c r="AF477" i="4"/>
  <c r="AE477" i="4"/>
  <c r="AD477" i="4"/>
  <c r="AC477" i="4"/>
  <c r="AB477" i="4"/>
  <c r="AA477" i="4"/>
  <c r="Z477" i="4"/>
  <c r="Y477" i="4"/>
  <c r="X477" i="4"/>
  <c r="W477" i="4"/>
  <c r="V477" i="4"/>
  <c r="U477" i="4"/>
  <c r="T477" i="4"/>
  <c r="S477" i="4"/>
  <c r="R477" i="4"/>
  <c r="Q477" i="4"/>
  <c r="P477" i="4"/>
  <c r="O477" i="4"/>
  <c r="N477" i="4"/>
  <c r="M477" i="4"/>
  <c r="L477" i="4"/>
  <c r="K477" i="4"/>
  <c r="J477" i="4"/>
  <c r="I477" i="4"/>
  <c r="H477" i="4"/>
  <c r="G477" i="4"/>
  <c r="F477" i="4"/>
  <c r="E477" i="4"/>
  <c r="D477" i="4"/>
  <c r="C477" i="4"/>
  <c r="B477" i="4"/>
  <c r="A477" i="4"/>
  <c r="AO476" i="4"/>
  <c r="AN476" i="4"/>
  <c r="AM476" i="4"/>
  <c r="AL476" i="4"/>
  <c r="AK476" i="4"/>
  <c r="AJ476" i="4"/>
  <c r="AI476" i="4"/>
  <c r="AH476" i="4"/>
  <c r="AG476" i="4"/>
  <c r="AF476" i="4"/>
  <c r="AE476" i="4"/>
  <c r="AD476" i="4"/>
  <c r="AC476" i="4"/>
  <c r="AB476" i="4"/>
  <c r="AA476" i="4"/>
  <c r="Z476" i="4"/>
  <c r="Y476" i="4"/>
  <c r="X476" i="4"/>
  <c r="W476" i="4"/>
  <c r="V476" i="4"/>
  <c r="U476" i="4"/>
  <c r="T476" i="4"/>
  <c r="S476" i="4"/>
  <c r="R476" i="4"/>
  <c r="Q476" i="4"/>
  <c r="P476" i="4"/>
  <c r="O476" i="4"/>
  <c r="N476" i="4"/>
  <c r="M476" i="4"/>
  <c r="L476" i="4"/>
  <c r="K476" i="4"/>
  <c r="J476" i="4"/>
  <c r="I476" i="4"/>
  <c r="H476" i="4"/>
  <c r="G476" i="4"/>
  <c r="F476" i="4"/>
  <c r="E476" i="4"/>
  <c r="D476" i="4"/>
  <c r="C476" i="4"/>
  <c r="B476" i="4"/>
  <c r="A476" i="4"/>
  <c r="AO475" i="4"/>
  <c r="AN475" i="4"/>
  <c r="AM475" i="4"/>
  <c r="AL475" i="4"/>
  <c r="AK475" i="4"/>
  <c r="AJ475" i="4"/>
  <c r="AI475" i="4"/>
  <c r="AH475" i="4"/>
  <c r="AG475" i="4"/>
  <c r="AF475" i="4"/>
  <c r="AE475" i="4"/>
  <c r="AD475" i="4"/>
  <c r="AC475" i="4"/>
  <c r="AB475" i="4"/>
  <c r="AA475" i="4"/>
  <c r="Z475" i="4"/>
  <c r="Y475" i="4"/>
  <c r="X475" i="4"/>
  <c r="W475" i="4"/>
  <c r="V475" i="4"/>
  <c r="U475" i="4"/>
  <c r="T475" i="4"/>
  <c r="S475" i="4"/>
  <c r="R475" i="4"/>
  <c r="Q475" i="4"/>
  <c r="P475" i="4"/>
  <c r="O475" i="4"/>
  <c r="N475" i="4"/>
  <c r="M475" i="4"/>
  <c r="L475" i="4"/>
  <c r="K475" i="4"/>
  <c r="J475" i="4"/>
  <c r="I475" i="4"/>
  <c r="H475" i="4"/>
  <c r="G475" i="4"/>
  <c r="F475" i="4"/>
  <c r="E475" i="4"/>
  <c r="D475" i="4"/>
  <c r="C475" i="4"/>
  <c r="B475" i="4"/>
  <c r="A475" i="4"/>
  <c r="AO474" i="4"/>
  <c r="AN474" i="4"/>
  <c r="AM474" i="4"/>
  <c r="AL474" i="4"/>
  <c r="AK474" i="4"/>
  <c r="AJ474" i="4"/>
  <c r="AI474" i="4"/>
  <c r="AH474" i="4"/>
  <c r="AG474" i="4"/>
  <c r="AF474" i="4"/>
  <c r="AE474" i="4"/>
  <c r="AD474" i="4"/>
  <c r="AC474" i="4"/>
  <c r="AB474" i="4"/>
  <c r="AA474" i="4"/>
  <c r="Z474" i="4"/>
  <c r="Y474" i="4"/>
  <c r="X474" i="4"/>
  <c r="W474" i="4"/>
  <c r="V474" i="4"/>
  <c r="U474" i="4"/>
  <c r="T474" i="4"/>
  <c r="S474" i="4"/>
  <c r="R474" i="4"/>
  <c r="Q474" i="4"/>
  <c r="P474" i="4"/>
  <c r="O474" i="4"/>
  <c r="N474" i="4"/>
  <c r="M474" i="4"/>
  <c r="L474" i="4"/>
  <c r="K474" i="4"/>
  <c r="J474" i="4"/>
  <c r="I474" i="4"/>
  <c r="H474" i="4"/>
  <c r="G474" i="4"/>
  <c r="F474" i="4"/>
  <c r="E474" i="4"/>
  <c r="D474" i="4"/>
  <c r="C474" i="4"/>
  <c r="B474" i="4"/>
  <c r="A474" i="4"/>
  <c r="AO473" i="4"/>
  <c r="AN473" i="4"/>
  <c r="AM473" i="4"/>
  <c r="AL473" i="4"/>
  <c r="AK473" i="4"/>
  <c r="AJ473" i="4"/>
  <c r="AI473" i="4"/>
  <c r="AH473" i="4"/>
  <c r="AG473" i="4"/>
  <c r="AF473" i="4"/>
  <c r="AE473" i="4"/>
  <c r="AD473" i="4"/>
  <c r="AC473" i="4"/>
  <c r="AB473" i="4"/>
  <c r="AA473" i="4"/>
  <c r="Z473" i="4"/>
  <c r="Y473" i="4"/>
  <c r="X473" i="4"/>
  <c r="W473" i="4"/>
  <c r="V473" i="4"/>
  <c r="U473" i="4"/>
  <c r="T473" i="4"/>
  <c r="S473" i="4"/>
  <c r="R473" i="4"/>
  <c r="Q473" i="4"/>
  <c r="P473" i="4"/>
  <c r="O473" i="4"/>
  <c r="N473" i="4"/>
  <c r="M473" i="4"/>
  <c r="L473" i="4"/>
  <c r="K473" i="4"/>
  <c r="J473" i="4"/>
  <c r="I473" i="4"/>
  <c r="H473" i="4"/>
  <c r="G473" i="4"/>
  <c r="F473" i="4"/>
  <c r="E473" i="4"/>
  <c r="D473" i="4"/>
  <c r="C473" i="4"/>
  <c r="B473" i="4"/>
  <c r="A473" i="4"/>
  <c r="AO472" i="4"/>
  <c r="AN472" i="4"/>
  <c r="AM472" i="4"/>
  <c r="AL472" i="4"/>
  <c r="AK472" i="4"/>
  <c r="AJ472" i="4"/>
  <c r="AI472" i="4"/>
  <c r="AH472" i="4"/>
  <c r="AG472" i="4"/>
  <c r="AF472" i="4"/>
  <c r="AE472" i="4"/>
  <c r="AD472" i="4"/>
  <c r="AC472" i="4"/>
  <c r="AB472" i="4"/>
  <c r="AA472" i="4"/>
  <c r="Z472" i="4"/>
  <c r="Y472" i="4"/>
  <c r="X472" i="4"/>
  <c r="W472" i="4"/>
  <c r="V472" i="4"/>
  <c r="U472" i="4"/>
  <c r="T472" i="4"/>
  <c r="S472" i="4"/>
  <c r="R472" i="4"/>
  <c r="Q472" i="4"/>
  <c r="P472" i="4"/>
  <c r="O472" i="4"/>
  <c r="N472" i="4"/>
  <c r="M472" i="4"/>
  <c r="L472" i="4"/>
  <c r="K472" i="4"/>
  <c r="J472" i="4"/>
  <c r="I472" i="4"/>
  <c r="H472" i="4"/>
  <c r="G472" i="4"/>
  <c r="F472" i="4"/>
  <c r="E472" i="4"/>
  <c r="D472" i="4"/>
  <c r="C472" i="4"/>
  <c r="B472" i="4"/>
  <c r="A472" i="4"/>
  <c r="AO471" i="4"/>
  <c r="AN471" i="4"/>
  <c r="AM471" i="4"/>
  <c r="AL471" i="4"/>
  <c r="AK471" i="4"/>
  <c r="AJ471" i="4"/>
  <c r="AI471" i="4"/>
  <c r="AH471" i="4"/>
  <c r="AG471" i="4"/>
  <c r="AF471" i="4"/>
  <c r="AE471" i="4"/>
  <c r="AD471" i="4"/>
  <c r="AC471" i="4"/>
  <c r="AB471" i="4"/>
  <c r="AA471" i="4"/>
  <c r="Z471" i="4"/>
  <c r="Y471" i="4"/>
  <c r="X471" i="4"/>
  <c r="W471" i="4"/>
  <c r="V471" i="4"/>
  <c r="U471" i="4"/>
  <c r="T471" i="4"/>
  <c r="S471" i="4"/>
  <c r="R471" i="4"/>
  <c r="Q471" i="4"/>
  <c r="P471" i="4"/>
  <c r="O471" i="4"/>
  <c r="N471" i="4"/>
  <c r="M471" i="4"/>
  <c r="L471" i="4"/>
  <c r="K471" i="4"/>
  <c r="J471" i="4"/>
  <c r="I471" i="4"/>
  <c r="H471" i="4"/>
  <c r="G471" i="4"/>
  <c r="F471" i="4"/>
  <c r="E471" i="4"/>
  <c r="D471" i="4"/>
  <c r="C471" i="4"/>
  <c r="B471" i="4"/>
  <c r="A471" i="4"/>
  <c r="AO470" i="4"/>
  <c r="AN470" i="4"/>
  <c r="AC470" i="4"/>
  <c r="AB470" i="4"/>
  <c r="AA470" i="4"/>
  <c r="Z470" i="4"/>
  <c r="Y470" i="4"/>
  <c r="X470" i="4"/>
  <c r="W470" i="4"/>
  <c r="V470" i="4"/>
  <c r="U470" i="4"/>
  <c r="T470" i="4"/>
  <c r="S470" i="4"/>
  <c r="R470" i="4"/>
  <c r="Q470" i="4"/>
  <c r="P470" i="4"/>
  <c r="O470" i="4"/>
  <c r="N470" i="4"/>
  <c r="M470" i="4"/>
  <c r="L470" i="4"/>
  <c r="K470" i="4"/>
  <c r="J470" i="4"/>
  <c r="I470" i="4"/>
  <c r="H470" i="4"/>
  <c r="G470" i="4"/>
  <c r="F470" i="4"/>
  <c r="E470" i="4"/>
  <c r="D470" i="4"/>
  <c r="C470" i="4"/>
  <c r="B470" i="4"/>
  <c r="A470" i="4"/>
  <c r="AO469" i="4"/>
  <c r="AN469" i="4"/>
  <c r="AC469" i="4"/>
  <c r="AB469" i="4"/>
  <c r="AA469" i="4"/>
  <c r="Z469" i="4"/>
  <c r="Y469" i="4"/>
  <c r="X469" i="4"/>
  <c r="W469" i="4"/>
  <c r="V469" i="4"/>
  <c r="U469" i="4"/>
  <c r="T469" i="4"/>
  <c r="S469" i="4"/>
  <c r="R469" i="4"/>
  <c r="Q469" i="4"/>
  <c r="P469" i="4"/>
  <c r="O469" i="4"/>
  <c r="N469" i="4"/>
  <c r="M469" i="4"/>
  <c r="L469" i="4"/>
  <c r="K469" i="4"/>
  <c r="J469" i="4"/>
  <c r="I469" i="4"/>
  <c r="H469" i="4"/>
  <c r="G469" i="4"/>
  <c r="F469" i="4"/>
  <c r="E469" i="4"/>
  <c r="D469" i="4"/>
  <c r="C469" i="4"/>
  <c r="B469" i="4"/>
  <c r="A469" i="4"/>
  <c r="AO468" i="4"/>
  <c r="AN468" i="4"/>
  <c r="AM468" i="4"/>
  <c r="AL468" i="4"/>
  <c r="AK468" i="4"/>
  <c r="AJ468" i="4"/>
  <c r="AI468" i="4"/>
  <c r="AH468" i="4"/>
  <c r="AG468" i="4"/>
  <c r="AF468" i="4"/>
  <c r="AE468" i="4"/>
  <c r="AD468" i="4"/>
  <c r="AC468" i="4"/>
  <c r="AB468" i="4"/>
  <c r="AA468" i="4"/>
  <c r="Z468" i="4"/>
  <c r="Y468" i="4"/>
  <c r="X468" i="4"/>
  <c r="W468" i="4"/>
  <c r="V468" i="4"/>
  <c r="U468" i="4"/>
  <c r="T468" i="4"/>
  <c r="S468" i="4"/>
  <c r="R468" i="4"/>
  <c r="Q468" i="4"/>
  <c r="P468" i="4"/>
  <c r="O468" i="4"/>
  <c r="N468" i="4"/>
  <c r="M468" i="4"/>
  <c r="L468" i="4"/>
  <c r="K468" i="4"/>
  <c r="J468" i="4"/>
  <c r="I468" i="4"/>
  <c r="H468" i="4"/>
  <c r="G468" i="4"/>
  <c r="F468" i="4"/>
  <c r="E468" i="4"/>
  <c r="D468" i="4"/>
  <c r="C468" i="4"/>
  <c r="B468" i="4"/>
  <c r="A468" i="4"/>
  <c r="AO467" i="4"/>
  <c r="AN467" i="4"/>
  <c r="AM467" i="4"/>
  <c r="AL467" i="4"/>
  <c r="AH467" i="4"/>
  <c r="AG467" i="4"/>
  <c r="AF467" i="4"/>
  <c r="AE467" i="4"/>
  <c r="AD467" i="4"/>
  <c r="AC467" i="4"/>
  <c r="AB467" i="4"/>
  <c r="AA467" i="4"/>
  <c r="Z467" i="4"/>
  <c r="Y467" i="4"/>
  <c r="X467" i="4"/>
  <c r="W467" i="4"/>
  <c r="V467" i="4"/>
  <c r="U467" i="4"/>
  <c r="T467" i="4"/>
  <c r="S467" i="4"/>
  <c r="R467" i="4"/>
  <c r="Q467" i="4"/>
  <c r="P467" i="4"/>
  <c r="O467" i="4"/>
  <c r="N467" i="4"/>
  <c r="M467" i="4"/>
  <c r="L467" i="4"/>
  <c r="K467" i="4"/>
  <c r="J467" i="4"/>
  <c r="I467" i="4"/>
  <c r="H467" i="4"/>
  <c r="G467" i="4"/>
  <c r="F467" i="4"/>
  <c r="E467" i="4"/>
  <c r="D467" i="4"/>
  <c r="C467" i="4"/>
  <c r="B467" i="4"/>
  <c r="A467" i="4"/>
  <c r="AO466" i="4"/>
  <c r="AN466" i="4"/>
  <c r="AM466" i="4"/>
  <c r="AL466" i="4"/>
  <c r="AK466" i="4"/>
  <c r="AJ466" i="4"/>
  <c r="AI466" i="4"/>
  <c r="AH466" i="4"/>
  <c r="AG466" i="4"/>
  <c r="AF466" i="4"/>
  <c r="AE466" i="4"/>
  <c r="AD466" i="4"/>
  <c r="AC466" i="4"/>
  <c r="AB466" i="4"/>
  <c r="AA466" i="4"/>
  <c r="Z466" i="4"/>
  <c r="Y466" i="4"/>
  <c r="X466" i="4"/>
  <c r="W466" i="4"/>
  <c r="V466" i="4"/>
  <c r="U466" i="4"/>
  <c r="T466" i="4"/>
  <c r="S466" i="4"/>
  <c r="R466" i="4"/>
  <c r="Q466" i="4"/>
  <c r="P466" i="4"/>
  <c r="O466" i="4"/>
  <c r="N466" i="4"/>
  <c r="M466" i="4"/>
  <c r="L466" i="4"/>
  <c r="K466" i="4"/>
  <c r="J466" i="4"/>
  <c r="I466" i="4"/>
  <c r="H466" i="4"/>
  <c r="G466" i="4"/>
  <c r="F466" i="4"/>
  <c r="E466" i="4"/>
  <c r="D466" i="4"/>
  <c r="C466" i="4"/>
  <c r="B466" i="4"/>
  <c r="A466" i="4"/>
  <c r="AO462" i="4"/>
  <c r="AN462" i="4"/>
  <c r="AM462" i="4"/>
  <c r="AL462" i="4"/>
  <c r="AK462" i="4"/>
  <c r="AJ462" i="4"/>
  <c r="AI462" i="4"/>
  <c r="AH462" i="4"/>
  <c r="AG462" i="4"/>
  <c r="AF462" i="4"/>
  <c r="AE462" i="4"/>
  <c r="AD462" i="4"/>
  <c r="AC462" i="4"/>
  <c r="AB462" i="4"/>
  <c r="AA462" i="4"/>
  <c r="Z462" i="4"/>
  <c r="Y462" i="4"/>
  <c r="X462" i="4"/>
  <c r="W462" i="4"/>
  <c r="V462" i="4"/>
  <c r="U462" i="4"/>
  <c r="T462" i="4"/>
  <c r="S462" i="4"/>
  <c r="R462" i="4"/>
  <c r="Q462" i="4"/>
  <c r="P462" i="4"/>
  <c r="O462" i="4"/>
  <c r="N462" i="4"/>
  <c r="M462" i="4"/>
  <c r="L462" i="4"/>
  <c r="K462" i="4"/>
  <c r="J462" i="4"/>
  <c r="I462" i="4"/>
  <c r="H462" i="4"/>
  <c r="G462" i="4"/>
  <c r="F462" i="4"/>
  <c r="E462" i="4"/>
  <c r="D462" i="4"/>
  <c r="C462" i="4"/>
  <c r="B462" i="4"/>
  <c r="A462" i="4"/>
  <c r="AO461" i="4"/>
  <c r="AN461" i="4"/>
  <c r="AM461" i="4"/>
  <c r="AL461" i="4"/>
  <c r="AK461" i="4"/>
  <c r="AJ461" i="4"/>
  <c r="AI461" i="4"/>
  <c r="AH461" i="4"/>
  <c r="AG461" i="4"/>
  <c r="AF461" i="4"/>
  <c r="AE461" i="4"/>
  <c r="AD461" i="4"/>
  <c r="AC461" i="4"/>
  <c r="AB461" i="4"/>
  <c r="AA461" i="4"/>
  <c r="Z461" i="4"/>
  <c r="Y461" i="4"/>
  <c r="X461" i="4"/>
  <c r="W461" i="4"/>
  <c r="V461" i="4"/>
  <c r="U461" i="4"/>
  <c r="T461" i="4"/>
  <c r="S461" i="4"/>
  <c r="R461" i="4"/>
  <c r="Q461" i="4"/>
  <c r="P461" i="4"/>
  <c r="O461" i="4"/>
  <c r="N461" i="4"/>
  <c r="M461" i="4"/>
  <c r="L461" i="4"/>
  <c r="K461" i="4"/>
  <c r="J461" i="4"/>
  <c r="I461" i="4"/>
  <c r="H461" i="4"/>
  <c r="G461" i="4"/>
  <c r="F461" i="4"/>
  <c r="E461" i="4"/>
  <c r="D461" i="4"/>
  <c r="C461" i="4"/>
  <c r="B461" i="4"/>
  <c r="A461" i="4"/>
  <c r="AO460" i="4"/>
  <c r="AN460" i="4"/>
  <c r="AB460" i="4"/>
  <c r="AA460" i="4"/>
  <c r="Z460" i="4"/>
  <c r="Y460" i="4"/>
  <c r="X460" i="4"/>
  <c r="W460" i="4"/>
  <c r="V460" i="4"/>
  <c r="I460" i="4"/>
  <c r="H460" i="4"/>
  <c r="G460" i="4"/>
  <c r="F460" i="4"/>
  <c r="E460" i="4"/>
  <c r="D460" i="4"/>
  <c r="C460" i="4"/>
  <c r="B460" i="4"/>
  <c r="A460" i="4"/>
  <c r="AO459" i="4"/>
  <c r="AN459" i="4"/>
  <c r="AB459" i="4"/>
  <c r="AA459" i="4"/>
  <c r="Z459" i="4"/>
  <c r="I459" i="4"/>
  <c r="H459" i="4"/>
  <c r="G459" i="4"/>
  <c r="F459" i="4"/>
  <c r="E459" i="4"/>
  <c r="D459" i="4"/>
  <c r="C459" i="4"/>
  <c r="B459" i="4"/>
  <c r="A459" i="4"/>
  <c r="AO458" i="4"/>
  <c r="AN458" i="4"/>
  <c r="AM458" i="4"/>
  <c r="AL458" i="4"/>
  <c r="AK458" i="4"/>
  <c r="AJ458" i="4"/>
  <c r="AI458" i="4"/>
  <c r="AH458" i="4"/>
  <c r="AG458" i="4"/>
  <c r="AF458" i="4"/>
  <c r="AE458" i="4"/>
  <c r="AD458" i="4"/>
  <c r="AC458" i="4"/>
  <c r="AB458" i="4"/>
  <c r="AA458" i="4"/>
  <c r="Z458" i="4"/>
  <c r="Y458" i="4"/>
  <c r="X458" i="4"/>
  <c r="W458" i="4"/>
  <c r="V458" i="4"/>
  <c r="U458" i="4"/>
  <c r="T458" i="4"/>
  <c r="S458" i="4"/>
  <c r="R458" i="4"/>
  <c r="Q458" i="4"/>
  <c r="P458" i="4"/>
  <c r="O458" i="4"/>
  <c r="N458" i="4"/>
  <c r="M458" i="4"/>
  <c r="L458" i="4"/>
  <c r="K458" i="4"/>
  <c r="J458" i="4"/>
  <c r="I458" i="4"/>
  <c r="H458" i="4"/>
  <c r="G458" i="4"/>
  <c r="F458" i="4"/>
  <c r="E458" i="4"/>
  <c r="D458" i="4"/>
  <c r="C458" i="4"/>
  <c r="B458" i="4"/>
  <c r="A458" i="4"/>
  <c r="AO457" i="4"/>
  <c r="AN457" i="4"/>
  <c r="AM457" i="4"/>
  <c r="AL457" i="4"/>
  <c r="AK457" i="4"/>
  <c r="AJ457" i="4"/>
  <c r="AI457" i="4"/>
  <c r="AH457" i="4"/>
  <c r="AG457" i="4"/>
  <c r="AF457" i="4"/>
  <c r="AE457" i="4"/>
  <c r="AD457" i="4"/>
  <c r="AC457" i="4"/>
  <c r="AB457" i="4"/>
  <c r="AA457" i="4"/>
  <c r="Z457" i="4"/>
  <c r="Y457" i="4"/>
  <c r="X457" i="4"/>
  <c r="W457" i="4"/>
  <c r="V457" i="4"/>
  <c r="U457" i="4"/>
  <c r="T457" i="4"/>
  <c r="S457" i="4"/>
  <c r="R457" i="4"/>
  <c r="Q457" i="4"/>
  <c r="P457" i="4"/>
  <c r="O457" i="4"/>
  <c r="N457" i="4"/>
  <c r="M457" i="4"/>
  <c r="L457" i="4"/>
  <c r="K457" i="4"/>
  <c r="J457" i="4"/>
  <c r="I457" i="4"/>
  <c r="H457" i="4"/>
  <c r="G457" i="4"/>
  <c r="F457" i="4"/>
  <c r="E457" i="4"/>
  <c r="D457" i="4"/>
  <c r="C457" i="4"/>
  <c r="B457" i="4"/>
  <c r="A457" i="4"/>
  <c r="AO456" i="4"/>
  <c r="AN456" i="4"/>
  <c r="AM456" i="4"/>
  <c r="AL456" i="4"/>
  <c r="AK456" i="4"/>
  <c r="AJ456" i="4"/>
  <c r="AI456" i="4"/>
  <c r="AH456" i="4"/>
  <c r="AG456" i="4"/>
  <c r="AF456" i="4"/>
  <c r="AE456" i="4"/>
  <c r="AD456" i="4"/>
  <c r="AC456" i="4"/>
  <c r="AB456" i="4"/>
  <c r="AA456" i="4"/>
  <c r="Z456" i="4"/>
  <c r="Y456" i="4"/>
  <c r="X456" i="4"/>
  <c r="W456" i="4"/>
  <c r="V456" i="4"/>
  <c r="U456" i="4"/>
  <c r="T456" i="4"/>
  <c r="S456" i="4"/>
  <c r="R456" i="4"/>
  <c r="Q456" i="4"/>
  <c r="P456" i="4"/>
  <c r="O456" i="4"/>
  <c r="N456" i="4"/>
  <c r="M456" i="4"/>
  <c r="L456" i="4"/>
  <c r="K456" i="4"/>
  <c r="J456" i="4"/>
  <c r="I456" i="4"/>
  <c r="H456" i="4"/>
  <c r="G456" i="4"/>
  <c r="F456" i="4"/>
  <c r="E456" i="4"/>
  <c r="D456" i="4"/>
  <c r="C456" i="4"/>
  <c r="B456" i="4"/>
  <c r="A456" i="4"/>
  <c r="AO455" i="4"/>
  <c r="AN455" i="4"/>
  <c r="AM455" i="4"/>
  <c r="AL455" i="4"/>
  <c r="AK455" i="4"/>
  <c r="AJ455" i="4"/>
  <c r="AI455" i="4"/>
  <c r="AH455" i="4"/>
  <c r="AG455" i="4"/>
  <c r="AC455" i="4"/>
  <c r="AB455" i="4"/>
  <c r="AA455" i="4"/>
  <c r="Z455" i="4"/>
  <c r="Y455" i="4"/>
  <c r="X455" i="4"/>
  <c r="W455" i="4"/>
  <c r="V455" i="4"/>
  <c r="U455" i="4"/>
  <c r="M455" i="4"/>
  <c r="L455" i="4"/>
  <c r="K455" i="4"/>
  <c r="J455" i="4"/>
  <c r="I455" i="4"/>
  <c r="H455" i="4"/>
  <c r="G455" i="4"/>
  <c r="F455" i="4"/>
  <c r="E455" i="4"/>
  <c r="D455" i="4"/>
  <c r="C455" i="4"/>
  <c r="B455" i="4"/>
  <c r="A455" i="4"/>
  <c r="AO454" i="4"/>
  <c r="AN454" i="4"/>
  <c r="AC454" i="4"/>
  <c r="AB454" i="4"/>
  <c r="AA454" i="4"/>
  <c r="Z454" i="4"/>
  <c r="M454" i="4"/>
  <c r="L454" i="4"/>
  <c r="K454" i="4"/>
  <c r="J454" i="4"/>
  <c r="I454" i="4"/>
  <c r="H454" i="4"/>
  <c r="G454" i="4"/>
  <c r="F454" i="4"/>
  <c r="E454" i="4"/>
  <c r="D454" i="4"/>
  <c r="C454" i="4"/>
  <c r="B454" i="4"/>
  <c r="A454" i="4"/>
  <c r="AO453" i="4"/>
  <c r="AN453" i="4"/>
  <c r="AB453" i="4"/>
  <c r="AA453" i="4"/>
  <c r="Z453" i="4"/>
  <c r="I453" i="4"/>
  <c r="H453" i="4"/>
  <c r="G453" i="4"/>
  <c r="F453" i="4"/>
  <c r="E453" i="4"/>
  <c r="D453" i="4"/>
  <c r="C453" i="4"/>
  <c r="B453" i="4"/>
  <c r="A453" i="4"/>
  <c r="AO452" i="4"/>
  <c r="AN452" i="4"/>
  <c r="AB452" i="4"/>
  <c r="AA452" i="4"/>
  <c r="Z452" i="4"/>
  <c r="I452" i="4"/>
  <c r="H452" i="4"/>
  <c r="G452" i="4"/>
  <c r="F452" i="4"/>
  <c r="E452" i="4"/>
  <c r="D452" i="4"/>
  <c r="C452" i="4"/>
  <c r="B452" i="4"/>
  <c r="A452" i="4"/>
  <c r="AO451" i="4"/>
  <c r="AN451" i="4"/>
  <c r="AM451" i="4"/>
  <c r="AL451" i="4"/>
  <c r="AK451" i="4"/>
  <c r="AJ451" i="4"/>
  <c r="AI451" i="4"/>
  <c r="AH451" i="4"/>
  <c r="AG451" i="4"/>
  <c r="AF451" i="4"/>
  <c r="AE451" i="4"/>
  <c r="AD451" i="4"/>
  <c r="AC451" i="4"/>
  <c r="AB451" i="4"/>
  <c r="AA451" i="4"/>
  <c r="Z451" i="4"/>
  <c r="Y451" i="4"/>
  <c r="X451" i="4"/>
  <c r="W451" i="4"/>
  <c r="V451" i="4"/>
  <c r="U451" i="4"/>
  <c r="T451" i="4"/>
  <c r="S451" i="4"/>
  <c r="R451" i="4"/>
  <c r="Q451" i="4"/>
  <c r="P451" i="4"/>
  <c r="O451" i="4"/>
  <c r="N451" i="4"/>
  <c r="M451" i="4"/>
  <c r="L451" i="4"/>
  <c r="K451" i="4"/>
  <c r="J451" i="4"/>
  <c r="I451" i="4"/>
  <c r="H451" i="4"/>
  <c r="G451" i="4"/>
  <c r="F451" i="4"/>
  <c r="E451" i="4"/>
  <c r="D451" i="4"/>
  <c r="C451" i="4"/>
  <c r="B451" i="4"/>
  <c r="A451" i="4"/>
  <c r="AO450" i="4"/>
  <c r="AN450" i="4"/>
  <c r="AM450" i="4"/>
  <c r="AL450" i="4"/>
  <c r="AK450" i="4"/>
  <c r="AJ450" i="4"/>
  <c r="AI450" i="4"/>
  <c r="AH450" i="4"/>
  <c r="AG450" i="4"/>
  <c r="AF450" i="4"/>
  <c r="AE450" i="4"/>
  <c r="AD450" i="4"/>
  <c r="AC450" i="4"/>
  <c r="AB450" i="4"/>
  <c r="AA450" i="4"/>
  <c r="Z450" i="4"/>
  <c r="Y450" i="4"/>
  <c r="X450" i="4"/>
  <c r="W450" i="4"/>
  <c r="V450" i="4"/>
  <c r="U450" i="4"/>
  <c r="T450" i="4"/>
  <c r="S450" i="4"/>
  <c r="R450" i="4"/>
  <c r="Q450" i="4"/>
  <c r="P450" i="4"/>
  <c r="O450" i="4"/>
  <c r="N450" i="4"/>
  <c r="M450" i="4"/>
  <c r="L450" i="4"/>
  <c r="K450" i="4"/>
  <c r="J450" i="4"/>
  <c r="I450" i="4"/>
  <c r="H450" i="4"/>
  <c r="G450" i="4"/>
  <c r="F450" i="4"/>
  <c r="E450" i="4"/>
  <c r="D450" i="4"/>
  <c r="C450" i="4"/>
  <c r="B450" i="4"/>
  <c r="A450" i="4"/>
  <c r="AO449" i="4"/>
  <c r="AN449" i="4"/>
  <c r="AM449" i="4"/>
  <c r="AL449" i="4"/>
  <c r="AK449" i="4"/>
  <c r="AJ449" i="4"/>
  <c r="AI449" i="4"/>
  <c r="AH449" i="4"/>
  <c r="AG449" i="4"/>
  <c r="AF449" i="4"/>
  <c r="AE449" i="4"/>
  <c r="AD449" i="4"/>
  <c r="AC449" i="4"/>
  <c r="AB449" i="4"/>
  <c r="AA449" i="4"/>
  <c r="Z449" i="4"/>
  <c r="Y449" i="4"/>
  <c r="X449" i="4"/>
  <c r="W449" i="4"/>
  <c r="V449" i="4"/>
  <c r="U449" i="4"/>
  <c r="T449" i="4"/>
  <c r="S449" i="4"/>
  <c r="R449" i="4"/>
  <c r="Q449" i="4"/>
  <c r="P449" i="4"/>
  <c r="O449" i="4"/>
  <c r="N449" i="4"/>
  <c r="M449" i="4"/>
  <c r="L449" i="4"/>
  <c r="K449" i="4"/>
  <c r="J449" i="4"/>
  <c r="I449" i="4"/>
  <c r="H449" i="4"/>
  <c r="G449" i="4"/>
  <c r="F449" i="4"/>
  <c r="E449" i="4"/>
  <c r="D449" i="4"/>
  <c r="C449" i="4"/>
  <c r="B449" i="4"/>
  <c r="A449" i="4"/>
  <c r="AO448" i="4"/>
  <c r="AN448" i="4"/>
  <c r="AB448" i="4"/>
  <c r="AA448" i="4"/>
  <c r="Z448" i="4"/>
  <c r="Y448" i="4"/>
  <c r="X448" i="4"/>
  <c r="W448" i="4"/>
  <c r="V448" i="4"/>
  <c r="U448" i="4"/>
  <c r="T448" i="4"/>
  <c r="S448" i="4"/>
  <c r="R448" i="4"/>
  <c r="Q448" i="4"/>
  <c r="P448" i="4"/>
  <c r="O448" i="4"/>
  <c r="N448" i="4"/>
  <c r="M448" i="4"/>
  <c r="L448" i="4"/>
  <c r="K448" i="4"/>
  <c r="J448" i="4"/>
  <c r="I448" i="4"/>
  <c r="H448" i="4"/>
  <c r="G448" i="4"/>
  <c r="F448" i="4"/>
  <c r="E448" i="4"/>
  <c r="D448" i="4"/>
  <c r="C448" i="4"/>
  <c r="B448" i="4"/>
  <c r="A448" i="4"/>
  <c r="AO447" i="4"/>
  <c r="AN447" i="4"/>
  <c r="AB447" i="4"/>
  <c r="AA447" i="4"/>
  <c r="Z447" i="4"/>
  <c r="Y447" i="4"/>
  <c r="X447" i="4"/>
  <c r="W447" i="4"/>
  <c r="V447" i="4"/>
  <c r="U447" i="4"/>
  <c r="T447" i="4"/>
  <c r="S447" i="4"/>
  <c r="R447" i="4"/>
  <c r="Q447" i="4"/>
  <c r="P447" i="4"/>
  <c r="O447" i="4"/>
  <c r="N447" i="4"/>
  <c r="M447" i="4"/>
  <c r="L447" i="4"/>
  <c r="K447" i="4"/>
  <c r="J447" i="4"/>
  <c r="I447" i="4"/>
  <c r="H447" i="4"/>
  <c r="G447" i="4"/>
  <c r="F447" i="4"/>
  <c r="E447" i="4"/>
  <c r="D447" i="4"/>
  <c r="C447" i="4"/>
  <c r="B447" i="4"/>
  <c r="A447" i="4"/>
  <c r="AO446" i="4"/>
  <c r="AN446" i="4"/>
  <c r="AM446" i="4"/>
  <c r="AL446" i="4"/>
  <c r="AK446" i="4"/>
  <c r="AJ446" i="4"/>
  <c r="AI446" i="4"/>
  <c r="AH446" i="4"/>
  <c r="AG446" i="4"/>
  <c r="AF446" i="4"/>
  <c r="AE446" i="4"/>
  <c r="AD446" i="4"/>
  <c r="AC446" i="4"/>
  <c r="AB446" i="4"/>
  <c r="AA446" i="4"/>
  <c r="Z446" i="4"/>
  <c r="Y446" i="4"/>
  <c r="X446" i="4"/>
  <c r="W446" i="4"/>
  <c r="V446" i="4"/>
  <c r="U446" i="4"/>
  <c r="T446" i="4"/>
  <c r="S446" i="4"/>
  <c r="R446" i="4"/>
  <c r="Q446" i="4"/>
  <c r="P446" i="4"/>
  <c r="O446" i="4"/>
  <c r="N446" i="4"/>
  <c r="M446" i="4"/>
  <c r="L446" i="4"/>
  <c r="K446" i="4"/>
  <c r="J446" i="4"/>
  <c r="I446" i="4"/>
  <c r="H446" i="4"/>
  <c r="G446" i="4"/>
  <c r="F446" i="4"/>
  <c r="E446" i="4"/>
  <c r="D446" i="4"/>
  <c r="C446" i="4"/>
  <c r="B446" i="4"/>
  <c r="A446" i="4"/>
  <c r="AO445" i="4"/>
  <c r="AN445" i="4"/>
  <c r="AG445" i="4"/>
  <c r="AC445" i="4"/>
  <c r="AB445" i="4"/>
  <c r="AA445" i="4"/>
  <c r="Z445" i="4"/>
  <c r="Y445" i="4"/>
  <c r="X445" i="4"/>
  <c r="W445" i="4"/>
  <c r="V445" i="4"/>
  <c r="U445" i="4"/>
  <c r="T445" i="4"/>
  <c r="S445" i="4"/>
  <c r="R445" i="4"/>
  <c r="Q445" i="4"/>
  <c r="P445" i="4"/>
  <c r="O445" i="4"/>
  <c r="N445" i="4"/>
  <c r="M445" i="4"/>
  <c r="L445" i="4"/>
  <c r="K445" i="4"/>
  <c r="J445" i="4"/>
  <c r="I445" i="4"/>
  <c r="H445" i="4"/>
  <c r="G445" i="4"/>
  <c r="F445" i="4"/>
  <c r="E445" i="4"/>
  <c r="D445" i="4"/>
  <c r="C445" i="4"/>
  <c r="B445" i="4"/>
  <c r="A445" i="4"/>
  <c r="AO444" i="4"/>
  <c r="AN444" i="4"/>
  <c r="AB444" i="4"/>
  <c r="AA444" i="4"/>
  <c r="Z444" i="4"/>
  <c r="I444" i="4"/>
  <c r="H444" i="4"/>
  <c r="G444" i="4"/>
  <c r="F444" i="4"/>
  <c r="E444" i="4"/>
  <c r="D444" i="4"/>
  <c r="C444" i="4"/>
  <c r="B444" i="4"/>
  <c r="A444" i="4"/>
  <c r="AO443" i="4"/>
  <c r="AN443" i="4"/>
  <c r="AM443" i="4"/>
  <c r="AL443" i="4"/>
  <c r="AK443" i="4"/>
  <c r="AJ443" i="4"/>
  <c r="AI443" i="4"/>
  <c r="AH443" i="4"/>
  <c r="AG443" i="4"/>
  <c r="AF443" i="4"/>
  <c r="AE443" i="4"/>
  <c r="AD443" i="4"/>
  <c r="AC443" i="4"/>
  <c r="AB443" i="4"/>
  <c r="AA443" i="4"/>
  <c r="Z443" i="4"/>
  <c r="Y443" i="4"/>
  <c r="X443" i="4"/>
  <c r="W443" i="4"/>
  <c r="V443" i="4"/>
  <c r="U443" i="4"/>
  <c r="T443" i="4"/>
  <c r="S443" i="4"/>
  <c r="R443" i="4"/>
  <c r="Q443" i="4"/>
  <c r="P443" i="4"/>
  <c r="O443" i="4"/>
  <c r="N443" i="4"/>
  <c r="M443" i="4"/>
  <c r="L443" i="4"/>
  <c r="K443" i="4"/>
  <c r="J443" i="4"/>
  <c r="I443" i="4"/>
  <c r="H443" i="4"/>
  <c r="G443" i="4"/>
  <c r="F443" i="4"/>
  <c r="E443" i="4"/>
  <c r="D443" i="4"/>
  <c r="C443" i="4"/>
  <c r="B443" i="4"/>
  <c r="A443" i="4"/>
  <c r="AO442" i="4"/>
  <c r="AN442" i="4"/>
  <c r="AC442" i="4"/>
  <c r="AB442" i="4"/>
  <c r="AA442" i="4"/>
  <c r="Z442" i="4"/>
  <c r="Y442" i="4"/>
  <c r="X442" i="4"/>
  <c r="W442" i="4"/>
  <c r="V442" i="4"/>
  <c r="U442" i="4"/>
  <c r="T442" i="4"/>
  <c r="S442" i="4"/>
  <c r="R442" i="4"/>
  <c r="Q442" i="4"/>
  <c r="P442" i="4"/>
  <c r="O442" i="4"/>
  <c r="N442" i="4"/>
  <c r="M442" i="4"/>
  <c r="L442" i="4"/>
  <c r="K442" i="4"/>
  <c r="J442" i="4"/>
  <c r="I442" i="4"/>
  <c r="H442" i="4"/>
  <c r="G442" i="4"/>
  <c r="F442" i="4"/>
  <c r="E442" i="4"/>
  <c r="D442" i="4"/>
  <c r="C442" i="4"/>
  <c r="B442" i="4"/>
  <c r="A442" i="4"/>
  <c r="AO441" i="4"/>
  <c r="AN441" i="4"/>
  <c r="AB441" i="4"/>
  <c r="AA441" i="4"/>
  <c r="Z441" i="4"/>
  <c r="I441" i="4"/>
  <c r="H441" i="4"/>
  <c r="G441" i="4"/>
  <c r="F441" i="4"/>
  <c r="E441" i="4"/>
  <c r="D441" i="4"/>
  <c r="C441" i="4"/>
  <c r="B441" i="4"/>
  <c r="A441" i="4"/>
  <c r="AO440" i="4"/>
  <c r="AN440" i="4"/>
  <c r="AM440" i="4"/>
  <c r="AL440" i="4"/>
  <c r="AK440" i="4"/>
  <c r="AJ440" i="4"/>
  <c r="AI440" i="4"/>
  <c r="AH440" i="4"/>
  <c r="AG440" i="4"/>
  <c r="AF440" i="4"/>
  <c r="AE440" i="4"/>
  <c r="AD440" i="4"/>
  <c r="AC440" i="4"/>
  <c r="AB440" i="4"/>
  <c r="AA440" i="4"/>
  <c r="Z440" i="4"/>
  <c r="Y440" i="4"/>
  <c r="X440" i="4"/>
  <c r="W440" i="4"/>
  <c r="V440" i="4"/>
  <c r="U440" i="4"/>
  <c r="T440" i="4"/>
  <c r="S440" i="4"/>
  <c r="R440" i="4"/>
  <c r="Q440" i="4"/>
  <c r="P440" i="4"/>
  <c r="O440" i="4"/>
  <c r="N440" i="4"/>
  <c r="M440" i="4"/>
  <c r="L440" i="4"/>
  <c r="K440" i="4"/>
  <c r="J440" i="4"/>
  <c r="I440" i="4"/>
  <c r="H440" i="4"/>
  <c r="G440" i="4"/>
  <c r="F440" i="4"/>
  <c r="E440" i="4"/>
  <c r="D440" i="4"/>
  <c r="C440" i="4"/>
  <c r="B440" i="4"/>
  <c r="A440" i="4"/>
  <c r="AO439" i="4"/>
  <c r="AN439" i="4"/>
  <c r="AM439" i="4"/>
  <c r="AL439" i="4"/>
  <c r="AK439" i="4"/>
  <c r="AJ439" i="4"/>
  <c r="AI439" i="4"/>
  <c r="AH439" i="4"/>
  <c r="AG439" i="4"/>
  <c r="AF439" i="4"/>
  <c r="AE439" i="4"/>
  <c r="AD439" i="4"/>
  <c r="AC439" i="4"/>
  <c r="AB439" i="4"/>
  <c r="AA439" i="4"/>
  <c r="Z439" i="4"/>
  <c r="Y439" i="4"/>
  <c r="X439" i="4"/>
  <c r="W439" i="4"/>
  <c r="V439" i="4"/>
  <c r="U439" i="4"/>
  <c r="T439" i="4"/>
  <c r="S439" i="4"/>
  <c r="R439" i="4"/>
  <c r="Q439" i="4"/>
  <c r="P439" i="4"/>
  <c r="O439" i="4"/>
  <c r="N439" i="4"/>
  <c r="M439" i="4"/>
  <c r="L439" i="4"/>
  <c r="K439" i="4"/>
  <c r="J439" i="4"/>
  <c r="I439" i="4"/>
  <c r="H439" i="4"/>
  <c r="G439" i="4"/>
  <c r="F439" i="4"/>
  <c r="E439" i="4"/>
  <c r="D439" i="4"/>
  <c r="C439" i="4"/>
  <c r="B439" i="4"/>
  <c r="A439" i="4"/>
  <c r="AO438" i="4"/>
  <c r="AN438" i="4"/>
  <c r="AB438" i="4"/>
  <c r="AA438" i="4"/>
  <c r="Z438" i="4"/>
  <c r="Q438" i="4"/>
  <c r="P438" i="4"/>
  <c r="O438" i="4"/>
  <c r="N438" i="4"/>
  <c r="M438" i="4"/>
  <c r="L438" i="4"/>
  <c r="K438" i="4"/>
  <c r="J438" i="4"/>
  <c r="I438" i="4"/>
  <c r="H438" i="4"/>
  <c r="G438" i="4"/>
  <c r="F438" i="4"/>
  <c r="E438" i="4"/>
  <c r="D438" i="4"/>
  <c r="C438" i="4"/>
  <c r="B438" i="4"/>
  <c r="A438" i="4"/>
  <c r="AO437" i="4"/>
  <c r="AN437" i="4"/>
  <c r="AB437" i="4"/>
  <c r="AA437" i="4"/>
  <c r="Z437" i="4"/>
  <c r="Q437" i="4"/>
  <c r="P437" i="4"/>
  <c r="O437" i="4"/>
  <c r="N437" i="4"/>
  <c r="M437" i="4"/>
  <c r="L437" i="4"/>
  <c r="K437" i="4"/>
  <c r="J437" i="4"/>
  <c r="I437" i="4"/>
  <c r="H437" i="4"/>
  <c r="G437" i="4"/>
  <c r="F437" i="4"/>
  <c r="E437" i="4"/>
  <c r="D437" i="4"/>
  <c r="C437" i="4"/>
  <c r="B437" i="4"/>
  <c r="A437" i="4"/>
  <c r="AO436" i="4"/>
  <c r="AN436" i="4"/>
  <c r="AC436" i="4"/>
  <c r="AB436" i="4"/>
  <c r="AA436" i="4"/>
  <c r="Z436" i="4"/>
  <c r="R436" i="4"/>
  <c r="Q436" i="4"/>
  <c r="P436" i="4"/>
  <c r="O436" i="4"/>
  <c r="N436" i="4"/>
  <c r="M436" i="4"/>
  <c r="L436" i="4"/>
  <c r="K436" i="4"/>
  <c r="J436" i="4"/>
  <c r="I436" i="4"/>
  <c r="H436" i="4"/>
  <c r="G436" i="4"/>
  <c r="F436" i="4"/>
  <c r="E436" i="4"/>
  <c r="D436" i="4"/>
  <c r="C436" i="4"/>
  <c r="B436" i="4"/>
  <c r="A436" i="4"/>
  <c r="AO435" i="4"/>
  <c r="AN435" i="4"/>
  <c r="AM435" i="4"/>
  <c r="AL435" i="4"/>
  <c r="AK435" i="4"/>
  <c r="AJ435" i="4"/>
  <c r="AI435" i="4"/>
  <c r="AH435" i="4"/>
  <c r="AG435" i="4"/>
  <c r="AF435" i="4"/>
  <c r="AE435" i="4"/>
  <c r="AD435" i="4"/>
  <c r="AC435" i="4"/>
  <c r="AB435" i="4"/>
  <c r="AA435" i="4"/>
  <c r="Z435" i="4"/>
  <c r="Y435" i="4"/>
  <c r="X435" i="4"/>
  <c r="W435" i="4"/>
  <c r="V435" i="4"/>
  <c r="U435" i="4"/>
  <c r="T435" i="4"/>
  <c r="S435" i="4"/>
  <c r="R435" i="4"/>
  <c r="Q435" i="4"/>
  <c r="P435" i="4"/>
  <c r="O435" i="4"/>
  <c r="N435" i="4"/>
  <c r="M435" i="4"/>
  <c r="L435" i="4"/>
  <c r="K435" i="4"/>
  <c r="J435" i="4"/>
  <c r="I435" i="4"/>
  <c r="H435" i="4"/>
  <c r="G435" i="4"/>
  <c r="F435" i="4"/>
  <c r="E435" i="4"/>
  <c r="D435" i="4"/>
  <c r="C435" i="4"/>
  <c r="B435" i="4"/>
  <c r="A435" i="4"/>
  <c r="AO434" i="4"/>
  <c r="AN434" i="4"/>
  <c r="AB434" i="4"/>
  <c r="AA434" i="4"/>
  <c r="Z434" i="4"/>
  <c r="Q434" i="4"/>
  <c r="P434" i="4"/>
  <c r="O434" i="4"/>
  <c r="N434" i="4"/>
  <c r="M434" i="4"/>
  <c r="L434" i="4"/>
  <c r="K434" i="4"/>
  <c r="J434" i="4"/>
  <c r="I434" i="4"/>
  <c r="H434" i="4"/>
  <c r="G434" i="4"/>
  <c r="F434" i="4"/>
  <c r="E434" i="4"/>
  <c r="D434" i="4"/>
  <c r="C434" i="4"/>
  <c r="B434" i="4"/>
  <c r="A434" i="4"/>
  <c r="AO433" i="4"/>
  <c r="AN433" i="4"/>
  <c r="AM433" i="4"/>
  <c r="AL433" i="4"/>
  <c r="AK433" i="4"/>
  <c r="AJ433" i="4"/>
  <c r="AI433" i="4"/>
  <c r="AH433" i="4"/>
  <c r="AG433" i="4"/>
  <c r="AF433" i="4"/>
  <c r="AE433" i="4"/>
  <c r="AD433" i="4"/>
  <c r="AC433" i="4"/>
  <c r="AB433" i="4"/>
  <c r="AA433" i="4"/>
  <c r="Z433" i="4"/>
  <c r="Y433" i="4"/>
  <c r="X433" i="4"/>
  <c r="W433" i="4"/>
  <c r="V433" i="4"/>
  <c r="U433" i="4"/>
  <c r="T433" i="4"/>
  <c r="S433" i="4"/>
  <c r="R433" i="4"/>
  <c r="Q433" i="4"/>
  <c r="P433" i="4"/>
  <c r="O433" i="4"/>
  <c r="N433" i="4"/>
  <c r="M433" i="4"/>
  <c r="L433" i="4"/>
  <c r="K433" i="4"/>
  <c r="J433" i="4"/>
  <c r="I433" i="4"/>
  <c r="H433" i="4"/>
  <c r="G433" i="4"/>
  <c r="F433" i="4"/>
  <c r="E433" i="4"/>
  <c r="D433" i="4"/>
  <c r="C433" i="4"/>
  <c r="B433" i="4"/>
  <c r="A433" i="4"/>
  <c r="AO432" i="4"/>
  <c r="AN432" i="4"/>
  <c r="AD432" i="4"/>
  <c r="AC432" i="4"/>
  <c r="AB432" i="4"/>
  <c r="AA432" i="4"/>
  <c r="Z432" i="4"/>
  <c r="Y432" i="4"/>
  <c r="X432" i="4"/>
  <c r="W432" i="4"/>
  <c r="V432" i="4"/>
  <c r="R432" i="4"/>
  <c r="Q432" i="4"/>
  <c r="P432" i="4"/>
  <c r="O432" i="4"/>
  <c r="N432" i="4"/>
  <c r="M432" i="4"/>
  <c r="L432" i="4"/>
  <c r="K432" i="4"/>
  <c r="J432" i="4"/>
  <c r="I432" i="4"/>
  <c r="H432" i="4"/>
  <c r="G432" i="4"/>
  <c r="F432" i="4"/>
  <c r="E432" i="4"/>
  <c r="D432" i="4"/>
  <c r="C432" i="4"/>
  <c r="B432" i="4"/>
  <c r="A432" i="4"/>
  <c r="AO431" i="4"/>
  <c r="AN431" i="4"/>
  <c r="AD431" i="4"/>
  <c r="AC431" i="4"/>
  <c r="AB431" i="4"/>
  <c r="AA431" i="4"/>
  <c r="Z431" i="4"/>
  <c r="Y431" i="4"/>
  <c r="X431" i="4"/>
  <c r="W431" i="4"/>
  <c r="V431" i="4"/>
  <c r="U431" i="4"/>
  <c r="R431" i="4"/>
  <c r="Q431" i="4"/>
  <c r="P431" i="4"/>
  <c r="O431" i="4"/>
  <c r="N431" i="4"/>
  <c r="M431" i="4"/>
  <c r="L431" i="4"/>
  <c r="K431" i="4"/>
  <c r="J431" i="4"/>
  <c r="I431" i="4"/>
  <c r="H431" i="4"/>
  <c r="G431" i="4"/>
  <c r="F431" i="4"/>
  <c r="E431" i="4"/>
  <c r="D431" i="4"/>
  <c r="C431" i="4"/>
  <c r="B431" i="4"/>
  <c r="A431" i="4"/>
  <c r="AO430" i="4"/>
  <c r="AN430" i="4"/>
  <c r="AD430" i="4"/>
  <c r="AC430" i="4"/>
  <c r="AB430" i="4"/>
  <c r="AA430" i="4"/>
  <c r="Z430" i="4"/>
  <c r="Y430" i="4"/>
  <c r="X430" i="4"/>
  <c r="W430" i="4"/>
  <c r="V430" i="4"/>
  <c r="U430" i="4"/>
  <c r="R430" i="4"/>
  <c r="Q430" i="4"/>
  <c r="P430" i="4"/>
  <c r="O430" i="4"/>
  <c r="N430" i="4"/>
  <c r="M430" i="4"/>
  <c r="L430" i="4"/>
  <c r="K430" i="4"/>
  <c r="J430" i="4"/>
  <c r="I430" i="4"/>
  <c r="H430" i="4"/>
  <c r="G430" i="4"/>
  <c r="F430" i="4"/>
  <c r="E430" i="4"/>
  <c r="D430" i="4"/>
  <c r="C430" i="4"/>
  <c r="B430" i="4"/>
  <c r="A430" i="4"/>
  <c r="AO429" i="4"/>
  <c r="AN429" i="4"/>
  <c r="AD429" i="4"/>
  <c r="AC429" i="4"/>
  <c r="AB429" i="4"/>
  <c r="AA429" i="4"/>
  <c r="Z429" i="4"/>
  <c r="Y429" i="4"/>
  <c r="X429" i="4"/>
  <c r="W429" i="4"/>
  <c r="V429" i="4"/>
  <c r="U429" i="4"/>
  <c r="R429" i="4"/>
  <c r="Q429" i="4"/>
  <c r="P429" i="4"/>
  <c r="O429" i="4"/>
  <c r="N429" i="4"/>
  <c r="M429" i="4"/>
  <c r="L429" i="4"/>
  <c r="K429" i="4"/>
  <c r="J429" i="4"/>
  <c r="I429" i="4"/>
  <c r="H429" i="4"/>
  <c r="G429" i="4"/>
  <c r="F429" i="4"/>
  <c r="E429" i="4"/>
  <c r="D429" i="4"/>
  <c r="C429" i="4"/>
  <c r="B429" i="4"/>
  <c r="A429" i="4"/>
  <c r="AO428" i="4"/>
  <c r="AN428" i="4"/>
  <c r="AD428" i="4"/>
  <c r="AC428" i="4"/>
  <c r="AB428" i="4"/>
  <c r="AA428" i="4"/>
  <c r="Z428" i="4"/>
  <c r="Y428" i="4"/>
  <c r="X428" i="4"/>
  <c r="W428" i="4"/>
  <c r="V428" i="4"/>
  <c r="R428" i="4"/>
  <c r="Q428" i="4"/>
  <c r="P428" i="4"/>
  <c r="O428" i="4"/>
  <c r="N428" i="4"/>
  <c r="M428" i="4"/>
  <c r="L428" i="4"/>
  <c r="K428" i="4"/>
  <c r="J428" i="4"/>
  <c r="I428" i="4"/>
  <c r="H428" i="4"/>
  <c r="G428" i="4"/>
  <c r="F428" i="4"/>
  <c r="E428" i="4"/>
  <c r="D428" i="4"/>
  <c r="C428" i="4"/>
  <c r="B428" i="4"/>
  <c r="A428" i="4"/>
  <c r="AO427" i="4"/>
  <c r="AN427" i="4"/>
  <c r="AD427" i="4"/>
  <c r="AC427" i="4"/>
  <c r="AB427" i="4"/>
  <c r="AA427" i="4"/>
  <c r="Z427" i="4"/>
  <c r="Y427" i="4"/>
  <c r="X427" i="4"/>
  <c r="W427" i="4"/>
  <c r="V427" i="4"/>
  <c r="R427" i="4"/>
  <c r="Q427" i="4"/>
  <c r="P427" i="4"/>
  <c r="O427" i="4"/>
  <c r="N427" i="4"/>
  <c r="M427" i="4"/>
  <c r="L427" i="4"/>
  <c r="K427" i="4"/>
  <c r="J427" i="4"/>
  <c r="I427" i="4"/>
  <c r="H427" i="4"/>
  <c r="G427" i="4"/>
  <c r="F427" i="4"/>
  <c r="E427" i="4"/>
  <c r="D427" i="4"/>
  <c r="C427" i="4"/>
  <c r="B427" i="4"/>
  <c r="A427" i="4"/>
  <c r="AO426" i="4"/>
  <c r="AN426" i="4"/>
  <c r="AM426" i="4"/>
  <c r="AL426" i="4"/>
  <c r="AK426" i="4"/>
  <c r="AJ426" i="4"/>
  <c r="AI426" i="4"/>
  <c r="AH426" i="4"/>
  <c r="AG426" i="4"/>
  <c r="AF426" i="4"/>
  <c r="AE426" i="4"/>
  <c r="AD426" i="4"/>
  <c r="AC426" i="4"/>
  <c r="AB426" i="4"/>
  <c r="AA426" i="4"/>
  <c r="Z426" i="4"/>
  <c r="Y426" i="4"/>
  <c r="X426" i="4"/>
  <c r="W426" i="4"/>
  <c r="V426" i="4"/>
  <c r="U426" i="4"/>
  <c r="T426" i="4"/>
  <c r="S426" i="4"/>
  <c r="R426" i="4"/>
  <c r="Q426" i="4"/>
  <c r="P426" i="4"/>
  <c r="O426" i="4"/>
  <c r="N426" i="4"/>
  <c r="M426" i="4"/>
  <c r="L426" i="4"/>
  <c r="K426" i="4"/>
  <c r="J426" i="4"/>
  <c r="I426" i="4"/>
  <c r="H426" i="4"/>
  <c r="G426" i="4"/>
  <c r="F426" i="4"/>
  <c r="E426" i="4"/>
  <c r="D426" i="4"/>
  <c r="C426" i="4"/>
  <c r="B426" i="4"/>
  <c r="A426" i="4"/>
  <c r="AO425" i="4"/>
  <c r="AN425" i="4"/>
  <c r="AM425" i="4"/>
  <c r="AL425" i="4"/>
  <c r="AK425" i="4"/>
  <c r="AJ425" i="4"/>
  <c r="AI425" i="4"/>
  <c r="AH425" i="4"/>
  <c r="AG425" i="4"/>
  <c r="AF425" i="4"/>
  <c r="AE425" i="4"/>
  <c r="AD425" i="4"/>
  <c r="AC425" i="4"/>
  <c r="AB425" i="4"/>
  <c r="AA425" i="4"/>
  <c r="Z425" i="4"/>
  <c r="Y425" i="4"/>
  <c r="X425" i="4"/>
  <c r="W425" i="4"/>
  <c r="V425" i="4"/>
  <c r="U425" i="4"/>
  <c r="T425" i="4"/>
  <c r="S425" i="4"/>
  <c r="R425" i="4"/>
  <c r="Q425" i="4"/>
  <c r="P425" i="4"/>
  <c r="O425" i="4"/>
  <c r="N425" i="4"/>
  <c r="M425" i="4"/>
  <c r="L425" i="4"/>
  <c r="K425" i="4"/>
  <c r="J425" i="4"/>
  <c r="I425" i="4"/>
  <c r="H425" i="4"/>
  <c r="G425" i="4"/>
  <c r="F425" i="4"/>
  <c r="E425" i="4"/>
  <c r="D425" i="4"/>
  <c r="C425" i="4"/>
  <c r="B425" i="4"/>
  <c r="A425" i="4"/>
  <c r="AO424" i="4"/>
  <c r="AN424" i="4"/>
  <c r="AB424" i="4"/>
  <c r="AA424" i="4"/>
  <c r="Z424" i="4"/>
  <c r="Q424" i="4"/>
  <c r="P424" i="4"/>
  <c r="O424" i="4"/>
  <c r="N424" i="4"/>
  <c r="M424" i="4"/>
  <c r="L424" i="4"/>
  <c r="K424" i="4"/>
  <c r="J424" i="4"/>
  <c r="I424" i="4"/>
  <c r="H424" i="4"/>
  <c r="G424" i="4"/>
  <c r="F424" i="4"/>
  <c r="E424" i="4"/>
  <c r="D424" i="4"/>
  <c r="C424" i="4"/>
  <c r="B424" i="4"/>
  <c r="A424" i="4"/>
  <c r="AO423" i="4"/>
  <c r="AN423" i="4"/>
  <c r="AD423" i="4"/>
  <c r="AC423" i="4"/>
  <c r="AB423" i="4"/>
  <c r="AA423" i="4"/>
  <c r="Z423" i="4"/>
  <c r="Y423" i="4"/>
  <c r="X423" i="4"/>
  <c r="W423" i="4"/>
  <c r="V423" i="4"/>
  <c r="U423" i="4"/>
  <c r="R423" i="4"/>
  <c r="Q423" i="4"/>
  <c r="P423" i="4"/>
  <c r="O423" i="4"/>
  <c r="N423" i="4"/>
  <c r="M423" i="4"/>
  <c r="L423" i="4"/>
  <c r="K423" i="4"/>
  <c r="J423" i="4"/>
  <c r="I423" i="4"/>
  <c r="H423" i="4"/>
  <c r="G423" i="4"/>
  <c r="F423" i="4"/>
  <c r="E423" i="4"/>
  <c r="D423" i="4"/>
  <c r="C423" i="4"/>
  <c r="B423" i="4"/>
  <c r="A423" i="4"/>
  <c r="AO422" i="4"/>
  <c r="AN422" i="4"/>
  <c r="AD422" i="4"/>
  <c r="AC422" i="4"/>
  <c r="AB422" i="4"/>
  <c r="AA422" i="4"/>
  <c r="Z422" i="4"/>
  <c r="Y422" i="4"/>
  <c r="X422" i="4"/>
  <c r="W422" i="4"/>
  <c r="V422" i="4"/>
  <c r="R422" i="4"/>
  <c r="Q422" i="4"/>
  <c r="P422" i="4"/>
  <c r="O422" i="4"/>
  <c r="N422" i="4"/>
  <c r="M422" i="4"/>
  <c r="L422" i="4"/>
  <c r="K422" i="4"/>
  <c r="J422" i="4"/>
  <c r="I422" i="4"/>
  <c r="H422" i="4"/>
  <c r="G422" i="4"/>
  <c r="F422" i="4"/>
  <c r="E422" i="4"/>
  <c r="D422" i="4"/>
  <c r="C422" i="4"/>
  <c r="B422" i="4"/>
  <c r="A422" i="4"/>
  <c r="AO421" i="4"/>
  <c r="AN421" i="4"/>
  <c r="AD421" i="4"/>
  <c r="AC421" i="4"/>
  <c r="AB421" i="4"/>
  <c r="AA421" i="4"/>
  <c r="Z421" i="4"/>
  <c r="Y421" i="4"/>
  <c r="X421" i="4"/>
  <c r="W421" i="4"/>
  <c r="V421" i="4"/>
  <c r="R421" i="4"/>
  <c r="Q421" i="4"/>
  <c r="P421" i="4"/>
  <c r="O421" i="4"/>
  <c r="N421" i="4"/>
  <c r="M421" i="4"/>
  <c r="L421" i="4"/>
  <c r="K421" i="4"/>
  <c r="J421" i="4"/>
  <c r="I421" i="4"/>
  <c r="H421" i="4"/>
  <c r="G421" i="4"/>
  <c r="F421" i="4"/>
  <c r="E421" i="4"/>
  <c r="D421" i="4"/>
  <c r="C421" i="4"/>
  <c r="B421" i="4"/>
  <c r="A421" i="4"/>
  <c r="AO420" i="4"/>
  <c r="AN420" i="4"/>
  <c r="AD420" i="4"/>
  <c r="AC420" i="4"/>
  <c r="AB420" i="4"/>
  <c r="AA420" i="4"/>
  <c r="Z420" i="4"/>
  <c r="Y420" i="4"/>
  <c r="X420" i="4"/>
  <c r="W420" i="4"/>
  <c r="V420" i="4"/>
  <c r="R420" i="4"/>
  <c r="Q420" i="4"/>
  <c r="P420" i="4"/>
  <c r="O420" i="4"/>
  <c r="N420" i="4"/>
  <c r="M420" i="4"/>
  <c r="L420" i="4"/>
  <c r="K420" i="4"/>
  <c r="J420" i="4"/>
  <c r="I420" i="4"/>
  <c r="H420" i="4"/>
  <c r="G420" i="4"/>
  <c r="F420" i="4"/>
  <c r="E420" i="4"/>
  <c r="D420" i="4"/>
  <c r="C420" i="4"/>
  <c r="B420" i="4"/>
  <c r="A420" i="4"/>
  <c r="AO419" i="4"/>
  <c r="AN419" i="4"/>
  <c r="AD419" i="4"/>
  <c r="AC419" i="4"/>
  <c r="AB419" i="4"/>
  <c r="AA419" i="4"/>
  <c r="Z419" i="4"/>
  <c r="Y419" i="4"/>
  <c r="X419" i="4"/>
  <c r="W419" i="4"/>
  <c r="V419" i="4"/>
  <c r="R419" i="4"/>
  <c r="Q419" i="4"/>
  <c r="P419" i="4"/>
  <c r="O419" i="4"/>
  <c r="N419" i="4"/>
  <c r="M419" i="4"/>
  <c r="L419" i="4"/>
  <c r="K419" i="4"/>
  <c r="J419" i="4"/>
  <c r="I419" i="4"/>
  <c r="H419" i="4"/>
  <c r="G419" i="4"/>
  <c r="F419" i="4"/>
  <c r="E419" i="4"/>
  <c r="D419" i="4"/>
  <c r="C419" i="4"/>
  <c r="B419" i="4"/>
  <c r="A419" i="4"/>
  <c r="AO418" i="4"/>
  <c r="AN418" i="4"/>
  <c r="AD418" i="4"/>
  <c r="AC418" i="4"/>
  <c r="AB418" i="4"/>
  <c r="AA418" i="4"/>
  <c r="Z418" i="4"/>
  <c r="Y418" i="4"/>
  <c r="X418" i="4"/>
  <c r="W418" i="4"/>
  <c r="V418" i="4"/>
  <c r="U418" i="4"/>
  <c r="R418" i="4"/>
  <c r="Q418" i="4"/>
  <c r="P418" i="4"/>
  <c r="O418" i="4"/>
  <c r="N418" i="4"/>
  <c r="M418" i="4"/>
  <c r="L418" i="4"/>
  <c r="K418" i="4"/>
  <c r="J418" i="4"/>
  <c r="I418" i="4"/>
  <c r="H418" i="4"/>
  <c r="G418" i="4"/>
  <c r="F418" i="4"/>
  <c r="E418" i="4"/>
  <c r="D418" i="4"/>
  <c r="C418" i="4"/>
  <c r="B418" i="4"/>
  <c r="A418" i="4"/>
  <c r="AO417" i="4"/>
  <c r="AN417" i="4"/>
  <c r="AD417" i="4"/>
  <c r="AC417" i="4"/>
  <c r="AB417" i="4"/>
  <c r="AA417" i="4"/>
  <c r="Z417" i="4"/>
  <c r="Y417" i="4"/>
  <c r="X417" i="4"/>
  <c r="W417" i="4"/>
  <c r="V417" i="4"/>
  <c r="U417" i="4"/>
  <c r="R417" i="4"/>
  <c r="Q417" i="4"/>
  <c r="P417" i="4"/>
  <c r="O417" i="4"/>
  <c r="N417" i="4"/>
  <c r="M417" i="4"/>
  <c r="L417" i="4"/>
  <c r="K417" i="4"/>
  <c r="J417" i="4"/>
  <c r="I417" i="4"/>
  <c r="H417" i="4"/>
  <c r="G417" i="4"/>
  <c r="F417" i="4"/>
  <c r="E417" i="4"/>
  <c r="D417" i="4"/>
  <c r="C417" i="4"/>
  <c r="B417" i="4"/>
  <c r="A417" i="4"/>
  <c r="AO416" i="4"/>
  <c r="AN416" i="4"/>
  <c r="AD416" i="4"/>
  <c r="AC416" i="4"/>
  <c r="AB416" i="4"/>
  <c r="AA416" i="4"/>
  <c r="Z416" i="4"/>
  <c r="Y416" i="4"/>
  <c r="X416" i="4"/>
  <c r="W416" i="4"/>
  <c r="V416" i="4"/>
  <c r="R416" i="4"/>
  <c r="Q416" i="4"/>
  <c r="P416" i="4"/>
  <c r="O416" i="4"/>
  <c r="N416" i="4"/>
  <c r="M416" i="4"/>
  <c r="L416" i="4"/>
  <c r="K416" i="4"/>
  <c r="J416" i="4"/>
  <c r="I416" i="4"/>
  <c r="H416" i="4"/>
  <c r="G416" i="4"/>
  <c r="F416" i="4"/>
  <c r="E416" i="4"/>
  <c r="D416" i="4"/>
  <c r="C416" i="4"/>
  <c r="B416" i="4"/>
  <c r="A416" i="4"/>
  <c r="AO415" i="4"/>
  <c r="AN415" i="4"/>
  <c r="AD415" i="4"/>
  <c r="AC415" i="4"/>
  <c r="AB415" i="4"/>
  <c r="AA415" i="4"/>
  <c r="Z415" i="4"/>
  <c r="Y415" i="4"/>
  <c r="X415" i="4"/>
  <c r="W415" i="4"/>
  <c r="V415" i="4"/>
  <c r="R415" i="4"/>
  <c r="Q415" i="4"/>
  <c r="P415" i="4"/>
  <c r="O415" i="4"/>
  <c r="N415" i="4"/>
  <c r="M415" i="4"/>
  <c r="L415" i="4"/>
  <c r="K415" i="4"/>
  <c r="J415" i="4"/>
  <c r="I415" i="4"/>
  <c r="H415" i="4"/>
  <c r="G415" i="4"/>
  <c r="F415" i="4"/>
  <c r="E415" i="4"/>
  <c r="D415" i="4"/>
  <c r="C415" i="4"/>
  <c r="B415" i="4"/>
  <c r="A415" i="4"/>
  <c r="AO414" i="4"/>
  <c r="AN414" i="4"/>
  <c r="AD414" i="4"/>
  <c r="AC414" i="4"/>
  <c r="AB414" i="4"/>
  <c r="AA414" i="4"/>
  <c r="Z414" i="4"/>
  <c r="Y414" i="4"/>
  <c r="X414" i="4"/>
  <c r="W414" i="4"/>
  <c r="V414" i="4"/>
  <c r="R414" i="4"/>
  <c r="Q414" i="4"/>
  <c r="P414" i="4"/>
  <c r="O414" i="4"/>
  <c r="N414" i="4"/>
  <c r="M414" i="4"/>
  <c r="L414" i="4"/>
  <c r="K414" i="4"/>
  <c r="J414" i="4"/>
  <c r="I414" i="4"/>
  <c r="H414" i="4"/>
  <c r="G414" i="4"/>
  <c r="F414" i="4"/>
  <c r="E414" i="4"/>
  <c r="D414" i="4"/>
  <c r="C414" i="4"/>
  <c r="B414" i="4"/>
  <c r="A414" i="4"/>
  <c r="AO413" i="4"/>
  <c r="AN413" i="4"/>
  <c r="AD413" i="4"/>
  <c r="AC413" i="4"/>
  <c r="AB413" i="4"/>
  <c r="AA413" i="4"/>
  <c r="Z413" i="4"/>
  <c r="R413" i="4"/>
  <c r="Q413" i="4"/>
  <c r="P413" i="4"/>
  <c r="O413" i="4"/>
  <c r="N413" i="4"/>
  <c r="M413" i="4"/>
  <c r="L413" i="4"/>
  <c r="K413" i="4"/>
  <c r="J413" i="4"/>
  <c r="I413" i="4"/>
  <c r="H413" i="4"/>
  <c r="G413" i="4"/>
  <c r="F413" i="4"/>
  <c r="E413" i="4"/>
  <c r="D413" i="4"/>
  <c r="C413" i="4"/>
  <c r="B413" i="4"/>
  <c r="A413" i="4"/>
  <c r="AO412" i="4"/>
  <c r="AN412" i="4"/>
  <c r="AM412" i="4"/>
  <c r="AL412" i="4"/>
  <c r="AK412" i="4"/>
  <c r="AJ412" i="4"/>
  <c r="AI412" i="4"/>
  <c r="AH412" i="4"/>
  <c r="AG412" i="4"/>
  <c r="AF412" i="4"/>
  <c r="AE412" i="4"/>
  <c r="AD412" i="4"/>
  <c r="AC412" i="4"/>
  <c r="AB412" i="4"/>
  <c r="AA412" i="4"/>
  <c r="Z412" i="4"/>
  <c r="Y412" i="4"/>
  <c r="X412" i="4"/>
  <c r="W412" i="4"/>
  <c r="V412" i="4"/>
  <c r="U412" i="4"/>
  <c r="T412" i="4"/>
  <c r="S412" i="4"/>
  <c r="R412" i="4"/>
  <c r="Q412" i="4"/>
  <c r="P412" i="4"/>
  <c r="O412" i="4"/>
  <c r="N412" i="4"/>
  <c r="M412" i="4"/>
  <c r="L412" i="4"/>
  <c r="K412" i="4"/>
  <c r="J412" i="4"/>
  <c r="I412" i="4"/>
  <c r="H412" i="4"/>
  <c r="G412" i="4"/>
  <c r="F412" i="4"/>
  <c r="E412" i="4"/>
  <c r="D412" i="4"/>
  <c r="C412" i="4"/>
  <c r="B412" i="4"/>
  <c r="A412" i="4"/>
  <c r="AO411" i="4"/>
  <c r="AN411" i="4"/>
  <c r="AM411" i="4"/>
  <c r="AL411" i="4"/>
  <c r="AK411" i="4"/>
  <c r="AJ411" i="4"/>
  <c r="AI411" i="4"/>
  <c r="AH411" i="4"/>
  <c r="AG411" i="4"/>
  <c r="AF411" i="4"/>
  <c r="AE411" i="4"/>
  <c r="AD411" i="4"/>
  <c r="AC411" i="4"/>
  <c r="AB411" i="4"/>
  <c r="AA411" i="4"/>
  <c r="Z411" i="4"/>
  <c r="Y411" i="4"/>
  <c r="X411" i="4"/>
  <c r="W411" i="4"/>
  <c r="V411" i="4"/>
  <c r="U411" i="4"/>
  <c r="T411" i="4"/>
  <c r="S411" i="4"/>
  <c r="R411" i="4"/>
  <c r="Q411" i="4"/>
  <c r="P411" i="4"/>
  <c r="O411" i="4"/>
  <c r="N411" i="4"/>
  <c r="M411" i="4"/>
  <c r="L411" i="4"/>
  <c r="K411" i="4"/>
  <c r="J411" i="4"/>
  <c r="I411" i="4"/>
  <c r="H411" i="4"/>
  <c r="G411" i="4"/>
  <c r="F411" i="4"/>
  <c r="E411" i="4"/>
  <c r="D411" i="4"/>
  <c r="C411" i="4"/>
  <c r="B411" i="4"/>
  <c r="A411" i="4"/>
  <c r="AO410" i="4"/>
  <c r="AN410" i="4"/>
  <c r="AB410" i="4"/>
  <c r="AA410" i="4"/>
  <c r="Z410" i="4"/>
  <c r="Q410" i="4"/>
  <c r="P410" i="4"/>
  <c r="O410" i="4"/>
  <c r="N410" i="4"/>
  <c r="M410" i="4"/>
  <c r="L410" i="4"/>
  <c r="K410" i="4"/>
  <c r="J410" i="4"/>
  <c r="I410" i="4"/>
  <c r="H410" i="4"/>
  <c r="G410" i="4"/>
  <c r="F410" i="4"/>
  <c r="E410" i="4"/>
  <c r="D410" i="4"/>
  <c r="C410" i="4"/>
  <c r="B410" i="4"/>
  <c r="A410" i="4"/>
  <c r="AO409" i="4"/>
  <c r="AN409" i="4"/>
  <c r="AM409" i="4"/>
  <c r="AL409" i="4"/>
  <c r="AK409" i="4"/>
  <c r="AJ409" i="4"/>
  <c r="AI409" i="4"/>
  <c r="AH409" i="4"/>
  <c r="AG409" i="4"/>
  <c r="AF409" i="4"/>
  <c r="AE409" i="4"/>
  <c r="AD409" i="4"/>
  <c r="AC409" i="4"/>
  <c r="AB409" i="4"/>
  <c r="AA409" i="4"/>
  <c r="Z409" i="4"/>
  <c r="Y409" i="4"/>
  <c r="X409" i="4"/>
  <c r="W409" i="4"/>
  <c r="V409" i="4"/>
  <c r="U409" i="4"/>
  <c r="T409" i="4"/>
  <c r="S409" i="4"/>
  <c r="R409" i="4"/>
  <c r="Q409" i="4"/>
  <c r="P409" i="4"/>
  <c r="O409" i="4"/>
  <c r="N409" i="4"/>
  <c r="M409" i="4"/>
  <c r="L409" i="4"/>
  <c r="K409" i="4"/>
  <c r="J409" i="4"/>
  <c r="I409" i="4"/>
  <c r="H409" i="4"/>
  <c r="G409" i="4"/>
  <c r="F409" i="4"/>
  <c r="E409" i="4"/>
  <c r="D409" i="4"/>
  <c r="C409" i="4"/>
  <c r="B409" i="4"/>
  <c r="A409" i="4"/>
  <c r="AO408" i="4"/>
  <c r="AN408" i="4"/>
  <c r="AB408" i="4"/>
  <c r="AA408" i="4"/>
  <c r="Z408" i="4"/>
  <c r="Q408" i="4"/>
  <c r="P408" i="4"/>
  <c r="O408" i="4"/>
  <c r="N408" i="4"/>
  <c r="M408" i="4"/>
  <c r="L408" i="4"/>
  <c r="K408" i="4"/>
  <c r="J408" i="4"/>
  <c r="I408" i="4"/>
  <c r="H408" i="4"/>
  <c r="G408" i="4"/>
  <c r="F408" i="4"/>
  <c r="E408" i="4"/>
  <c r="D408" i="4"/>
  <c r="C408" i="4"/>
  <c r="B408" i="4"/>
  <c r="A408" i="4"/>
  <c r="AO407" i="4"/>
  <c r="AN407" i="4"/>
  <c r="AB407" i="4"/>
  <c r="AA407" i="4"/>
  <c r="Z407" i="4"/>
  <c r="Q407" i="4"/>
  <c r="P407" i="4"/>
  <c r="O407" i="4"/>
  <c r="N407" i="4"/>
  <c r="M407" i="4"/>
  <c r="L407" i="4"/>
  <c r="K407" i="4"/>
  <c r="J407" i="4"/>
  <c r="I407" i="4"/>
  <c r="H407" i="4"/>
  <c r="G407" i="4"/>
  <c r="F407" i="4"/>
  <c r="E407" i="4"/>
  <c r="D407" i="4"/>
  <c r="C407" i="4"/>
  <c r="B407" i="4"/>
  <c r="A407" i="4"/>
  <c r="AO406" i="4"/>
  <c r="AN406" i="4"/>
  <c r="AD406" i="4"/>
  <c r="AC406" i="4"/>
  <c r="AB406" i="4"/>
  <c r="AA406" i="4"/>
  <c r="Z406" i="4"/>
  <c r="R406" i="4"/>
  <c r="Q406" i="4"/>
  <c r="P406" i="4"/>
  <c r="O406" i="4"/>
  <c r="N406" i="4"/>
  <c r="M406" i="4"/>
  <c r="L406" i="4"/>
  <c r="K406" i="4"/>
  <c r="J406" i="4"/>
  <c r="I406" i="4"/>
  <c r="H406" i="4"/>
  <c r="G406" i="4"/>
  <c r="F406" i="4"/>
  <c r="E406" i="4"/>
  <c r="D406" i="4"/>
  <c r="C406" i="4"/>
  <c r="B406" i="4"/>
  <c r="A406" i="4"/>
  <c r="AO405" i="4"/>
  <c r="AN405" i="4"/>
  <c r="AB405" i="4"/>
  <c r="AA405" i="4"/>
  <c r="Z405" i="4"/>
  <c r="Q405" i="4"/>
  <c r="P405" i="4"/>
  <c r="O405" i="4"/>
  <c r="N405" i="4"/>
  <c r="M405" i="4"/>
  <c r="L405" i="4"/>
  <c r="K405" i="4"/>
  <c r="J405" i="4"/>
  <c r="I405" i="4"/>
  <c r="H405" i="4"/>
  <c r="G405" i="4"/>
  <c r="F405" i="4"/>
  <c r="E405" i="4"/>
  <c r="D405" i="4"/>
  <c r="C405" i="4"/>
  <c r="B405" i="4"/>
  <c r="A405" i="4"/>
  <c r="AO404" i="4"/>
  <c r="AN404" i="4"/>
  <c r="AD404" i="4"/>
  <c r="AC404" i="4"/>
  <c r="AB404" i="4"/>
  <c r="AA404" i="4"/>
  <c r="Z404" i="4"/>
  <c r="R404" i="4"/>
  <c r="Q404" i="4"/>
  <c r="P404" i="4"/>
  <c r="O404" i="4"/>
  <c r="N404" i="4"/>
  <c r="M404" i="4"/>
  <c r="L404" i="4"/>
  <c r="K404" i="4"/>
  <c r="J404" i="4"/>
  <c r="I404" i="4"/>
  <c r="H404" i="4"/>
  <c r="G404" i="4"/>
  <c r="F404" i="4"/>
  <c r="E404" i="4"/>
  <c r="D404" i="4"/>
  <c r="C404" i="4"/>
  <c r="B404" i="4"/>
  <c r="A404" i="4"/>
  <c r="AO403" i="4"/>
  <c r="AN403" i="4"/>
  <c r="AM403" i="4"/>
  <c r="AL403" i="4"/>
  <c r="AK403" i="4"/>
  <c r="AJ403" i="4"/>
  <c r="AI403" i="4"/>
  <c r="AH403" i="4"/>
  <c r="AG403" i="4"/>
  <c r="AF403" i="4"/>
  <c r="AE403" i="4"/>
  <c r="AD403" i="4"/>
  <c r="AC403" i="4"/>
  <c r="AB403" i="4"/>
  <c r="AA403" i="4"/>
  <c r="Z403" i="4"/>
  <c r="Y403" i="4"/>
  <c r="X403" i="4"/>
  <c r="W403" i="4"/>
  <c r="V403" i="4"/>
  <c r="T403" i="4"/>
  <c r="S403" i="4"/>
  <c r="R403" i="4"/>
  <c r="Q403" i="4"/>
  <c r="P403" i="4"/>
  <c r="O403" i="4"/>
  <c r="N403" i="4"/>
  <c r="M403" i="4"/>
  <c r="L403" i="4"/>
  <c r="K403" i="4"/>
  <c r="J403" i="4"/>
  <c r="I403" i="4"/>
  <c r="H403" i="4"/>
  <c r="G403" i="4"/>
  <c r="F403" i="4"/>
  <c r="E403" i="4"/>
  <c r="D403" i="4"/>
  <c r="C403" i="4"/>
  <c r="B403" i="4"/>
  <c r="A403" i="4"/>
  <c r="AO402" i="4"/>
  <c r="AN402" i="4"/>
  <c r="AM402" i="4"/>
  <c r="AL402" i="4"/>
  <c r="AK402" i="4"/>
  <c r="AJ402" i="4"/>
  <c r="AI402" i="4"/>
  <c r="AH402" i="4"/>
  <c r="AG402" i="4"/>
  <c r="AF402" i="4"/>
  <c r="AE402" i="4"/>
  <c r="AD402" i="4"/>
  <c r="AC402" i="4"/>
  <c r="AB402" i="4"/>
  <c r="AA402" i="4"/>
  <c r="Z402" i="4"/>
  <c r="Y402" i="4"/>
  <c r="X402" i="4"/>
  <c r="W402" i="4"/>
  <c r="V402" i="4"/>
  <c r="U402" i="4"/>
  <c r="T402" i="4"/>
  <c r="S402" i="4"/>
  <c r="R402" i="4"/>
  <c r="Q402" i="4"/>
  <c r="P402" i="4"/>
  <c r="O402" i="4"/>
  <c r="N402" i="4"/>
  <c r="M402" i="4"/>
  <c r="L402" i="4"/>
  <c r="K402" i="4"/>
  <c r="J402" i="4"/>
  <c r="I402" i="4"/>
  <c r="H402" i="4"/>
  <c r="G402" i="4"/>
  <c r="F402" i="4"/>
  <c r="E402" i="4"/>
  <c r="D402" i="4"/>
  <c r="C402" i="4"/>
  <c r="B402" i="4"/>
  <c r="A402" i="4"/>
  <c r="AO401" i="4"/>
  <c r="AN401" i="4"/>
  <c r="AD401" i="4"/>
  <c r="AC401" i="4"/>
  <c r="AB401" i="4"/>
  <c r="AA401" i="4"/>
  <c r="Z401" i="4"/>
  <c r="Y401" i="4"/>
  <c r="X401" i="4"/>
  <c r="W401" i="4"/>
  <c r="V401" i="4"/>
  <c r="R401" i="4"/>
  <c r="Q401" i="4"/>
  <c r="P401" i="4"/>
  <c r="O401" i="4"/>
  <c r="N401" i="4"/>
  <c r="M401" i="4"/>
  <c r="L401" i="4"/>
  <c r="K401" i="4"/>
  <c r="J401" i="4"/>
  <c r="I401" i="4"/>
  <c r="H401" i="4"/>
  <c r="G401" i="4"/>
  <c r="F401" i="4"/>
  <c r="E401" i="4"/>
  <c r="D401" i="4"/>
  <c r="C401" i="4"/>
  <c r="B401" i="4"/>
  <c r="A401" i="4"/>
  <c r="AO400" i="4"/>
  <c r="AN400" i="4"/>
  <c r="AD400" i="4"/>
  <c r="AC400" i="4"/>
  <c r="AB400" i="4"/>
  <c r="AA400" i="4"/>
  <c r="Z400" i="4"/>
  <c r="Y400" i="4"/>
  <c r="X400" i="4"/>
  <c r="W400" i="4"/>
  <c r="V400" i="4"/>
  <c r="R400" i="4"/>
  <c r="Q400" i="4"/>
  <c r="P400" i="4"/>
  <c r="O400" i="4"/>
  <c r="N400" i="4"/>
  <c r="M400" i="4"/>
  <c r="L400" i="4"/>
  <c r="K400" i="4"/>
  <c r="J400" i="4"/>
  <c r="I400" i="4"/>
  <c r="H400" i="4"/>
  <c r="G400" i="4"/>
  <c r="F400" i="4"/>
  <c r="E400" i="4"/>
  <c r="D400" i="4"/>
  <c r="C400" i="4"/>
  <c r="B400" i="4"/>
  <c r="A400" i="4"/>
  <c r="AO399" i="4"/>
  <c r="AN399" i="4"/>
  <c r="AB399" i="4"/>
  <c r="AA399" i="4"/>
  <c r="Z399" i="4"/>
  <c r="R399" i="4"/>
  <c r="Q399" i="4"/>
  <c r="P399" i="4"/>
  <c r="O399" i="4"/>
  <c r="N399" i="4"/>
  <c r="M399" i="4"/>
  <c r="L399" i="4"/>
  <c r="K399" i="4"/>
  <c r="J399" i="4"/>
  <c r="I399" i="4"/>
  <c r="H399" i="4"/>
  <c r="G399" i="4"/>
  <c r="F399" i="4"/>
  <c r="E399" i="4"/>
  <c r="D399" i="4"/>
  <c r="C399" i="4"/>
  <c r="B399" i="4"/>
  <c r="A399" i="4"/>
  <c r="AO398" i="4"/>
  <c r="AN398" i="4"/>
  <c r="AB398" i="4"/>
  <c r="AA398" i="4"/>
  <c r="Z398" i="4"/>
  <c r="T398" i="4"/>
  <c r="I398" i="4"/>
  <c r="H398" i="4"/>
  <c r="G398" i="4"/>
  <c r="F398" i="4"/>
  <c r="E398" i="4"/>
  <c r="D398" i="4"/>
  <c r="C398" i="4"/>
  <c r="B398" i="4"/>
  <c r="A398" i="4"/>
  <c r="AO397" i="4"/>
  <c r="AN397" i="4"/>
  <c r="AD397" i="4"/>
  <c r="AB397" i="4"/>
  <c r="AA397" i="4"/>
  <c r="Z397" i="4"/>
  <c r="Q397" i="4"/>
  <c r="P397" i="4"/>
  <c r="O397" i="4"/>
  <c r="N397" i="4"/>
  <c r="M397" i="4"/>
  <c r="L397" i="4"/>
  <c r="K397" i="4"/>
  <c r="J397" i="4"/>
  <c r="I397" i="4"/>
  <c r="H397" i="4"/>
  <c r="G397" i="4"/>
  <c r="F397" i="4"/>
  <c r="E397" i="4"/>
  <c r="D397" i="4"/>
  <c r="C397" i="4"/>
  <c r="B397" i="4"/>
  <c r="A397" i="4"/>
  <c r="AO396" i="4"/>
  <c r="AN396" i="4"/>
  <c r="AM396" i="4"/>
  <c r="AL396" i="4"/>
  <c r="AK396" i="4"/>
  <c r="AJ396" i="4"/>
  <c r="AI396" i="4"/>
  <c r="AH396" i="4"/>
  <c r="AG396" i="4"/>
  <c r="AF396" i="4"/>
  <c r="AE396" i="4"/>
  <c r="AD396" i="4"/>
  <c r="AC396" i="4"/>
  <c r="AB396" i="4"/>
  <c r="AA396" i="4"/>
  <c r="Z396" i="4"/>
  <c r="Y396" i="4"/>
  <c r="X396" i="4"/>
  <c r="W396" i="4"/>
  <c r="V396" i="4"/>
  <c r="U396" i="4"/>
  <c r="T396" i="4"/>
  <c r="S396" i="4"/>
  <c r="R396" i="4"/>
  <c r="Q396" i="4"/>
  <c r="P396" i="4"/>
  <c r="O396" i="4"/>
  <c r="N396" i="4"/>
  <c r="M396" i="4"/>
  <c r="L396" i="4"/>
  <c r="K396" i="4"/>
  <c r="J396" i="4"/>
  <c r="I396" i="4"/>
  <c r="H396" i="4"/>
  <c r="G396" i="4"/>
  <c r="F396" i="4"/>
  <c r="E396" i="4"/>
  <c r="D396" i="4"/>
  <c r="C396" i="4"/>
  <c r="B396" i="4"/>
  <c r="A396" i="4"/>
  <c r="AO395" i="4"/>
  <c r="AN395" i="4"/>
  <c r="AB395" i="4"/>
  <c r="AA395" i="4"/>
  <c r="Z395" i="4"/>
  <c r="Y395" i="4"/>
  <c r="X395" i="4"/>
  <c r="W395" i="4"/>
  <c r="V395" i="4"/>
  <c r="U395" i="4"/>
  <c r="T395" i="4"/>
  <c r="S395" i="4"/>
  <c r="R395" i="4"/>
  <c r="Q395" i="4"/>
  <c r="P395" i="4"/>
  <c r="O395" i="4"/>
  <c r="N395" i="4"/>
  <c r="M395" i="4"/>
  <c r="L395" i="4"/>
  <c r="K395" i="4"/>
  <c r="J395" i="4"/>
  <c r="I395" i="4"/>
  <c r="H395" i="4"/>
  <c r="G395" i="4"/>
  <c r="F395" i="4"/>
  <c r="E395" i="4"/>
  <c r="D395" i="4"/>
  <c r="C395" i="4"/>
  <c r="B395" i="4"/>
  <c r="A395" i="4"/>
  <c r="AO394" i="4"/>
  <c r="AN394" i="4"/>
  <c r="AM394" i="4"/>
  <c r="AL394" i="4"/>
  <c r="AK394" i="4"/>
  <c r="AJ394" i="4"/>
  <c r="AI394" i="4"/>
  <c r="AH394" i="4"/>
  <c r="AG394" i="4"/>
  <c r="AF394" i="4"/>
  <c r="AE394" i="4"/>
  <c r="AD394" i="4"/>
  <c r="AC394" i="4"/>
  <c r="AB394" i="4"/>
  <c r="AA394" i="4"/>
  <c r="Z394" i="4"/>
  <c r="Y394" i="4"/>
  <c r="X394" i="4"/>
  <c r="W394" i="4"/>
  <c r="V394" i="4"/>
  <c r="U394" i="4"/>
  <c r="T394" i="4"/>
  <c r="S394" i="4"/>
  <c r="R394" i="4"/>
  <c r="Q394" i="4"/>
  <c r="P394" i="4"/>
  <c r="O394" i="4"/>
  <c r="N394" i="4"/>
  <c r="M394" i="4"/>
  <c r="L394" i="4"/>
  <c r="K394" i="4"/>
  <c r="J394" i="4"/>
  <c r="I394" i="4"/>
  <c r="H394" i="4"/>
  <c r="G394" i="4"/>
  <c r="F394" i="4"/>
  <c r="E394" i="4"/>
  <c r="D394" i="4"/>
  <c r="C394" i="4"/>
  <c r="B394" i="4"/>
  <c r="A394" i="4"/>
  <c r="AO393" i="4"/>
  <c r="AN393" i="4"/>
  <c r="AM393" i="4"/>
  <c r="AL393" i="4"/>
  <c r="AK393" i="4"/>
  <c r="AJ393" i="4"/>
  <c r="AI393" i="4"/>
  <c r="AH393" i="4"/>
  <c r="AG393" i="4"/>
  <c r="AF393" i="4"/>
  <c r="AE393" i="4"/>
  <c r="AD393" i="4"/>
  <c r="AC393" i="4"/>
  <c r="AB393" i="4"/>
  <c r="AA393" i="4"/>
  <c r="Z393" i="4"/>
  <c r="Y393" i="4"/>
  <c r="X393" i="4"/>
  <c r="W393" i="4"/>
  <c r="V393" i="4"/>
  <c r="U393" i="4"/>
  <c r="T393" i="4"/>
  <c r="S393" i="4"/>
  <c r="R393" i="4"/>
  <c r="Q393" i="4"/>
  <c r="P393" i="4"/>
  <c r="O393" i="4"/>
  <c r="N393" i="4"/>
  <c r="M393" i="4"/>
  <c r="L393" i="4"/>
  <c r="K393" i="4"/>
  <c r="J393" i="4"/>
  <c r="I393" i="4"/>
  <c r="H393" i="4"/>
  <c r="G393" i="4"/>
  <c r="F393" i="4"/>
  <c r="E393" i="4"/>
  <c r="D393" i="4"/>
  <c r="C393" i="4"/>
  <c r="B393" i="4"/>
  <c r="A393" i="4"/>
  <c r="AO392" i="4"/>
  <c r="AN392" i="4"/>
  <c r="AM392" i="4"/>
  <c r="AL392" i="4"/>
  <c r="AK392" i="4"/>
  <c r="AJ392" i="4"/>
  <c r="AI392" i="4"/>
  <c r="AH392" i="4"/>
  <c r="AG392" i="4"/>
  <c r="AF392" i="4"/>
  <c r="AE392" i="4"/>
  <c r="AD392" i="4"/>
  <c r="AC392" i="4"/>
  <c r="AB392" i="4"/>
  <c r="AA392" i="4"/>
  <c r="Z392" i="4"/>
  <c r="Y392" i="4"/>
  <c r="X392" i="4"/>
  <c r="W392" i="4"/>
  <c r="V392" i="4"/>
  <c r="U392" i="4"/>
  <c r="T392" i="4"/>
  <c r="S392" i="4"/>
  <c r="R392" i="4"/>
  <c r="Q392" i="4"/>
  <c r="P392" i="4"/>
  <c r="N392" i="4"/>
  <c r="L392" i="4"/>
  <c r="K392" i="4"/>
  <c r="J392" i="4"/>
  <c r="I392" i="4"/>
  <c r="H392" i="4"/>
  <c r="G392" i="4"/>
  <c r="F392" i="4"/>
  <c r="E392" i="4"/>
  <c r="D392" i="4"/>
  <c r="C392" i="4"/>
  <c r="B392" i="4"/>
  <c r="A392" i="4"/>
  <c r="AO391" i="4"/>
  <c r="AN391" i="4"/>
  <c r="AM391" i="4"/>
  <c r="AL391" i="4"/>
  <c r="AK391" i="4"/>
  <c r="AJ391" i="4"/>
  <c r="AI391" i="4"/>
  <c r="AH391" i="4"/>
  <c r="AG391" i="4"/>
  <c r="AF391" i="4"/>
  <c r="AE391" i="4"/>
  <c r="AD391" i="4"/>
  <c r="AC391" i="4"/>
  <c r="AB391" i="4"/>
  <c r="AA391" i="4"/>
  <c r="Z391" i="4"/>
  <c r="Y391" i="4"/>
  <c r="X391" i="4"/>
  <c r="W391" i="4"/>
  <c r="V391" i="4"/>
  <c r="U391" i="4"/>
  <c r="T391" i="4"/>
  <c r="S391" i="4"/>
  <c r="R391" i="4"/>
  <c r="Q391" i="4"/>
  <c r="P391" i="4"/>
  <c r="O391" i="4"/>
  <c r="N391" i="4"/>
  <c r="M391" i="4"/>
  <c r="L391" i="4"/>
  <c r="K391" i="4"/>
  <c r="J391" i="4"/>
  <c r="I391" i="4"/>
  <c r="H391" i="4"/>
  <c r="G391" i="4"/>
  <c r="F391" i="4"/>
  <c r="E391" i="4"/>
  <c r="D391" i="4"/>
  <c r="C391" i="4"/>
  <c r="B391" i="4"/>
  <c r="A391" i="4"/>
  <c r="AO390" i="4"/>
  <c r="AN390" i="4"/>
  <c r="AM390" i="4"/>
  <c r="AL390" i="4"/>
  <c r="AK390" i="4"/>
  <c r="AJ390" i="4"/>
  <c r="AI390" i="4"/>
  <c r="AH390" i="4"/>
  <c r="AG390" i="4"/>
  <c r="AF390" i="4"/>
  <c r="AE390" i="4"/>
  <c r="AD390" i="4"/>
  <c r="AC390" i="4"/>
  <c r="AB390" i="4"/>
  <c r="AA390" i="4"/>
  <c r="Z390" i="4"/>
  <c r="Y390" i="4"/>
  <c r="X390" i="4"/>
  <c r="W390" i="4"/>
  <c r="V390" i="4"/>
  <c r="U390" i="4"/>
  <c r="T390" i="4"/>
  <c r="S390" i="4"/>
  <c r="R390" i="4"/>
  <c r="Q390" i="4"/>
  <c r="P390" i="4"/>
  <c r="N390" i="4"/>
  <c r="L390" i="4"/>
  <c r="K390" i="4"/>
  <c r="J390" i="4"/>
  <c r="I390" i="4"/>
  <c r="H390" i="4"/>
  <c r="G390" i="4"/>
  <c r="F390" i="4"/>
  <c r="E390" i="4"/>
  <c r="D390" i="4"/>
  <c r="C390" i="4"/>
  <c r="B390" i="4"/>
  <c r="A390" i="4"/>
  <c r="AO389" i="4"/>
  <c r="AN389" i="4"/>
  <c r="AM389" i="4"/>
  <c r="AL389" i="4"/>
  <c r="AK389" i="4"/>
  <c r="AJ389" i="4"/>
  <c r="AI389" i="4"/>
  <c r="AH389" i="4"/>
  <c r="AG389" i="4"/>
  <c r="AF389" i="4"/>
  <c r="AE389" i="4"/>
  <c r="AD389" i="4"/>
  <c r="AC389" i="4"/>
  <c r="AB389" i="4"/>
  <c r="AA389" i="4"/>
  <c r="Z389" i="4"/>
  <c r="Y389" i="4"/>
  <c r="X389" i="4"/>
  <c r="W389" i="4"/>
  <c r="V389" i="4"/>
  <c r="U389" i="4"/>
  <c r="T389" i="4"/>
  <c r="S389" i="4"/>
  <c r="R389" i="4"/>
  <c r="Q389" i="4"/>
  <c r="P389" i="4"/>
  <c r="O389" i="4"/>
  <c r="N389" i="4"/>
  <c r="M389" i="4"/>
  <c r="L389" i="4"/>
  <c r="K389" i="4"/>
  <c r="J389" i="4"/>
  <c r="I389" i="4"/>
  <c r="H389" i="4"/>
  <c r="G389" i="4"/>
  <c r="F389" i="4"/>
  <c r="E389" i="4"/>
  <c r="D389" i="4"/>
  <c r="C389" i="4"/>
  <c r="B389" i="4"/>
  <c r="A389" i="4"/>
  <c r="AO388" i="4"/>
  <c r="AN388" i="4"/>
  <c r="AM388" i="4"/>
  <c r="AL388" i="4"/>
  <c r="AK388" i="4"/>
  <c r="AJ388" i="4"/>
  <c r="AI388" i="4"/>
  <c r="AH388" i="4"/>
  <c r="AG388" i="4"/>
  <c r="AF388" i="4"/>
  <c r="AE388" i="4"/>
  <c r="AD388" i="4"/>
  <c r="AC388" i="4"/>
  <c r="AB388" i="4"/>
  <c r="AA388" i="4"/>
  <c r="Z388" i="4"/>
  <c r="Y388" i="4"/>
  <c r="X388" i="4"/>
  <c r="W388" i="4"/>
  <c r="V388" i="4"/>
  <c r="U388" i="4"/>
  <c r="T388" i="4"/>
  <c r="S388" i="4"/>
  <c r="R388" i="4"/>
  <c r="Q388" i="4"/>
  <c r="P388" i="4"/>
  <c r="O388" i="4"/>
  <c r="N388" i="4"/>
  <c r="M388" i="4"/>
  <c r="L388" i="4"/>
  <c r="K388" i="4"/>
  <c r="J388" i="4"/>
  <c r="I388" i="4"/>
  <c r="H388" i="4"/>
  <c r="G388" i="4"/>
  <c r="F388" i="4"/>
  <c r="E388" i="4"/>
  <c r="D388" i="4"/>
  <c r="C388" i="4"/>
  <c r="B388" i="4"/>
  <c r="A388" i="4"/>
  <c r="AO387" i="4"/>
  <c r="AN387" i="4"/>
  <c r="AM387" i="4"/>
  <c r="AL387" i="4"/>
  <c r="AK387" i="4"/>
  <c r="AJ387" i="4"/>
  <c r="AI387" i="4"/>
  <c r="AH387" i="4"/>
  <c r="AG387" i="4"/>
  <c r="AF387" i="4"/>
  <c r="AE387" i="4"/>
  <c r="AD387" i="4"/>
  <c r="AC387" i="4"/>
  <c r="AB387" i="4"/>
  <c r="AA387" i="4"/>
  <c r="Z387" i="4"/>
  <c r="Y387" i="4"/>
  <c r="X387" i="4"/>
  <c r="W387" i="4"/>
  <c r="V387" i="4"/>
  <c r="U387" i="4"/>
  <c r="T387" i="4"/>
  <c r="S387" i="4"/>
  <c r="R387" i="4"/>
  <c r="Q387" i="4"/>
  <c r="P387" i="4"/>
  <c r="O387" i="4"/>
  <c r="N387" i="4"/>
  <c r="M387" i="4"/>
  <c r="L387" i="4"/>
  <c r="K387" i="4"/>
  <c r="J387" i="4"/>
  <c r="I387" i="4"/>
  <c r="H387" i="4"/>
  <c r="G387" i="4"/>
  <c r="F387" i="4"/>
  <c r="E387" i="4"/>
  <c r="D387" i="4"/>
  <c r="C387" i="4"/>
  <c r="B387" i="4"/>
  <c r="A387" i="4"/>
  <c r="AO386" i="4"/>
  <c r="AN386" i="4"/>
  <c r="AM386" i="4"/>
  <c r="AL386" i="4"/>
  <c r="AK386" i="4"/>
  <c r="AJ386" i="4"/>
  <c r="AI386" i="4"/>
  <c r="AH386" i="4"/>
  <c r="AG386" i="4"/>
  <c r="AF386" i="4"/>
  <c r="AE386" i="4"/>
  <c r="AD386" i="4"/>
  <c r="AC386" i="4"/>
  <c r="AB386" i="4"/>
  <c r="AA386" i="4"/>
  <c r="Z386" i="4"/>
  <c r="Y386" i="4"/>
  <c r="X386" i="4"/>
  <c r="W386" i="4"/>
  <c r="V386" i="4"/>
  <c r="U386" i="4"/>
  <c r="T386" i="4"/>
  <c r="S386" i="4"/>
  <c r="R386" i="4"/>
  <c r="Q386" i="4"/>
  <c r="P386" i="4"/>
  <c r="O386" i="4"/>
  <c r="N386" i="4"/>
  <c r="M386" i="4"/>
  <c r="L386" i="4"/>
  <c r="K386" i="4"/>
  <c r="J386" i="4"/>
  <c r="I386" i="4"/>
  <c r="H386" i="4"/>
  <c r="G386" i="4"/>
  <c r="F386" i="4"/>
  <c r="E386" i="4"/>
  <c r="D386" i="4"/>
  <c r="C386" i="4"/>
  <c r="B386" i="4"/>
  <c r="A386" i="4"/>
  <c r="AO385" i="4"/>
  <c r="AN385" i="4"/>
  <c r="AM385" i="4"/>
  <c r="AL385" i="4"/>
  <c r="AK385" i="4"/>
  <c r="AJ385" i="4"/>
  <c r="AI385" i="4"/>
  <c r="AH385" i="4"/>
  <c r="AG385" i="4"/>
  <c r="AF385" i="4"/>
  <c r="AE385" i="4"/>
  <c r="AD385" i="4"/>
  <c r="AC385" i="4"/>
  <c r="AB385" i="4"/>
  <c r="AA385" i="4"/>
  <c r="Z385" i="4"/>
  <c r="Y385" i="4"/>
  <c r="X385" i="4"/>
  <c r="W385" i="4"/>
  <c r="V385" i="4"/>
  <c r="U385" i="4"/>
  <c r="T385" i="4"/>
  <c r="S385" i="4"/>
  <c r="R385" i="4"/>
  <c r="Q385" i="4"/>
  <c r="P385" i="4"/>
  <c r="O385" i="4"/>
  <c r="N385" i="4"/>
  <c r="M385" i="4"/>
  <c r="L385" i="4"/>
  <c r="K385" i="4"/>
  <c r="J385" i="4"/>
  <c r="I385" i="4"/>
  <c r="H385" i="4"/>
  <c r="G385" i="4"/>
  <c r="F385" i="4"/>
  <c r="E385" i="4"/>
  <c r="D385" i="4"/>
  <c r="C385" i="4"/>
  <c r="B385" i="4"/>
  <c r="A385" i="4"/>
  <c r="AO384" i="4"/>
  <c r="AN384" i="4"/>
  <c r="AM384" i="4"/>
  <c r="AL384" i="4"/>
  <c r="AK384" i="4"/>
  <c r="AJ384" i="4"/>
  <c r="AI384" i="4"/>
  <c r="AH384" i="4"/>
  <c r="AG384" i="4"/>
  <c r="AF384" i="4"/>
  <c r="AE384" i="4"/>
  <c r="AD384" i="4"/>
  <c r="AC384" i="4"/>
  <c r="AB384" i="4"/>
  <c r="AA384" i="4"/>
  <c r="Z384" i="4"/>
  <c r="Y384" i="4"/>
  <c r="X384" i="4"/>
  <c r="W384" i="4"/>
  <c r="V384" i="4"/>
  <c r="U384" i="4"/>
  <c r="T384" i="4"/>
  <c r="S384" i="4"/>
  <c r="R384" i="4"/>
  <c r="Q384" i="4"/>
  <c r="P384" i="4"/>
  <c r="O384" i="4"/>
  <c r="N384" i="4"/>
  <c r="M384" i="4"/>
  <c r="L384" i="4"/>
  <c r="K384" i="4"/>
  <c r="J384" i="4"/>
  <c r="I384" i="4"/>
  <c r="H384" i="4"/>
  <c r="G384" i="4"/>
  <c r="F384" i="4"/>
  <c r="E384" i="4"/>
  <c r="D384" i="4"/>
  <c r="C384" i="4"/>
  <c r="B384" i="4"/>
  <c r="A384" i="4"/>
  <c r="AO383" i="4"/>
  <c r="AN383" i="4"/>
  <c r="AM383" i="4"/>
  <c r="AL383" i="4"/>
  <c r="AK383" i="4"/>
  <c r="AJ383" i="4"/>
  <c r="AI383" i="4"/>
  <c r="AH383" i="4"/>
  <c r="AG383" i="4"/>
  <c r="AF383" i="4"/>
  <c r="AE383" i="4"/>
  <c r="AD383" i="4"/>
  <c r="AC383" i="4"/>
  <c r="AB383" i="4"/>
  <c r="AA383" i="4"/>
  <c r="Z383" i="4"/>
  <c r="Y383" i="4"/>
  <c r="X383" i="4"/>
  <c r="W383" i="4"/>
  <c r="V383" i="4"/>
  <c r="U383" i="4"/>
  <c r="T383" i="4"/>
  <c r="S383" i="4"/>
  <c r="R383" i="4"/>
  <c r="Q383" i="4"/>
  <c r="P383" i="4"/>
  <c r="O383" i="4"/>
  <c r="N383" i="4"/>
  <c r="M383" i="4"/>
  <c r="L383" i="4"/>
  <c r="K383" i="4"/>
  <c r="J383" i="4"/>
  <c r="I383" i="4"/>
  <c r="H383" i="4"/>
  <c r="G383" i="4"/>
  <c r="F383" i="4"/>
  <c r="E383" i="4"/>
  <c r="D383" i="4"/>
  <c r="C383" i="4"/>
  <c r="B383" i="4"/>
  <c r="A383" i="4"/>
  <c r="AO382" i="4"/>
  <c r="AN382" i="4"/>
  <c r="AM382" i="4"/>
  <c r="AL382" i="4"/>
  <c r="AK382" i="4"/>
  <c r="AJ382" i="4"/>
  <c r="AI382" i="4"/>
  <c r="AH382" i="4"/>
  <c r="AG382" i="4"/>
  <c r="AF382" i="4"/>
  <c r="AE382" i="4"/>
  <c r="AD382" i="4"/>
  <c r="AC382" i="4"/>
  <c r="AB382" i="4"/>
  <c r="AA382" i="4"/>
  <c r="Z382" i="4"/>
  <c r="Y382" i="4"/>
  <c r="X382" i="4"/>
  <c r="W382" i="4"/>
  <c r="V382" i="4"/>
  <c r="U382" i="4"/>
  <c r="T382" i="4"/>
  <c r="S382" i="4"/>
  <c r="R382" i="4"/>
  <c r="Q382" i="4"/>
  <c r="P382" i="4"/>
  <c r="O382" i="4"/>
  <c r="N382" i="4"/>
  <c r="M382" i="4"/>
  <c r="L382" i="4"/>
  <c r="K382" i="4"/>
  <c r="J382" i="4"/>
  <c r="I382" i="4"/>
  <c r="H382" i="4"/>
  <c r="G382" i="4"/>
  <c r="F382" i="4"/>
  <c r="E382" i="4"/>
  <c r="D382" i="4"/>
  <c r="C382" i="4"/>
  <c r="B382" i="4"/>
  <c r="A382" i="4"/>
  <c r="AO381" i="4"/>
  <c r="AN381" i="4"/>
  <c r="AM381" i="4"/>
  <c r="AL381" i="4"/>
  <c r="AK381" i="4"/>
  <c r="AJ381" i="4"/>
  <c r="AI381" i="4"/>
  <c r="AH381" i="4"/>
  <c r="AG381" i="4"/>
  <c r="AF381" i="4"/>
  <c r="AE381" i="4"/>
  <c r="AD381" i="4"/>
  <c r="AC381" i="4"/>
  <c r="AB381" i="4"/>
  <c r="AA381" i="4"/>
  <c r="Z381" i="4"/>
  <c r="Y381" i="4"/>
  <c r="X381" i="4"/>
  <c r="W381" i="4"/>
  <c r="V381" i="4"/>
  <c r="U381" i="4"/>
  <c r="T381" i="4"/>
  <c r="S381" i="4"/>
  <c r="R381" i="4"/>
  <c r="Q381" i="4"/>
  <c r="P381" i="4"/>
  <c r="O381" i="4"/>
  <c r="N381" i="4"/>
  <c r="M381" i="4"/>
  <c r="L381" i="4"/>
  <c r="K381" i="4"/>
  <c r="J381" i="4"/>
  <c r="I381" i="4"/>
  <c r="H381" i="4"/>
  <c r="G381" i="4"/>
  <c r="F381" i="4"/>
  <c r="E381" i="4"/>
  <c r="D381" i="4"/>
  <c r="C381" i="4"/>
  <c r="B381" i="4"/>
  <c r="A381" i="4"/>
  <c r="AO380" i="4"/>
  <c r="AN380" i="4"/>
  <c r="AB380" i="4"/>
  <c r="AA380" i="4"/>
  <c r="Z380" i="4"/>
  <c r="Y380" i="4"/>
  <c r="X380" i="4"/>
  <c r="W380" i="4"/>
  <c r="V380" i="4"/>
  <c r="P380" i="4"/>
  <c r="O380" i="4"/>
  <c r="N380" i="4"/>
  <c r="M380" i="4"/>
  <c r="L380" i="4"/>
  <c r="K380" i="4"/>
  <c r="J380" i="4"/>
  <c r="I380" i="4"/>
  <c r="H380" i="4"/>
  <c r="G380" i="4"/>
  <c r="F380" i="4"/>
  <c r="E380" i="4"/>
  <c r="D380" i="4"/>
  <c r="C380" i="4"/>
  <c r="B380" i="4"/>
  <c r="A380" i="4"/>
  <c r="AO379" i="4"/>
  <c r="AN379" i="4"/>
  <c r="AB379" i="4"/>
  <c r="AA379" i="4"/>
  <c r="Z379" i="4"/>
  <c r="Y379" i="4"/>
  <c r="X379" i="4"/>
  <c r="W379" i="4"/>
  <c r="V379" i="4"/>
  <c r="P379" i="4"/>
  <c r="O379" i="4"/>
  <c r="N379" i="4"/>
  <c r="M379" i="4"/>
  <c r="L379" i="4"/>
  <c r="K379" i="4"/>
  <c r="J379" i="4"/>
  <c r="I379" i="4"/>
  <c r="H379" i="4"/>
  <c r="G379" i="4"/>
  <c r="F379" i="4"/>
  <c r="E379" i="4"/>
  <c r="D379" i="4"/>
  <c r="C379" i="4"/>
  <c r="B379" i="4"/>
  <c r="A379" i="4"/>
  <c r="AO378" i="4"/>
  <c r="AN378" i="4"/>
  <c r="AB378" i="4"/>
  <c r="AA378" i="4"/>
  <c r="Z378" i="4"/>
  <c r="Y378" i="4"/>
  <c r="X378" i="4"/>
  <c r="W378" i="4"/>
  <c r="V378" i="4"/>
  <c r="P378" i="4"/>
  <c r="O378" i="4"/>
  <c r="N378" i="4"/>
  <c r="M378" i="4"/>
  <c r="L378" i="4"/>
  <c r="K378" i="4"/>
  <c r="J378" i="4"/>
  <c r="I378" i="4"/>
  <c r="H378" i="4"/>
  <c r="G378" i="4"/>
  <c r="F378" i="4"/>
  <c r="E378" i="4"/>
  <c r="D378" i="4"/>
  <c r="C378" i="4"/>
  <c r="B378" i="4"/>
  <c r="A378" i="4"/>
  <c r="AO377" i="4"/>
  <c r="AN377" i="4"/>
  <c r="AB377" i="4"/>
  <c r="AA377" i="4"/>
  <c r="Z377" i="4"/>
  <c r="P377" i="4"/>
  <c r="O377" i="4"/>
  <c r="N377" i="4"/>
  <c r="M377" i="4"/>
  <c r="L377" i="4"/>
  <c r="K377" i="4"/>
  <c r="J377" i="4"/>
  <c r="I377" i="4"/>
  <c r="H377" i="4"/>
  <c r="G377" i="4"/>
  <c r="F377" i="4"/>
  <c r="E377" i="4"/>
  <c r="D377" i="4"/>
  <c r="C377" i="4"/>
  <c r="B377" i="4"/>
  <c r="A377" i="4"/>
  <c r="AO376" i="4"/>
  <c r="AN376" i="4"/>
  <c r="AM376" i="4"/>
  <c r="AL376" i="4"/>
  <c r="AK376" i="4"/>
  <c r="AJ376" i="4"/>
  <c r="AI376" i="4"/>
  <c r="AH376" i="4"/>
  <c r="AG376" i="4"/>
  <c r="AF376" i="4"/>
  <c r="AE376" i="4"/>
  <c r="AD376" i="4"/>
  <c r="AC376" i="4"/>
  <c r="AB376" i="4"/>
  <c r="AA376" i="4"/>
  <c r="Z376" i="4"/>
  <c r="Y376" i="4"/>
  <c r="X376" i="4"/>
  <c r="W376" i="4"/>
  <c r="V376" i="4"/>
  <c r="U376" i="4"/>
  <c r="T376" i="4"/>
  <c r="S376" i="4"/>
  <c r="R376" i="4"/>
  <c r="Q376" i="4"/>
  <c r="P376" i="4"/>
  <c r="O376" i="4"/>
  <c r="N376" i="4"/>
  <c r="M376" i="4"/>
  <c r="L376" i="4"/>
  <c r="K376" i="4"/>
  <c r="J376" i="4"/>
  <c r="I376" i="4"/>
  <c r="H376" i="4"/>
  <c r="G376" i="4"/>
  <c r="F376" i="4"/>
  <c r="E376" i="4"/>
  <c r="D376" i="4"/>
  <c r="C376" i="4"/>
  <c r="B376" i="4"/>
  <c r="A376" i="4"/>
  <c r="AO375" i="4"/>
  <c r="AN375" i="4"/>
  <c r="AM375" i="4"/>
  <c r="AL375" i="4"/>
  <c r="AK375" i="4"/>
  <c r="AJ375" i="4"/>
  <c r="AI375" i="4"/>
  <c r="AH375" i="4"/>
  <c r="AG375" i="4"/>
  <c r="AF375" i="4"/>
  <c r="AE375" i="4"/>
  <c r="AD375" i="4"/>
  <c r="AC375" i="4"/>
  <c r="AB375" i="4"/>
  <c r="AA375" i="4"/>
  <c r="Z375" i="4"/>
  <c r="Y375" i="4"/>
  <c r="X375" i="4"/>
  <c r="W375" i="4"/>
  <c r="V375" i="4"/>
  <c r="U375" i="4"/>
  <c r="T375" i="4"/>
  <c r="S375" i="4"/>
  <c r="R375" i="4"/>
  <c r="Q375" i="4"/>
  <c r="P375" i="4"/>
  <c r="O375" i="4"/>
  <c r="N375" i="4"/>
  <c r="M375" i="4"/>
  <c r="L375" i="4"/>
  <c r="K375" i="4"/>
  <c r="J375" i="4"/>
  <c r="I375" i="4"/>
  <c r="H375" i="4"/>
  <c r="G375" i="4"/>
  <c r="F375" i="4"/>
  <c r="E375" i="4"/>
  <c r="D375" i="4"/>
  <c r="C375" i="4"/>
  <c r="B375" i="4"/>
  <c r="A375" i="4"/>
  <c r="AO374" i="4"/>
  <c r="AN374" i="4"/>
  <c r="AB374" i="4"/>
  <c r="AA374" i="4"/>
  <c r="Z374" i="4"/>
  <c r="P374" i="4"/>
  <c r="O374" i="4"/>
  <c r="N374" i="4"/>
  <c r="L374" i="4"/>
  <c r="K374" i="4"/>
  <c r="J374" i="4"/>
  <c r="I374" i="4"/>
  <c r="H374" i="4"/>
  <c r="G374" i="4"/>
  <c r="F374" i="4"/>
  <c r="E374" i="4"/>
  <c r="D374" i="4"/>
  <c r="C374" i="4"/>
  <c r="B374" i="4"/>
  <c r="A374" i="4"/>
  <c r="AO373" i="4"/>
  <c r="AN373" i="4"/>
  <c r="AB373" i="4"/>
  <c r="AA373" i="4"/>
  <c r="Z373" i="4"/>
  <c r="P373" i="4"/>
  <c r="O373" i="4"/>
  <c r="N373" i="4"/>
  <c r="L373" i="4"/>
  <c r="K373" i="4"/>
  <c r="J373" i="4"/>
  <c r="I373" i="4"/>
  <c r="H373" i="4"/>
  <c r="G373" i="4"/>
  <c r="F373" i="4"/>
  <c r="E373" i="4"/>
  <c r="D373" i="4"/>
  <c r="C373" i="4"/>
  <c r="B373" i="4"/>
  <c r="A373" i="4"/>
  <c r="AO372" i="4"/>
  <c r="AN372" i="4"/>
  <c r="AM372" i="4"/>
  <c r="AL372" i="4"/>
  <c r="AK372" i="4"/>
  <c r="AJ372" i="4"/>
  <c r="AI372" i="4"/>
  <c r="AH372" i="4"/>
  <c r="AG372" i="4"/>
  <c r="AF372" i="4"/>
  <c r="AE372" i="4"/>
  <c r="AD372" i="4"/>
  <c r="AC372" i="4"/>
  <c r="AB372" i="4"/>
  <c r="AA372" i="4"/>
  <c r="Z372" i="4"/>
  <c r="Y372" i="4"/>
  <c r="X372" i="4"/>
  <c r="W372" i="4"/>
  <c r="V372" i="4"/>
  <c r="U372" i="4"/>
  <c r="T372" i="4"/>
  <c r="S372" i="4"/>
  <c r="R372" i="4"/>
  <c r="Q372" i="4"/>
  <c r="P372" i="4"/>
  <c r="O372" i="4"/>
  <c r="N372" i="4"/>
  <c r="M372" i="4"/>
  <c r="L372" i="4"/>
  <c r="K372" i="4"/>
  <c r="J372" i="4"/>
  <c r="I372" i="4"/>
  <c r="H372" i="4"/>
  <c r="G372" i="4"/>
  <c r="F372" i="4"/>
  <c r="E372" i="4"/>
  <c r="D372" i="4"/>
  <c r="C372" i="4"/>
  <c r="B372" i="4"/>
  <c r="A372" i="4"/>
  <c r="AO371" i="4"/>
  <c r="AN371" i="4"/>
  <c r="AB371" i="4"/>
  <c r="AA371" i="4"/>
  <c r="Z371" i="4"/>
  <c r="P371" i="4"/>
  <c r="O371" i="4"/>
  <c r="N371" i="4"/>
  <c r="L371" i="4"/>
  <c r="K371" i="4"/>
  <c r="J371" i="4"/>
  <c r="I371" i="4"/>
  <c r="H371" i="4"/>
  <c r="G371" i="4"/>
  <c r="F371" i="4"/>
  <c r="E371" i="4"/>
  <c r="D371" i="4"/>
  <c r="C371" i="4"/>
  <c r="B371" i="4"/>
  <c r="A371" i="4"/>
  <c r="AO370" i="4"/>
  <c r="AN370" i="4"/>
  <c r="AB370" i="4"/>
  <c r="AA370" i="4"/>
  <c r="Z370" i="4"/>
  <c r="T370" i="4"/>
  <c r="R370" i="4"/>
  <c r="Q370" i="4"/>
  <c r="P370" i="4"/>
  <c r="O370" i="4"/>
  <c r="N370" i="4"/>
  <c r="M370" i="4"/>
  <c r="L370" i="4"/>
  <c r="K370" i="4"/>
  <c r="J370" i="4"/>
  <c r="I370" i="4"/>
  <c r="H370" i="4"/>
  <c r="G370" i="4"/>
  <c r="F370" i="4"/>
  <c r="E370" i="4"/>
  <c r="D370" i="4"/>
  <c r="C370" i="4"/>
  <c r="B370" i="4"/>
  <c r="A370" i="4"/>
  <c r="AO369" i="4"/>
  <c r="AN369" i="4"/>
  <c r="AB369" i="4"/>
  <c r="AA369" i="4"/>
  <c r="Z369" i="4"/>
  <c r="U369" i="4"/>
  <c r="T369" i="4"/>
  <c r="S369" i="4"/>
  <c r="R369" i="4"/>
  <c r="Q369" i="4"/>
  <c r="P369" i="4"/>
  <c r="O369" i="4"/>
  <c r="N369" i="4"/>
  <c r="M369" i="4"/>
  <c r="L369" i="4"/>
  <c r="K369" i="4"/>
  <c r="J369" i="4"/>
  <c r="I369" i="4"/>
  <c r="H369" i="4"/>
  <c r="G369" i="4"/>
  <c r="F369" i="4"/>
  <c r="E369" i="4"/>
  <c r="D369" i="4"/>
  <c r="C369" i="4"/>
  <c r="B369" i="4"/>
  <c r="A369" i="4"/>
  <c r="AO368" i="4"/>
  <c r="AN368" i="4"/>
  <c r="AB368" i="4"/>
  <c r="AA368" i="4"/>
  <c r="Z368" i="4"/>
  <c r="T368" i="4"/>
  <c r="S368" i="4"/>
  <c r="R368" i="4"/>
  <c r="Q368" i="4"/>
  <c r="P368" i="4"/>
  <c r="O368" i="4"/>
  <c r="N368" i="4"/>
  <c r="M368" i="4"/>
  <c r="L368" i="4"/>
  <c r="K368" i="4"/>
  <c r="J368" i="4"/>
  <c r="I368" i="4"/>
  <c r="H368" i="4"/>
  <c r="G368" i="4"/>
  <c r="F368" i="4"/>
  <c r="E368" i="4"/>
  <c r="D368" i="4"/>
  <c r="C368" i="4"/>
  <c r="B368" i="4"/>
  <c r="A368" i="4"/>
  <c r="AO367" i="4"/>
  <c r="AN367" i="4"/>
  <c r="AB367" i="4"/>
  <c r="AA367" i="4"/>
  <c r="Z367" i="4"/>
  <c r="U367" i="4"/>
  <c r="T367" i="4"/>
  <c r="S367" i="4"/>
  <c r="R367" i="4"/>
  <c r="Q367" i="4"/>
  <c r="P367" i="4"/>
  <c r="O367" i="4"/>
  <c r="N367" i="4"/>
  <c r="M367" i="4"/>
  <c r="L367" i="4"/>
  <c r="K367" i="4"/>
  <c r="J367" i="4"/>
  <c r="I367" i="4"/>
  <c r="H367" i="4"/>
  <c r="G367" i="4"/>
  <c r="F367" i="4"/>
  <c r="E367" i="4"/>
  <c r="D367" i="4"/>
  <c r="C367" i="4"/>
  <c r="B367" i="4"/>
  <c r="A367" i="4"/>
  <c r="AO366" i="4"/>
  <c r="AN366" i="4"/>
  <c r="AB366" i="4"/>
  <c r="AA366" i="4"/>
  <c r="Z366" i="4"/>
  <c r="U366" i="4"/>
  <c r="Q366" i="4"/>
  <c r="P366" i="4"/>
  <c r="O366" i="4"/>
  <c r="N366" i="4"/>
  <c r="M366" i="4"/>
  <c r="L366" i="4"/>
  <c r="K366" i="4"/>
  <c r="J366" i="4"/>
  <c r="I366" i="4"/>
  <c r="H366" i="4"/>
  <c r="G366" i="4"/>
  <c r="F366" i="4"/>
  <c r="E366" i="4"/>
  <c r="D366" i="4"/>
  <c r="C366" i="4"/>
  <c r="B366" i="4"/>
  <c r="A366" i="4"/>
  <c r="AO365" i="4"/>
  <c r="AN365" i="4"/>
  <c r="AM365" i="4"/>
  <c r="AL365" i="4"/>
  <c r="AK365" i="4"/>
  <c r="AJ365" i="4"/>
  <c r="AI365" i="4"/>
  <c r="AH365" i="4"/>
  <c r="AG365" i="4"/>
  <c r="AF365" i="4"/>
  <c r="AE365" i="4"/>
  <c r="AD365" i="4"/>
  <c r="AC365" i="4"/>
  <c r="AB365" i="4"/>
  <c r="AA365" i="4"/>
  <c r="Z365" i="4"/>
  <c r="Y365" i="4"/>
  <c r="X365" i="4"/>
  <c r="W365" i="4"/>
  <c r="V365" i="4"/>
  <c r="U365" i="4"/>
  <c r="T365" i="4"/>
  <c r="S365" i="4"/>
  <c r="R365" i="4"/>
  <c r="Q365" i="4"/>
  <c r="P365" i="4"/>
  <c r="O365" i="4"/>
  <c r="N365" i="4"/>
  <c r="M365" i="4"/>
  <c r="L365" i="4"/>
  <c r="K365" i="4"/>
  <c r="J365" i="4"/>
  <c r="I365" i="4"/>
  <c r="H365" i="4"/>
  <c r="G365" i="4"/>
  <c r="F365" i="4"/>
  <c r="E365" i="4"/>
  <c r="D365" i="4"/>
  <c r="C365" i="4"/>
  <c r="B365" i="4"/>
  <c r="A365" i="4"/>
  <c r="AO364" i="4"/>
  <c r="AN364" i="4"/>
  <c r="AM364" i="4"/>
  <c r="AL364" i="4"/>
  <c r="AK364" i="4"/>
  <c r="AJ364" i="4"/>
  <c r="AI364" i="4"/>
  <c r="AH364" i="4"/>
  <c r="AG364" i="4"/>
  <c r="AF364" i="4"/>
  <c r="AE364" i="4"/>
  <c r="AD364" i="4"/>
  <c r="AC364" i="4"/>
  <c r="AB364" i="4"/>
  <c r="AA364" i="4"/>
  <c r="Z364" i="4"/>
  <c r="Y364" i="4"/>
  <c r="X364" i="4"/>
  <c r="W364" i="4"/>
  <c r="V364" i="4"/>
  <c r="U364" i="4"/>
  <c r="T364" i="4"/>
  <c r="S364" i="4"/>
  <c r="R364" i="4"/>
  <c r="Q364" i="4"/>
  <c r="P364" i="4"/>
  <c r="O364" i="4"/>
  <c r="N364" i="4"/>
  <c r="M364" i="4"/>
  <c r="L364" i="4"/>
  <c r="K364" i="4"/>
  <c r="J364" i="4"/>
  <c r="I364" i="4"/>
  <c r="H364" i="4"/>
  <c r="G364" i="4"/>
  <c r="F364" i="4"/>
  <c r="E364" i="4"/>
  <c r="D364" i="4"/>
  <c r="C364" i="4"/>
  <c r="B364" i="4"/>
  <c r="A364" i="4"/>
  <c r="AO363" i="4"/>
  <c r="AN363" i="4"/>
  <c r="AB363" i="4"/>
  <c r="AA363" i="4"/>
  <c r="Z363" i="4"/>
  <c r="P363" i="4"/>
  <c r="O363" i="4"/>
  <c r="N363" i="4"/>
  <c r="L363" i="4"/>
  <c r="K363" i="4"/>
  <c r="J363" i="4"/>
  <c r="I363" i="4"/>
  <c r="H363" i="4"/>
  <c r="G363" i="4"/>
  <c r="F363" i="4"/>
  <c r="E363" i="4"/>
  <c r="D363" i="4"/>
  <c r="C363" i="4"/>
  <c r="B363" i="4"/>
  <c r="A363" i="4"/>
  <c r="AO362" i="4"/>
  <c r="AN362" i="4"/>
  <c r="AM362" i="4"/>
  <c r="AL362" i="4"/>
  <c r="AK362" i="4"/>
  <c r="AJ362" i="4"/>
  <c r="AI362" i="4"/>
  <c r="AH362" i="4"/>
  <c r="AG362" i="4"/>
  <c r="AF362" i="4"/>
  <c r="AE362" i="4"/>
  <c r="AD362" i="4"/>
  <c r="AC362" i="4"/>
  <c r="AB362" i="4"/>
  <c r="AA362" i="4"/>
  <c r="Z362" i="4"/>
  <c r="Y362" i="4"/>
  <c r="X362" i="4"/>
  <c r="W362" i="4"/>
  <c r="V362" i="4"/>
  <c r="U362" i="4"/>
  <c r="T362" i="4"/>
  <c r="S362" i="4"/>
  <c r="R362" i="4"/>
  <c r="Q362" i="4"/>
  <c r="P362" i="4"/>
  <c r="O362" i="4"/>
  <c r="N362" i="4"/>
  <c r="M362" i="4"/>
  <c r="L362" i="4"/>
  <c r="K362" i="4"/>
  <c r="J362" i="4"/>
  <c r="I362" i="4"/>
  <c r="H362" i="4"/>
  <c r="G362" i="4"/>
  <c r="F362" i="4"/>
  <c r="E362" i="4"/>
  <c r="D362" i="4"/>
  <c r="C362" i="4"/>
  <c r="B362" i="4"/>
  <c r="A362" i="4"/>
  <c r="AO361" i="4"/>
  <c r="AN361" i="4"/>
  <c r="AB361" i="4"/>
  <c r="AA361" i="4"/>
  <c r="Z361" i="4"/>
  <c r="U361" i="4"/>
  <c r="T361" i="4"/>
  <c r="S361" i="4"/>
  <c r="R361" i="4"/>
  <c r="Q361" i="4"/>
  <c r="P361" i="4"/>
  <c r="O361" i="4"/>
  <c r="N361" i="4"/>
  <c r="M361" i="4"/>
  <c r="L361" i="4"/>
  <c r="K361" i="4"/>
  <c r="J361" i="4"/>
  <c r="I361" i="4"/>
  <c r="H361" i="4"/>
  <c r="G361" i="4"/>
  <c r="F361" i="4"/>
  <c r="E361" i="4"/>
  <c r="D361" i="4"/>
  <c r="C361" i="4"/>
  <c r="B361" i="4"/>
  <c r="A361" i="4"/>
  <c r="AO360" i="4"/>
  <c r="AN360" i="4"/>
  <c r="AM360" i="4"/>
  <c r="AL360" i="4"/>
  <c r="AK360" i="4"/>
  <c r="AJ360" i="4"/>
  <c r="AI360" i="4"/>
  <c r="AH360" i="4"/>
  <c r="AG360" i="4"/>
  <c r="AF360" i="4"/>
  <c r="AE360" i="4"/>
  <c r="AD360" i="4"/>
  <c r="AC360" i="4"/>
  <c r="AB360" i="4"/>
  <c r="AA360" i="4"/>
  <c r="Z360" i="4"/>
  <c r="Y360" i="4"/>
  <c r="X360" i="4"/>
  <c r="W360" i="4"/>
  <c r="V360" i="4"/>
  <c r="U360" i="4"/>
  <c r="T360" i="4"/>
  <c r="S360" i="4"/>
  <c r="R360" i="4"/>
  <c r="Q360" i="4"/>
  <c r="P360" i="4"/>
  <c r="O360" i="4"/>
  <c r="N360" i="4"/>
  <c r="M360" i="4"/>
  <c r="L360" i="4"/>
  <c r="K360" i="4"/>
  <c r="J360" i="4"/>
  <c r="I360" i="4"/>
  <c r="H360" i="4"/>
  <c r="G360" i="4"/>
  <c r="F360" i="4"/>
  <c r="E360" i="4"/>
  <c r="D360" i="4"/>
  <c r="C360" i="4"/>
  <c r="B360" i="4"/>
  <c r="A360" i="4"/>
  <c r="AO359" i="4"/>
  <c r="AN359" i="4"/>
  <c r="AB359" i="4"/>
  <c r="AA359" i="4"/>
  <c r="Z359" i="4"/>
  <c r="Q359" i="4"/>
  <c r="P359" i="4"/>
  <c r="O359" i="4"/>
  <c r="N359" i="4"/>
  <c r="L359" i="4"/>
  <c r="K359" i="4"/>
  <c r="J359" i="4"/>
  <c r="I359" i="4"/>
  <c r="H359" i="4"/>
  <c r="G359" i="4"/>
  <c r="F359" i="4"/>
  <c r="E359" i="4"/>
  <c r="D359" i="4"/>
  <c r="C359" i="4"/>
  <c r="B359" i="4"/>
  <c r="A359" i="4"/>
  <c r="AO358" i="4"/>
  <c r="AN358" i="4"/>
  <c r="AB358" i="4"/>
  <c r="AA358" i="4"/>
  <c r="Z358" i="4"/>
  <c r="T358" i="4"/>
  <c r="S358" i="4"/>
  <c r="R358" i="4"/>
  <c r="Q358" i="4"/>
  <c r="P358" i="4"/>
  <c r="O358" i="4"/>
  <c r="N358" i="4"/>
  <c r="M358" i="4"/>
  <c r="L358" i="4"/>
  <c r="K358" i="4"/>
  <c r="J358" i="4"/>
  <c r="I358" i="4"/>
  <c r="H358" i="4"/>
  <c r="G358" i="4"/>
  <c r="F358" i="4"/>
  <c r="E358" i="4"/>
  <c r="D358" i="4"/>
  <c r="C358" i="4"/>
  <c r="B358" i="4"/>
  <c r="A358" i="4"/>
  <c r="AO357" i="4"/>
  <c r="AN357" i="4"/>
  <c r="AB357" i="4"/>
  <c r="AA357" i="4"/>
  <c r="Z357" i="4"/>
  <c r="T357" i="4"/>
  <c r="S357" i="4"/>
  <c r="R357" i="4"/>
  <c r="Q357" i="4"/>
  <c r="P357" i="4"/>
  <c r="O357" i="4"/>
  <c r="N357" i="4"/>
  <c r="M357" i="4"/>
  <c r="L357" i="4"/>
  <c r="K357" i="4"/>
  <c r="J357" i="4"/>
  <c r="I357" i="4"/>
  <c r="H357" i="4"/>
  <c r="G357" i="4"/>
  <c r="F357" i="4"/>
  <c r="E357" i="4"/>
  <c r="D357" i="4"/>
  <c r="C357" i="4"/>
  <c r="B357" i="4"/>
  <c r="A357" i="4"/>
  <c r="AO356" i="4"/>
  <c r="AN356" i="4"/>
  <c r="AM356" i="4"/>
  <c r="AL356" i="4"/>
  <c r="AK356" i="4"/>
  <c r="AJ356" i="4"/>
  <c r="AI356" i="4"/>
  <c r="AH356" i="4"/>
  <c r="AG356" i="4"/>
  <c r="AF356" i="4"/>
  <c r="AE356" i="4"/>
  <c r="AD356" i="4"/>
  <c r="AC356" i="4"/>
  <c r="AB356" i="4"/>
  <c r="AA356" i="4"/>
  <c r="Z356" i="4"/>
  <c r="Y356" i="4"/>
  <c r="X356" i="4"/>
  <c r="W356" i="4"/>
  <c r="V356" i="4"/>
  <c r="U356" i="4"/>
  <c r="T356" i="4"/>
  <c r="S356" i="4"/>
  <c r="R356" i="4"/>
  <c r="Q356" i="4"/>
  <c r="P356" i="4"/>
  <c r="O356" i="4"/>
  <c r="N356" i="4"/>
  <c r="M356" i="4"/>
  <c r="L356" i="4"/>
  <c r="K356" i="4"/>
  <c r="J356" i="4"/>
  <c r="I356" i="4"/>
  <c r="H356" i="4"/>
  <c r="G356" i="4"/>
  <c r="F356" i="4"/>
  <c r="E356" i="4"/>
  <c r="D356" i="4"/>
  <c r="C356" i="4"/>
  <c r="B356" i="4"/>
  <c r="A356" i="4"/>
  <c r="AO355" i="4"/>
  <c r="AN355" i="4"/>
  <c r="AM355" i="4"/>
  <c r="AL355" i="4"/>
  <c r="AK355" i="4"/>
  <c r="AJ355" i="4"/>
  <c r="AI355" i="4"/>
  <c r="AH355" i="4"/>
  <c r="AG355" i="4"/>
  <c r="AF355" i="4"/>
  <c r="AE355" i="4"/>
  <c r="AD355" i="4"/>
  <c r="AC355" i="4"/>
  <c r="AB355" i="4"/>
  <c r="AA355" i="4"/>
  <c r="Z355" i="4"/>
  <c r="Y355" i="4"/>
  <c r="X355" i="4"/>
  <c r="W355" i="4"/>
  <c r="V355" i="4"/>
  <c r="U355" i="4"/>
  <c r="T355" i="4"/>
  <c r="S355" i="4"/>
  <c r="R355" i="4"/>
  <c r="Q355" i="4"/>
  <c r="P355" i="4"/>
  <c r="O355" i="4"/>
  <c r="N355" i="4"/>
  <c r="M355" i="4"/>
  <c r="L355" i="4"/>
  <c r="K355" i="4"/>
  <c r="J355" i="4"/>
  <c r="I355" i="4"/>
  <c r="H355" i="4"/>
  <c r="G355" i="4"/>
  <c r="F355" i="4"/>
  <c r="E355" i="4"/>
  <c r="D355" i="4"/>
  <c r="C355" i="4"/>
  <c r="B355" i="4"/>
  <c r="A355" i="4"/>
  <c r="AO354" i="4"/>
  <c r="AN354" i="4"/>
  <c r="AM354" i="4"/>
  <c r="AL354" i="4"/>
  <c r="AK354" i="4"/>
  <c r="AJ354" i="4"/>
  <c r="AI354" i="4"/>
  <c r="AH354" i="4"/>
  <c r="AG354" i="4"/>
  <c r="AF354" i="4"/>
  <c r="AE354" i="4"/>
  <c r="AD354" i="4"/>
  <c r="AC354" i="4"/>
  <c r="AB354" i="4"/>
  <c r="AA354" i="4"/>
  <c r="Z354" i="4"/>
  <c r="Y354" i="4"/>
  <c r="X354" i="4"/>
  <c r="W354" i="4"/>
  <c r="V354" i="4"/>
  <c r="U354" i="4"/>
  <c r="T354" i="4"/>
  <c r="S354" i="4"/>
  <c r="R354" i="4"/>
  <c r="Q354" i="4"/>
  <c r="P354" i="4"/>
  <c r="O354" i="4"/>
  <c r="N354" i="4"/>
  <c r="M354" i="4"/>
  <c r="L354" i="4"/>
  <c r="K354" i="4"/>
  <c r="J354" i="4"/>
  <c r="I354" i="4"/>
  <c r="H354" i="4"/>
  <c r="G354" i="4"/>
  <c r="F354" i="4"/>
  <c r="E354" i="4"/>
  <c r="D354" i="4"/>
  <c r="C354" i="4"/>
  <c r="B354" i="4"/>
  <c r="A354" i="4"/>
  <c r="AO353" i="4"/>
  <c r="AN353" i="4"/>
  <c r="AB353" i="4"/>
  <c r="AA353" i="4"/>
  <c r="Z353" i="4"/>
  <c r="P353" i="4"/>
  <c r="O353" i="4"/>
  <c r="N353" i="4"/>
  <c r="L353" i="4"/>
  <c r="K353" i="4"/>
  <c r="J353" i="4"/>
  <c r="I353" i="4"/>
  <c r="H353" i="4"/>
  <c r="G353" i="4"/>
  <c r="F353" i="4"/>
  <c r="E353" i="4"/>
  <c r="D353" i="4"/>
  <c r="C353" i="4"/>
  <c r="B353" i="4"/>
  <c r="A353" i="4"/>
  <c r="AO352" i="4"/>
  <c r="AN352" i="4"/>
  <c r="AB352" i="4"/>
  <c r="AA352" i="4"/>
  <c r="Z352" i="4"/>
  <c r="U352" i="4"/>
  <c r="T352" i="4"/>
  <c r="S352" i="4"/>
  <c r="R352" i="4"/>
  <c r="Q352" i="4"/>
  <c r="P352" i="4"/>
  <c r="O352" i="4"/>
  <c r="N352" i="4"/>
  <c r="M352" i="4"/>
  <c r="L352" i="4"/>
  <c r="K352" i="4"/>
  <c r="J352" i="4"/>
  <c r="I352" i="4"/>
  <c r="H352" i="4"/>
  <c r="G352" i="4"/>
  <c r="F352" i="4"/>
  <c r="E352" i="4"/>
  <c r="D352" i="4"/>
  <c r="C352" i="4"/>
  <c r="B352" i="4"/>
  <c r="A352" i="4"/>
  <c r="AO351" i="4"/>
  <c r="AN351" i="4"/>
  <c r="AB351" i="4"/>
  <c r="AA351" i="4"/>
  <c r="Z351" i="4"/>
  <c r="U351" i="4"/>
  <c r="T351" i="4"/>
  <c r="S351" i="4"/>
  <c r="R351" i="4"/>
  <c r="Q351" i="4"/>
  <c r="P351" i="4"/>
  <c r="O351" i="4"/>
  <c r="N351" i="4"/>
  <c r="M351" i="4"/>
  <c r="L351" i="4"/>
  <c r="K351" i="4"/>
  <c r="J351" i="4"/>
  <c r="I351" i="4"/>
  <c r="H351" i="4"/>
  <c r="G351" i="4"/>
  <c r="F351" i="4"/>
  <c r="E351" i="4"/>
  <c r="D351" i="4"/>
  <c r="C351" i="4"/>
  <c r="B351" i="4"/>
  <c r="A351" i="4"/>
  <c r="AO350" i="4"/>
  <c r="AN350" i="4"/>
  <c r="AB350" i="4"/>
  <c r="AA350" i="4"/>
  <c r="Z350" i="4"/>
  <c r="U350" i="4"/>
  <c r="T350" i="4"/>
  <c r="S350" i="4"/>
  <c r="R350" i="4"/>
  <c r="Q350" i="4"/>
  <c r="P350" i="4"/>
  <c r="O350" i="4"/>
  <c r="N350" i="4"/>
  <c r="M350" i="4"/>
  <c r="L350" i="4"/>
  <c r="K350" i="4"/>
  <c r="J350" i="4"/>
  <c r="I350" i="4"/>
  <c r="H350" i="4"/>
  <c r="G350" i="4"/>
  <c r="F350" i="4"/>
  <c r="E350" i="4"/>
  <c r="D350" i="4"/>
  <c r="C350" i="4"/>
  <c r="B350" i="4"/>
  <c r="A350" i="4"/>
  <c r="AO349" i="4"/>
  <c r="AN349" i="4"/>
  <c r="AB349" i="4"/>
  <c r="AA349" i="4"/>
  <c r="Z349" i="4"/>
  <c r="U349" i="4"/>
  <c r="T349" i="4"/>
  <c r="S349" i="4"/>
  <c r="R349" i="4"/>
  <c r="Q349" i="4"/>
  <c r="P349" i="4"/>
  <c r="O349" i="4"/>
  <c r="N349" i="4"/>
  <c r="M349" i="4"/>
  <c r="L349" i="4"/>
  <c r="K349" i="4"/>
  <c r="J349" i="4"/>
  <c r="I349" i="4"/>
  <c r="H349" i="4"/>
  <c r="G349" i="4"/>
  <c r="F349" i="4"/>
  <c r="E349" i="4"/>
  <c r="D349" i="4"/>
  <c r="C349" i="4"/>
  <c r="B349" i="4"/>
  <c r="A349" i="4"/>
  <c r="AO348" i="4"/>
  <c r="AN348" i="4"/>
  <c r="AM348" i="4"/>
  <c r="AL348" i="4"/>
  <c r="AK348" i="4"/>
  <c r="AJ348" i="4"/>
  <c r="AI348" i="4"/>
  <c r="AH348" i="4"/>
  <c r="AG348" i="4"/>
  <c r="AF348" i="4"/>
  <c r="AE348" i="4"/>
  <c r="AD348" i="4"/>
  <c r="AC348" i="4"/>
  <c r="AB348" i="4"/>
  <c r="AA348" i="4"/>
  <c r="Z348" i="4"/>
  <c r="Y348" i="4"/>
  <c r="X348" i="4"/>
  <c r="W348" i="4"/>
  <c r="V348" i="4"/>
  <c r="U348" i="4"/>
  <c r="T348" i="4"/>
  <c r="S348" i="4"/>
  <c r="R348" i="4"/>
  <c r="Q348" i="4"/>
  <c r="P348" i="4"/>
  <c r="O348" i="4"/>
  <c r="N348" i="4"/>
  <c r="M348" i="4"/>
  <c r="L348" i="4"/>
  <c r="K348" i="4"/>
  <c r="J348" i="4"/>
  <c r="I348" i="4"/>
  <c r="H348" i="4"/>
  <c r="G348" i="4"/>
  <c r="F348" i="4"/>
  <c r="E348" i="4"/>
  <c r="D348" i="4"/>
  <c r="C348" i="4"/>
  <c r="B348" i="4"/>
  <c r="A348" i="4"/>
  <c r="AO347" i="4"/>
  <c r="AN347" i="4"/>
  <c r="AB347" i="4"/>
  <c r="AA347" i="4"/>
  <c r="Z347" i="4"/>
  <c r="P347" i="4"/>
  <c r="O347" i="4"/>
  <c r="N347" i="4"/>
  <c r="L347" i="4"/>
  <c r="K347" i="4"/>
  <c r="J347" i="4"/>
  <c r="I347" i="4"/>
  <c r="H347" i="4"/>
  <c r="G347" i="4"/>
  <c r="F347" i="4"/>
  <c r="E347" i="4"/>
  <c r="D347" i="4"/>
  <c r="C347" i="4"/>
  <c r="B347" i="4"/>
  <c r="A347" i="4"/>
  <c r="AO346" i="4"/>
  <c r="AN346" i="4"/>
  <c r="AB346" i="4"/>
  <c r="AA346" i="4"/>
  <c r="Z346" i="4"/>
  <c r="T346" i="4"/>
  <c r="S346" i="4"/>
  <c r="R346" i="4"/>
  <c r="Q346" i="4"/>
  <c r="P346" i="4"/>
  <c r="O346" i="4"/>
  <c r="N346" i="4"/>
  <c r="M346" i="4"/>
  <c r="L346" i="4"/>
  <c r="K346" i="4"/>
  <c r="J346" i="4"/>
  <c r="I346" i="4"/>
  <c r="H346" i="4"/>
  <c r="G346" i="4"/>
  <c r="F346" i="4"/>
  <c r="E346" i="4"/>
  <c r="D346" i="4"/>
  <c r="C346" i="4"/>
  <c r="B346" i="4"/>
  <c r="A346" i="4"/>
  <c r="AO345" i="4"/>
  <c r="AN345" i="4"/>
  <c r="AB345" i="4"/>
  <c r="AA345" i="4"/>
  <c r="Z345" i="4"/>
  <c r="T345" i="4"/>
  <c r="S345" i="4"/>
  <c r="R345" i="4"/>
  <c r="Q345" i="4"/>
  <c r="P345" i="4"/>
  <c r="O345" i="4"/>
  <c r="N345" i="4"/>
  <c r="M345" i="4"/>
  <c r="L345" i="4"/>
  <c r="K345" i="4"/>
  <c r="J345" i="4"/>
  <c r="I345" i="4"/>
  <c r="H345" i="4"/>
  <c r="G345" i="4"/>
  <c r="F345" i="4"/>
  <c r="E345" i="4"/>
  <c r="D345" i="4"/>
  <c r="C345" i="4"/>
  <c r="B345" i="4"/>
  <c r="A345" i="4"/>
  <c r="AO344" i="4"/>
  <c r="AN344" i="4"/>
  <c r="AB344" i="4"/>
  <c r="AA344" i="4"/>
  <c r="Z344" i="4"/>
  <c r="U344" i="4"/>
  <c r="T344" i="4"/>
  <c r="S344" i="4"/>
  <c r="R344" i="4"/>
  <c r="Q344" i="4"/>
  <c r="P344" i="4"/>
  <c r="O344" i="4"/>
  <c r="N344" i="4"/>
  <c r="M344" i="4"/>
  <c r="L344" i="4"/>
  <c r="K344" i="4"/>
  <c r="J344" i="4"/>
  <c r="I344" i="4"/>
  <c r="H344" i="4"/>
  <c r="G344" i="4"/>
  <c r="F344" i="4"/>
  <c r="E344" i="4"/>
  <c r="D344" i="4"/>
  <c r="C344" i="4"/>
  <c r="B344" i="4"/>
  <c r="A344" i="4"/>
  <c r="AO343" i="4"/>
  <c r="AN343" i="4"/>
  <c r="AB343" i="4"/>
  <c r="AA343" i="4"/>
  <c r="Z343" i="4"/>
  <c r="T343" i="4"/>
  <c r="S343" i="4"/>
  <c r="R343" i="4"/>
  <c r="Q343" i="4"/>
  <c r="P343" i="4"/>
  <c r="O343" i="4"/>
  <c r="N343" i="4"/>
  <c r="M343" i="4"/>
  <c r="L343" i="4"/>
  <c r="K343" i="4"/>
  <c r="J343" i="4"/>
  <c r="I343" i="4"/>
  <c r="H343" i="4"/>
  <c r="G343" i="4"/>
  <c r="F343" i="4"/>
  <c r="E343" i="4"/>
  <c r="D343" i="4"/>
  <c r="C343" i="4"/>
  <c r="B343" i="4"/>
  <c r="A343" i="4"/>
  <c r="AO342" i="4"/>
  <c r="AN342" i="4"/>
  <c r="AF342" i="4"/>
  <c r="AE342" i="4"/>
  <c r="AD342" i="4"/>
  <c r="AC342" i="4"/>
  <c r="AB342" i="4"/>
  <c r="AA342" i="4"/>
  <c r="Z342" i="4"/>
  <c r="Y342" i="4"/>
  <c r="X342" i="4"/>
  <c r="W342" i="4"/>
  <c r="V342" i="4"/>
  <c r="U342" i="4"/>
  <c r="T342" i="4"/>
  <c r="S342" i="4"/>
  <c r="R342" i="4"/>
  <c r="Q342" i="4"/>
  <c r="P342" i="4"/>
  <c r="O342" i="4"/>
  <c r="N342" i="4"/>
  <c r="M342" i="4"/>
  <c r="L342" i="4"/>
  <c r="K342" i="4"/>
  <c r="J342" i="4"/>
  <c r="I342" i="4"/>
  <c r="H342" i="4"/>
  <c r="G342" i="4"/>
  <c r="F342" i="4"/>
  <c r="E342" i="4"/>
  <c r="D342" i="4"/>
  <c r="C342" i="4"/>
  <c r="B342" i="4"/>
  <c r="A342" i="4"/>
  <c r="AO341" i="4"/>
  <c r="AN341" i="4"/>
  <c r="AM341" i="4"/>
  <c r="AL341" i="4"/>
  <c r="AK341" i="4"/>
  <c r="AJ341" i="4"/>
  <c r="AI341" i="4"/>
  <c r="AH341" i="4"/>
  <c r="AG341" i="4"/>
  <c r="AF341" i="4"/>
  <c r="AE341" i="4"/>
  <c r="AD341" i="4"/>
  <c r="AC341" i="4"/>
  <c r="AB341" i="4"/>
  <c r="AA341" i="4"/>
  <c r="Z341" i="4"/>
  <c r="Y341" i="4"/>
  <c r="X341" i="4"/>
  <c r="W341" i="4"/>
  <c r="V341" i="4"/>
  <c r="U341" i="4"/>
  <c r="T341" i="4"/>
  <c r="S341" i="4"/>
  <c r="R341" i="4"/>
  <c r="Q341" i="4"/>
  <c r="P341" i="4"/>
  <c r="O341" i="4"/>
  <c r="N341" i="4"/>
  <c r="M341" i="4"/>
  <c r="L341" i="4"/>
  <c r="K341" i="4"/>
  <c r="J341" i="4"/>
  <c r="I341" i="4"/>
  <c r="H341" i="4"/>
  <c r="G341" i="4"/>
  <c r="F341" i="4"/>
  <c r="E341" i="4"/>
  <c r="D341" i="4"/>
  <c r="C341" i="4"/>
  <c r="B341" i="4"/>
  <c r="A341" i="4"/>
  <c r="AO340" i="4"/>
  <c r="AN340" i="4"/>
  <c r="AB340" i="4"/>
  <c r="AA340" i="4"/>
  <c r="Z340" i="4"/>
  <c r="Y340" i="4"/>
  <c r="X340" i="4"/>
  <c r="W340" i="4"/>
  <c r="V340" i="4"/>
  <c r="U340" i="4"/>
  <c r="T340" i="4"/>
  <c r="S340" i="4"/>
  <c r="R340" i="4"/>
  <c r="Q340" i="4"/>
  <c r="P340" i="4"/>
  <c r="O340" i="4"/>
  <c r="N340" i="4"/>
  <c r="M340" i="4"/>
  <c r="L340" i="4"/>
  <c r="K340" i="4"/>
  <c r="J340" i="4"/>
  <c r="I340" i="4"/>
  <c r="H340" i="4"/>
  <c r="G340" i="4"/>
  <c r="F340" i="4"/>
  <c r="E340" i="4"/>
  <c r="D340" i="4"/>
  <c r="C340" i="4"/>
  <c r="B340" i="4"/>
  <c r="A340" i="4"/>
  <c r="AO339" i="4"/>
  <c r="AN339" i="4"/>
  <c r="AM339" i="4"/>
  <c r="AL339" i="4"/>
  <c r="AK339" i="4"/>
  <c r="AJ339" i="4"/>
  <c r="AI339" i="4"/>
  <c r="AH339" i="4"/>
  <c r="AG339" i="4"/>
  <c r="AF339" i="4"/>
  <c r="AE339" i="4"/>
  <c r="AD339" i="4"/>
  <c r="AC339" i="4"/>
  <c r="AB339" i="4"/>
  <c r="AA339" i="4"/>
  <c r="Z339" i="4"/>
  <c r="Y339" i="4"/>
  <c r="X339" i="4"/>
  <c r="W339" i="4"/>
  <c r="V339" i="4"/>
  <c r="U339" i="4"/>
  <c r="T339" i="4"/>
  <c r="S339" i="4"/>
  <c r="R339" i="4"/>
  <c r="Q339" i="4"/>
  <c r="P339" i="4"/>
  <c r="O339" i="4"/>
  <c r="N339" i="4"/>
  <c r="M339" i="4"/>
  <c r="L339" i="4"/>
  <c r="K339" i="4"/>
  <c r="J339" i="4"/>
  <c r="I339" i="4"/>
  <c r="H339" i="4"/>
  <c r="G339" i="4"/>
  <c r="F339" i="4"/>
  <c r="E339" i="4"/>
  <c r="D339" i="4"/>
  <c r="C339" i="4"/>
  <c r="B339" i="4"/>
  <c r="A339" i="4"/>
  <c r="AO338" i="4"/>
  <c r="AN338" i="4"/>
  <c r="AM338" i="4"/>
  <c r="AL338" i="4"/>
  <c r="AK338" i="4"/>
  <c r="AJ338" i="4"/>
  <c r="AI338" i="4"/>
  <c r="AH338" i="4"/>
  <c r="AG338" i="4"/>
  <c r="AF338" i="4"/>
  <c r="AE338" i="4"/>
  <c r="AD338" i="4"/>
  <c r="AC338" i="4"/>
  <c r="AB338" i="4"/>
  <c r="AA338" i="4"/>
  <c r="Z338" i="4"/>
  <c r="Y338" i="4"/>
  <c r="X338" i="4"/>
  <c r="W338" i="4"/>
  <c r="V338" i="4"/>
  <c r="U338" i="4"/>
  <c r="T338" i="4"/>
  <c r="S338" i="4"/>
  <c r="R338" i="4"/>
  <c r="Q338" i="4"/>
  <c r="P338" i="4"/>
  <c r="O338" i="4"/>
  <c r="N338" i="4"/>
  <c r="M338" i="4"/>
  <c r="L338" i="4"/>
  <c r="K338" i="4"/>
  <c r="J338" i="4"/>
  <c r="I338" i="4"/>
  <c r="H338" i="4"/>
  <c r="G338" i="4"/>
  <c r="F338" i="4"/>
  <c r="E338" i="4"/>
  <c r="D338" i="4"/>
  <c r="C338" i="4"/>
  <c r="B338" i="4"/>
  <c r="A338" i="4"/>
  <c r="AO337" i="4"/>
  <c r="AN337" i="4"/>
  <c r="AB337" i="4"/>
  <c r="AA337" i="4"/>
  <c r="Z337" i="4"/>
  <c r="T337" i="4"/>
  <c r="S337" i="4"/>
  <c r="Q337" i="4"/>
  <c r="P337" i="4"/>
  <c r="O337" i="4"/>
  <c r="N337" i="4"/>
  <c r="M337" i="4"/>
  <c r="L337" i="4"/>
  <c r="K337" i="4"/>
  <c r="J337" i="4"/>
  <c r="I337" i="4"/>
  <c r="H337" i="4"/>
  <c r="G337" i="4"/>
  <c r="F337" i="4"/>
  <c r="E337" i="4"/>
  <c r="D337" i="4"/>
  <c r="C337" i="4"/>
  <c r="B337" i="4"/>
  <c r="A337" i="4"/>
  <c r="AO336" i="4"/>
  <c r="AN336" i="4"/>
  <c r="AB336" i="4"/>
  <c r="AA336" i="4"/>
  <c r="Z336" i="4"/>
  <c r="U336" i="4"/>
  <c r="T336" i="4"/>
  <c r="S336" i="4"/>
  <c r="R336" i="4"/>
  <c r="Q336" i="4"/>
  <c r="P336" i="4"/>
  <c r="O336" i="4"/>
  <c r="N336" i="4"/>
  <c r="M336" i="4"/>
  <c r="L336" i="4"/>
  <c r="K336" i="4"/>
  <c r="J336" i="4"/>
  <c r="I336" i="4"/>
  <c r="H336" i="4"/>
  <c r="G336" i="4"/>
  <c r="F336" i="4"/>
  <c r="E336" i="4"/>
  <c r="D336" i="4"/>
  <c r="C336" i="4"/>
  <c r="B336" i="4"/>
  <c r="A336" i="4"/>
  <c r="AO335" i="4"/>
  <c r="AN335" i="4"/>
  <c r="AB335" i="4"/>
  <c r="AA335" i="4"/>
  <c r="Z335" i="4"/>
  <c r="I335" i="4"/>
  <c r="H335" i="4"/>
  <c r="G335" i="4"/>
  <c r="F335" i="4"/>
  <c r="E335" i="4"/>
  <c r="D335" i="4"/>
  <c r="C335" i="4"/>
  <c r="B335" i="4"/>
  <c r="A335" i="4"/>
  <c r="AO334" i="4"/>
  <c r="AN334" i="4"/>
  <c r="AB334" i="4"/>
  <c r="AA334" i="4"/>
  <c r="Z334" i="4"/>
  <c r="I334" i="4"/>
  <c r="H334" i="4"/>
  <c r="G334" i="4"/>
  <c r="F334" i="4"/>
  <c r="E334" i="4"/>
  <c r="D334" i="4"/>
  <c r="C334" i="4"/>
  <c r="B334" i="4"/>
  <c r="A334" i="4"/>
  <c r="AO333" i="4"/>
  <c r="AN333" i="4"/>
  <c r="AB333" i="4"/>
  <c r="AA333" i="4"/>
  <c r="Z333" i="4"/>
  <c r="I333" i="4"/>
  <c r="H333" i="4"/>
  <c r="G333" i="4"/>
  <c r="F333" i="4"/>
  <c r="E333" i="4"/>
  <c r="D333" i="4"/>
  <c r="C333" i="4"/>
  <c r="B333" i="4"/>
  <c r="A333" i="4"/>
  <c r="AO332" i="4"/>
  <c r="AN332" i="4"/>
  <c r="AB332" i="4"/>
  <c r="AA332" i="4"/>
  <c r="Z332" i="4"/>
  <c r="I332" i="4"/>
  <c r="H332" i="4"/>
  <c r="G332" i="4"/>
  <c r="F332" i="4"/>
  <c r="E332" i="4"/>
  <c r="D332" i="4"/>
  <c r="C332" i="4"/>
  <c r="B332" i="4"/>
  <c r="A332" i="4"/>
  <c r="AO331" i="4"/>
  <c r="AN331" i="4"/>
  <c r="AM331" i="4"/>
  <c r="AL331" i="4"/>
  <c r="AK331" i="4"/>
  <c r="AJ331" i="4"/>
  <c r="AI331" i="4"/>
  <c r="AH331" i="4"/>
  <c r="AG331" i="4"/>
  <c r="AF331" i="4"/>
  <c r="AE331" i="4"/>
  <c r="AD331" i="4"/>
  <c r="AC331" i="4"/>
  <c r="AB331" i="4"/>
  <c r="AA331" i="4"/>
  <c r="Z331" i="4"/>
  <c r="Y331" i="4"/>
  <c r="X331" i="4"/>
  <c r="W331" i="4"/>
  <c r="V331" i="4"/>
  <c r="U331" i="4"/>
  <c r="T331" i="4"/>
  <c r="S331" i="4"/>
  <c r="R331" i="4"/>
  <c r="Q331" i="4"/>
  <c r="P331" i="4"/>
  <c r="O331" i="4"/>
  <c r="N331" i="4"/>
  <c r="M331" i="4"/>
  <c r="L331" i="4"/>
  <c r="K331" i="4"/>
  <c r="J331" i="4"/>
  <c r="I331" i="4"/>
  <c r="H331" i="4"/>
  <c r="G331" i="4"/>
  <c r="F331" i="4"/>
  <c r="E331" i="4"/>
  <c r="D331" i="4"/>
  <c r="C331" i="4"/>
  <c r="B331" i="4"/>
  <c r="A331" i="4"/>
  <c r="AO330" i="4"/>
  <c r="AN330" i="4"/>
  <c r="AM330" i="4"/>
  <c r="AL330" i="4"/>
  <c r="AK330" i="4"/>
  <c r="AJ330" i="4"/>
  <c r="AI330" i="4"/>
  <c r="AH330" i="4"/>
  <c r="AG330" i="4"/>
  <c r="AF330" i="4"/>
  <c r="AE330" i="4"/>
  <c r="AD330" i="4"/>
  <c r="AC330" i="4"/>
  <c r="AB330" i="4"/>
  <c r="AA330" i="4"/>
  <c r="Z330" i="4"/>
  <c r="Y330" i="4"/>
  <c r="X330" i="4"/>
  <c r="W330" i="4"/>
  <c r="V330" i="4"/>
  <c r="U330" i="4"/>
  <c r="T330" i="4"/>
  <c r="S330" i="4"/>
  <c r="R330" i="4"/>
  <c r="Q330" i="4"/>
  <c r="P330" i="4"/>
  <c r="O330" i="4"/>
  <c r="N330" i="4"/>
  <c r="M330" i="4"/>
  <c r="L330" i="4"/>
  <c r="K330" i="4"/>
  <c r="J330" i="4"/>
  <c r="I330" i="4"/>
  <c r="H330" i="4"/>
  <c r="G330" i="4"/>
  <c r="F330" i="4"/>
  <c r="E330" i="4"/>
  <c r="D330" i="4"/>
  <c r="C330" i="4"/>
  <c r="B330" i="4"/>
  <c r="A330" i="4"/>
  <c r="AO328" i="4"/>
  <c r="AN328" i="4"/>
  <c r="AD328" i="4"/>
  <c r="AC328" i="4"/>
  <c r="AB328" i="4"/>
  <c r="AA328" i="4"/>
  <c r="Z328" i="4"/>
  <c r="Q328" i="4"/>
  <c r="P328" i="4"/>
  <c r="O328" i="4"/>
  <c r="N328" i="4"/>
  <c r="M328" i="4"/>
  <c r="L328" i="4"/>
  <c r="K328" i="4"/>
  <c r="J328" i="4"/>
  <c r="I328" i="4"/>
  <c r="H328" i="4"/>
  <c r="G328" i="4"/>
  <c r="F328" i="4"/>
  <c r="E328" i="4"/>
  <c r="D328" i="4"/>
  <c r="C328" i="4"/>
  <c r="B328" i="4"/>
  <c r="A328" i="4"/>
  <c r="AO327" i="4"/>
  <c r="AN327" i="4"/>
  <c r="AD327" i="4"/>
  <c r="AC327" i="4"/>
  <c r="AB327" i="4"/>
  <c r="AA327" i="4"/>
  <c r="Z327" i="4"/>
  <c r="Q327" i="4"/>
  <c r="P327" i="4"/>
  <c r="O327" i="4"/>
  <c r="N327" i="4"/>
  <c r="M327" i="4"/>
  <c r="L327" i="4"/>
  <c r="K327" i="4"/>
  <c r="J327" i="4"/>
  <c r="I327" i="4"/>
  <c r="H327" i="4"/>
  <c r="G327" i="4"/>
  <c r="F327" i="4"/>
  <c r="E327" i="4"/>
  <c r="D327" i="4"/>
  <c r="C327" i="4"/>
  <c r="B327" i="4"/>
  <c r="A327" i="4"/>
  <c r="AO326" i="4"/>
  <c r="AN326" i="4"/>
  <c r="AM326" i="4"/>
  <c r="AL326" i="4"/>
  <c r="AK326" i="4"/>
  <c r="AJ326" i="4"/>
  <c r="AI326" i="4"/>
  <c r="AH326" i="4"/>
  <c r="AG326" i="4"/>
  <c r="AF326" i="4"/>
  <c r="AE326" i="4"/>
  <c r="AD326" i="4"/>
  <c r="AC326" i="4"/>
  <c r="AB326" i="4"/>
  <c r="AA326" i="4"/>
  <c r="Z326" i="4"/>
  <c r="Y326" i="4"/>
  <c r="X326" i="4"/>
  <c r="W326" i="4"/>
  <c r="V326" i="4"/>
  <c r="U326" i="4"/>
  <c r="T326" i="4"/>
  <c r="S326" i="4"/>
  <c r="R326" i="4"/>
  <c r="Q326" i="4"/>
  <c r="P326" i="4"/>
  <c r="O326" i="4"/>
  <c r="N326" i="4"/>
  <c r="M326" i="4"/>
  <c r="L326" i="4"/>
  <c r="K326" i="4"/>
  <c r="J326" i="4"/>
  <c r="I326" i="4"/>
  <c r="H326" i="4"/>
  <c r="G326" i="4"/>
  <c r="F326" i="4"/>
  <c r="E326" i="4"/>
  <c r="D326" i="4"/>
  <c r="C326" i="4"/>
  <c r="B326" i="4"/>
  <c r="A326" i="4"/>
  <c r="AO325" i="4"/>
  <c r="AN325" i="4"/>
  <c r="AB325" i="4"/>
  <c r="AA325" i="4"/>
  <c r="Z325" i="4"/>
  <c r="I325" i="4"/>
  <c r="H325" i="4"/>
  <c r="G325" i="4"/>
  <c r="F325" i="4"/>
  <c r="E325" i="4"/>
  <c r="D325" i="4"/>
  <c r="C325" i="4"/>
  <c r="B325" i="4"/>
  <c r="A325" i="4"/>
  <c r="AO324" i="4"/>
  <c r="AN324" i="4"/>
  <c r="AM324" i="4"/>
  <c r="AL324" i="4"/>
  <c r="AK324" i="4"/>
  <c r="AJ324" i="4"/>
  <c r="AI324" i="4"/>
  <c r="AH324" i="4"/>
  <c r="AG324" i="4"/>
  <c r="AF324" i="4"/>
  <c r="AE324" i="4"/>
  <c r="AD324" i="4"/>
  <c r="AC324" i="4"/>
  <c r="AB324" i="4"/>
  <c r="AA324" i="4"/>
  <c r="Z324" i="4"/>
  <c r="Y324" i="4"/>
  <c r="X324" i="4"/>
  <c r="W324" i="4"/>
  <c r="V324" i="4"/>
  <c r="U324" i="4"/>
  <c r="T324" i="4"/>
  <c r="S324" i="4"/>
  <c r="R324" i="4"/>
  <c r="Q324" i="4"/>
  <c r="P324" i="4"/>
  <c r="O324" i="4"/>
  <c r="N324" i="4"/>
  <c r="M324" i="4"/>
  <c r="L324" i="4"/>
  <c r="K324" i="4"/>
  <c r="J324" i="4"/>
  <c r="I324" i="4"/>
  <c r="H324" i="4"/>
  <c r="G324" i="4"/>
  <c r="F324" i="4"/>
  <c r="E324" i="4"/>
  <c r="D324" i="4"/>
  <c r="C324" i="4"/>
  <c r="B324" i="4"/>
  <c r="A324" i="4"/>
  <c r="AO323" i="4"/>
  <c r="AN323" i="4"/>
  <c r="AE323" i="4"/>
  <c r="AD323" i="4"/>
  <c r="AC323" i="4"/>
  <c r="AB323" i="4"/>
  <c r="AA323" i="4"/>
  <c r="Z323" i="4"/>
  <c r="Y323" i="4"/>
  <c r="X323" i="4"/>
  <c r="W323" i="4"/>
  <c r="V323" i="4"/>
  <c r="U323" i="4"/>
  <c r="T323" i="4"/>
  <c r="S323" i="4"/>
  <c r="R323" i="4"/>
  <c r="Q323" i="4"/>
  <c r="P323" i="4"/>
  <c r="O323" i="4"/>
  <c r="N323" i="4"/>
  <c r="M323" i="4"/>
  <c r="L323" i="4"/>
  <c r="K323" i="4"/>
  <c r="J323" i="4"/>
  <c r="I323" i="4"/>
  <c r="H323" i="4"/>
  <c r="G323" i="4"/>
  <c r="F323" i="4"/>
  <c r="E323" i="4"/>
  <c r="D323" i="4"/>
  <c r="C323" i="4"/>
  <c r="B323" i="4"/>
  <c r="A323" i="4"/>
  <c r="AO322" i="4"/>
  <c r="AN322" i="4"/>
  <c r="AM322" i="4"/>
  <c r="AL322" i="4"/>
  <c r="AK322" i="4"/>
  <c r="AJ322" i="4"/>
  <c r="AI322" i="4"/>
  <c r="AH322" i="4"/>
  <c r="AG322" i="4"/>
  <c r="AB322" i="4"/>
  <c r="AA322" i="4"/>
  <c r="Z322" i="4"/>
  <c r="Y322" i="4"/>
  <c r="X322" i="4"/>
  <c r="W322" i="4"/>
  <c r="V322" i="4"/>
  <c r="I322" i="4"/>
  <c r="H322" i="4"/>
  <c r="G322" i="4"/>
  <c r="F322" i="4"/>
  <c r="E322" i="4"/>
  <c r="D322" i="4"/>
  <c r="C322" i="4"/>
  <c r="B322" i="4"/>
  <c r="A322" i="4"/>
  <c r="AO321" i="4"/>
  <c r="AN321" i="4"/>
  <c r="AB321" i="4"/>
  <c r="AA321" i="4"/>
  <c r="Z321" i="4"/>
  <c r="T321" i="4"/>
  <c r="S321" i="4"/>
  <c r="R321" i="4"/>
  <c r="Q321" i="4"/>
  <c r="P321" i="4"/>
  <c r="O321" i="4"/>
  <c r="N321" i="4"/>
  <c r="M321" i="4"/>
  <c r="L321" i="4"/>
  <c r="K321" i="4"/>
  <c r="J321" i="4"/>
  <c r="I321" i="4"/>
  <c r="H321" i="4"/>
  <c r="G321" i="4"/>
  <c r="F321" i="4"/>
  <c r="E321" i="4"/>
  <c r="D321" i="4"/>
  <c r="C321" i="4"/>
  <c r="B321" i="4"/>
  <c r="A321" i="4"/>
  <c r="AO320" i="4"/>
  <c r="AN320" i="4"/>
  <c r="AM320" i="4"/>
  <c r="AL320" i="4"/>
  <c r="AK320" i="4"/>
  <c r="AJ320" i="4"/>
  <c r="AI320" i="4"/>
  <c r="AH320" i="4"/>
  <c r="AG320" i="4"/>
  <c r="AF320" i="4"/>
  <c r="AE320" i="4"/>
  <c r="AD320" i="4"/>
  <c r="AC320" i="4"/>
  <c r="AB320" i="4"/>
  <c r="AA320" i="4"/>
  <c r="Z320" i="4"/>
  <c r="Y320" i="4"/>
  <c r="X320" i="4"/>
  <c r="W320" i="4"/>
  <c r="V320" i="4"/>
  <c r="U320" i="4"/>
  <c r="T320" i="4"/>
  <c r="S320" i="4"/>
  <c r="R320" i="4"/>
  <c r="Q320" i="4"/>
  <c r="P320" i="4"/>
  <c r="O320" i="4"/>
  <c r="N320" i="4"/>
  <c r="M320" i="4"/>
  <c r="L320" i="4"/>
  <c r="K320" i="4"/>
  <c r="J320" i="4"/>
  <c r="I320" i="4"/>
  <c r="H320" i="4"/>
  <c r="G320" i="4"/>
  <c r="F320" i="4"/>
  <c r="E320" i="4"/>
  <c r="D320" i="4"/>
  <c r="C320" i="4"/>
  <c r="B320" i="4"/>
  <c r="A320" i="4"/>
  <c r="AO319" i="4"/>
  <c r="AN319" i="4"/>
  <c r="AB319" i="4"/>
  <c r="AA319" i="4"/>
  <c r="Z319" i="4"/>
  <c r="I319" i="4"/>
  <c r="H319" i="4"/>
  <c r="G319" i="4"/>
  <c r="F319" i="4"/>
  <c r="E319" i="4"/>
  <c r="D319" i="4"/>
  <c r="C319" i="4"/>
  <c r="B319" i="4"/>
  <c r="A319" i="4"/>
  <c r="AO318" i="4"/>
  <c r="AN318" i="4"/>
  <c r="AM318" i="4"/>
  <c r="AL318" i="4"/>
  <c r="AK318" i="4"/>
  <c r="AJ318" i="4"/>
  <c r="AI318" i="4"/>
  <c r="AH318" i="4"/>
  <c r="AG318" i="4"/>
  <c r="AF318" i="4"/>
  <c r="AE318" i="4"/>
  <c r="AD318" i="4"/>
  <c r="AC318" i="4"/>
  <c r="AB318" i="4"/>
  <c r="AA318" i="4"/>
  <c r="Z318" i="4"/>
  <c r="Y318" i="4"/>
  <c r="X318" i="4"/>
  <c r="W318" i="4"/>
  <c r="V318" i="4"/>
  <c r="U318" i="4"/>
  <c r="T318" i="4"/>
  <c r="S318" i="4"/>
  <c r="R318" i="4"/>
  <c r="Q318" i="4"/>
  <c r="P318" i="4"/>
  <c r="O318" i="4"/>
  <c r="N318" i="4"/>
  <c r="M318" i="4"/>
  <c r="L318" i="4"/>
  <c r="K318" i="4"/>
  <c r="J318" i="4"/>
  <c r="I318" i="4"/>
  <c r="H318" i="4"/>
  <c r="G318" i="4"/>
  <c r="F318" i="4"/>
  <c r="E318" i="4"/>
  <c r="D318" i="4"/>
  <c r="C318" i="4"/>
  <c r="B318" i="4"/>
  <c r="A318" i="4"/>
  <c r="AO317" i="4"/>
  <c r="AN317" i="4"/>
  <c r="AB317" i="4"/>
  <c r="AA317" i="4"/>
  <c r="Z317" i="4"/>
  <c r="Y317" i="4"/>
  <c r="X317" i="4"/>
  <c r="W317" i="4"/>
  <c r="V317" i="4"/>
  <c r="U317" i="4"/>
  <c r="T317" i="4"/>
  <c r="S317" i="4"/>
  <c r="R317" i="4"/>
  <c r="Q317" i="4"/>
  <c r="P317" i="4"/>
  <c r="O317" i="4"/>
  <c r="N317" i="4"/>
  <c r="M317" i="4"/>
  <c r="L317" i="4"/>
  <c r="K317" i="4"/>
  <c r="J317" i="4"/>
  <c r="I317" i="4"/>
  <c r="H317" i="4"/>
  <c r="G317" i="4"/>
  <c r="F317" i="4"/>
  <c r="E317" i="4"/>
  <c r="D317" i="4"/>
  <c r="C317" i="4"/>
  <c r="B317" i="4"/>
  <c r="A317" i="4"/>
  <c r="AO316" i="4"/>
  <c r="AN316" i="4"/>
  <c r="AM316" i="4"/>
  <c r="AL316" i="4"/>
  <c r="AK316" i="4"/>
  <c r="AJ316" i="4"/>
  <c r="AI316" i="4"/>
  <c r="AH316" i="4"/>
  <c r="AG316" i="4"/>
  <c r="AF316" i="4"/>
  <c r="AE316" i="4"/>
  <c r="AD316" i="4"/>
  <c r="AC316" i="4"/>
  <c r="AB316" i="4"/>
  <c r="AA316" i="4"/>
  <c r="Z316" i="4"/>
  <c r="Y316" i="4"/>
  <c r="X316" i="4"/>
  <c r="W316" i="4"/>
  <c r="V316" i="4"/>
  <c r="U316" i="4"/>
  <c r="T316" i="4"/>
  <c r="S316" i="4"/>
  <c r="R316" i="4"/>
  <c r="Q316" i="4"/>
  <c r="P316" i="4"/>
  <c r="O316" i="4"/>
  <c r="N316" i="4"/>
  <c r="M316" i="4"/>
  <c r="L316" i="4"/>
  <c r="K316" i="4"/>
  <c r="J316" i="4"/>
  <c r="I316" i="4"/>
  <c r="H316" i="4"/>
  <c r="G316" i="4"/>
  <c r="F316" i="4"/>
  <c r="E316" i="4"/>
  <c r="D316" i="4"/>
  <c r="C316" i="4"/>
  <c r="B316" i="4"/>
  <c r="A316" i="4"/>
  <c r="AO315" i="4"/>
  <c r="AN315" i="4"/>
  <c r="AB315" i="4"/>
  <c r="AA315" i="4"/>
  <c r="Z315" i="4"/>
  <c r="I315" i="4"/>
  <c r="H315" i="4"/>
  <c r="G315" i="4"/>
  <c r="F315" i="4"/>
  <c r="E315" i="4"/>
  <c r="D315" i="4"/>
  <c r="C315" i="4"/>
  <c r="B315" i="4"/>
  <c r="A315" i="4"/>
  <c r="AO314" i="4"/>
  <c r="AN314" i="4"/>
  <c r="AE314" i="4"/>
  <c r="AB314" i="4"/>
  <c r="AA314" i="4"/>
  <c r="Z314" i="4"/>
  <c r="U314" i="4"/>
  <c r="T314" i="4"/>
  <c r="S314" i="4"/>
  <c r="R314" i="4"/>
  <c r="Q314" i="4"/>
  <c r="P314" i="4"/>
  <c r="O314" i="4"/>
  <c r="N314" i="4"/>
  <c r="M314" i="4"/>
  <c r="L314" i="4"/>
  <c r="K314" i="4"/>
  <c r="J314" i="4"/>
  <c r="I314" i="4"/>
  <c r="H314" i="4"/>
  <c r="G314" i="4"/>
  <c r="F314" i="4"/>
  <c r="E314" i="4"/>
  <c r="D314" i="4"/>
  <c r="C314" i="4"/>
  <c r="B314" i="4"/>
  <c r="A314" i="4"/>
  <c r="AO313" i="4"/>
  <c r="AN313" i="4"/>
  <c r="AE313" i="4"/>
  <c r="AB313" i="4"/>
  <c r="AA313" i="4"/>
  <c r="Z313" i="4"/>
  <c r="U313" i="4"/>
  <c r="T313" i="4"/>
  <c r="S313" i="4"/>
  <c r="R313" i="4"/>
  <c r="Q313" i="4"/>
  <c r="P313" i="4"/>
  <c r="O313" i="4"/>
  <c r="N313" i="4"/>
  <c r="M313" i="4"/>
  <c r="L313" i="4"/>
  <c r="K313" i="4"/>
  <c r="J313" i="4"/>
  <c r="I313" i="4"/>
  <c r="H313" i="4"/>
  <c r="G313" i="4"/>
  <c r="F313" i="4"/>
  <c r="E313" i="4"/>
  <c r="D313" i="4"/>
  <c r="C313" i="4"/>
  <c r="B313" i="4"/>
  <c r="A313" i="4"/>
  <c r="AO312" i="4"/>
  <c r="AN312" i="4"/>
  <c r="AM312" i="4"/>
  <c r="AL312" i="4"/>
  <c r="AK312" i="4"/>
  <c r="AJ312" i="4"/>
  <c r="AI312" i="4"/>
  <c r="AH312" i="4"/>
  <c r="AG312" i="4"/>
  <c r="AF312" i="4"/>
  <c r="AE312" i="4"/>
  <c r="AD312" i="4"/>
  <c r="AC312" i="4"/>
  <c r="AB312" i="4"/>
  <c r="AA312" i="4"/>
  <c r="Z312" i="4"/>
  <c r="Y312" i="4"/>
  <c r="X312" i="4"/>
  <c r="W312" i="4"/>
  <c r="V312" i="4"/>
  <c r="U312" i="4"/>
  <c r="T312" i="4"/>
  <c r="S312" i="4"/>
  <c r="R312" i="4"/>
  <c r="Q312" i="4"/>
  <c r="P312" i="4"/>
  <c r="O312" i="4"/>
  <c r="N312" i="4"/>
  <c r="M312" i="4"/>
  <c r="L312" i="4"/>
  <c r="K312" i="4"/>
  <c r="J312" i="4"/>
  <c r="I312" i="4"/>
  <c r="H312" i="4"/>
  <c r="G312" i="4"/>
  <c r="F312" i="4"/>
  <c r="E312" i="4"/>
  <c r="D312" i="4"/>
  <c r="C312" i="4"/>
  <c r="B312" i="4"/>
  <c r="A312" i="4"/>
  <c r="AO311" i="4"/>
  <c r="AN311" i="4"/>
  <c r="AC311" i="4"/>
  <c r="AB311" i="4"/>
  <c r="AA311" i="4"/>
  <c r="Z311" i="4"/>
  <c r="M311" i="4"/>
  <c r="L311" i="4"/>
  <c r="K311" i="4"/>
  <c r="J311" i="4"/>
  <c r="I311" i="4"/>
  <c r="H311" i="4"/>
  <c r="G311" i="4"/>
  <c r="F311" i="4"/>
  <c r="E311" i="4"/>
  <c r="D311" i="4"/>
  <c r="C311" i="4"/>
  <c r="B311" i="4"/>
  <c r="A311" i="4"/>
  <c r="AO310" i="4"/>
  <c r="AN310" i="4"/>
  <c r="AM310" i="4"/>
  <c r="AL310" i="4"/>
  <c r="AK310" i="4"/>
  <c r="AJ310" i="4"/>
  <c r="AI310" i="4"/>
  <c r="AH310" i="4"/>
  <c r="AG310" i="4"/>
  <c r="AF310" i="4"/>
  <c r="AE310" i="4"/>
  <c r="AD310" i="4"/>
  <c r="AC310" i="4"/>
  <c r="AB310" i="4"/>
  <c r="AA310" i="4"/>
  <c r="Z310" i="4"/>
  <c r="J310" i="4"/>
  <c r="I310" i="4"/>
  <c r="H310" i="4"/>
  <c r="G310" i="4"/>
  <c r="F310" i="4"/>
  <c r="E310" i="4"/>
  <c r="D310" i="4"/>
  <c r="C310" i="4"/>
  <c r="B310" i="4"/>
  <c r="A310" i="4"/>
  <c r="AO309" i="4"/>
  <c r="AN309" i="4"/>
  <c r="AC309" i="4"/>
  <c r="AB309" i="4"/>
  <c r="AA309" i="4"/>
  <c r="Z309" i="4"/>
  <c r="M309" i="4"/>
  <c r="L309" i="4"/>
  <c r="K309" i="4"/>
  <c r="J309" i="4"/>
  <c r="I309" i="4"/>
  <c r="H309" i="4"/>
  <c r="G309" i="4"/>
  <c r="F309" i="4"/>
  <c r="E309" i="4"/>
  <c r="D309" i="4"/>
  <c r="C309" i="4"/>
  <c r="B309" i="4"/>
  <c r="A309" i="4"/>
  <c r="AO308" i="4"/>
  <c r="AN308" i="4"/>
  <c r="AB308" i="4"/>
  <c r="AA308" i="4"/>
  <c r="Z308" i="4"/>
  <c r="I308" i="4"/>
  <c r="H308" i="4"/>
  <c r="G308" i="4"/>
  <c r="F308" i="4"/>
  <c r="E308" i="4"/>
  <c r="D308" i="4"/>
  <c r="C308" i="4"/>
  <c r="B308" i="4"/>
  <c r="A308" i="4"/>
  <c r="AO307" i="4"/>
  <c r="AN307" i="4"/>
  <c r="AG307" i="4"/>
  <c r="AF307" i="4"/>
  <c r="AE307" i="4"/>
  <c r="AD307" i="4"/>
  <c r="AC307" i="4"/>
  <c r="AB307" i="4"/>
  <c r="AA307" i="4"/>
  <c r="Z307" i="4"/>
  <c r="Y307" i="4"/>
  <c r="X307" i="4"/>
  <c r="W307" i="4"/>
  <c r="V307" i="4"/>
  <c r="U307" i="4"/>
  <c r="T307" i="4"/>
  <c r="S307" i="4"/>
  <c r="R307" i="4"/>
  <c r="Q307" i="4"/>
  <c r="P307" i="4"/>
  <c r="O307" i="4"/>
  <c r="N307" i="4"/>
  <c r="M307" i="4"/>
  <c r="L307" i="4"/>
  <c r="K307" i="4"/>
  <c r="J307" i="4"/>
  <c r="I307" i="4"/>
  <c r="H307" i="4"/>
  <c r="G307" i="4"/>
  <c r="F307" i="4"/>
  <c r="E307" i="4"/>
  <c r="D307" i="4"/>
  <c r="C307" i="4"/>
  <c r="B307" i="4"/>
  <c r="A307" i="4"/>
  <c r="AO306" i="4"/>
  <c r="AN306" i="4"/>
  <c r="AB306" i="4"/>
  <c r="AA306" i="4"/>
  <c r="Z306" i="4"/>
  <c r="I306" i="4"/>
  <c r="H306" i="4"/>
  <c r="G306" i="4"/>
  <c r="F306" i="4"/>
  <c r="E306" i="4"/>
  <c r="D306" i="4"/>
  <c r="C306" i="4"/>
  <c r="B306" i="4"/>
  <c r="A306" i="4"/>
  <c r="AO305" i="4"/>
  <c r="AN305" i="4"/>
  <c r="AE305" i="4"/>
  <c r="AD305" i="4"/>
  <c r="AC305" i="4"/>
  <c r="AB305" i="4"/>
  <c r="AA305" i="4"/>
  <c r="Z305" i="4"/>
  <c r="Y305" i="4"/>
  <c r="X305" i="4"/>
  <c r="W305" i="4"/>
  <c r="V305" i="4"/>
  <c r="U305" i="4"/>
  <c r="T305" i="4"/>
  <c r="S305" i="4"/>
  <c r="R305" i="4"/>
  <c r="Q305" i="4"/>
  <c r="P305" i="4"/>
  <c r="O305" i="4"/>
  <c r="N305" i="4"/>
  <c r="M305" i="4"/>
  <c r="L305" i="4"/>
  <c r="K305" i="4"/>
  <c r="J305" i="4"/>
  <c r="I305" i="4"/>
  <c r="H305" i="4"/>
  <c r="G305" i="4"/>
  <c r="F305" i="4"/>
  <c r="E305" i="4"/>
  <c r="D305" i="4"/>
  <c r="C305" i="4"/>
  <c r="B305" i="4"/>
  <c r="A305" i="4"/>
  <c r="AO304" i="4"/>
  <c r="AN304" i="4"/>
  <c r="AC304" i="4"/>
  <c r="AB304" i="4"/>
  <c r="AA304" i="4"/>
  <c r="Z304" i="4"/>
  <c r="R304" i="4"/>
  <c r="N304" i="4"/>
  <c r="M304" i="4"/>
  <c r="L304" i="4"/>
  <c r="K304" i="4"/>
  <c r="J304" i="4"/>
  <c r="I304" i="4"/>
  <c r="H304" i="4"/>
  <c r="G304" i="4"/>
  <c r="F304" i="4"/>
  <c r="E304" i="4"/>
  <c r="D304" i="4"/>
  <c r="C304" i="4"/>
  <c r="B304" i="4"/>
  <c r="A304" i="4"/>
  <c r="AO303" i="4"/>
  <c r="AN303" i="4"/>
  <c r="AB303" i="4"/>
  <c r="AA303" i="4"/>
  <c r="Z303" i="4"/>
  <c r="I303" i="4"/>
  <c r="H303" i="4"/>
  <c r="G303" i="4"/>
  <c r="F303" i="4"/>
  <c r="E303" i="4"/>
  <c r="D303" i="4"/>
  <c r="C303" i="4"/>
  <c r="B303" i="4"/>
  <c r="A303" i="4"/>
  <c r="AO302" i="4"/>
  <c r="AN302" i="4"/>
  <c r="AB302" i="4"/>
  <c r="AA302" i="4"/>
  <c r="Z302" i="4"/>
  <c r="I302" i="4"/>
  <c r="H302" i="4"/>
  <c r="G302" i="4"/>
  <c r="F302" i="4"/>
  <c r="E302" i="4"/>
  <c r="D302" i="4"/>
  <c r="C302" i="4"/>
  <c r="B302" i="4"/>
  <c r="A302" i="4"/>
  <c r="AO301" i="4"/>
  <c r="AN301" i="4"/>
  <c r="AM301" i="4"/>
  <c r="AL301" i="4"/>
  <c r="AK301" i="4"/>
  <c r="AJ301" i="4"/>
  <c r="AI301" i="4"/>
  <c r="AH301" i="4"/>
  <c r="AG301" i="4"/>
  <c r="AF301" i="4"/>
  <c r="AE301" i="4"/>
  <c r="AD301" i="4"/>
  <c r="AC301" i="4"/>
  <c r="AB301" i="4"/>
  <c r="AA301" i="4"/>
  <c r="Z301" i="4"/>
  <c r="Y301" i="4"/>
  <c r="X301" i="4"/>
  <c r="W301" i="4"/>
  <c r="V301" i="4"/>
  <c r="U301" i="4"/>
  <c r="T301" i="4"/>
  <c r="S301" i="4"/>
  <c r="R301" i="4"/>
  <c r="Q301" i="4"/>
  <c r="P301" i="4"/>
  <c r="O301" i="4"/>
  <c r="N301" i="4"/>
  <c r="M301" i="4"/>
  <c r="L301" i="4"/>
  <c r="K301" i="4"/>
  <c r="J301" i="4"/>
  <c r="I301" i="4"/>
  <c r="H301" i="4"/>
  <c r="G301" i="4"/>
  <c r="F301" i="4"/>
  <c r="E301" i="4"/>
  <c r="D301" i="4"/>
  <c r="C301" i="4"/>
  <c r="B301" i="4"/>
  <c r="A301" i="4"/>
  <c r="AN300" i="4"/>
  <c r="AB300" i="4"/>
  <c r="AA300" i="4"/>
  <c r="Z300" i="4"/>
  <c r="I300" i="4"/>
  <c r="H300" i="4"/>
  <c r="G300" i="4"/>
  <c r="F300" i="4"/>
  <c r="E300" i="4"/>
  <c r="D300" i="4"/>
  <c r="C300" i="4"/>
  <c r="B300" i="4"/>
  <c r="A300" i="4"/>
  <c r="AN299" i="4"/>
  <c r="AB299" i="4"/>
  <c r="AA299" i="4"/>
  <c r="Z299" i="4"/>
  <c r="I299" i="4"/>
  <c r="H299" i="4"/>
  <c r="G299" i="4"/>
  <c r="F299" i="4"/>
  <c r="E299" i="4"/>
  <c r="D299" i="4"/>
  <c r="C299" i="4"/>
  <c r="B299" i="4"/>
  <c r="A299" i="4"/>
  <c r="AN298" i="4"/>
  <c r="AB298" i="4"/>
  <c r="AA298" i="4"/>
  <c r="Z298" i="4"/>
  <c r="I298" i="4"/>
  <c r="H298" i="4"/>
  <c r="G298" i="4"/>
  <c r="F298" i="4"/>
  <c r="E298" i="4"/>
  <c r="D298" i="4"/>
  <c r="C298" i="4"/>
  <c r="B298" i="4"/>
  <c r="A298" i="4"/>
  <c r="AN297" i="4"/>
  <c r="AB297" i="4"/>
  <c r="AA297" i="4"/>
  <c r="Z297" i="4"/>
  <c r="I297" i="4"/>
  <c r="H297" i="4"/>
  <c r="G297" i="4"/>
  <c r="F297" i="4"/>
  <c r="E297" i="4"/>
  <c r="D297" i="4"/>
  <c r="C297" i="4"/>
  <c r="B297" i="4"/>
  <c r="A297" i="4"/>
  <c r="AO296" i="4"/>
  <c r="AN296" i="4"/>
  <c r="AM296" i="4"/>
  <c r="AL296" i="4"/>
  <c r="AK296" i="4"/>
  <c r="AJ296" i="4"/>
  <c r="AI296" i="4"/>
  <c r="AH296" i="4"/>
  <c r="AG296" i="4"/>
  <c r="AF296" i="4"/>
  <c r="AE296" i="4"/>
  <c r="AD296" i="4"/>
  <c r="AC296" i="4"/>
  <c r="AB296" i="4"/>
  <c r="AA296" i="4"/>
  <c r="Z296" i="4"/>
  <c r="Y296" i="4"/>
  <c r="X296" i="4"/>
  <c r="W296" i="4"/>
  <c r="V296" i="4"/>
  <c r="U296" i="4"/>
  <c r="T296" i="4"/>
  <c r="S296" i="4"/>
  <c r="R296" i="4"/>
  <c r="Q296" i="4"/>
  <c r="P296" i="4"/>
  <c r="O296" i="4"/>
  <c r="N296" i="4"/>
  <c r="M296" i="4"/>
  <c r="L296" i="4"/>
  <c r="K296" i="4"/>
  <c r="J296" i="4"/>
  <c r="I296" i="4"/>
  <c r="H296" i="4"/>
  <c r="G296" i="4"/>
  <c r="F296" i="4"/>
  <c r="E296" i="4"/>
  <c r="D296" i="4"/>
  <c r="C296" i="4"/>
  <c r="B296" i="4"/>
  <c r="A296" i="4"/>
  <c r="AO295" i="4"/>
  <c r="AN295" i="4"/>
  <c r="AM295" i="4"/>
  <c r="AL295" i="4"/>
  <c r="AK295" i="4"/>
  <c r="AJ295" i="4"/>
  <c r="AI295" i="4"/>
  <c r="AH295" i="4"/>
  <c r="AG295" i="4"/>
  <c r="AF295" i="4"/>
  <c r="AE295" i="4"/>
  <c r="AD295" i="4"/>
  <c r="AC295" i="4"/>
  <c r="AB295" i="4"/>
  <c r="AA295" i="4"/>
  <c r="Z295" i="4"/>
  <c r="Y295" i="4"/>
  <c r="X295" i="4"/>
  <c r="W295" i="4"/>
  <c r="V295" i="4"/>
  <c r="U295" i="4"/>
  <c r="T295" i="4"/>
  <c r="S295" i="4"/>
  <c r="R295" i="4"/>
  <c r="Q295" i="4"/>
  <c r="P295" i="4"/>
  <c r="O295" i="4"/>
  <c r="N295" i="4"/>
  <c r="M295" i="4"/>
  <c r="L295" i="4"/>
  <c r="K295" i="4"/>
  <c r="J295" i="4"/>
  <c r="I295" i="4"/>
  <c r="H295" i="4"/>
  <c r="G295" i="4"/>
  <c r="F295" i="4"/>
  <c r="E295" i="4"/>
  <c r="D295" i="4"/>
  <c r="C295" i="4"/>
  <c r="B295" i="4"/>
  <c r="A295" i="4"/>
  <c r="AO294" i="4"/>
  <c r="AN294" i="4"/>
  <c r="AB294" i="4"/>
  <c r="AA294" i="4"/>
  <c r="Z294" i="4"/>
  <c r="I294" i="4"/>
  <c r="H294" i="4"/>
  <c r="G294" i="4"/>
  <c r="F294" i="4"/>
  <c r="E294" i="4"/>
  <c r="D294" i="4"/>
  <c r="C294" i="4"/>
  <c r="B294" i="4"/>
  <c r="A294" i="4"/>
  <c r="AO293" i="4"/>
  <c r="AN293" i="4"/>
  <c r="AB293" i="4"/>
  <c r="AA293" i="4"/>
  <c r="Z293" i="4"/>
  <c r="I293" i="4"/>
  <c r="H293" i="4"/>
  <c r="G293" i="4"/>
  <c r="F293" i="4"/>
  <c r="E293" i="4"/>
  <c r="D293" i="4"/>
  <c r="C293" i="4"/>
  <c r="B293" i="4"/>
  <c r="A293" i="4"/>
  <c r="AO292" i="4"/>
  <c r="AN292" i="4"/>
  <c r="AM292" i="4"/>
  <c r="AL292" i="4"/>
  <c r="AK292" i="4"/>
  <c r="AJ292" i="4"/>
  <c r="AI292" i="4"/>
  <c r="AH292" i="4"/>
  <c r="AG292" i="4"/>
  <c r="AF292" i="4"/>
  <c r="AE292" i="4"/>
  <c r="AD292" i="4"/>
  <c r="AC292" i="4"/>
  <c r="AB292" i="4"/>
  <c r="AA292" i="4"/>
  <c r="Z292" i="4"/>
  <c r="Y292" i="4"/>
  <c r="X292" i="4"/>
  <c r="W292" i="4"/>
  <c r="V292" i="4"/>
  <c r="U292" i="4"/>
  <c r="T292" i="4"/>
  <c r="S292" i="4"/>
  <c r="R292" i="4"/>
  <c r="Q292" i="4"/>
  <c r="P292" i="4"/>
  <c r="O292" i="4"/>
  <c r="N292" i="4"/>
  <c r="M292" i="4"/>
  <c r="L292" i="4"/>
  <c r="K292" i="4"/>
  <c r="J292" i="4"/>
  <c r="I292" i="4"/>
  <c r="H292" i="4"/>
  <c r="G292" i="4"/>
  <c r="F292" i="4"/>
  <c r="E292" i="4"/>
  <c r="D292" i="4"/>
  <c r="C292" i="4"/>
  <c r="B292" i="4"/>
  <c r="A292" i="4"/>
  <c r="AN291" i="4"/>
  <c r="AB291" i="4"/>
  <c r="AA291" i="4"/>
  <c r="Z291" i="4"/>
  <c r="I291" i="4"/>
  <c r="H291" i="4"/>
  <c r="G291" i="4"/>
  <c r="F291" i="4"/>
  <c r="E291" i="4"/>
  <c r="D291" i="4"/>
  <c r="C291" i="4"/>
  <c r="B291" i="4"/>
  <c r="A291" i="4"/>
  <c r="AO290" i="4"/>
  <c r="AN290" i="4"/>
  <c r="AM290" i="4"/>
  <c r="AL290" i="4"/>
  <c r="AK290" i="4"/>
  <c r="AJ290" i="4"/>
  <c r="AI290" i="4"/>
  <c r="AH290" i="4"/>
  <c r="AG290" i="4"/>
  <c r="AF290" i="4"/>
  <c r="AE290" i="4"/>
  <c r="AD290" i="4"/>
  <c r="AC290" i="4"/>
  <c r="AB290" i="4"/>
  <c r="AA290" i="4"/>
  <c r="Z290" i="4"/>
  <c r="Y290" i="4"/>
  <c r="X290" i="4"/>
  <c r="W290" i="4"/>
  <c r="V290" i="4"/>
  <c r="U290" i="4"/>
  <c r="T290" i="4"/>
  <c r="S290" i="4"/>
  <c r="R290" i="4"/>
  <c r="Q290" i="4"/>
  <c r="P290" i="4"/>
  <c r="O290" i="4"/>
  <c r="N290" i="4"/>
  <c r="M290" i="4"/>
  <c r="L290" i="4"/>
  <c r="K290" i="4"/>
  <c r="J290" i="4"/>
  <c r="I290" i="4"/>
  <c r="H290" i="4"/>
  <c r="G290" i="4"/>
  <c r="F290" i="4"/>
  <c r="E290" i="4"/>
  <c r="D290" i="4"/>
  <c r="C290" i="4"/>
  <c r="B290" i="4"/>
  <c r="A290" i="4"/>
  <c r="AO289" i="4"/>
  <c r="AN289" i="4"/>
  <c r="AC289" i="4"/>
  <c r="AB289" i="4"/>
  <c r="AA289" i="4"/>
  <c r="Z289" i="4"/>
  <c r="M289" i="4"/>
  <c r="L289" i="4"/>
  <c r="K289" i="4"/>
  <c r="J289" i="4"/>
  <c r="I289" i="4"/>
  <c r="H289" i="4"/>
  <c r="G289" i="4"/>
  <c r="F289" i="4"/>
  <c r="E289" i="4"/>
  <c r="D289" i="4"/>
  <c r="C289" i="4"/>
  <c r="B289" i="4"/>
  <c r="A289" i="4"/>
  <c r="AN288" i="4"/>
  <c r="AB288" i="4"/>
  <c r="AA288" i="4"/>
  <c r="Z288" i="4"/>
  <c r="I288" i="4"/>
  <c r="H288" i="4"/>
  <c r="G288" i="4"/>
  <c r="F288" i="4"/>
  <c r="E288" i="4"/>
  <c r="D288" i="4"/>
  <c r="C288" i="4"/>
  <c r="B288" i="4"/>
  <c r="A288" i="4"/>
  <c r="AO287" i="4"/>
  <c r="AN287" i="4"/>
  <c r="AM287" i="4"/>
  <c r="AL287" i="4"/>
  <c r="AK287" i="4"/>
  <c r="AJ287" i="4"/>
  <c r="AI287" i="4"/>
  <c r="AH287" i="4"/>
  <c r="AG287" i="4"/>
  <c r="AF287" i="4"/>
  <c r="AE287" i="4"/>
  <c r="AD287" i="4"/>
  <c r="AC287" i="4"/>
  <c r="AB287" i="4"/>
  <c r="AA287" i="4"/>
  <c r="Z287" i="4"/>
  <c r="Y287" i="4"/>
  <c r="X287" i="4"/>
  <c r="W287" i="4"/>
  <c r="V287" i="4"/>
  <c r="U287" i="4"/>
  <c r="T287" i="4"/>
  <c r="S287" i="4"/>
  <c r="R287" i="4"/>
  <c r="Q287" i="4"/>
  <c r="P287" i="4"/>
  <c r="O287" i="4"/>
  <c r="N287" i="4"/>
  <c r="M287" i="4"/>
  <c r="L287" i="4"/>
  <c r="K287" i="4"/>
  <c r="J287" i="4"/>
  <c r="I287" i="4"/>
  <c r="H287" i="4"/>
  <c r="G287" i="4"/>
  <c r="F287" i="4"/>
  <c r="E287" i="4"/>
  <c r="D287" i="4"/>
  <c r="C287" i="4"/>
  <c r="B287" i="4"/>
  <c r="A287" i="4"/>
  <c r="AO286" i="4"/>
  <c r="AN286" i="4"/>
  <c r="AM286" i="4"/>
  <c r="AL286" i="4"/>
  <c r="AK286" i="4"/>
  <c r="AJ286" i="4"/>
  <c r="AI286" i="4"/>
  <c r="AH286" i="4"/>
  <c r="AG286" i="4"/>
  <c r="AF286" i="4"/>
  <c r="AE286" i="4"/>
  <c r="AD286" i="4"/>
  <c r="AC286" i="4"/>
  <c r="AB286" i="4"/>
  <c r="AA286" i="4"/>
  <c r="Z286" i="4"/>
  <c r="Y286" i="4"/>
  <c r="X286" i="4"/>
  <c r="W286" i="4"/>
  <c r="V286" i="4"/>
  <c r="U286" i="4"/>
  <c r="T286" i="4"/>
  <c r="S286" i="4"/>
  <c r="R286" i="4"/>
  <c r="Q286" i="4"/>
  <c r="P286" i="4"/>
  <c r="O286" i="4"/>
  <c r="N286" i="4"/>
  <c r="M286" i="4"/>
  <c r="L286" i="4"/>
  <c r="K286" i="4"/>
  <c r="J286" i="4"/>
  <c r="I286" i="4"/>
  <c r="H286" i="4"/>
  <c r="G286" i="4"/>
  <c r="F286" i="4"/>
  <c r="E286" i="4"/>
  <c r="D286" i="4"/>
  <c r="C286" i="4"/>
  <c r="B286" i="4"/>
  <c r="A286" i="4"/>
  <c r="AO285" i="4"/>
  <c r="AN285" i="4"/>
  <c r="AC285" i="4"/>
  <c r="AB285" i="4"/>
  <c r="AA285" i="4"/>
  <c r="Z285" i="4"/>
  <c r="Y285" i="4"/>
  <c r="X285" i="4"/>
  <c r="W285" i="4"/>
  <c r="V285" i="4"/>
  <c r="U285" i="4"/>
  <c r="T285" i="4"/>
  <c r="S285" i="4"/>
  <c r="R285" i="4"/>
  <c r="Q285" i="4"/>
  <c r="P285" i="4"/>
  <c r="O285" i="4"/>
  <c r="N285" i="4"/>
  <c r="M285" i="4"/>
  <c r="L285" i="4"/>
  <c r="K285" i="4"/>
  <c r="J285" i="4"/>
  <c r="I285" i="4"/>
  <c r="H285" i="4"/>
  <c r="G285" i="4"/>
  <c r="F285" i="4"/>
  <c r="E285" i="4"/>
  <c r="D285" i="4"/>
  <c r="C285" i="4"/>
  <c r="B285" i="4"/>
  <c r="A285" i="4"/>
  <c r="AO284" i="4"/>
  <c r="AN284" i="4"/>
  <c r="AM284" i="4"/>
  <c r="AL284" i="4"/>
  <c r="AK284" i="4"/>
  <c r="AJ284" i="4"/>
  <c r="AI284" i="4"/>
  <c r="AH284" i="4"/>
  <c r="AG284" i="4"/>
  <c r="AF284" i="4"/>
  <c r="AE284" i="4"/>
  <c r="AD284" i="4"/>
  <c r="AC284" i="4"/>
  <c r="AB284" i="4"/>
  <c r="AA284" i="4"/>
  <c r="Z284" i="4"/>
  <c r="Y284" i="4"/>
  <c r="X284" i="4"/>
  <c r="W284" i="4"/>
  <c r="U284" i="4"/>
  <c r="T284" i="4"/>
  <c r="S284" i="4"/>
  <c r="Q284" i="4"/>
  <c r="P284" i="4"/>
  <c r="O284" i="4"/>
  <c r="M284" i="4"/>
  <c r="L284" i="4"/>
  <c r="K284" i="4"/>
  <c r="J284" i="4"/>
  <c r="I284" i="4"/>
  <c r="H284" i="4"/>
  <c r="G284" i="4"/>
  <c r="F284" i="4"/>
  <c r="E284" i="4"/>
  <c r="D284" i="4"/>
  <c r="C284" i="4"/>
  <c r="B284" i="4"/>
  <c r="A284" i="4"/>
  <c r="Y283" i="4"/>
  <c r="X283" i="4"/>
  <c r="W283" i="4"/>
  <c r="V283" i="4"/>
  <c r="U283" i="4"/>
  <c r="T283" i="4"/>
  <c r="S283" i="4"/>
  <c r="R283" i="4"/>
  <c r="Q283" i="4"/>
  <c r="P283" i="4"/>
  <c r="O283" i="4"/>
  <c r="N283" i="4"/>
  <c r="M283" i="4"/>
  <c r="L283" i="4"/>
  <c r="K283" i="4"/>
  <c r="J283" i="4"/>
  <c r="I283" i="4"/>
  <c r="H283" i="4"/>
  <c r="G283" i="4"/>
  <c r="F283" i="4"/>
  <c r="E283" i="4"/>
  <c r="D283" i="4"/>
  <c r="C283" i="4"/>
  <c r="B283" i="4"/>
  <c r="A283" i="4"/>
  <c r="Y282" i="4"/>
  <c r="X282" i="4"/>
  <c r="W282" i="4"/>
  <c r="V282" i="4"/>
  <c r="U282" i="4"/>
  <c r="T282" i="4"/>
  <c r="S282" i="4"/>
  <c r="R282" i="4"/>
  <c r="Q282" i="4"/>
  <c r="P282" i="4"/>
  <c r="O282" i="4"/>
  <c r="N282" i="4"/>
  <c r="M282" i="4"/>
  <c r="L282" i="4"/>
  <c r="K282" i="4"/>
  <c r="J282" i="4"/>
  <c r="I282" i="4"/>
  <c r="H282" i="4"/>
  <c r="G282" i="4"/>
  <c r="F282" i="4"/>
  <c r="E282" i="4"/>
  <c r="D282" i="4"/>
  <c r="C282" i="4"/>
  <c r="B282" i="4"/>
  <c r="A282" i="4"/>
  <c r="Y281" i="4"/>
  <c r="X281" i="4"/>
  <c r="W281" i="4"/>
  <c r="V281" i="4"/>
  <c r="U281" i="4"/>
  <c r="T281" i="4"/>
  <c r="S281" i="4"/>
  <c r="R281" i="4"/>
  <c r="Q281" i="4"/>
  <c r="I281" i="4"/>
  <c r="H281" i="4"/>
  <c r="G281" i="4"/>
  <c r="F281" i="4"/>
  <c r="E281" i="4"/>
  <c r="D281" i="4"/>
  <c r="C281" i="4"/>
  <c r="B281" i="4"/>
  <c r="A281" i="4"/>
  <c r="Y280" i="4"/>
  <c r="X280" i="4"/>
  <c r="W280" i="4"/>
  <c r="V280" i="4"/>
  <c r="U280" i="4"/>
  <c r="T280" i="4"/>
  <c r="S280" i="4"/>
  <c r="R280" i="4"/>
  <c r="Q280" i="4"/>
  <c r="P280" i="4"/>
  <c r="O280" i="4"/>
  <c r="N280" i="4"/>
  <c r="M280" i="4"/>
  <c r="L280" i="4"/>
  <c r="K280" i="4"/>
  <c r="J280" i="4"/>
  <c r="I280" i="4"/>
  <c r="H280" i="4"/>
  <c r="G280" i="4"/>
  <c r="F280" i="4"/>
  <c r="E280" i="4"/>
  <c r="D280" i="4"/>
  <c r="C280" i="4"/>
  <c r="B280" i="4"/>
  <c r="A280" i="4"/>
  <c r="Y279" i="4"/>
  <c r="X279" i="4"/>
  <c r="W279" i="4"/>
  <c r="V279" i="4"/>
  <c r="U279" i="4"/>
  <c r="T279" i="4"/>
  <c r="S279" i="4"/>
  <c r="R279" i="4"/>
  <c r="Q279" i="4"/>
  <c r="E279" i="4"/>
  <c r="D279" i="4"/>
  <c r="C279" i="4"/>
  <c r="B279" i="4"/>
  <c r="A279" i="4"/>
  <c r="Y278" i="4"/>
  <c r="X278" i="4"/>
  <c r="W278" i="4"/>
  <c r="V278" i="4"/>
  <c r="U278" i="4"/>
  <c r="T278" i="4"/>
  <c r="S278" i="4"/>
  <c r="R278" i="4"/>
  <c r="Q278" i="4"/>
  <c r="P278" i="4"/>
  <c r="O278" i="4"/>
  <c r="N278" i="4"/>
  <c r="M278" i="4"/>
  <c r="L278" i="4"/>
  <c r="K278" i="4"/>
  <c r="J278" i="4"/>
  <c r="I278" i="4"/>
  <c r="H278" i="4"/>
  <c r="G278" i="4"/>
  <c r="F278" i="4"/>
  <c r="E278" i="4"/>
  <c r="D278" i="4"/>
  <c r="C278" i="4"/>
  <c r="B278" i="4"/>
  <c r="A278" i="4"/>
  <c r="Y277" i="4"/>
  <c r="X277" i="4"/>
  <c r="W277" i="4"/>
  <c r="V277" i="4"/>
  <c r="U277" i="4"/>
  <c r="T277" i="4"/>
  <c r="S277" i="4"/>
  <c r="R277" i="4"/>
  <c r="Q277" i="4"/>
  <c r="E277" i="4"/>
  <c r="D277" i="4"/>
  <c r="C277" i="4"/>
  <c r="B277" i="4"/>
  <c r="A277" i="4"/>
  <c r="Y276" i="4"/>
  <c r="X276" i="4"/>
  <c r="W276" i="4"/>
  <c r="V276" i="4"/>
  <c r="U276" i="4"/>
  <c r="T276" i="4"/>
  <c r="S276" i="4"/>
  <c r="R276" i="4"/>
  <c r="Q276" i="4"/>
  <c r="E276" i="4"/>
  <c r="D276" i="4"/>
  <c r="C276" i="4"/>
  <c r="B276" i="4"/>
  <c r="A276" i="4"/>
  <c r="Y275" i="4"/>
  <c r="X275" i="4"/>
  <c r="W275" i="4"/>
  <c r="V275" i="4"/>
  <c r="U275" i="4"/>
  <c r="T275" i="4"/>
  <c r="S275" i="4"/>
  <c r="R275" i="4"/>
  <c r="Q275" i="4"/>
  <c r="F275" i="4"/>
  <c r="E275" i="4"/>
  <c r="D275" i="4"/>
  <c r="C275" i="4"/>
  <c r="B275" i="4"/>
  <c r="A275" i="4"/>
  <c r="Y274" i="4"/>
  <c r="X274" i="4"/>
  <c r="W274" i="4"/>
  <c r="V274" i="4"/>
  <c r="U274" i="4"/>
  <c r="T274" i="4"/>
  <c r="S274" i="4"/>
  <c r="R274" i="4"/>
  <c r="Q274" i="4"/>
  <c r="E274" i="4"/>
  <c r="D274" i="4"/>
  <c r="C274" i="4"/>
  <c r="B274" i="4"/>
  <c r="A274" i="4"/>
  <c r="Y273" i="4"/>
  <c r="X273" i="4"/>
  <c r="W273" i="4"/>
  <c r="V273" i="4"/>
  <c r="U273" i="4"/>
  <c r="T273" i="4"/>
  <c r="S273" i="4"/>
  <c r="R273" i="4"/>
  <c r="Q273" i="4"/>
  <c r="P273" i="4"/>
  <c r="O273" i="4"/>
  <c r="N273" i="4"/>
  <c r="M273" i="4"/>
  <c r="L273" i="4"/>
  <c r="K273" i="4"/>
  <c r="J273" i="4"/>
  <c r="I273" i="4"/>
  <c r="H273" i="4"/>
  <c r="G273" i="4"/>
  <c r="F273" i="4"/>
  <c r="E273" i="4"/>
  <c r="D273" i="4"/>
  <c r="C273" i="4"/>
  <c r="B273" i="4"/>
  <c r="A273" i="4"/>
  <c r="Y272" i="4"/>
  <c r="X272" i="4"/>
  <c r="W272" i="4"/>
  <c r="V272" i="4"/>
  <c r="U272" i="4"/>
  <c r="T272" i="4"/>
  <c r="S272" i="4"/>
  <c r="R272" i="4"/>
  <c r="Q272" i="4"/>
  <c r="P272" i="4"/>
  <c r="O272" i="4"/>
  <c r="N272" i="4"/>
  <c r="M272" i="4"/>
  <c r="L272" i="4"/>
  <c r="K272" i="4"/>
  <c r="J272" i="4"/>
  <c r="I272" i="4"/>
  <c r="H272" i="4"/>
  <c r="G272" i="4"/>
  <c r="F272" i="4"/>
  <c r="E272" i="4"/>
  <c r="D272" i="4"/>
  <c r="C272" i="4"/>
  <c r="B272" i="4"/>
  <c r="A272" i="4"/>
  <c r="Y271" i="4"/>
  <c r="X271" i="4"/>
  <c r="W271" i="4"/>
  <c r="V271" i="4"/>
  <c r="U271" i="4"/>
  <c r="T271" i="4"/>
  <c r="S271" i="4"/>
  <c r="R271" i="4"/>
  <c r="Q271" i="4"/>
  <c r="P271" i="4"/>
  <c r="O271" i="4"/>
  <c r="N271" i="4"/>
  <c r="M271" i="4"/>
  <c r="L271" i="4"/>
  <c r="K271" i="4"/>
  <c r="J271" i="4"/>
  <c r="I271" i="4"/>
  <c r="H271" i="4"/>
  <c r="G271" i="4"/>
  <c r="F271" i="4"/>
  <c r="E271" i="4"/>
  <c r="D271" i="4"/>
  <c r="C271" i="4"/>
  <c r="B271" i="4"/>
  <c r="A271" i="4"/>
  <c r="Y270" i="4"/>
  <c r="X270" i="4"/>
  <c r="W270" i="4"/>
  <c r="V270" i="4"/>
  <c r="U270" i="4"/>
  <c r="T270" i="4"/>
  <c r="S270" i="4"/>
  <c r="R270" i="4"/>
  <c r="Q270" i="4"/>
  <c r="P270" i="4"/>
  <c r="O270" i="4"/>
  <c r="N270" i="4"/>
  <c r="M270" i="4"/>
  <c r="L270" i="4"/>
  <c r="K270" i="4"/>
  <c r="J270" i="4"/>
  <c r="I270" i="4"/>
  <c r="H270" i="4"/>
  <c r="G270" i="4"/>
  <c r="F270" i="4"/>
  <c r="E270" i="4"/>
  <c r="D270" i="4"/>
  <c r="C270" i="4"/>
  <c r="B270" i="4"/>
  <c r="A270" i="4"/>
  <c r="Y269" i="4"/>
  <c r="X269" i="4"/>
  <c r="W269" i="4"/>
  <c r="V269" i="4"/>
  <c r="U269" i="4"/>
  <c r="T269" i="4"/>
  <c r="S269" i="4"/>
  <c r="R269" i="4"/>
  <c r="Q269" i="4"/>
  <c r="P269" i="4"/>
  <c r="O269" i="4"/>
  <c r="N269" i="4"/>
  <c r="M269" i="4"/>
  <c r="L269" i="4"/>
  <c r="K269" i="4"/>
  <c r="J269" i="4"/>
  <c r="I269" i="4"/>
  <c r="H269" i="4"/>
  <c r="G269" i="4"/>
  <c r="F269" i="4"/>
  <c r="E269" i="4"/>
  <c r="D269" i="4"/>
  <c r="C269" i="4"/>
  <c r="B269" i="4"/>
  <c r="A269" i="4"/>
  <c r="Y268" i="4"/>
  <c r="X268" i="4"/>
  <c r="W268" i="4"/>
  <c r="V268" i="4"/>
  <c r="U268" i="4"/>
  <c r="T268" i="4"/>
  <c r="S268" i="4"/>
  <c r="R268" i="4"/>
  <c r="Q268" i="4"/>
  <c r="P268" i="4"/>
  <c r="O268" i="4"/>
  <c r="N268" i="4"/>
  <c r="M268" i="4"/>
  <c r="L268" i="4"/>
  <c r="K268" i="4"/>
  <c r="J268" i="4"/>
  <c r="I268" i="4"/>
  <c r="H268" i="4"/>
  <c r="G268" i="4"/>
  <c r="F268" i="4"/>
  <c r="E268" i="4"/>
  <c r="D268" i="4"/>
  <c r="C268" i="4"/>
  <c r="B268" i="4"/>
  <c r="A268" i="4"/>
  <c r="Y267" i="4"/>
  <c r="X267" i="4"/>
  <c r="W267" i="4"/>
  <c r="V267" i="4"/>
  <c r="U267" i="4"/>
  <c r="T267" i="4"/>
  <c r="S267" i="4"/>
  <c r="R267" i="4"/>
  <c r="Q267" i="4"/>
  <c r="P267" i="4"/>
  <c r="O267" i="4"/>
  <c r="N267" i="4"/>
  <c r="M267" i="4"/>
  <c r="L267" i="4"/>
  <c r="K267" i="4"/>
  <c r="J267" i="4"/>
  <c r="I267" i="4"/>
  <c r="H267" i="4"/>
  <c r="G267" i="4"/>
  <c r="F267" i="4"/>
  <c r="E267" i="4"/>
  <c r="D267" i="4"/>
  <c r="C267" i="4"/>
  <c r="B267" i="4"/>
  <c r="A267" i="4"/>
  <c r="Y266" i="4"/>
  <c r="X266" i="4"/>
  <c r="W266" i="4"/>
  <c r="V266" i="4"/>
  <c r="U266" i="4"/>
  <c r="T266" i="4"/>
  <c r="S266" i="4"/>
  <c r="R266" i="4"/>
  <c r="Q266" i="4"/>
  <c r="P266" i="4"/>
  <c r="O266" i="4"/>
  <c r="N266" i="4"/>
  <c r="M266" i="4"/>
  <c r="L266" i="4"/>
  <c r="K266" i="4"/>
  <c r="J266" i="4"/>
  <c r="I266" i="4"/>
  <c r="H266" i="4"/>
  <c r="G266" i="4"/>
  <c r="F266" i="4"/>
  <c r="E266" i="4"/>
  <c r="D266" i="4"/>
  <c r="C266" i="4"/>
  <c r="B266" i="4"/>
  <c r="A266" i="4"/>
  <c r="Y265" i="4"/>
  <c r="X265" i="4"/>
  <c r="W265" i="4"/>
  <c r="V265" i="4"/>
  <c r="U265" i="4"/>
  <c r="T265" i="4"/>
  <c r="S265" i="4"/>
  <c r="R265" i="4"/>
  <c r="Q265" i="4"/>
  <c r="P265" i="4"/>
  <c r="O265" i="4"/>
  <c r="N265" i="4"/>
  <c r="M265" i="4"/>
  <c r="L265" i="4"/>
  <c r="K265" i="4"/>
  <c r="J265" i="4"/>
  <c r="I265" i="4"/>
  <c r="H265" i="4"/>
  <c r="G265" i="4"/>
  <c r="F265" i="4"/>
  <c r="E265" i="4"/>
  <c r="D265" i="4"/>
  <c r="C265" i="4"/>
  <c r="B265" i="4"/>
  <c r="A265" i="4"/>
  <c r="Y264" i="4"/>
  <c r="X264" i="4"/>
  <c r="W264" i="4"/>
  <c r="V264" i="4"/>
  <c r="U264" i="4"/>
  <c r="T264" i="4"/>
  <c r="S264" i="4"/>
  <c r="R264" i="4"/>
  <c r="Q264" i="4"/>
  <c r="P264" i="4"/>
  <c r="O264" i="4"/>
  <c r="N264" i="4"/>
  <c r="M264" i="4"/>
  <c r="L264" i="4"/>
  <c r="K264" i="4"/>
  <c r="J264" i="4"/>
  <c r="I264" i="4"/>
  <c r="H264" i="4"/>
  <c r="G264" i="4"/>
  <c r="F264" i="4"/>
  <c r="E264" i="4"/>
  <c r="D264" i="4"/>
  <c r="C264" i="4"/>
  <c r="B264" i="4"/>
  <c r="A264" i="4"/>
  <c r="Y263" i="4"/>
  <c r="X263" i="4"/>
  <c r="W263" i="4"/>
  <c r="V263" i="4"/>
  <c r="U263" i="4"/>
  <c r="T263" i="4"/>
  <c r="S263" i="4"/>
  <c r="R263" i="4"/>
  <c r="Q263" i="4"/>
  <c r="P263" i="4"/>
  <c r="O263" i="4"/>
  <c r="N263" i="4"/>
  <c r="M263" i="4"/>
  <c r="L263" i="4"/>
  <c r="K263" i="4"/>
  <c r="J263" i="4"/>
  <c r="Y262" i="4"/>
  <c r="X262" i="4"/>
  <c r="W262" i="4"/>
  <c r="V262" i="4"/>
  <c r="U262" i="4"/>
  <c r="T262" i="4"/>
  <c r="S262" i="4"/>
  <c r="R262" i="4"/>
  <c r="Q262" i="4"/>
  <c r="P262" i="4"/>
  <c r="O262" i="4"/>
  <c r="N262" i="4"/>
  <c r="M262" i="4"/>
  <c r="L262" i="4"/>
  <c r="K262" i="4"/>
  <c r="J262" i="4"/>
  <c r="Y261" i="4"/>
  <c r="X261" i="4"/>
  <c r="W261" i="4"/>
  <c r="V261" i="4"/>
  <c r="U261" i="4"/>
  <c r="T261" i="4"/>
  <c r="S261" i="4"/>
  <c r="R261" i="4"/>
  <c r="Q261" i="4"/>
  <c r="P261" i="4"/>
  <c r="O261" i="4"/>
  <c r="N261" i="4"/>
  <c r="M261" i="4"/>
  <c r="L261" i="4"/>
  <c r="K261" i="4"/>
  <c r="J261" i="4"/>
  <c r="G263" i="4"/>
  <c r="F263" i="4"/>
  <c r="E263" i="4"/>
  <c r="D263" i="4"/>
  <c r="C263" i="4"/>
  <c r="B263" i="4"/>
  <c r="A263" i="4"/>
  <c r="G262" i="4"/>
  <c r="F262" i="4"/>
  <c r="E262" i="4"/>
  <c r="D262" i="4"/>
  <c r="C262" i="4"/>
  <c r="B262" i="4"/>
  <c r="A262" i="4"/>
  <c r="G261" i="4"/>
  <c r="F261" i="4"/>
  <c r="E261" i="4"/>
  <c r="D261" i="4"/>
  <c r="C261" i="4"/>
  <c r="B261" i="4"/>
  <c r="A261" i="4"/>
  <c r="G259" i="4"/>
  <c r="F259" i="4"/>
  <c r="E259" i="4"/>
  <c r="D259" i="4"/>
  <c r="C259" i="4"/>
  <c r="B259" i="4"/>
  <c r="A259" i="4"/>
  <c r="G258" i="4"/>
  <c r="F258" i="4"/>
  <c r="E258" i="4"/>
  <c r="D258" i="4"/>
  <c r="C258" i="4"/>
  <c r="B258" i="4"/>
  <c r="A258" i="4"/>
  <c r="Y259" i="4"/>
  <c r="X259" i="4"/>
  <c r="W259" i="4"/>
  <c r="V259" i="4"/>
  <c r="U259" i="4"/>
  <c r="T259" i="4"/>
  <c r="S259" i="4"/>
  <c r="R259" i="4"/>
  <c r="Q259" i="4"/>
  <c r="P259" i="4"/>
  <c r="O259" i="4"/>
  <c r="N259" i="4"/>
  <c r="M259" i="4"/>
  <c r="L259" i="4"/>
  <c r="K259" i="4"/>
  <c r="J259" i="4"/>
  <c r="Y258" i="4"/>
  <c r="X258" i="4"/>
  <c r="W258" i="4"/>
  <c r="V258" i="4"/>
  <c r="U258" i="4"/>
  <c r="T258" i="4"/>
  <c r="S258" i="4"/>
  <c r="R258" i="4"/>
  <c r="Q258" i="4"/>
  <c r="P258" i="4"/>
  <c r="O258" i="4"/>
  <c r="N258" i="4"/>
  <c r="M258" i="4"/>
  <c r="L258" i="4"/>
  <c r="K258" i="4"/>
  <c r="J258" i="4"/>
  <c r="Y257" i="4"/>
  <c r="X257" i="4"/>
  <c r="W257" i="4"/>
  <c r="V257" i="4"/>
  <c r="U257" i="4"/>
  <c r="T257" i="4"/>
  <c r="S257" i="4"/>
  <c r="R257" i="4"/>
  <c r="Q257" i="4"/>
  <c r="P257" i="4"/>
  <c r="O257" i="4"/>
  <c r="N257" i="4"/>
  <c r="M257" i="4"/>
  <c r="L257" i="4"/>
  <c r="K257" i="4"/>
  <c r="J257" i="4"/>
  <c r="I257" i="4"/>
  <c r="H257" i="4"/>
  <c r="G257" i="4"/>
  <c r="F257" i="4"/>
  <c r="E257" i="4"/>
  <c r="D257" i="4"/>
  <c r="C257" i="4"/>
  <c r="B257" i="4"/>
  <c r="A257" i="4"/>
  <c r="Y255" i="4"/>
  <c r="X255" i="4"/>
  <c r="W255" i="4"/>
  <c r="V255" i="4"/>
  <c r="U255" i="4"/>
  <c r="T255" i="4"/>
  <c r="S255" i="4"/>
  <c r="R255" i="4"/>
  <c r="Q255" i="4"/>
  <c r="P255" i="4"/>
  <c r="O255" i="4"/>
  <c r="N255" i="4"/>
  <c r="M255" i="4"/>
  <c r="L255" i="4"/>
  <c r="K255" i="4"/>
  <c r="J255" i="4"/>
  <c r="I255" i="4"/>
  <c r="H255" i="4"/>
  <c r="G255" i="4"/>
  <c r="F255" i="4"/>
  <c r="E255" i="4"/>
  <c r="C255" i="4"/>
  <c r="B255" i="4"/>
  <c r="A255" i="4"/>
  <c r="Y254" i="4"/>
  <c r="X254" i="4"/>
  <c r="W254" i="4"/>
  <c r="V254" i="4"/>
  <c r="U254" i="4"/>
  <c r="T254" i="4"/>
  <c r="S254" i="4"/>
  <c r="R254" i="4"/>
  <c r="Q254" i="4"/>
  <c r="P254" i="4"/>
  <c r="O254" i="4"/>
  <c r="N254" i="4"/>
  <c r="M254" i="4"/>
  <c r="L254" i="4"/>
  <c r="K254" i="4"/>
  <c r="J254" i="4"/>
  <c r="I254" i="4"/>
  <c r="H254" i="4"/>
  <c r="G254" i="4"/>
  <c r="F254" i="4"/>
  <c r="E254" i="4"/>
  <c r="C254" i="4"/>
  <c r="B254" i="4"/>
  <c r="A254" i="4"/>
  <c r="Y253" i="4"/>
  <c r="X253" i="4"/>
  <c r="W253" i="4"/>
  <c r="V253" i="4"/>
  <c r="U253" i="4"/>
  <c r="T253" i="4"/>
  <c r="S253" i="4"/>
  <c r="R253" i="4"/>
  <c r="Q253" i="4"/>
  <c r="P253" i="4"/>
  <c r="O253" i="4"/>
  <c r="N253" i="4"/>
  <c r="M253" i="4"/>
  <c r="L253" i="4"/>
  <c r="K253" i="4"/>
  <c r="J253" i="4"/>
  <c r="I253" i="4"/>
  <c r="H253" i="4"/>
  <c r="G253" i="4"/>
  <c r="F253" i="4"/>
  <c r="E253" i="4"/>
  <c r="C253" i="4"/>
  <c r="B253" i="4"/>
  <c r="A253" i="4"/>
  <c r="Y252" i="4"/>
  <c r="X252" i="4"/>
  <c r="W252" i="4"/>
  <c r="V252" i="4"/>
  <c r="U252" i="4"/>
  <c r="T252" i="4"/>
  <c r="S252" i="4"/>
  <c r="R252" i="4"/>
  <c r="Q252" i="4"/>
  <c r="P252" i="4"/>
  <c r="O252" i="4"/>
  <c r="N252" i="4"/>
  <c r="M252" i="4"/>
  <c r="L252" i="4"/>
  <c r="K252" i="4"/>
  <c r="J252" i="4"/>
  <c r="I252" i="4"/>
  <c r="H252" i="4"/>
  <c r="G252" i="4"/>
  <c r="F252" i="4"/>
  <c r="E252" i="4"/>
  <c r="C252" i="4"/>
  <c r="B252" i="4"/>
  <c r="A252" i="4"/>
  <c r="Y251" i="4"/>
  <c r="X251" i="4"/>
  <c r="W251" i="4"/>
  <c r="V251" i="4"/>
  <c r="U251" i="4"/>
  <c r="T251" i="4"/>
  <c r="S251" i="4"/>
  <c r="R251" i="4"/>
  <c r="Q251" i="4"/>
  <c r="P251" i="4"/>
  <c r="O251" i="4"/>
  <c r="N251" i="4"/>
  <c r="M251" i="4"/>
  <c r="L251" i="4"/>
  <c r="K251" i="4"/>
  <c r="J251" i="4"/>
  <c r="I251" i="4"/>
  <c r="H251" i="4"/>
  <c r="G251" i="4"/>
  <c r="F251" i="4"/>
  <c r="E251" i="4"/>
  <c r="D251" i="4"/>
  <c r="C251" i="4"/>
  <c r="B251" i="4"/>
  <c r="A251" i="4"/>
  <c r="Y250" i="4"/>
  <c r="X250" i="4"/>
  <c r="W250" i="4"/>
  <c r="V250" i="4"/>
  <c r="U250" i="4"/>
  <c r="T250" i="4"/>
  <c r="S250" i="4"/>
  <c r="R250" i="4"/>
  <c r="Q250" i="4"/>
  <c r="P250" i="4"/>
  <c r="O250" i="4"/>
  <c r="N250" i="4"/>
  <c r="M250" i="4"/>
  <c r="L250" i="4"/>
  <c r="K250" i="4"/>
  <c r="J250" i="4"/>
  <c r="I250" i="4"/>
  <c r="H250" i="4"/>
  <c r="G250" i="4"/>
  <c r="F250" i="4"/>
  <c r="E250" i="4"/>
  <c r="C250" i="4"/>
  <c r="B250" i="4"/>
  <c r="A250" i="4"/>
  <c r="Y249" i="4"/>
  <c r="X249" i="4"/>
  <c r="W249" i="4"/>
  <c r="V249" i="4"/>
  <c r="U249" i="4"/>
  <c r="T249" i="4"/>
  <c r="S249" i="4"/>
  <c r="R249" i="4"/>
  <c r="Q249" i="4"/>
  <c r="P249" i="4"/>
  <c r="O249" i="4"/>
  <c r="N249" i="4"/>
  <c r="M249" i="4"/>
  <c r="L249" i="4"/>
  <c r="K249" i="4"/>
  <c r="J249" i="4"/>
  <c r="I249" i="4"/>
  <c r="H249" i="4"/>
  <c r="G249" i="4"/>
  <c r="F249" i="4"/>
  <c r="E249" i="4"/>
  <c r="C249" i="4"/>
  <c r="B249" i="4"/>
  <c r="A249" i="4"/>
  <c r="Y248" i="4"/>
  <c r="X248" i="4"/>
  <c r="W248" i="4"/>
  <c r="V248" i="4"/>
  <c r="U248" i="4"/>
  <c r="T248" i="4"/>
  <c r="S248" i="4"/>
  <c r="R248" i="4"/>
  <c r="Q248" i="4"/>
  <c r="P248" i="4"/>
  <c r="O248" i="4"/>
  <c r="N248" i="4"/>
  <c r="M248" i="4"/>
  <c r="L248" i="4"/>
  <c r="K248" i="4"/>
  <c r="J248" i="4"/>
  <c r="I248" i="4"/>
  <c r="G248" i="4"/>
  <c r="F248" i="4"/>
  <c r="E248" i="4"/>
  <c r="C248" i="4"/>
  <c r="B248" i="4"/>
  <c r="A248" i="4"/>
  <c r="Y247" i="4"/>
  <c r="X247" i="4"/>
  <c r="W247" i="4"/>
  <c r="V247" i="4"/>
  <c r="U247" i="4"/>
  <c r="T247" i="4"/>
  <c r="S247" i="4"/>
  <c r="R247" i="4"/>
  <c r="Q247" i="4"/>
  <c r="P247" i="4"/>
  <c r="O247" i="4"/>
  <c r="N247" i="4"/>
  <c r="M247" i="4"/>
  <c r="L247" i="4"/>
  <c r="K247" i="4"/>
  <c r="J247" i="4"/>
  <c r="I247" i="4"/>
  <c r="H247" i="4"/>
  <c r="G247" i="4"/>
  <c r="F247" i="4"/>
  <c r="E247" i="4"/>
  <c r="D247" i="4"/>
  <c r="C247" i="4"/>
  <c r="B247" i="4"/>
  <c r="A247" i="4"/>
  <c r="Y239" i="4"/>
  <c r="X239" i="4"/>
  <c r="W239" i="4"/>
  <c r="V239" i="4"/>
  <c r="U239" i="4"/>
  <c r="T239" i="4"/>
  <c r="S239" i="4"/>
  <c r="R239" i="4"/>
  <c r="Q239" i="4"/>
  <c r="P239" i="4"/>
  <c r="O239" i="4"/>
  <c r="N239" i="4"/>
  <c r="M239" i="4"/>
  <c r="L239" i="4"/>
  <c r="K239" i="4"/>
  <c r="J239" i="4"/>
  <c r="I239" i="4"/>
  <c r="H239" i="4"/>
  <c r="G239" i="4"/>
  <c r="F239" i="4"/>
  <c r="E239" i="4"/>
  <c r="D239" i="4"/>
  <c r="C239" i="4"/>
  <c r="B239" i="4"/>
  <c r="A239" i="4"/>
  <c r="Y238" i="4"/>
  <c r="X238" i="4"/>
  <c r="W238" i="4"/>
  <c r="V238" i="4"/>
  <c r="U238" i="4"/>
  <c r="T238" i="4"/>
  <c r="S238" i="4"/>
  <c r="R238" i="4"/>
  <c r="Q238" i="4"/>
  <c r="G238" i="4"/>
  <c r="F238" i="4"/>
  <c r="E238" i="4"/>
  <c r="D238" i="4"/>
  <c r="C238" i="4"/>
  <c r="B238" i="4"/>
  <c r="A238" i="4"/>
  <c r="Y237" i="4"/>
  <c r="X237" i="4"/>
  <c r="W237" i="4"/>
  <c r="V237" i="4"/>
  <c r="U237" i="4"/>
  <c r="T237" i="4"/>
  <c r="S237" i="4"/>
  <c r="R237" i="4"/>
  <c r="Q237" i="4"/>
  <c r="P237" i="4"/>
  <c r="O237" i="4"/>
  <c r="N237" i="4"/>
  <c r="M237" i="4"/>
  <c r="L237" i="4"/>
  <c r="K237" i="4"/>
  <c r="J237" i="4"/>
  <c r="I237" i="4"/>
  <c r="H237" i="4"/>
  <c r="G237" i="4"/>
  <c r="F237" i="4"/>
  <c r="E237" i="4"/>
  <c r="D237" i="4"/>
  <c r="C237" i="4"/>
  <c r="B237" i="4"/>
  <c r="A237" i="4"/>
  <c r="Y236" i="4"/>
  <c r="X236" i="4"/>
  <c r="W236" i="4"/>
  <c r="V236" i="4"/>
  <c r="U236" i="4"/>
  <c r="T236" i="4"/>
  <c r="S236" i="4"/>
  <c r="R236" i="4"/>
  <c r="Q236" i="4"/>
  <c r="G236" i="4"/>
  <c r="F236" i="4"/>
  <c r="E236" i="4"/>
  <c r="D236" i="4"/>
  <c r="C236" i="4"/>
  <c r="B236" i="4"/>
  <c r="A236" i="4"/>
  <c r="Y235" i="4"/>
  <c r="X235" i="4"/>
  <c r="W235" i="4"/>
  <c r="V235" i="4"/>
  <c r="U235" i="4"/>
  <c r="T235" i="4"/>
  <c r="S235" i="4"/>
  <c r="R235" i="4"/>
  <c r="Q235" i="4"/>
  <c r="P235" i="4"/>
  <c r="O235" i="4"/>
  <c r="N235" i="4"/>
  <c r="M235" i="4"/>
  <c r="L235" i="4"/>
  <c r="K235" i="4"/>
  <c r="J235" i="4"/>
  <c r="I235" i="4"/>
  <c r="H235" i="4"/>
  <c r="G235" i="4"/>
  <c r="F235" i="4"/>
  <c r="E235" i="4"/>
  <c r="D235" i="4"/>
  <c r="C235" i="4"/>
  <c r="B235" i="4"/>
  <c r="A235" i="4"/>
  <c r="Y234" i="4"/>
  <c r="X234" i="4"/>
  <c r="W234" i="4"/>
  <c r="V234" i="4"/>
  <c r="U234" i="4"/>
  <c r="T234" i="4"/>
  <c r="S234" i="4"/>
  <c r="R234" i="4"/>
  <c r="Q234" i="4"/>
  <c r="E234" i="4"/>
  <c r="D234" i="4"/>
  <c r="C234" i="4"/>
  <c r="B234" i="4"/>
  <c r="A234" i="4"/>
  <c r="Y233" i="4"/>
  <c r="X233" i="4"/>
  <c r="W233" i="4"/>
  <c r="V233" i="4"/>
  <c r="U233" i="4"/>
  <c r="T233" i="4"/>
  <c r="S233" i="4"/>
  <c r="R233" i="4"/>
  <c r="Q233" i="4"/>
  <c r="F233" i="4"/>
  <c r="E233" i="4"/>
  <c r="D233" i="4"/>
  <c r="C233" i="4"/>
  <c r="B233" i="4"/>
  <c r="A233" i="4"/>
  <c r="Y232" i="4"/>
  <c r="X232" i="4"/>
  <c r="W232" i="4"/>
  <c r="V232" i="4"/>
  <c r="U232" i="4"/>
  <c r="T232" i="4"/>
  <c r="S232" i="4"/>
  <c r="R232" i="4"/>
  <c r="E232" i="4"/>
  <c r="D232" i="4"/>
  <c r="C232" i="4"/>
  <c r="B232" i="4"/>
  <c r="A232" i="4"/>
  <c r="Y231" i="4"/>
  <c r="X231" i="4"/>
  <c r="W231" i="4"/>
  <c r="V231" i="4"/>
  <c r="U231" i="4"/>
  <c r="T231" i="4"/>
  <c r="S231" i="4"/>
  <c r="R231" i="4"/>
  <c r="Q231" i="4"/>
  <c r="P231" i="4"/>
  <c r="O231" i="4"/>
  <c r="N231" i="4"/>
  <c r="M231" i="4"/>
  <c r="L231" i="4"/>
  <c r="K231" i="4"/>
  <c r="J231" i="4"/>
  <c r="I231" i="4"/>
  <c r="H231" i="4"/>
  <c r="G231" i="4"/>
  <c r="F231" i="4"/>
  <c r="E231" i="4"/>
  <c r="D231" i="4"/>
  <c r="C231" i="4"/>
  <c r="B231" i="4"/>
  <c r="A231" i="4"/>
  <c r="Y230" i="4"/>
  <c r="X230" i="4"/>
  <c r="W230" i="4"/>
  <c r="V230" i="4"/>
  <c r="U230" i="4"/>
  <c r="T230" i="4"/>
  <c r="S230" i="4"/>
  <c r="R230" i="4"/>
  <c r="Q230" i="4"/>
  <c r="P230" i="4"/>
  <c r="O230" i="4"/>
  <c r="N230" i="4"/>
  <c r="M230" i="4"/>
  <c r="L230" i="4"/>
  <c r="K230" i="4"/>
  <c r="J230" i="4"/>
  <c r="I230" i="4"/>
  <c r="H230" i="4"/>
  <c r="G230" i="4"/>
  <c r="F230" i="4"/>
  <c r="E230" i="4"/>
  <c r="D230" i="4"/>
  <c r="C230" i="4"/>
  <c r="B230" i="4"/>
  <c r="A230" i="4"/>
  <c r="Y229" i="4"/>
  <c r="X229" i="4"/>
  <c r="W229" i="4"/>
  <c r="V229" i="4"/>
  <c r="U229" i="4"/>
  <c r="T229" i="4"/>
  <c r="S229" i="4"/>
  <c r="R229" i="4"/>
  <c r="E229" i="4"/>
  <c r="D229" i="4"/>
  <c r="C229" i="4"/>
  <c r="B229" i="4"/>
  <c r="A229" i="4"/>
  <c r="Y228" i="4"/>
  <c r="X228" i="4"/>
  <c r="W228" i="4"/>
  <c r="V228" i="4"/>
  <c r="U228" i="4"/>
  <c r="T228" i="4"/>
  <c r="S228" i="4"/>
  <c r="R228" i="4"/>
  <c r="Q228" i="4"/>
  <c r="H228" i="4"/>
  <c r="E228" i="4"/>
  <c r="D228" i="4"/>
  <c r="C228" i="4"/>
  <c r="B228" i="4"/>
  <c r="A228" i="4"/>
  <c r="Y227" i="4"/>
  <c r="X227" i="4"/>
  <c r="W227" i="4"/>
  <c r="V227" i="4"/>
  <c r="U227" i="4"/>
  <c r="T227" i="4"/>
  <c r="S227" i="4"/>
  <c r="R227" i="4"/>
  <c r="Q227" i="4"/>
  <c r="E227" i="4"/>
  <c r="D227" i="4"/>
  <c r="C227" i="4"/>
  <c r="B227" i="4"/>
  <c r="A227" i="4"/>
  <c r="Y226" i="4"/>
  <c r="X226" i="4"/>
  <c r="W226" i="4"/>
  <c r="V226" i="4"/>
  <c r="U226" i="4"/>
  <c r="T226" i="4"/>
  <c r="S226" i="4"/>
  <c r="R226" i="4"/>
  <c r="Q226" i="4"/>
  <c r="E226" i="4"/>
  <c r="D226" i="4"/>
  <c r="C226" i="4"/>
  <c r="B226" i="4"/>
  <c r="A226" i="4"/>
  <c r="Y225" i="4"/>
  <c r="X225" i="4"/>
  <c r="W225" i="4"/>
  <c r="V225" i="4"/>
  <c r="U225" i="4"/>
  <c r="T225" i="4"/>
  <c r="S225" i="4"/>
  <c r="R225" i="4"/>
  <c r="Q225" i="4"/>
  <c r="I225" i="4"/>
  <c r="H225" i="4"/>
  <c r="G225" i="4"/>
  <c r="E225" i="4"/>
  <c r="D225" i="4"/>
  <c r="C225" i="4"/>
  <c r="B225" i="4"/>
  <c r="A225" i="4"/>
  <c r="Y224" i="4"/>
  <c r="X224" i="4"/>
  <c r="W224" i="4"/>
  <c r="V224" i="4"/>
  <c r="U224" i="4"/>
  <c r="T224" i="4"/>
  <c r="R224" i="4"/>
  <c r="E224" i="4"/>
  <c r="D224" i="4"/>
  <c r="C224" i="4"/>
  <c r="B224" i="4"/>
  <c r="A224" i="4"/>
  <c r="Y223" i="4"/>
  <c r="X223" i="4"/>
  <c r="W223" i="4"/>
  <c r="V223" i="4"/>
  <c r="U223" i="4"/>
  <c r="T223" i="4"/>
  <c r="S223" i="4"/>
  <c r="R223" i="4"/>
  <c r="Q223" i="4"/>
  <c r="P223" i="4"/>
  <c r="O223" i="4"/>
  <c r="N223" i="4"/>
  <c r="M223" i="4"/>
  <c r="L223" i="4"/>
  <c r="K223" i="4"/>
  <c r="J223" i="4"/>
  <c r="I223" i="4"/>
  <c r="H223" i="4"/>
  <c r="G223" i="4"/>
  <c r="F223" i="4"/>
  <c r="E223" i="4"/>
  <c r="D223" i="4"/>
  <c r="C223" i="4"/>
  <c r="B223" i="4"/>
  <c r="A223" i="4"/>
  <c r="Y222" i="4"/>
  <c r="X222" i="4"/>
  <c r="W222" i="4"/>
  <c r="V222" i="4"/>
  <c r="U222" i="4"/>
  <c r="T222" i="4"/>
  <c r="S222" i="4"/>
  <c r="R222" i="4"/>
  <c r="F222" i="4"/>
  <c r="E222" i="4"/>
  <c r="D222" i="4"/>
  <c r="C222" i="4"/>
  <c r="B222" i="4"/>
  <c r="A222" i="4"/>
  <c r="Y221" i="4"/>
  <c r="X221" i="4"/>
  <c r="W221" i="4"/>
  <c r="V221" i="4"/>
  <c r="U221" i="4"/>
  <c r="T221" i="4"/>
  <c r="R221" i="4"/>
  <c r="D221" i="4"/>
  <c r="C221" i="4"/>
  <c r="B221" i="4"/>
  <c r="A221" i="4"/>
  <c r="Y220" i="4"/>
  <c r="X220" i="4"/>
  <c r="W220" i="4"/>
  <c r="V220" i="4"/>
  <c r="U220" i="4"/>
  <c r="T220" i="4"/>
  <c r="S220" i="4"/>
  <c r="R220" i="4"/>
  <c r="Q220" i="4"/>
  <c r="G220" i="4"/>
  <c r="F220" i="4"/>
  <c r="E220" i="4"/>
  <c r="D220" i="4"/>
  <c r="C220" i="4"/>
  <c r="B220" i="4"/>
  <c r="A220" i="4"/>
  <c r="Y219" i="4"/>
  <c r="X219" i="4"/>
  <c r="W219" i="4"/>
  <c r="V219" i="4"/>
  <c r="U219" i="4"/>
  <c r="T219" i="4"/>
  <c r="S219" i="4"/>
  <c r="R219" i="4"/>
  <c r="Q219" i="4"/>
  <c r="H219" i="4"/>
  <c r="G219" i="4"/>
  <c r="F219" i="4"/>
  <c r="E219" i="4"/>
  <c r="D219" i="4"/>
  <c r="C219" i="4"/>
  <c r="B219" i="4"/>
  <c r="A219" i="4"/>
  <c r="AN218" i="4"/>
  <c r="AD218" i="4"/>
  <c r="AC218" i="4"/>
  <c r="AB218" i="4"/>
  <c r="AA218" i="4"/>
  <c r="Z218" i="4"/>
  <c r="T218" i="4"/>
  <c r="S218" i="4"/>
  <c r="R218" i="4"/>
  <c r="Q218" i="4"/>
  <c r="P218" i="4"/>
  <c r="O218" i="4"/>
  <c r="N218" i="4"/>
  <c r="M218" i="4"/>
  <c r="L218" i="4"/>
  <c r="K218" i="4"/>
  <c r="J218" i="4"/>
  <c r="I218" i="4"/>
  <c r="H218" i="4"/>
  <c r="G218" i="4"/>
  <c r="F218" i="4"/>
  <c r="E218" i="4"/>
  <c r="D218" i="4"/>
  <c r="C218" i="4"/>
  <c r="B218" i="4"/>
  <c r="A218" i="4"/>
  <c r="AN216" i="4"/>
  <c r="AM216" i="4"/>
  <c r="AL216" i="4"/>
  <c r="AK216" i="4"/>
  <c r="AJ216" i="4"/>
  <c r="AI216" i="4"/>
  <c r="AH216" i="4"/>
  <c r="AG216" i="4"/>
  <c r="AF216" i="4"/>
  <c r="AE216" i="4"/>
  <c r="AD216" i="4"/>
  <c r="AC216" i="4"/>
  <c r="AB216" i="4"/>
  <c r="AA216" i="4"/>
  <c r="Z216" i="4"/>
  <c r="Y216" i="4"/>
  <c r="X216" i="4"/>
  <c r="W216" i="4"/>
  <c r="V216" i="4"/>
  <c r="U216" i="4"/>
  <c r="T216" i="4"/>
  <c r="S216" i="4"/>
  <c r="R216" i="4"/>
  <c r="Q216" i="4"/>
  <c r="P216" i="4"/>
  <c r="O216" i="4"/>
  <c r="N216" i="4"/>
  <c r="M216" i="4"/>
  <c r="L216" i="4"/>
  <c r="K216" i="4"/>
  <c r="J216" i="4"/>
  <c r="I216" i="4"/>
  <c r="H216" i="4"/>
  <c r="G216" i="4"/>
  <c r="F216" i="4"/>
  <c r="E216" i="4"/>
  <c r="D216" i="4"/>
  <c r="C216" i="4"/>
  <c r="B216" i="4"/>
  <c r="A216" i="4"/>
  <c r="AN215" i="4"/>
  <c r="AM215" i="4"/>
  <c r="AL215" i="4"/>
  <c r="AK215" i="4"/>
  <c r="AJ215" i="4"/>
  <c r="AI215" i="4"/>
  <c r="AH215" i="4"/>
  <c r="AG215" i="4"/>
  <c r="AF215" i="4"/>
  <c r="AE215" i="4"/>
  <c r="AD215" i="4"/>
  <c r="AC215" i="4"/>
  <c r="AB215" i="4"/>
  <c r="AA215" i="4"/>
  <c r="Z215" i="4"/>
  <c r="Y215" i="4"/>
  <c r="X215" i="4"/>
  <c r="W215" i="4"/>
  <c r="V215" i="4"/>
  <c r="U215" i="4"/>
  <c r="T215" i="4"/>
  <c r="S215" i="4"/>
  <c r="R215" i="4"/>
  <c r="Q215" i="4"/>
  <c r="P215" i="4"/>
  <c r="O215" i="4"/>
  <c r="N215" i="4"/>
  <c r="M215" i="4"/>
  <c r="L215" i="4"/>
  <c r="K215" i="4"/>
  <c r="J215" i="4"/>
  <c r="I215" i="4"/>
  <c r="H215" i="4"/>
  <c r="G215" i="4"/>
  <c r="F215" i="4"/>
  <c r="E215" i="4"/>
  <c r="D215" i="4"/>
  <c r="C215" i="4"/>
  <c r="B215" i="4"/>
  <c r="A215" i="4"/>
  <c r="AN214" i="4"/>
  <c r="AD214" i="4"/>
  <c r="AC214" i="4"/>
  <c r="AB214" i="4"/>
  <c r="AA214" i="4"/>
  <c r="Z214" i="4"/>
  <c r="S214" i="4"/>
  <c r="R214" i="4"/>
  <c r="Q214" i="4"/>
  <c r="P214" i="4"/>
  <c r="O214" i="4"/>
  <c r="N214" i="4"/>
  <c r="M214" i="4"/>
  <c r="L214" i="4"/>
  <c r="K214" i="4"/>
  <c r="J214" i="4"/>
  <c r="I214" i="4"/>
  <c r="H214" i="4"/>
  <c r="G214" i="4"/>
  <c r="F214" i="4"/>
  <c r="E214" i="4"/>
  <c r="D214" i="4"/>
  <c r="C214" i="4"/>
  <c r="B214" i="4"/>
  <c r="A214" i="4"/>
  <c r="AN213" i="4"/>
  <c r="AM213" i="4"/>
  <c r="AL213" i="4"/>
  <c r="AK213" i="4"/>
  <c r="AJ213" i="4"/>
  <c r="AI213" i="4"/>
  <c r="AH213" i="4"/>
  <c r="AG213" i="4"/>
  <c r="AF213" i="4"/>
  <c r="AE213" i="4"/>
  <c r="AD213" i="4"/>
  <c r="AC213" i="4"/>
  <c r="AB213" i="4"/>
  <c r="AA213" i="4"/>
  <c r="Z213" i="4"/>
  <c r="Y213" i="4"/>
  <c r="X213" i="4"/>
  <c r="W213" i="4"/>
  <c r="V213" i="4"/>
  <c r="U213" i="4"/>
  <c r="T213" i="4"/>
  <c r="S213" i="4"/>
  <c r="R213" i="4"/>
  <c r="Q213" i="4"/>
  <c r="P213" i="4"/>
  <c r="O213" i="4"/>
  <c r="N213" i="4"/>
  <c r="M213" i="4"/>
  <c r="L213" i="4"/>
  <c r="K213" i="4"/>
  <c r="J213" i="4"/>
  <c r="I213" i="4"/>
  <c r="H213" i="4"/>
  <c r="G213" i="4"/>
  <c r="F213" i="4"/>
  <c r="E213" i="4"/>
  <c r="D213" i="4"/>
  <c r="C213" i="4"/>
  <c r="B213" i="4"/>
  <c r="A213" i="4"/>
  <c r="AN212" i="4"/>
  <c r="AD212" i="4"/>
  <c r="AC212" i="4"/>
  <c r="AB212" i="4"/>
  <c r="AA212" i="4"/>
  <c r="Z212" i="4"/>
  <c r="T212" i="4"/>
  <c r="S212" i="4"/>
  <c r="R212" i="4"/>
  <c r="Q212" i="4"/>
  <c r="P212" i="4"/>
  <c r="O212" i="4"/>
  <c r="N212" i="4"/>
  <c r="M212" i="4"/>
  <c r="L212" i="4"/>
  <c r="K212" i="4"/>
  <c r="J212" i="4"/>
  <c r="I212" i="4"/>
  <c r="H212" i="4"/>
  <c r="G212" i="4"/>
  <c r="F212" i="4"/>
  <c r="E212" i="4"/>
  <c r="D212" i="4"/>
  <c r="C212" i="4"/>
  <c r="B212" i="4"/>
  <c r="A212" i="4"/>
  <c r="AN211" i="4"/>
  <c r="AD211" i="4"/>
  <c r="AC211" i="4"/>
  <c r="AB211" i="4"/>
  <c r="AA211" i="4"/>
  <c r="Z211" i="4"/>
  <c r="T211" i="4"/>
  <c r="S211" i="4"/>
  <c r="R211" i="4"/>
  <c r="Q211" i="4"/>
  <c r="P211" i="4"/>
  <c r="O211" i="4"/>
  <c r="N211" i="4"/>
  <c r="M211" i="4"/>
  <c r="L211" i="4"/>
  <c r="K211" i="4"/>
  <c r="J211" i="4"/>
  <c r="I211" i="4"/>
  <c r="H211" i="4"/>
  <c r="G211" i="4"/>
  <c r="F211" i="4"/>
  <c r="E211" i="4"/>
  <c r="D211" i="4"/>
  <c r="C211" i="4"/>
  <c r="B211" i="4"/>
  <c r="A211" i="4"/>
  <c r="AN210" i="4"/>
  <c r="AB210" i="4"/>
  <c r="AA210" i="4"/>
  <c r="Z210" i="4"/>
  <c r="J210" i="4"/>
  <c r="I210" i="4"/>
  <c r="H210" i="4"/>
  <c r="G210" i="4"/>
  <c r="F210" i="4"/>
  <c r="E210" i="4"/>
  <c r="D210" i="4"/>
  <c r="C210" i="4"/>
  <c r="B210" i="4"/>
  <c r="A210" i="4"/>
  <c r="AN209" i="4"/>
  <c r="AM209" i="4"/>
  <c r="AL209" i="4"/>
  <c r="AK209" i="4"/>
  <c r="AJ209" i="4"/>
  <c r="AI209" i="4"/>
  <c r="AH209" i="4"/>
  <c r="AG209" i="4"/>
  <c r="AF209" i="4"/>
  <c r="AE209" i="4"/>
  <c r="AD209" i="4"/>
  <c r="AC209" i="4"/>
  <c r="AB209" i="4"/>
  <c r="AA209" i="4"/>
  <c r="Z209" i="4"/>
  <c r="Y209" i="4"/>
  <c r="X209" i="4"/>
  <c r="W209" i="4"/>
  <c r="V209" i="4"/>
  <c r="U209" i="4"/>
  <c r="T209" i="4"/>
  <c r="S209" i="4"/>
  <c r="R209" i="4"/>
  <c r="Q209" i="4"/>
  <c r="P209" i="4"/>
  <c r="O209" i="4"/>
  <c r="N209" i="4"/>
  <c r="M209" i="4"/>
  <c r="L209" i="4"/>
  <c r="K209" i="4"/>
  <c r="J209" i="4"/>
  <c r="I209" i="4"/>
  <c r="H209" i="4"/>
  <c r="G209" i="4"/>
  <c r="F209" i="4"/>
  <c r="E209" i="4"/>
  <c r="D209" i="4"/>
  <c r="C209" i="4"/>
  <c r="B209" i="4"/>
  <c r="A209" i="4"/>
  <c r="AN208" i="4"/>
  <c r="AM208" i="4"/>
  <c r="AL208" i="4"/>
  <c r="AK208" i="4"/>
  <c r="AJ208" i="4"/>
  <c r="AI208" i="4"/>
  <c r="AH208" i="4"/>
  <c r="AG208" i="4"/>
  <c r="AF208" i="4"/>
  <c r="AE208" i="4"/>
  <c r="AD208" i="4"/>
  <c r="AC208" i="4"/>
  <c r="AB208" i="4"/>
  <c r="AA208" i="4"/>
  <c r="Z208" i="4"/>
  <c r="Y208" i="4"/>
  <c r="X208" i="4"/>
  <c r="W208" i="4"/>
  <c r="V208" i="4"/>
  <c r="U208" i="4"/>
  <c r="T208" i="4"/>
  <c r="S208" i="4"/>
  <c r="R208" i="4"/>
  <c r="Q208" i="4"/>
  <c r="P208" i="4"/>
  <c r="O208" i="4"/>
  <c r="N208" i="4"/>
  <c r="M208" i="4"/>
  <c r="L208" i="4"/>
  <c r="K208" i="4"/>
  <c r="J208" i="4"/>
  <c r="I208" i="4"/>
  <c r="H208" i="4"/>
  <c r="G208" i="4"/>
  <c r="F208" i="4"/>
  <c r="E208" i="4"/>
  <c r="D208" i="4"/>
  <c r="C208" i="4"/>
  <c r="B208" i="4"/>
  <c r="A208" i="4"/>
  <c r="AN207" i="4"/>
  <c r="AM207" i="4"/>
  <c r="AL207" i="4"/>
  <c r="AK207" i="4"/>
  <c r="AJ207" i="4"/>
  <c r="AI207" i="4"/>
  <c r="AH207" i="4"/>
  <c r="AG207" i="4"/>
  <c r="AF207" i="4"/>
  <c r="AE207" i="4"/>
  <c r="AD207" i="4"/>
  <c r="AC207" i="4"/>
  <c r="AB207" i="4"/>
  <c r="AA207" i="4"/>
  <c r="Z207" i="4"/>
  <c r="U207" i="4"/>
  <c r="T207" i="4"/>
  <c r="S207" i="4"/>
  <c r="R207" i="4"/>
  <c r="Q207" i="4"/>
  <c r="P207" i="4"/>
  <c r="O207" i="4"/>
  <c r="N207" i="4"/>
  <c r="M207" i="4"/>
  <c r="L207" i="4"/>
  <c r="K207" i="4"/>
  <c r="J207" i="4"/>
  <c r="I207" i="4"/>
  <c r="H207" i="4"/>
  <c r="G207" i="4"/>
  <c r="F207" i="4"/>
  <c r="E207" i="4"/>
  <c r="D207" i="4"/>
  <c r="C207" i="4"/>
  <c r="B207" i="4"/>
  <c r="A207" i="4"/>
  <c r="AN206" i="4"/>
  <c r="AM206" i="4"/>
  <c r="AL206" i="4"/>
  <c r="AK206" i="4"/>
  <c r="AJ206" i="4"/>
  <c r="AI206" i="4"/>
  <c r="AH206" i="4"/>
  <c r="AG206" i="4"/>
  <c r="AF206" i="4"/>
  <c r="AE206" i="4"/>
  <c r="AD206" i="4"/>
  <c r="AC206" i="4"/>
  <c r="AB206" i="4"/>
  <c r="AA206" i="4"/>
  <c r="Z206" i="4"/>
  <c r="Y206" i="4"/>
  <c r="X206" i="4"/>
  <c r="W206" i="4"/>
  <c r="V206" i="4"/>
  <c r="U206" i="4"/>
  <c r="T206" i="4"/>
  <c r="S206" i="4"/>
  <c r="R206" i="4"/>
  <c r="Q206" i="4"/>
  <c r="P206" i="4"/>
  <c r="O206" i="4"/>
  <c r="N206" i="4"/>
  <c r="M206" i="4"/>
  <c r="L206" i="4"/>
  <c r="K206" i="4"/>
  <c r="J206" i="4"/>
  <c r="I206" i="4"/>
  <c r="H206" i="4"/>
  <c r="G206" i="4"/>
  <c r="F206" i="4"/>
  <c r="E206" i="4"/>
  <c r="D206" i="4"/>
  <c r="C206" i="4"/>
  <c r="B206" i="4"/>
  <c r="A206" i="4"/>
  <c r="AN205" i="4"/>
  <c r="AF205" i="4"/>
  <c r="AE205" i="4"/>
  <c r="AD205" i="4"/>
  <c r="AC205" i="4"/>
  <c r="AB205" i="4"/>
  <c r="AA205" i="4"/>
  <c r="Z205" i="4"/>
  <c r="Y205" i="4"/>
  <c r="X205" i="4"/>
  <c r="W205" i="4"/>
  <c r="V205" i="4"/>
  <c r="U205" i="4"/>
  <c r="T205" i="4"/>
  <c r="S205" i="4"/>
  <c r="R205" i="4"/>
  <c r="Q205" i="4"/>
  <c r="P205" i="4"/>
  <c r="O205" i="4"/>
  <c r="N205" i="4"/>
  <c r="M205" i="4"/>
  <c r="L205" i="4"/>
  <c r="K205" i="4"/>
  <c r="J205" i="4"/>
  <c r="I205" i="4"/>
  <c r="H205" i="4"/>
  <c r="G205" i="4"/>
  <c r="F205" i="4"/>
  <c r="E205" i="4"/>
  <c r="D205" i="4"/>
  <c r="C205" i="4"/>
  <c r="B205" i="4"/>
  <c r="A205" i="4"/>
  <c r="AN204" i="4"/>
  <c r="AH204" i="4"/>
  <c r="AD204" i="4"/>
  <c r="AC204" i="4"/>
  <c r="AB204" i="4"/>
  <c r="AA204" i="4"/>
  <c r="Z204" i="4"/>
  <c r="X204" i="4"/>
  <c r="W204" i="4"/>
  <c r="V204" i="4"/>
  <c r="U204" i="4"/>
  <c r="T204" i="4"/>
  <c r="S204" i="4"/>
  <c r="R204" i="4"/>
  <c r="Q204" i="4"/>
  <c r="P204" i="4"/>
  <c r="O204" i="4"/>
  <c r="N204" i="4"/>
  <c r="M204" i="4"/>
  <c r="L204" i="4"/>
  <c r="K204" i="4"/>
  <c r="J204" i="4"/>
  <c r="I204" i="4"/>
  <c r="H204" i="4"/>
  <c r="G204" i="4"/>
  <c r="F204" i="4"/>
  <c r="E204" i="4"/>
  <c r="D204" i="4"/>
  <c r="C204" i="4"/>
  <c r="B204" i="4"/>
  <c r="A204" i="4"/>
  <c r="AN203" i="4"/>
  <c r="AD203" i="4"/>
  <c r="AC203" i="4"/>
  <c r="AB203" i="4"/>
  <c r="AA203" i="4"/>
  <c r="Z203" i="4"/>
  <c r="T203" i="4"/>
  <c r="S203" i="4"/>
  <c r="R203" i="4"/>
  <c r="Q203" i="4"/>
  <c r="P203" i="4"/>
  <c r="O203" i="4"/>
  <c r="N203" i="4"/>
  <c r="M203" i="4"/>
  <c r="L203" i="4"/>
  <c r="K203" i="4"/>
  <c r="J203" i="4"/>
  <c r="I203" i="4"/>
  <c r="H203" i="4"/>
  <c r="G203" i="4"/>
  <c r="F203" i="4"/>
  <c r="E203" i="4"/>
  <c r="D203" i="4"/>
  <c r="C203" i="4"/>
  <c r="B203" i="4"/>
  <c r="A203" i="4"/>
  <c r="AN201" i="4"/>
  <c r="AM201" i="4"/>
  <c r="AL201" i="4"/>
  <c r="AK201" i="4"/>
  <c r="AJ201" i="4"/>
  <c r="AI201" i="4"/>
  <c r="AH201" i="4"/>
  <c r="AG201" i="4"/>
  <c r="AF201" i="4"/>
  <c r="AE201" i="4"/>
  <c r="AD201" i="4"/>
  <c r="AC201" i="4"/>
  <c r="AB201" i="4"/>
  <c r="AA201" i="4"/>
  <c r="Z201" i="4"/>
  <c r="S201" i="4"/>
  <c r="R201" i="4"/>
  <c r="Q201" i="4"/>
  <c r="P201" i="4"/>
  <c r="O201" i="4"/>
  <c r="N201" i="4"/>
  <c r="M201" i="4"/>
  <c r="L201" i="4"/>
  <c r="K201" i="4"/>
  <c r="J201" i="4"/>
  <c r="I201" i="4"/>
  <c r="H201" i="4"/>
  <c r="G201" i="4"/>
  <c r="F201" i="4"/>
  <c r="E201" i="4"/>
  <c r="D201" i="4"/>
  <c r="C201" i="4"/>
  <c r="B201" i="4"/>
  <c r="A201" i="4"/>
  <c r="AN200" i="4"/>
  <c r="AM200" i="4"/>
  <c r="AL200" i="4"/>
  <c r="AK200" i="4"/>
  <c r="AJ200" i="4"/>
  <c r="AI200" i="4"/>
  <c r="AH200" i="4"/>
  <c r="AG200" i="4"/>
  <c r="AF200" i="4"/>
  <c r="AE200" i="4"/>
  <c r="AD200" i="4"/>
  <c r="AC200" i="4"/>
  <c r="AB200" i="4"/>
  <c r="AA200" i="4"/>
  <c r="Z200" i="4"/>
  <c r="S200" i="4"/>
  <c r="R200" i="4"/>
  <c r="Q200" i="4"/>
  <c r="P200" i="4"/>
  <c r="O200" i="4"/>
  <c r="N200" i="4"/>
  <c r="M200" i="4"/>
  <c r="L200" i="4"/>
  <c r="K200" i="4"/>
  <c r="J200" i="4"/>
  <c r="I200" i="4"/>
  <c r="H200" i="4"/>
  <c r="G200" i="4"/>
  <c r="F200" i="4"/>
  <c r="E200" i="4"/>
  <c r="D200" i="4"/>
  <c r="C200" i="4"/>
  <c r="B200" i="4"/>
  <c r="A200" i="4"/>
  <c r="AN199" i="4"/>
  <c r="AD199" i="4"/>
  <c r="AC199" i="4"/>
  <c r="AB199" i="4"/>
  <c r="AA199" i="4"/>
  <c r="Z199" i="4"/>
  <c r="S199" i="4"/>
  <c r="R199" i="4"/>
  <c r="Q199" i="4"/>
  <c r="P199" i="4"/>
  <c r="O199" i="4"/>
  <c r="N199" i="4"/>
  <c r="M199" i="4"/>
  <c r="L199" i="4"/>
  <c r="K199" i="4"/>
  <c r="J199" i="4"/>
  <c r="I199" i="4"/>
  <c r="H199" i="4"/>
  <c r="G199" i="4"/>
  <c r="F199" i="4"/>
  <c r="E199" i="4"/>
  <c r="D199" i="4"/>
  <c r="C199" i="4"/>
  <c r="B199" i="4"/>
  <c r="A199" i="4"/>
  <c r="AN198" i="4"/>
  <c r="AD198" i="4"/>
  <c r="AC198" i="4"/>
  <c r="AB198" i="4"/>
  <c r="AA198" i="4"/>
  <c r="Z198" i="4"/>
  <c r="S198" i="4"/>
  <c r="R198" i="4"/>
  <c r="Q198" i="4"/>
  <c r="P198" i="4"/>
  <c r="O198" i="4"/>
  <c r="N198" i="4"/>
  <c r="M198" i="4"/>
  <c r="L198" i="4"/>
  <c r="K198" i="4"/>
  <c r="J198" i="4"/>
  <c r="I198" i="4"/>
  <c r="H198" i="4"/>
  <c r="G198" i="4"/>
  <c r="F198" i="4"/>
  <c r="E198" i="4"/>
  <c r="D198" i="4"/>
  <c r="C198" i="4"/>
  <c r="B198" i="4"/>
  <c r="A198" i="4"/>
  <c r="AN197" i="4"/>
  <c r="AD197" i="4"/>
  <c r="AC197" i="4"/>
  <c r="AB197" i="4"/>
  <c r="AA197" i="4"/>
  <c r="Z197" i="4"/>
  <c r="S197" i="4"/>
  <c r="R197" i="4"/>
  <c r="Q197" i="4"/>
  <c r="P197" i="4"/>
  <c r="O197" i="4"/>
  <c r="N197" i="4"/>
  <c r="M197" i="4"/>
  <c r="L197" i="4"/>
  <c r="K197" i="4"/>
  <c r="J197" i="4"/>
  <c r="I197" i="4"/>
  <c r="H197" i="4"/>
  <c r="G197" i="4"/>
  <c r="F197" i="4"/>
  <c r="E197" i="4"/>
  <c r="D197" i="4"/>
  <c r="C197" i="4"/>
  <c r="B197" i="4"/>
  <c r="A197" i="4"/>
  <c r="AN196" i="4"/>
  <c r="AM196" i="4"/>
  <c r="AL196" i="4"/>
  <c r="AK196" i="4"/>
  <c r="AJ196" i="4"/>
  <c r="AI196" i="4"/>
  <c r="AH196" i="4"/>
  <c r="AG196" i="4"/>
  <c r="AF196" i="4"/>
  <c r="AE196" i="4"/>
  <c r="AD196" i="4"/>
  <c r="AC196" i="4"/>
  <c r="AB196" i="4"/>
  <c r="AA196" i="4"/>
  <c r="Z196" i="4"/>
  <c r="Y196" i="4"/>
  <c r="X196" i="4"/>
  <c r="W196" i="4"/>
  <c r="V196" i="4"/>
  <c r="U196" i="4"/>
  <c r="T196" i="4"/>
  <c r="S196" i="4"/>
  <c r="R196" i="4"/>
  <c r="Q196" i="4"/>
  <c r="P196" i="4"/>
  <c r="O196" i="4"/>
  <c r="N196" i="4"/>
  <c r="M196" i="4"/>
  <c r="L196" i="4"/>
  <c r="K196" i="4"/>
  <c r="J196" i="4"/>
  <c r="I196" i="4"/>
  <c r="H196" i="4"/>
  <c r="G196" i="4"/>
  <c r="F196" i="4"/>
  <c r="E196" i="4"/>
  <c r="D196" i="4"/>
  <c r="C196" i="4"/>
  <c r="B196" i="4"/>
  <c r="A196" i="4"/>
  <c r="AN195" i="4"/>
  <c r="AM195" i="4"/>
  <c r="AL195" i="4"/>
  <c r="AK195" i="4"/>
  <c r="AJ195" i="4"/>
  <c r="AI195" i="4"/>
  <c r="AH195" i="4"/>
  <c r="AG195" i="4"/>
  <c r="AF195" i="4"/>
  <c r="AE195" i="4"/>
  <c r="AD195" i="4"/>
  <c r="AC195" i="4"/>
  <c r="AB195" i="4"/>
  <c r="AA195" i="4"/>
  <c r="Z195" i="4"/>
  <c r="Y195" i="4"/>
  <c r="X195" i="4"/>
  <c r="W195" i="4"/>
  <c r="V195" i="4"/>
  <c r="U195" i="4"/>
  <c r="T195" i="4"/>
  <c r="S195" i="4"/>
  <c r="R195" i="4"/>
  <c r="Q195" i="4"/>
  <c r="P195" i="4"/>
  <c r="O195" i="4"/>
  <c r="N195" i="4"/>
  <c r="M195" i="4"/>
  <c r="L195" i="4"/>
  <c r="K195" i="4"/>
  <c r="J195" i="4"/>
  <c r="I195" i="4"/>
  <c r="H195" i="4"/>
  <c r="G195" i="4"/>
  <c r="F195" i="4"/>
  <c r="E195" i="4"/>
  <c r="D195" i="4"/>
  <c r="C195" i="4"/>
  <c r="B195" i="4"/>
  <c r="A195" i="4"/>
  <c r="AN194" i="4"/>
  <c r="AM194" i="4"/>
  <c r="AL194" i="4"/>
  <c r="AK194" i="4"/>
  <c r="AJ194" i="4"/>
  <c r="AI194" i="4"/>
  <c r="AH194" i="4"/>
  <c r="AG194" i="4"/>
  <c r="AF194" i="4"/>
  <c r="AE194" i="4"/>
  <c r="AD194" i="4"/>
  <c r="AC194" i="4"/>
  <c r="AB194" i="4"/>
  <c r="AA194" i="4"/>
  <c r="Z194" i="4"/>
  <c r="M194" i="4"/>
  <c r="L194" i="4"/>
  <c r="K194" i="4"/>
  <c r="J194" i="4"/>
  <c r="I194" i="4"/>
  <c r="H194" i="4"/>
  <c r="G194" i="4"/>
  <c r="F194" i="4"/>
  <c r="E194" i="4"/>
  <c r="D194" i="4"/>
  <c r="C194" i="4"/>
  <c r="B194" i="4"/>
  <c r="A194" i="4"/>
  <c r="AN193" i="4"/>
  <c r="AC193" i="4"/>
  <c r="AB193" i="4"/>
  <c r="AA193" i="4"/>
  <c r="Z193" i="4"/>
  <c r="M193" i="4"/>
  <c r="L193" i="4"/>
  <c r="K193" i="4"/>
  <c r="J193" i="4"/>
  <c r="I193" i="4"/>
  <c r="H193" i="4"/>
  <c r="G193" i="4"/>
  <c r="F193" i="4"/>
  <c r="E193" i="4"/>
  <c r="D193" i="4"/>
  <c r="C193" i="4"/>
  <c r="B193" i="4"/>
  <c r="A193" i="4"/>
  <c r="AN192" i="4"/>
  <c r="AB192" i="4"/>
  <c r="AA192" i="4"/>
  <c r="Z192" i="4"/>
  <c r="I192" i="4"/>
  <c r="H192" i="4"/>
  <c r="G192" i="4"/>
  <c r="F192" i="4"/>
  <c r="E192" i="4"/>
  <c r="D192" i="4"/>
  <c r="C192" i="4"/>
  <c r="B192" i="4"/>
  <c r="A192" i="4"/>
  <c r="AN191" i="4"/>
  <c r="AM191" i="4"/>
  <c r="AL191" i="4"/>
  <c r="AK191" i="4"/>
  <c r="AJ191" i="4"/>
  <c r="AI191" i="4"/>
  <c r="AH191" i="4"/>
  <c r="AG191" i="4"/>
  <c r="AF191" i="4"/>
  <c r="AE191" i="4"/>
  <c r="AD191" i="4"/>
  <c r="AC191" i="4"/>
  <c r="AB191" i="4"/>
  <c r="AA191" i="4"/>
  <c r="Z191" i="4"/>
  <c r="T191" i="4"/>
  <c r="S191" i="4"/>
  <c r="R191" i="4"/>
  <c r="Q191" i="4"/>
  <c r="P191" i="4"/>
  <c r="O191" i="4"/>
  <c r="N191" i="4"/>
  <c r="M191" i="4"/>
  <c r="L191" i="4"/>
  <c r="K191" i="4"/>
  <c r="J191" i="4"/>
  <c r="I191" i="4"/>
  <c r="H191" i="4"/>
  <c r="G191" i="4"/>
  <c r="F191" i="4"/>
  <c r="E191" i="4"/>
  <c r="D191" i="4"/>
  <c r="C191" i="4"/>
  <c r="B191" i="4"/>
  <c r="A191" i="4"/>
  <c r="AN190" i="4"/>
  <c r="AM190" i="4"/>
  <c r="AL190" i="4"/>
  <c r="AK190" i="4"/>
  <c r="AJ190" i="4"/>
  <c r="AI190" i="4"/>
  <c r="AH190" i="4"/>
  <c r="AC190" i="4"/>
  <c r="AB190" i="4"/>
  <c r="AA190" i="4"/>
  <c r="Z190" i="4"/>
  <c r="T190" i="4"/>
  <c r="S190" i="4"/>
  <c r="R190" i="4"/>
  <c r="Q190" i="4"/>
  <c r="P190" i="4"/>
  <c r="O190" i="4"/>
  <c r="N190" i="4"/>
  <c r="M190" i="4"/>
  <c r="L190" i="4"/>
  <c r="K190" i="4"/>
  <c r="J190" i="4"/>
  <c r="I190" i="4"/>
  <c r="H190" i="4"/>
  <c r="G190" i="4"/>
  <c r="F190" i="4"/>
  <c r="E190" i="4"/>
  <c r="D190" i="4"/>
  <c r="C190" i="4"/>
  <c r="B190" i="4"/>
  <c r="A190" i="4"/>
  <c r="AN189" i="4"/>
  <c r="AG189" i="4"/>
  <c r="AB189" i="4"/>
  <c r="AA189" i="4"/>
  <c r="Z189" i="4"/>
  <c r="Y189" i="4"/>
  <c r="X189" i="4"/>
  <c r="W189" i="4"/>
  <c r="V189" i="4"/>
  <c r="U189" i="4"/>
  <c r="T189" i="4"/>
  <c r="S189" i="4"/>
  <c r="R189" i="4"/>
  <c r="Q189" i="4"/>
  <c r="P189" i="4"/>
  <c r="O189" i="4"/>
  <c r="N189" i="4"/>
  <c r="M189" i="4"/>
  <c r="L189" i="4"/>
  <c r="K189" i="4"/>
  <c r="J189" i="4"/>
  <c r="I189" i="4"/>
  <c r="H189" i="4"/>
  <c r="G189" i="4"/>
  <c r="F189" i="4"/>
  <c r="E189" i="4"/>
  <c r="D189" i="4"/>
  <c r="C189" i="4"/>
  <c r="B189" i="4"/>
  <c r="A189" i="4"/>
  <c r="AN188" i="4"/>
  <c r="AD188" i="4"/>
  <c r="AC188" i="4"/>
  <c r="AB188" i="4"/>
  <c r="AA188" i="4"/>
  <c r="Z188" i="4"/>
  <c r="U188" i="4"/>
  <c r="T188" i="4"/>
  <c r="S188" i="4"/>
  <c r="R188" i="4"/>
  <c r="Q188" i="4"/>
  <c r="P188" i="4"/>
  <c r="O188" i="4"/>
  <c r="N188" i="4"/>
  <c r="M188" i="4"/>
  <c r="L188" i="4"/>
  <c r="K188" i="4"/>
  <c r="J188" i="4"/>
  <c r="I188" i="4"/>
  <c r="H188" i="4"/>
  <c r="G188" i="4"/>
  <c r="F188" i="4"/>
  <c r="E188" i="4"/>
  <c r="D188" i="4"/>
  <c r="C188" i="4"/>
  <c r="B188" i="4"/>
  <c r="A188" i="4"/>
  <c r="AN187" i="4"/>
  <c r="AD187" i="4"/>
  <c r="AC187" i="4"/>
  <c r="AB187" i="4"/>
  <c r="AA187" i="4"/>
  <c r="Z187" i="4"/>
  <c r="U187" i="4"/>
  <c r="T187" i="4"/>
  <c r="S187" i="4"/>
  <c r="R187" i="4"/>
  <c r="Q187" i="4"/>
  <c r="P187" i="4"/>
  <c r="O187" i="4"/>
  <c r="N187" i="4"/>
  <c r="M187" i="4"/>
  <c r="L187" i="4"/>
  <c r="K187" i="4"/>
  <c r="J187" i="4"/>
  <c r="I187" i="4"/>
  <c r="H187" i="4"/>
  <c r="G187" i="4"/>
  <c r="F187" i="4"/>
  <c r="E187" i="4"/>
  <c r="D187" i="4"/>
  <c r="C187" i="4"/>
  <c r="B187" i="4"/>
  <c r="A187" i="4"/>
  <c r="AN186" i="4"/>
  <c r="AD186" i="4"/>
  <c r="AC186" i="4"/>
  <c r="AB186" i="4"/>
  <c r="AA186" i="4"/>
  <c r="Z186" i="4"/>
  <c r="U186" i="4"/>
  <c r="T186" i="4"/>
  <c r="S186" i="4"/>
  <c r="R186" i="4"/>
  <c r="Q186" i="4"/>
  <c r="P186" i="4"/>
  <c r="O186" i="4"/>
  <c r="N186" i="4"/>
  <c r="M186" i="4"/>
  <c r="L186" i="4"/>
  <c r="K186" i="4"/>
  <c r="J186" i="4"/>
  <c r="I186" i="4"/>
  <c r="H186" i="4"/>
  <c r="G186" i="4"/>
  <c r="F186" i="4"/>
  <c r="E186" i="4"/>
  <c r="D186" i="4"/>
  <c r="C186" i="4"/>
  <c r="B186" i="4"/>
  <c r="A186" i="4"/>
  <c r="AN185" i="4"/>
  <c r="AD185" i="4"/>
  <c r="AC185" i="4"/>
  <c r="AB185" i="4"/>
  <c r="AA185" i="4"/>
  <c r="Z185" i="4"/>
  <c r="U185" i="4"/>
  <c r="T185" i="4"/>
  <c r="S185" i="4"/>
  <c r="R185" i="4"/>
  <c r="Q185" i="4"/>
  <c r="P185" i="4"/>
  <c r="O185" i="4"/>
  <c r="N185" i="4"/>
  <c r="M185" i="4"/>
  <c r="L185" i="4"/>
  <c r="K185" i="4"/>
  <c r="J185" i="4"/>
  <c r="I185" i="4"/>
  <c r="H185" i="4"/>
  <c r="G185" i="4"/>
  <c r="F185" i="4"/>
  <c r="E185" i="4"/>
  <c r="D185" i="4"/>
  <c r="C185" i="4"/>
  <c r="B185" i="4"/>
  <c r="A185" i="4"/>
  <c r="AN184" i="4"/>
  <c r="AM184" i="4"/>
  <c r="AL184" i="4"/>
  <c r="AK184" i="4"/>
  <c r="AJ184" i="4"/>
  <c r="AI184" i="4"/>
  <c r="AH184" i="4"/>
  <c r="AG184" i="4"/>
  <c r="AF184" i="4"/>
  <c r="AE184" i="4"/>
  <c r="AD184" i="4"/>
  <c r="AC184" i="4"/>
  <c r="AB184" i="4"/>
  <c r="AA184" i="4"/>
  <c r="Z184" i="4"/>
  <c r="Y184" i="4"/>
  <c r="X184" i="4"/>
  <c r="W184" i="4"/>
  <c r="V184" i="4"/>
  <c r="U184" i="4"/>
  <c r="T184" i="4"/>
  <c r="S184" i="4"/>
  <c r="R184" i="4"/>
  <c r="Q184" i="4"/>
  <c r="P184" i="4"/>
  <c r="O184" i="4"/>
  <c r="N184" i="4"/>
  <c r="M184" i="4"/>
  <c r="L184" i="4"/>
  <c r="K184" i="4"/>
  <c r="J184" i="4"/>
  <c r="I184" i="4"/>
  <c r="H184" i="4"/>
  <c r="G184" i="4"/>
  <c r="F184" i="4"/>
  <c r="E184" i="4"/>
  <c r="D184" i="4"/>
  <c r="C184" i="4"/>
  <c r="B184" i="4"/>
  <c r="A184" i="4"/>
  <c r="AN183" i="4"/>
  <c r="AM183" i="4"/>
  <c r="AL183" i="4"/>
  <c r="AK183" i="4"/>
  <c r="AJ183" i="4"/>
  <c r="AI183" i="4"/>
  <c r="AH183" i="4"/>
  <c r="AG183" i="4"/>
  <c r="AF183" i="4"/>
  <c r="AE183" i="4"/>
  <c r="AD183" i="4"/>
  <c r="AC183" i="4"/>
  <c r="AB183" i="4"/>
  <c r="AA183" i="4"/>
  <c r="Z183" i="4"/>
  <c r="Y183" i="4"/>
  <c r="X183" i="4"/>
  <c r="W183" i="4"/>
  <c r="V183" i="4"/>
  <c r="U183" i="4"/>
  <c r="T183" i="4"/>
  <c r="S183" i="4"/>
  <c r="R183" i="4"/>
  <c r="Q183" i="4"/>
  <c r="P183" i="4"/>
  <c r="O183" i="4"/>
  <c r="N183" i="4"/>
  <c r="M183" i="4"/>
  <c r="L183" i="4"/>
  <c r="K183" i="4"/>
  <c r="J183" i="4"/>
  <c r="I183" i="4"/>
  <c r="H183" i="4"/>
  <c r="G183" i="4"/>
  <c r="F183" i="4"/>
  <c r="E183" i="4"/>
  <c r="D183" i="4"/>
  <c r="C183" i="4"/>
  <c r="B183" i="4"/>
  <c r="A183" i="4"/>
  <c r="AN182" i="4"/>
  <c r="AM182" i="4"/>
  <c r="AL182" i="4"/>
  <c r="AK182" i="4"/>
  <c r="AJ182" i="4"/>
  <c r="AI182" i="4"/>
  <c r="AH182" i="4"/>
  <c r="AG182" i="4"/>
  <c r="AF182" i="4"/>
  <c r="AE182" i="4"/>
  <c r="AD182" i="4"/>
  <c r="AC182" i="4"/>
  <c r="AB182" i="4"/>
  <c r="AA182" i="4"/>
  <c r="Z182" i="4"/>
  <c r="J182" i="4"/>
  <c r="I182" i="4"/>
  <c r="H182" i="4"/>
  <c r="G182" i="4"/>
  <c r="F182" i="4"/>
  <c r="E182" i="4"/>
  <c r="D182" i="4"/>
  <c r="C182" i="4"/>
  <c r="B182" i="4"/>
  <c r="A182" i="4"/>
  <c r="AN181" i="4"/>
  <c r="AC181" i="4"/>
  <c r="AB181" i="4"/>
  <c r="AA181" i="4"/>
  <c r="Z181" i="4"/>
  <c r="M181" i="4"/>
  <c r="L181" i="4"/>
  <c r="K181" i="4"/>
  <c r="J181" i="4"/>
  <c r="I181" i="4"/>
  <c r="H181" i="4"/>
  <c r="G181" i="4"/>
  <c r="F181" i="4"/>
  <c r="E181" i="4"/>
  <c r="D181" i="4"/>
  <c r="C181" i="4"/>
  <c r="B181" i="4"/>
  <c r="A181" i="4"/>
  <c r="AN180" i="4"/>
  <c r="AB180" i="4"/>
  <c r="AA180" i="4"/>
  <c r="Z180" i="4"/>
  <c r="I180" i="4"/>
  <c r="H180" i="4"/>
  <c r="G180" i="4"/>
  <c r="F180" i="4"/>
  <c r="E180" i="4"/>
  <c r="D180" i="4"/>
  <c r="C180" i="4"/>
  <c r="B180" i="4"/>
  <c r="A180" i="4"/>
  <c r="AN179" i="4"/>
  <c r="AM179" i="4"/>
  <c r="AL179" i="4"/>
  <c r="AK179" i="4"/>
  <c r="AJ179" i="4"/>
  <c r="AI179" i="4"/>
  <c r="AH179" i="4"/>
  <c r="AG179" i="4"/>
  <c r="AF179" i="4"/>
  <c r="AE179" i="4"/>
  <c r="AD179" i="4"/>
  <c r="AC179" i="4"/>
  <c r="AB179" i="4"/>
  <c r="AA179" i="4"/>
  <c r="Z179" i="4"/>
  <c r="T179" i="4"/>
  <c r="S179" i="4"/>
  <c r="R179" i="4"/>
  <c r="Q179" i="4"/>
  <c r="P179" i="4"/>
  <c r="O179" i="4"/>
  <c r="N179" i="4"/>
  <c r="M179" i="4"/>
  <c r="L179" i="4"/>
  <c r="K179" i="4"/>
  <c r="J179" i="4"/>
  <c r="I179" i="4"/>
  <c r="H179" i="4"/>
  <c r="G179" i="4"/>
  <c r="F179" i="4"/>
  <c r="E179" i="4"/>
  <c r="D179" i="4"/>
  <c r="C179" i="4"/>
  <c r="B179" i="4"/>
  <c r="A179" i="4"/>
  <c r="AN178" i="4"/>
  <c r="AD178" i="4"/>
  <c r="AC178" i="4"/>
  <c r="AB178" i="4"/>
  <c r="AA178" i="4"/>
  <c r="Z178" i="4"/>
  <c r="T178" i="4"/>
  <c r="S178" i="4"/>
  <c r="R178" i="4"/>
  <c r="Q178" i="4"/>
  <c r="P178" i="4"/>
  <c r="O178" i="4"/>
  <c r="N178" i="4"/>
  <c r="M178" i="4"/>
  <c r="L178" i="4"/>
  <c r="K178" i="4"/>
  <c r="J178" i="4"/>
  <c r="I178" i="4"/>
  <c r="H178" i="4"/>
  <c r="G178" i="4"/>
  <c r="F178" i="4"/>
  <c r="E178" i="4"/>
  <c r="D178" i="4"/>
  <c r="C178" i="4"/>
  <c r="B178" i="4"/>
  <c r="A178" i="4"/>
  <c r="AN177" i="4"/>
  <c r="AM177" i="4"/>
  <c r="AL177" i="4"/>
  <c r="AK177" i="4"/>
  <c r="AJ177" i="4"/>
  <c r="AI177" i="4"/>
  <c r="AH177" i="4"/>
  <c r="AG177" i="4"/>
  <c r="AF177" i="4"/>
  <c r="AE177" i="4"/>
  <c r="AD177" i="4"/>
  <c r="AC177" i="4"/>
  <c r="AB177" i="4"/>
  <c r="AA177" i="4"/>
  <c r="Z177" i="4"/>
  <c r="V177" i="4"/>
  <c r="T177" i="4"/>
  <c r="S177" i="4"/>
  <c r="R177" i="4"/>
  <c r="Q177" i="4"/>
  <c r="P177" i="4"/>
  <c r="O177" i="4"/>
  <c r="N177" i="4"/>
  <c r="M177" i="4"/>
  <c r="L177" i="4"/>
  <c r="K177" i="4"/>
  <c r="J177" i="4"/>
  <c r="I177" i="4"/>
  <c r="H177" i="4"/>
  <c r="G177" i="4"/>
  <c r="F177" i="4"/>
  <c r="E177" i="4"/>
  <c r="D177" i="4"/>
  <c r="C177" i="4"/>
  <c r="B177" i="4"/>
  <c r="A177" i="4"/>
  <c r="AN176" i="4"/>
  <c r="AM176" i="4"/>
  <c r="AL176" i="4"/>
  <c r="AK176" i="4"/>
  <c r="AJ176" i="4"/>
  <c r="AI176" i="4"/>
  <c r="AH176" i="4"/>
  <c r="AG176" i="4"/>
  <c r="AD176" i="4"/>
  <c r="AC176" i="4"/>
  <c r="AB176" i="4"/>
  <c r="AA176" i="4"/>
  <c r="Z176" i="4"/>
  <c r="Y176" i="4"/>
  <c r="X176" i="4"/>
  <c r="W176" i="4"/>
  <c r="U176" i="4"/>
  <c r="T176" i="4"/>
  <c r="S176" i="4"/>
  <c r="R176" i="4"/>
  <c r="Q176" i="4"/>
  <c r="P176" i="4"/>
  <c r="O176" i="4"/>
  <c r="N176" i="4"/>
  <c r="M176" i="4"/>
  <c r="L176" i="4"/>
  <c r="K176" i="4"/>
  <c r="J176" i="4"/>
  <c r="I176" i="4"/>
  <c r="H176" i="4"/>
  <c r="G176" i="4"/>
  <c r="F176" i="4"/>
  <c r="E176" i="4"/>
  <c r="D176" i="4"/>
  <c r="C176" i="4"/>
  <c r="B176" i="4"/>
  <c r="A176" i="4"/>
  <c r="AN175" i="4"/>
  <c r="AD175" i="4"/>
  <c r="AC175" i="4"/>
  <c r="AB175" i="4"/>
  <c r="AA175" i="4"/>
  <c r="Z175" i="4"/>
  <c r="U175" i="4"/>
  <c r="T175" i="4"/>
  <c r="S175" i="4"/>
  <c r="R175" i="4"/>
  <c r="Q175" i="4"/>
  <c r="P175" i="4"/>
  <c r="O175" i="4"/>
  <c r="N175" i="4"/>
  <c r="M175" i="4"/>
  <c r="L175" i="4"/>
  <c r="K175" i="4"/>
  <c r="J175" i="4"/>
  <c r="I175" i="4"/>
  <c r="H175" i="4"/>
  <c r="G175" i="4"/>
  <c r="F175" i="4"/>
  <c r="E175" i="4"/>
  <c r="D175" i="4"/>
  <c r="C175" i="4"/>
  <c r="B175" i="4"/>
  <c r="A175" i="4"/>
  <c r="AN174" i="4"/>
  <c r="AM174" i="4"/>
  <c r="AL174" i="4"/>
  <c r="AK174" i="4"/>
  <c r="AJ174" i="4"/>
  <c r="AI174" i="4"/>
  <c r="AH174" i="4"/>
  <c r="AG174" i="4"/>
  <c r="AF174" i="4"/>
  <c r="AE174" i="4"/>
  <c r="AD174" i="4"/>
  <c r="AC174" i="4"/>
  <c r="AB174" i="4"/>
  <c r="AA174" i="4"/>
  <c r="Z174" i="4"/>
  <c r="Y174" i="4"/>
  <c r="X174" i="4"/>
  <c r="W174" i="4"/>
  <c r="V174" i="4"/>
  <c r="U174" i="4"/>
  <c r="T174" i="4"/>
  <c r="S174" i="4"/>
  <c r="R174" i="4"/>
  <c r="Q174" i="4"/>
  <c r="P174" i="4"/>
  <c r="O174" i="4"/>
  <c r="N174" i="4"/>
  <c r="M174" i="4"/>
  <c r="L174" i="4"/>
  <c r="K174" i="4"/>
  <c r="J174" i="4"/>
  <c r="I174" i="4"/>
  <c r="H174" i="4"/>
  <c r="G174" i="4"/>
  <c r="F174" i="4"/>
  <c r="E174" i="4"/>
  <c r="D174" i="4"/>
  <c r="C174" i="4"/>
  <c r="B174" i="4"/>
  <c r="A174" i="4"/>
  <c r="AN173" i="4"/>
  <c r="AM173" i="4"/>
  <c r="AL173" i="4"/>
  <c r="AK173" i="4"/>
  <c r="AJ173" i="4"/>
  <c r="AI173" i="4"/>
  <c r="AH173" i="4"/>
  <c r="AG173" i="4"/>
  <c r="AF173" i="4"/>
  <c r="AE173" i="4"/>
  <c r="AD173" i="4"/>
  <c r="AC173" i="4"/>
  <c r="AB173" i="4"/>
  <c r="AA173" i="4"/>
  <c r="Z173" i="4"/>
  <c r="Y173" i="4"/>
  <c r="X173" i="4"/>
  <c r="W173" i="4"/>
  <c r="V173" i="4"/>
  <c r="T173" i="4"/>
  <c r="S173" i="4"/>
  <c r="R173" i="4"/>
  <c r="Q173" i="4"/>
  <c r="P173" i="4"/>
  <c r="O173" i="4"/>
  <c r="N173" i="4"/>
  <c r="M173" i="4"/>
  <c r="L173" i="4"/>
  <c r="K173" i="4"/>
  <c r="J173" i="4"/>
  <c r="I173" i="4"/>
  <c r="H173" i="4"/>
  <c r="G173" i="4"/>
  <c r="F173" i="4"/>
  <c r="E173" i="4"/>
  <c r="D173" i="4"/>
  <c r="C173" i="4"/>
  <c r="B173" i="4"/>
  <c r="A173" i="4"/>
  <c r="AN172" i="4"/>
  <c r="AM172" i="4"/>
  <c r="AL172" i="4"/>
  <c r="AK172" i="4"/>
  <c r="AJ172" i="4"/>
  <c r="AI172" i="4"/>
  <c r="AH172" i="4"/>
  <c r="AG172" i="4"/>
  <c r="AF172" i="4"/>
  <c r="AE172" i="4"/>
  <c r="AD172" i="4"/>
  <c r="AC172" i="4"/>
  <c r="AB172" i="4"/>
  <c r="AA172" i="4"/>
  <c r="Z172" i="4"/>
  <c r="J172" i="4"/>
  <c r="I172" i="4"/>
  <c r="H172" i="4"/>
  <c r="G172" i="4"/>
  <c r="F172" i="4"/>
  <c r="E172" i="4"/>
  <c r="D172" i="4"/>
  <c r="C172" i="4"/>
  <c r="B172" i="4"/>
  <c r="A172" i="4"/>
  <c r="AN171" i="4"/>
  <c r="AC171" i="4"/>
  <c r="AB171" i="4"/>
  <c r="AA171" i="4"/>
  <c r="Z171" i="4"/>
  <c r="M171" i="4"/>
  <c r="L171" i="4"/>
  <c r="K171" i="4"/>
  <c r="J171" i="4"/>
  <c r="I171" i="4"/>
  <c r="H171" i="4"/>
  <c r="G171" i="4"/>
  <c r="F171" i="4"/>
  <c r="E171" i="4"/>
  <c r="D171" i="4"/>
  <c r="C171" i="4"/>
  <c r="B171" i="4"/>
  <c r="A171" i="4"/>
  <c r="AN170" i="4"/>
  <c r="AB170" i="4"/>
  <c r="AA170" i="4"/>
  <c r="Z170" i="4"/>
  <c r="I170" i="4"/>
  <c r="H170" i="4"/>
  <c r="G170" i="4"/>
  <c r="F170" i="4"/>
  <c r="E170" i="4"/>
  <c r="D170" i="4"/>
  <c r="C170" i="4"/>
  <c r="B170" i="4"/>
  <c r="A170" i="4"/>
  <c r="AN169" i="4"/>
  <c r="AM169" i="4"/>
  <c r="AL169" i="4"/>
  <c r="AK169" i="4"/>
  <c r="AJ169" i="4"/>
  <c r="AI169" i="4"/>
  <c r="AH169" i="4"/>
  <c r="AG169" i="4"/>
  <c r="AF169" i="4"/>
  <c r="AE169" i="4"/>
  <c r="AD169" i="4"/>
  <c r="AC169" i="4"/>
  <c r="AB169" i="4"/>
  <c r="AA169" i="4"/>
  <c r="Z169" i="4"/>
  <c r="T169" i="4"/>
  <c r="S169" i="4"/>
  <c r="R169" i="4"/>
  <c r="Q169" i="4"/>
  <c r="P169" i="4"/>
  <c r="O169" i="4"/>
  <c r="N169" i="4"/>
  <c r="M169" i="4"/>
  <c r="L169" i="4"/>
  <c r="K169" i="4"/>
  <c r="J169" i="4"/>
  <c r="I169" i="4"/>
  <c r="H169" i="4"/>
  <c r="G169" i="4"/>
  <c r="F169" i="4"/>
  <c r="E169" i="4"/>
  <c r="D169" i="4"/>
  <c r="C169" i="4"/>
  <c r="B169" i="4"/>
  <c r="A169" i="4"/>
  <c r="AN168" i="4"/>
  <c r="AD168" i="4"/>
  <c r="AC168" i="4"/>
  <c r="AB168" i="4"/>
  <c r="AA168" i="4"/>
  <c r="Z168" i="4"/>
  <c r="T168" i="4"/>
  <c r="S168" i="4"/>
  <c r="R168" i="4"/>
  <c r="Q168" i="4"/>
  <c r="P168" i="4"/>
  <c r="O168" i="4"/>
  <c r="N168" i="4"/>
  <c r="M168" i="4"/>
  <c r="L168" i="4"/>
  <c r="K168" i="4"/>
  <c r="J168" i="4"/>
  <c r="I168" i="4"/>
  <c r="H168" i="4"/>
  <c r="G168" i="4"/>
  <c r="F168" i="4"/>
  <c r="E168" i="4"/>
  <c r="D168" i="4"/>
  <c r="C168" i="4"/>
  <c r="B168" i="4"/>
  <c r="A168" i="4"/>
  <c r="AN167" i="4"/>
  <c r="AM167" i="4"/>
  <c r="AL167" i="4"/>
  <c r="AK167" i="4"/>
  <c r="AJ167" i="4"/>
  <c r="AI167" i="4"/>
  <c r="AH167" i="4"/>
  <c r="AG167" i="4"/>
  <c r="AF167" i="4"/>
  <c r="AE167" i="4"/>
  <c r="AD167" i="4"/>
  <c r="AC167" i="4"/>
  <c r="AB167" i="4"/>
  <c r="AA167" i="4"/>
  <c r="Z167" i="4"/>
  <c r="V167" i="4"/>
  <c r="T167" i="4"/>
  <c r="S167" i="4"/>
  <c r="R167" i="4"/>
  <c r="Q167" i="4"/>
  <c r="P167" i="4"/>
  <c r="O167" i="4"/>
  <c r="N167" i="4"/>
  <c r="M167" i="4"/>
  <c r="L167" i="4"/>
  <c r="K167" i="4"/>
  <c r="J167" i="4"/>
  <c r="I167" i="4"/>
  <c r="H167" i="4"/>
  <c r="G167" i="4"/>
  <c r="F167" i="4"/>
  <c r="E167" i="4"/>
  <c r="D167" i="4"/>
  <c r="C167" i="4"/>
  <c r="B167" i="4"/>
  <c r="A167" i="4"/>
  <c r="AN166" i="4"/>
  <c r="AM166" i="4"/>
  <c r="AL166" i="4"/>
  <c r="AK166" i="4"/>
  <c r="AJ166" i="4"/>
  <c r="AI166" i="4"/>
  <c r="AH166" i="4"/>
  <c r="AG166" i="4"/>
  <c r="AD166" i="4"/>
  <c r="AC166" i="4"/>
  <c r="AB166" i="4"/>
  <c r="AA166" i="4"/>
  <c r="Z166" i="4"/>
  <c r="Y166" i="4"/>
  <c r="X166" i="4"/>
  <c r="W166" i="4"/>
  <c r="U166" i="4"/>
  <c r="T166" i="4"/>
  <c r="S166" i="4"/>
  <c r="R166" i="4"/>
  <c r="Q166" i="4"/>
  <c r="P166" i="4"/>
  <c r="O166" i="4"/>
  <c r="N166" i="4"/>
  <c r="M166" i="4"/>
  <c r="L166" i="4"/>
  <c r="K166" i="4"/>
  <c r="J166" i="4"/>
  <c r="I166" i="4"/>
  <c r="H166" i="4"/>
  <c r="G166" i="4"/>
  <c r="F166" i="4"/>
  <c r="E166" i="4"/>
  <c r="D166" i="4"/>
  <c r="C166" i="4"/>
  <c r="B166" i="4"/>
  <c r="A166" i="4"/>
  <c r="AN165" i="4"/>
  <c r="AD165" i="4"/>
  <c r="AC165" i="4"/>
  <c r="AB165" i="4"/>
  <c r="AA165" i="4"/>
  <c r="Z165" i="4"/>
  <c r="U165" i="4"/>
  <c r="T165" i="4"/>
  <c r="S165" i="4"/>
  <c r="R165" i="4"/>
  <c r="Q165" i="4"/>
  <c r="P165" i="4"/>
  <c r="O165" i="4"/>
  <c r="N165" i="4"/>
  <c r="M165" i="4"/>
  <c r="L165" i="4"/>
  <c r="K165" i="4"/>
  <c r="J165" i="4"/>
  <c r="I165" i="4"/>
  <c r="H165" i="4"/>
  <c r="G165" i="4"/>
  <c r="F165" i="4"/>
  <c r="E165" i="4"/>
  <c r="D165" i="4"/>
  <c r="C165" i="4"/>
  <c r="B165" i="4"/>
  <c r="A165" i="4"/>
  <c r="AN164" i="4"/>
  <c r="AM164" i="4"/>
  <c r="AL164" i="4"/>
  <c r="AK164" i="4"/>
  <c r="AJ164" i="4"/>
  <c r="AI164" i="4"/>
  <c r="AH164" i="4"/>
  <c r="AG164" i="4"/>
  <c r="AF164" i="4"/>
  <c r="AE164" i="4"/>
  <c r="AD164" i="4"/>
  <c r="AC164" i="4"/>
  <c r="AB164" i="4"/>
  <c r="AA164" i="4"/>
  <c r="Z164" i="4"/>
  <c r="Y164" i="4"/>
  <c r="X164" i="4"/>
  <c r="W164" i="4"/>
  <c r="V164" i="4"/>
  <c r="U164" i="4"/>
  <c r="T164" i="4"/>
  <c r="S164" i="4"/>
  <c r="R164" i="4"/>
  <c r="Q164" i="4"/>
  <c r="P164" i="4"/>
  <c r="O164" i="4"/>
  <c r="N164" i="4"/>
  <c r="M164" i="4"/>
  <c r="L164" i="4"/>
  <c r="K164" i="4"/>
  <c r="J164" i="4"/>
  <c r="I164" i="4"/>
  <c r="H164" i="4"/>
  <c r="G164" i="4"/>
  <c r="F164" i="4"/>
  <c r="E164" i="4"/>
  <c r="D164" i="4"/>
  <c r="C164" i="4"/>
  <c r="B164" i="4"/>
  <c r="A164" i="4"/>
  <c r="AN163" i="4"/>
  <c r="AM163" i="4"/>
  <c r="AL163" i="4"/>
  <c r="AK163" i="4"/>
  <c r="AJ163" i="4"/>
  <c r="AI163" i="4"/>
  <c r="AH163" i="4"/>
  <c r="AG163" i="4"/>
  <c r="AF163" i="4"/>
  <c r="AE163" i="4"/>
  <c r="AD163" i="4"/>
  <c r="AC163" i="4"/>
  <c r="AB163" i="4"/>
  <c r="AA163" i="4"/>
  <c r="Z163" i="4"/>
  <c r="Y163" i="4"/>
  <c r="X163" i="4"/>
  <c r="W163" i="4"/>
  <c r="V163" i="4"/>
  <c r="U163" i="4"/>
  <c r="T163" i="4"/>
  <c r="S163" i="4"/>
  <c r="R163" i="4"/>
  <c r="Q163" i="4"/>
  <c r="P163" i="4"/>
  <c r="O163" i="4"/>
  <c r="N163" i="4"/>
  <c r="M163" i="4"/>
  <c r="L163" i="4"/>
  <c r="K163" i="4"/>
  <c r="J163" i="4"/>
  <c r="I163" i="4"/>
  <c r="H163" i="4"/>
  <c r="G163" i="4"/>
  <c r="F163" i="4"/>
  <c r="E163" i="4"/>
  <c r="D163" i="4"/>
  <c r="C163" i="4"/>
  <c r="B163" i="4"/>
  <c r="A163" i="4"/>
  <c r="AN162" i="4"/>
  <c r="AM162" i="4"/>
  <c r="AL162" i="4"/>
  <c r="AK162" i="4"/>
  <c r="AJ162" i="4"/>
  <c r="AI162" i="4"/>
  <c r="AH162" i="4"/>
  <c r="AG162" i="4"/>
  <c r="AF162" i="4"/>
  <c r="AE162" i="4"/>
  <c r="AD162" i="4"/>
  <c r="AC162" i="4"/>
  <c r="AB162" i="4"/>
  <c r="AA162" i="4"/>
  <c r="Z162" i="4"/>
  <c r="U162" i="4"/>
  <c r="T162" i="4"/>
  <c r="S162" i="4"/>
  <c r="R162" i="4"/>
  <c r="Q162" i="4"/>
  <c r="P162" i="4"/>
  <c r="O162" i="4"/>
  <c r="N162" i="4"/>
  <c r="M162" i="4"/>
  <c r="L162" i="4"/>
  <c r="K162" i="4"/>
  <c r="J162" i="4"/>
  <c r="I162" i="4"/>
  <c r="H162" i="4"/>
  <c r="G162" i="4"/>
  <c r="F162" i="4"/>
  <c r="E162" i="4"/>
  <c r="D162" i="4"/>
  <c r="C162" i="4"/>
  <c r="B162" i="4"/>
  <c r="A162" i="4"/>
  <c r="AN161" i="4"/>
  <c r="AM161" i="4"/>
  <c r="AL161" i="4"/>
  <c r="AK161" i="4"/>
  <c r="AJ161" i="4"/>
  <c r="AI161" i="4"/>
  <c r="AH161" i="4"/>
  <c r="AG161" i="4"/>
  <c r="AF161" i="4"/>
  <c r="AE161" i="4"/>
  <c r="AD161" i="4"/>
  <c r="AC161" i="4"/>
  <c r="AB161" i="4"/>
  <c r="AA161" i="4"/>
  <c r="Z161" i="4"/>
  <c r="J161" i="4"/>
  <c r="I161" i="4"/>
  <c r="H161" i="4"/>
  <c r="G161" i="4"/>
  <c r="F161" i="4"/>
  <c r="E161" i="4"/>
  <c r="D161" i="4"/>
  <c r="C161" i="4"/>
  <c r="B161" i="4"/>
  <c r="A161" i="4"/>
  <c r="AN160" i="4"/>
  <c r="AC160" i="4"/>
  <c r="AB160" i="4"/>
  <c r="AA160" i="4"/>
  <c r="Z160" i="4"/>
  <c r="M160" i="4"/>
  <c r="L160" i="4"/>
  <c r="K160" i="4"/>
  <c r="J160" i="4"/>
  <c r="I160" i="4"/>
  <c r="H160" i="4"/>
  <c r="G160" i="4"/>
  <c r="F160" i="4"/>
  <c r="E160" i="4"/>
  <c r="D160" i="4"/>
  <c r="C160" i="4"/>
  <c r="B160" i="4"/>
  <c r="A160" i="4"/>
  <c r="AN159" i="4"/>
  <c r="AB159" i="4"/>
  <c r="AA159" i="4"/>
  <c r="Z159" i="4"/>
  <c r="I159" i="4"/>
  <c r="H159" i="4"/>
  <c r="G159" i="4"/>
  <c r="F159" i="4"/>
  <c r="E159" i="4"/>
  <c r="D159" i="4"/>
  <c r="C159" i="4"/>
  <c r="B159" i="4"/>
  <c r="A159" i="4"/>
  <c r="AN158" i="4"/>
  <c r="AM158" i="4"/>
  <c r="AL158" i="4"/>
  <c r="AK158" i="4"/>
  <c r="AJ158" i="4"/>
  <c r="AI158" i="4"/>
  <c r="AH158" i="4"/>
  <c r="AG158" i="4"/>
  <c r="AF158" i="4"/>
  <c r="AE158" i="4"/>
  <c r="AD158" i="4"/>
  <c r="AC158" i="4"/>
  <c r="AB158" i="4"/>
  <c r="AA158" i="4"/>
  <c r="Z158" i="4"/>
  <c r="T158" i="4"/>
  <c r="S158" i="4"/>
  <c r="R158" i="4"/>
  <c r="Q158" i="4"/>
  <c r="P158" i="4"/>
  <c r="O158" i="4"/>
  <c r="N158" i="4"/>
  <c r="M158" i="4"/>
  <c r="L158" i="4"/>
  <c r="K158" i="4"/>
  <c r="J158" i="4"/>
  <c r="I158" i="4"/>
  <c r="H158" i="4"/>
  <c r="G158" i="4"/>
  <c r="F158" i="4"/>
  <c r="E158" i="4"/>
  <c r="D158" i="4"/>
  <c r="C158" i="4"/>
  <c r="B158" i="4"/>
  <c r="A158" i="4"/>
  <c r="AN157" i="4"/>
  <c r="AD157" i="4"/>
  <c r="AC157" i="4"/>
  <c r="AB157" i="4"/>
  <c r="AA157" i="4"/>
  <c r="Z157" i="4"/>
  <c r="T157" i="4"/>
  <c r="S157" i="4"/>
  <c r="R157" i="4"/>
  <c r="Q157" i="4"/>
  <c r="P157" i="4"/>
  <c r="O157" i="4"/>
  <c r="N157" i="4"/>
  <c r="M157" i="4"/>
  <c r="L157" i="4"/>
  <c r="K157" i="4"/>
  <c r="J157" i="4"/>
  <c r="I157" i="4"/>
  <c r="H157" i="4"/>
  <c r="G157" i="4"/>
  <c r="F157" i="4"/>
  <c r="E157" i="4"/>
  <c r="D157" i="4"/>
  <c r="C157" i="4"/>
  <c r="B157" i="4"/>
  <c r="A157" i="4"/>
  <c r="AN156" i="4"/>
  <c r="AM156" i="4"/>
  <c r="AL156" i="4"/>
  <c r="AK156" i="4"/>
  <c r="AJ156" i="4"/>
  <c r="AI156" i="4"/>
  <c r="AH156" i="4"/>
  <c r="AG156" i="4"/>
  <c r="AF156" i="4"/>
  <c r="AE156" i="4"/>
  <c r="AD156" i="4"/>
  <c r="AC156" i="4"/>
  <c r="AB156" i="4"/>
  <c r="AA156" i="4"/>
  <c r="Z156" i="4"/>
  <c r="V156" i="4"/>
  <c r="T156" i="4"/>
  <c r="S156" i="4"/>
  <c r="R156" i="4"/>
  <c r="Q156" i="4"/>
  <c r="P156" i="4"/>
  <c r="O156" i="4"/>
  <c r="N156" i="4"/>
  <c r="M156" i="4"/>
  <c r="L156" i="4"/>
  <c r="K156" i="4"/>
  <c r="J156" i="4"/>
  <c r="I156" i="4"/>
  <c r="H156" i="4"/>
  <c r="G156" i="4"/>
  <c r="F156" i="4"/>
  <c r="E156" i="4"/>
  <c r="D156" i="4"/>
  <c r="C156" i="4"/>
  <c r="B156" i="4"/>
  <c r="A156" i="4"/>
  <c r="AN155" i="4"/>
  <c r="AM155" i="4"/>
  <c r="AL155" i="4"/>
  <c r="AK155" i="4"/>
  <c r="AJ155" i="4"/>
  <c r="AI155" i="4"/>
  <c r="AH155" i="4"/>
  <c r="AG155" i="4"/>
  <c r="AD155" i="4"/>
  <c r="AC155" i="4"/>
  <c r="AB155" i="4"/>
  <c r="AA155" i="4"/>
  <c r="Z155" i="4"/>
  <c r="Y155" i="4"/>
  <c r="X155" i="4"/>
  <c r="W155" i="4"/>
  <c r="U155" i="4"/>
  <c r="T155" i="4"/>
  <c r="S155" i="4"/>
  <c r="R155" i="4"/>
  <c r="Q155" i="4"/>
  <c r="P155" i="4"/>
  <c r="O155" i="4"/>
  <c r="N155" i="4"/>
  <c r="M155" i="4"/>
  <c r="L155" i="4"/>
  <c r="K155" i="4"/>
  <c r="J155" i="4"/>
  <c r="I155" i="4"/>
  <c r="H155" i="4"/>
  <c r="G155" i="4"/>
  <c r="F155" i="4"/>
  <c r="E155" i="4"/>
  <c r="D155" i="4"/>
  <c r="C155" i="4"/>
  <c r="B155" i="4"/>
  <c r="A155" i="4"/>
  <c r="AN154" i="4"/>
  <c r="AD154" i="4"/>
  <c r="AC154" i="4"/>
  <c r="AB154" i="4"/>
  <c r="AA154" i="4"/>
  <c r="Z154" i="4"/>
  <c r="U154" i="4"/>
  <c r="T154" i="4"/>
  <c r="S154" i="4"/>
  <c r="R154" i="4"/>
  <c r="Q154" i="4"/>
  <c r="P154" i="4"/>
  <c r="O154" i="4"/>
  <c r="N154" i="4"/>
  <c r="M154" i="4"/>
  <c r="L154" i="4"/>
  <c r="K154" i="4"/>
  <c r="J154" i="4"/>
  <c r="I154" i="4"/>
  <c r="H154" i="4"/>
  <c r="G154" i="4"/>
  <c r="F154" i="4"/>
  <c r="E154" i="4"/>
  <c r="D154" i="4"/>
  <c r="C154" i="4"/>
  <c r="B154" i="4"/>
  <c r="A154" i="4"/>
  <c r="AN153" i="4"/>
  <c r="AM153" i="4"/>
  <c r="AL153" i="4"/>
  <c r="AK153" i="4"/>
  <c r="AJ153" i="4"/>
  <c r="AI153" i="4"/>
  <c r="AH153" i="4"/>
  <c r="AG153" i="4"/>
  <c r="AF153" i="4"/>
  <c r="AE153" i="4"/>
  <c r="AD153" i="4"/>
  <c r="AC153" i="4"/>
  <c r="AB153" i="4"/>
  <c r="AA153" i="4"/>
  <c r="Z153" i="4"/>
  <c r="Y153" i="4"/>
  <c r="X153" i="4"/>
  <c r="W153" i="4"/>
  <c r="V153" i="4"/>
  <c r="U153" i="4"/>
  <c r="T153" i="4"/>
  <c r="S153" i="4"/>
  <c r="R153" i="4"/>
  <c r="Q153" i="4"/>
  <c r="P153" i="4"/>
  <c r="O153" i="4"/>
  <c r="N153" i="4"/>
  <c r="M153" i="4"/>
  <c r="L153" i="4"/>
  <c r="K153" i="4"/>
  <c r="J153" i="4"/>
  <c r="I153" i="4"/>
  <c r="H153" i="4"/>
  <c r="G153" i="4"/>
  <c r="F153" i="4"/>
  <c r="E153" i="4"/>
  <c r="D153" i="4"/>
  <c r="C153" i="4"/>
  <c r="B153" i="4"/>
  <c r="A153" i="4"/>
  <c r="AN150" i="4"/>
  <c r="AM150" i="4"/>
  <c r="AL150" i="4"/>
  <c r="AK150" i="4"/>
  <c r="AJ150" i="4"/>
  <c r="AI150" i="4"/>
  <c r="AH150" i="4"/>
  <c r="AG150" i="4"/>
  <c r="AF150" i="4"/>
  <c r="AE150" i="4"/>
  <c r="AD150" i="4"/>
  <c r="AC150" i="4"/>
  <c r="AB150" i="4"/>
  <c r="AA150" i="4"/>
  <c r="Z150" i="4"/>
  <c r="J150" i="4"/>
  <c r="I150" i="4"/>
  <c r="H150" i="4"/>
  <c r="G150" i="4"/>
  <c r="F150" i="4"/>
  <c r="E150" i="4"/>
  <c r="D150" i="4"/>
  <c r="C150" i="4"/>
  <c r="B150" i="4"/>
  <c r="A150" i="4"/>
  <c r="AN149" i="4"/>
  <c r="AC149" i="4"/>
  <c r="AB149" i="4"/>
  <c r="AA149" i="4"/>
  <c r="Z149" i="4"/>
  <c r="M149" i="4"/>
  <c r="L149" i="4"/>
  <c r="K149" i="4"/>
  <c r="J149" i="4"/>
  <c r="I149" i="4"/>
  <c r="H149" i="4"/>
  <c r="G149" i="4"/>
  <c r="F149" i="4"/>
  <c r="E149" i="4"/>
  <c r="D149" i="4"/>
  <c r="C149" i="4"/>
  <c r="B149" i="4"/>
  <c r="A149" i="4"/>
  <c r="AN148" i="4"/>
  <c r="AB148" i="4"/>
  <c r="AA148" i="4"/>
  <c r="Z148" i="4"/>
  <c r="I148" i="4"/>
  <c r="H148" i="4"/>
  <c r="G148" i="4"/>
  <c r="F148" i="4"/>
  <c r="E148" i="4"/>
  <c r="D148" i="4"/>
  <c r="C148" i="4"/>
  <c r="B148" i="4"/>
  <c r="A148" i="4"/>
  <c r="AN147" i="4"/>
  <c r="AB147" i="4"/>
  <c r="AA147" i="4"/>
  <c r="Z147" i="4"/>
  <c r="I147" i="4"/>
  <c r="H147" i="4"/>
  <c r="G147" i="4"/>
  <c r="F147" i="4"/>
  <c r="E147" i="4"/>
  <c r="D147" i="4"/>
  <c r="C147" i="4"/>
  <c r="B147" i="4"/>
  <c r="A147" i="4"/>
  <c r="AN146" i="4"/>
  <c r="AM146" i="4"/>
  <c r="AL146" i="4"/>
  <c r="AK146" i="4"/>
  <c r="AJ146" i="4"/>
  <c r="AI146" i="4"/>
  <c r="AH146" i="4"/>
  <c r="AG146" i="4"/>
  <c r="AF146" i="4"/>
  <c r="AE146" i="4"/>
  <c r="AD146" i="4"/>
  <c r="AC146" i="4"/>
  <c r="AB146" i="4"/>
  <c r="AA146" i="4"/>
  <c r="Z146" i="4"/>
  <c r="Y146" i="4"/>
  <c r="X146" i="4"/>
  <c r="W146" i="4"/>
  <c r="V146" i="4"/>
  <c r="U146" i="4"/>
  <c r="T146" i="4"/>
  <c r="S146" i="4"/>
  <c r="R146" i="4"/>
  <c r="Q146" i="4"/>
  <c r="P146" i="4"/>
  <c r="O146" i="4"/>
  <c r="N146" i="4"/>
  <c r="M146" i="4"/>
  <c r="L146" i="4"/>
  <c r="K146" i="4"/>
  <c r="J146" i="4"/>
  <c r="I146" i="4"/>
  <c r="H146" i="4"/>
  <c r="G146" i="4"/>
  <c r="F146" i="4"/>
  <c r="E146" i="4"/>
  <c r="D146" i="4"/>
  <c r="C146" i="4"/>
  <c r="B146" i="4"/>
  <c r="A146" i="4"/>
  <c r="AN145" i="4"/>
  <c r="AM145" i="4"/>
  <c r="AL145" i="4"/>
  <c r="AK145" i="4"/>
  <c r="AJ145" i="4"/>
  <c r="AI145" i="4"/>
  <c r="AH145" i="4"/>
  <c r="AG145" i="4"/>
  <c r="AF145" i="4"/>
  <c r="AE145" i="4"/>
  <c r="AD145" i="4"/>
  <c r="AC145" i="4"/>
  <c r="AB145" i="4"/>
  <c r="AA145" i="4"/>
  <c r="Z145" i="4"/>
  <c r="Y145" i="4"/>
  <c r="X145" i="4"/>
  <c r="W145" i="4"/>
  <c r="V145" i="4"/>
  <c r="U145" i="4"/>
  <c r="T145" i="4"/>
  <c r="S145" i="4"/>
  <c r="R145" i="4"/>
  <c r="Q145" i="4"/>
  <c r="P145" i="4"/>
  <c r="O145" i="4"/>
  <c r="N145" i="4"/>
  <c r="M145" i="4"/>
  <c r="L145" i="4"/>
  <c r="K145" i="4"/>
  <c r="J145" i="4"/>
  <c r="I145" i="4"/>
  <c r="H145" i="4"/>
  <c r="G145" i="4"/>
  <c r="F145" i="4"/>
  <c r="E145" i="4"/>
  <c r="D145" i="4"/>
  <c r="C145" i="4"/>
  <c r="B145" i="4"/>
  <c r="A145" i="4"/>
  <c r="AN144" i="4"/>
  <c r="AM144" i="4"/>
  <c r="AL144" i="4"/>
  <c r="AK144" i="4"/>
  <c r="AJ144" i="4"/>
  <c r="AI144" i="4"/>
  <c r="AH144" i="4"/>
  <c r="AG144" i="4"/>
  <c r="AF144" i="4"/>
  <c r="AE144" i="4"/>
  <c r="AD144" i="4"/>
  <c r="AC144" i="4"/>
  <c r="AB144" i="4"/>
  <c r="AA144" i="4"/>
  <c r="Z144" i="4"/>
  <c r="Y144" i="4"/>
  <c r="X144" i="4"/>
  <c r="W144" i="4"/>
  <c r="V144" i="4"/>
  <c r="U144" i="4"/>
  <c r="T144" i="4"/>
  <c r="S144" i="4"/>
  <c r="R144" i="4"/>
  <c r="Q144" i="4"/>
  <c r="P144" i="4"/>
  <c r="O144" i="4"/>
  <c r="N144" i="4"/>
  <c r="M144" i="4"/>
  <c r="L144" i="4"/>
  <c r="K144" i="4"/>
  <c r="J144" i="4"/>
  <c r="I144" i="4"/>
  <c r="H144" i="4"/>
  <c r="G144" i="4"/>
  <c r="F144" i="4"/>
  <c r="E144" i="4"/>
  <c r="D144" i="4"/>
  <c r="C144" i="4"/>
  <c r="B144" i="4"/>
  <c r="A144" i="4"/>
  <c r="AN143" i="4"/>
  <c r="AM143" i="4"/>
  <c r="AL143" i="4"/>
  <c r="AK143" i="4"/>
  <c r="AJ143" i="4"/>
  <c r="AI143" i="4"/>
  <c r="AH143" i="4"/>
  <c r="AG143" i="4"/>
  <c r="AF143" i="4"/>
  <c r="AE143" i="4"/>
  <c r="AD143" i="4"/>
  <c r="AC143" i="4"/>
  <c r="AB143" i="4"/>
  <c r="AA143" i="4"/>
  <c r="Z143" i="4"/>
  <c r="J143" i="4"/>
  <c r="I143" i="4"/>
  <c r="H143" i="4"/>
  <c r="G143" i="4"/>
  <c r="F143" i="4"/>
  <c r="E143" i="4"/>
  <c r="D143" i="4"/>
  <c r="C143" i="4"/>
  <c r="B143" i="4"/>
  <c r="A143" i="4"/>
  <c r="AN142" i="4"/>
  <c r="AM142" i="4"/>
  <c r="AL142" i="4"/>
  <c r="AK142" i="4"/>
  <c r="AJ142" i="4"/>
  <c r="AI142" i="4"/>
  <c r="AH142" i="4"/>
  <c r="AG142" i="4"/>
  <c r="AF142" i="4"/>
  <c r="AE142" i="4"/>
  <c r="AD142" i="4"/>
  <c r="AC142" i="4"/>
  <c r="AB142" i="4"/>
  <c r="AA142" i="4"/>
  <c r="Z142" i="4"/>
  <c r="M142" i="4"/>
  <c r="L142" i="4"/>
  <c r="K142" i="4"/>
  <c r="J142" i="4"/>
  <c r="I142" i="4"/>
  <c r="H142" i="4"/>
  <c r="G142" i="4"/>
  <c r="F142" i="4"/>
  <c r="E142" i="4"/>
  <c r="D142" i="4"/>
  <c r="C142" i="4"/>
  <c r="B142" i="4"/>
  <c r="A142" i="4"/>
  <c r="AN141" i="4"/>
  <c r="AM141" i="4"/>
  <c r="AL141" i="4"/>
  <c r="AK141" i="4"/>
  <c r="AJ141" i="4"/>
  <c r="AI141" i="4"/>
  <c r="AH141" i="4"/>
  <c r="AG141" i="4"/>
  <c r="AF141" i="4"/>
  <c r="AE141" i="4"/>
  <c r="AD141" i="4"/>
  <c r="AC141" i="4"/>
  <c r="AB141" i="4"/>
  <c r="AA141" i="4"/>
  <c r="Z141" i="4"/>
  <c r="I141" i="4"/>
  <c r="H141" i="4"/>
  <c r="G141" i="4"/>
  <c r="F141" i="4"/>
  <c r="E141" i="4"/>
  <c r="D141" i="4"/>
  <c r="C141" i="4"/>
  <c r="B141" i="4"/>
  <c r="A141" i="4"/>
  <c r="AN140" i="4"/>
  <c r="AM140" i="4"/>
  <c r="AL140" i="4"/>
  <c r="AK140" i="4"/>
  <c r="AJ140" i="4"/>
  <c r="AI140" i="4"/>
  <c r="AH140" i="4"/>
  <c r="AG140" i="4"/>
  <c r="AF140" i="4"/>
  <c r="AE140" i="4"/>
  <c r="AD140" i="4"/>
  <c r="AC140" i="4"/>
  <c r="AB140" i="4"/>
  <c r="AA140" i="4"/>
  <c r="Z140" i="4"/>
  <c r="Y140" i="4"/>
  <c r="X140" i="4"/>
  <c r="W140" i="4"/>
  <c r="V140" i="4"/>
  <c r="U140" i="4"/>
  <c r="T140" i="4"/>
  <c r="S140" i="4"/>
  <c r="R140" i="4"/>
  <c r="P140" i="4"/>
  <c r="O140" i="4"/>
  <c r="N140" i="4"/>
  <c r="L140" i="4"/>
  <c r="K140" i="4"/>
  <c r="J140" i="4"/>
  <c r="I140" i="4"/>
  <c r="H140" i="4"/>
  <c r="G140" i="4"/>
  <c r="F140" i="4"/>
  <c r="E140" i="4"/>
  <c r="D140" i="4"/>
  <c r="C140" i="4"/>
  <c r="B140" i="4"/>
  <c r="A140" i="4"/>
  <c r="AN139" i="4"/>
  <c r="AM139" i="4"/>
  <c r="AL139" i="4"/>
  <c r="AK139" i="4"/>
  <c r="AJ139" i="4"/>
  <c r="AI139" i="4"/>
  <c r="AH139" i="4"/>
  <c r="AG139" i="4"/>
  <c r="AF139" i="4"/>
  <c r="AE139" i="4"/>
  <c r="AD139" i="4"/>
  <c r="AC139" i="4"/>
  <c r="AB139" i="4"/>
  <c r="AA139" i="4"/>
  <c r="Z139" i="4"/>
  <c r="J139" i="4"/>
  <c r="I139" i="4"/>
  <c r="H139" i="4"/>
  <c r="G139" i="4"/>
  <c r="F139" i="4"/>
  <c r="E139" i="4"/>
  <c r="D139" i="4"/>
  <c r="C139" i="4"/>
  <c r="B139" i="4"/>
  <c r="A139" i="4"/>
  <c r="AN138" i="4"/>
  <c r="AC138" i="4"/>
  <c r="AB138" i="4"/>
  <c r="AA138" i="4"/>
  <c r="Z138" i="4"/>
  <c r="M138" i="4"/>
  <c r="L138" i="4"/>
  <c r="K138" i="4"/>
  <c r="J138" i="4"/>
  <c r="I138" i="4"/>
  <c r="H138" i="4"/>
  <c r="G138" i="4"/>
  <c r="F138" i="4"/>
  <c r="E138" i="4"/>
  <c r="D138" i="4"/>
  <c r="C138" i="4"/>
  <c r="B138" i="4"/>
  <c r="A138" i="4"/>
  <c r="AN137" i="4"/>
  <c r="AB137" i="4"/>
  <c r="AA137" i="4"/>
  <c r="Z137" i="4"/>
  <c r="I137" i="4"/>
  <c r="H137" i="4"/>
  <c r="G137" i="4"/>
  <c r="F137" i="4"/>
  <c r="E137" i="4"/>
  <c r="D137" i="4"/>
  <c r="C137" i="4"/>
  <c r="B137" i="4"/>
  <c r="A137" i="4"/>
  <c r="AN136" i="4"/>
  <c r="AM136" i="4"/>
  <c r="AL136" i="4"/>
  <c r="AK136" i="4"/>
  <c r="AJ136" i="4"/>
  <c r="AI136" i="4"/>
  <c r="AH136" i="4"/>
  <c r="AG136" i="4"/>
  <c r="AF136" i="4"/>
  <c r="AE136" i="4"/>
  <c r="AD136" i="4"/>
  <c r="AC136" i="4"/>
  <c r="AB136" i="4"/>
  <c r="AA136" i="4"/>
  <c r="Z136" i="4"/>
  <c r="Y136" i="4"/>
  <c r="X136" i="4"/>
  <c r="W136" i="4"/>
  <c r="V136" i="4"/>
  <c r="U136" i="4"/>
  <c r="T136" i="4"/>
  <c r="S136" i="4"/>
  <c r="R136" i="4"/>
  <c r="Q136" i="4"/>
  <c r="P136" i="4"/>
  <c r="O136" i="4"/>
  <c r="N136" i="4"/>
  <c r="M136" i="4"/>
  <c r="L136" i="4"/>
  <c r="K136" i="4"/>
  <c r="J136" i="4"/>
  <c r="I136" i="4"/>
  <c r="H136" i="4"/>
  <c r="G136" i="4"/>
  <c r="F136" i="4"/>
  <c r="E136" i="4"/>
  <c r="D136" i="4"/>
  <c r="C136" i="4"/>
  <c r="B136" i="4"/>
  <c r="A136" i="4"/>
  <c r="AN135" i="4"/>
  <c r="AM135" i="4"/>
  <c r="AL135" i="4"/>
  <c r="AK135" i="4"/>
  <c r="AJ135" i="4"/>
  <c r="AI135" i="4"/>
  <c r="AH135" i="4"/>
  <c r="AG135" i="4"/>
  <c r="AF135" i="4"/>
  <c r="AE135" i="4"/>
  <c r="AD135" i="4"/>
  <c r="AC135" i="4"/>
  <c r="AB135" i="4"/>
  <c r="AA135" i="4"/>
  <c r="Z135" i="4"/>
  <c r="Y135" i="4"/>
  <c r="X135" i="4"/>
  <c r="W135" i="4"/>
  <c r="V135" i="4"/>
  <c r="U135" i="4"/>
  <c r="T135" i="4"/>
  <c r="S135" i="4"/>
  <c r="R135" i="4"/>
  <c r="Q135" i="4"/>
  <c r="P135" i="4"/>
  <c r="O135" i="4"/>
  <c r="N135" i="4"/>
  <c r="M135" i="4"/>
  <c r="L135" i="4"/>
  <c r="K135" i="4"/>
  <c r="J135" i="4"/>
  <c r="I135" i="4"/>
  <c r="H135" i="4"/>
  <c r="G135" i="4"/>
  <c r="F135" i="4"/>
  <c r="E135" i="4"/>
  <c r="D135" i="4"/>
  <c r="C135" i="4"/>
  <c r="B135" i="4"/>
  <c r="A135" i="4"/>
  <c r="AN134" i="4"/>
  <c r="AD134" i="4"/>
  <c r="AC134" i="4"/>
  <c r="AB134" i="4"/>
  <c r="AA134" i="4"/>
  <c r="Z134" i="4"/>
  <c r="S134" i="4"/>
  <c r="R134" i="4"/>
  <c r="Q134" i="4"/>
  <c r="P134" i="4"/>
  <c r="O134" i="4"/>
  <c r="N134" i="4"/>
  <c r="M134" i="4"/>
  <c r="L134" i="4"/>
  <c r="K134" i="4"/>
  <c r="J134" i="4"/>
  <c r="I134" i="4"/>
  <c r="H134" i="4"/>
  <c r="G134" i="4"/>
  <c r="F134" i="4"/>
  <c r="E134" i="4"/>
  <c r="D134" i="4"/>
  <c r="C134" i="4"/>
  <c r="B134" i="4"/>
  <c r="A134" i="4"/>
  <c r="AN133" i="4"/>
  <c r="AM133" i="4"/>
  <c r="AL133" i="4"/>
  <c r="AK133" i="4"/>
  <c r="AJ133" i="4"/>
  <c r="AI133" i="4"/>
  <c r="AH133" i="4"/>
  <c r="AG133" i="4"/>
  <c r="AF133" i="4"/>
  <c r="AE133" i="4"/>
  <c r="AD133" i="4"/>
  <c r="AC133" i="4"/>
  <c r="AB133" i="4"/>
  <c r="AA133" i="4"/>
  <c r="Z133" i="4"/>
  <c r="S133" i="4"/>
  <c r="R133" i="4"/>
  <c r="Q133" i="4"/>
  <c r="P133" i="4"/>
  <c r="O133" i="4"/>
  <c r="N133" i="4"/>
  <c r="M133" i="4"/>
  <c r="L133" i="4"/>
  <c r="K133" i="4"/>
  <c r="J133" i="4"/>
  <c r="I133" i="4"/>
  <c r="H133" i="4"/>
  <c r="G133" i="4"/>
  <c r="F133" i="4"/>
  <c r="E133" i="4"/>
  <c r="D133" i="4"/>
  <c r="C133" i="4"/>
  <c r="B133" i="4"/>
  <c r="A133" i="4"/>
  <c r="AN132" i="4"/>
  <c r="AD132" i="4"/>
  <c r="AC132" i="4"/>
  <c r="AB132" i="4"/>
  <c r="AA132" i="4"/>
  <c r="Z132" i="4"/>
  <c r="S132" i="4"/>
  <c r="R132" i="4"/>
  <c r="Q132" i="4"/>
  <c r="P132" i="4"/>
  <c r="O132" i="4"/>
  <c r="N132" i="4"/>
  <c r="M132" i="4"/>
  <c r="L132" i="4"/>
  <c r="K132" i="4"/>
  <c r="J132" i="4"/>
  <c r="I132" i="4"/>
  <c r="H132" i="4"/>
  <c r="G132" i="4"/>
  <c r="F132" i="4"/>
  <c r="E132" i="4"/>
  <c r="D132" i="4"/>
  <c r="C132" i="4"/>
  <c r="B132" i="4"/>
  <c r="A132" i="4"/>
  <c r="AN131" i="4"/>
  <c r="AM131" i="4"/>
  <c r="AL131" i="4"/>
  <c r="AK131" i="4"/>
  <c r="AJ131" i="4"/>
  <c r="AI131" i="4"/>
  <c r="AH131" i="4"/>
  <c r="AG131" i="4"/>
  <c r="AF131" i="4"/>
  <c r="AE131" i="4"/>
  <c r="AD131" i="4"/>
  <c r="AC131" i="4"/>
  <c r="AB131" i="4"/>
  <c r="AA131" i="4"/>
  <c r="Z131" i="4"/>
  <c r="Q131" i="4"/>
  <c r="P131" i="4"/>
  <c r="O131" i="4"/>
  <c r="N131" i="4"/>
  <c r="M131" i="4"/>
  <c r="L131" i="4"/>
  <c r="K131" i="4"/>
  <c r="J131" i="4"/>
  <c r="I131" i="4"/>
  <c r="H131" i="4"/>
  <c r="G131" i="4"/>
  <c r="F131" i="4"/>
  <c r="E131" i="4"/>
  <c r="D131" i="4"/>
  <c r="C131" i="4"/>
  <c r="B131" i="4"/>
  <c r="A131" i="4"/>
  <c r="AN130" i="4"/>
  <c r="AD130" i="4"/>
  <c r="AC130" i="4"/>
  <c r="AB130" i="4"/>
  <c r="AA130" i="4"/>
  <c r="Z130" i="4"/>
  <c r="U130" i="4"/>
  <c r="T130" i="4"/>
  <c r="S130" i="4"/>
  <c r="R130" i="4"/>
  <c r="Q130" i="4"/>
  <c r="P130" i="4"/>
  <c r="O130" i="4"/>
  <c r="N130" i="4"/>
  <c r="M130" i="4"/>
  <c r="L130" i="4"/>
  <c r="K130" i="4"/>
  <c r="J130" i="4"/>
  <c r="I130" i="4"/>
  <c r="H130" i="4"/>
  <c r="G130" i="4"/>
  <c r="F130" i="4"/>
  <c r="E130" i="4"/>
  <c r="D130" i="4"/>
  <c r="C130" i="4"/>
  <c r="B130" i="4"/>
  <c r="A130" i="4"/>
  <c r="AN129" i="4"/>
  <c r="AC129" i="4"/>
  <c r="AB129" i="4"/>
  <c r="AA129" i="4"/>
  <c r="Z129" i="4"/>
  <c r="Y129" i="4"/>
  <c r="X129" i="4"/>
  <c r="W129" i="4"/>
  <c r="V129" i="4"/>
  <c r="M129" i="4"/>
  <c r="L129" i="4"/>
  <c r="K129" i="4"/>
  <c r="J129" i="4"/>
  <c r="I129" i="4"/>
  <c r="H129" i="4"/>
  <c r="G129" i="4"/>
  <c r="F129" i="4"/>
  <c r="E129" i="4"/>
  <c r="D129" i="4"/>
  <c r="C129" i="4"/>
  <c r="B129" i="4"/>
  <c r="A129" i="4"/>
  <c r="AN128" i="4"/>
  <c r="AD128" i="4"/>
  <c r="AC128" i="4"/>
  <c r="AB128" i="4"/>
  <c r="AA128" i="4"/>
  <c r="Z128" i="4"/>
  <c r="S128" i="4"/>
  <c r="R128" i="4"/>
  <c r="Q128" i="4"/>
  <c r="P128" i="4"/>
  <c r="O128" i="4"/>
  <c r="N128" i="4"/>
  <c r="M128" i="4"/>
  <c r="L128" i="4"/>
  <c r="K128" i="4"/>
  <c r="J128" i="4"/>
  <c r="I128" i="4"/>
  <c r="H128" i="4"/>
  <c r="G128" i="4"/>
  <c r="F128" i="4"/>
  <c r="E128" i="4"/>
  <c r="D128" i="4"/>
  <c r="C128" i="4"/>
  <c r="B128" i="4"/>
  <c r="A128" i="4"/>
  <c r="AN127" i="4"/>
  <c r="AM127" i="4"/>
  <c r="AL127" i="4"/>
  <c r="AK127" i="4"/>
  <c r="AJ127" i="4"/>
  <c r="AI127" i="4"/>
  <c r="AH127" i="4"/>
  <c r="AG127" i="4"/>
  <c r="AF127" i="4"/>
  <c r="AE127" i="4"/>
  <c r="AD127" i="4"/>
  <c r="AC127" i="4"/>
  <c r="AB127" i="4"/>
  <c r="AA127" i="4"/>
  <c r="Z127" i="4"/>
  <c r="Y127" i="4"/>
  <c r="X127" i="4"/>
  <c r="W127" i="4"/>
  <c r="V127" i="4"/>
  <c r="U127" i="4"/>
  <c r="T127" i="4"/>
  <c r="S127" i="4"/>
  <c r="R127" i="4"/>
  <c r="Q127" i="4"/>
  <c r="P127" i="4"/>
  <c r="O127" i="4"/>
  <c r="N127" i="4"/>
  <c r="M127" i="4"/>
  <c r="L127" i="4"/>
  <c r="K127" i="4"/>
  <c r="J127" i="4"/>
  <c r="I127" i="4"/>
  <c r="H127" i="4"/>
  <c r="G127" i="4"/>
  <c r="F127" i="4"/>
  <c r="E127" i="4"/>
  <c r="D127" i="4"/>
  <c r="C127" i="4"/>
  <c r="B127" i="4"/>
  <c r="A127" i="4"/>
  <c r="AN126" i="4"/>
  <c r="AM126" i="4"/>
  <c r="AL126" i="4"/>
  <c r="AK126" i="4"/>
  <c r="AJ126" i="4"/>
  <c r="AI126" i="4"/>
  <c r="AH126" i="4"/>
  <c r="AG126" i="4"/>
  <c r="AF126" i="4"/>
  <c r="AE126" i="4"/>
  <c r="AD126" i="4"/>
  <c r="AC126" i="4"/>
  <c r="AB126" i="4"/>
  <c r="AA126" i="4"/>
  <c r="Z126" i="4"/>
  <c r="Y126" i="4"/>
  <c r="X126" i="4"/>
  <c r="W126" i="4"/>
  <c r="V126" i="4"/>
  <c r="U126" i="4"/>
  <c r="T126" i="4"/>
  <c r="S126" i="4"/>
  <c r="R126" i="4"/>
  <c r="Q126" i="4"/>
  <c r="P126" i="4"/>
  <c r="O126" i="4"/>
  <c r="N126" i="4"/>
  <c r="M126" i="4"/>
  <c r="L126" i="4"/>
  <c r="K126" i="4"/>
  <c r="J126" i="4"/>
  <c r="I126" i="4"/>
  <c r="H126" i="4"/>
  <c r="G126" i="4"/>
  <c r="F126" i="4"/>
  <c r="E126" i="4"/>
  <c r="D126" i="4"/>
  <c r="C126" i="4"/>
  <c r="B126" i="4"/>
  <c r="A126" i="4"/>
  <c r="AN125" i="4"/>
  <c r="AM125" i="4"/>
  <c r="AL125" i="4"/>
  <c r="AK125" i="4"/>
  <c r="AJ125" i="4"/>
  <c r="AI125" i="4"/>
  <c r="AH125" i="4"/>
  <c r="AG125" i="4"/>
  <c r="AF125" i="4"/>
  <c r="AE125" i="4"/>
  <c r="AD125" i="4"/>
  <c r="AC125" i="4"/>
  <c r="AB125" i="4"/>
  <c r="AA125" i="4"/>
  <c r="Z125" i="4"/>
  <c r="Y125" i="4"/>
  <c r="X125" i="4"/>
  <c r="W125" i="4"/>
  <c r="V125" i="4"/>
  <c r="U125" i="4"/>
  <c r="T125" i="4"/>
  <c r="S125" i="4"/>
  <c r="R125" i="4"/>
  <c r="Q125" i="4"/>
  <c r="P125" i="4"/>
  <c r="O125" i="4"/>
  <c r="N125" i="4"/>
  <c r="M125" i="4"/>
  <c r="L125" i="4"/>
  <c r="K125" i="4"/>
  <c r="J125" i="4"/>
  <c r="I125" i="4"/>
  <c r="H125" i="4"/>
  <c r="G125" i="4"/>
  <c r="F125" i="4"/>
  <c r="E125" i="4"/>
  <c r="D125" i="4"/>
  <c r="C125" i="4"/>
  <c r="B125" i="4"/>
  <c r="A125" i="4"/>
  <c r="AN124" i="4"/>
  <c r="AH124" i="4"/>
  <c r="AG124" i="4"/>
  <c r="AC124" i="4"/>
  <c r="AB124" i="4"/>
  <c r="AA124" i="4"/>
  <c r="Z124" i="4"/>
  <c r="Y124" i="4"/>
  <c r="X124" i="4"/>
  <c r="P124" i="4"/>
  <c r="O124" i="4"/>
  <c r="M124" i="4"/>
  <c r="L124" i="4"/>
  <c r="K124" i="4"/>
  <c r="J124" i="4"/>
  <c r="I124" i="4"/>
  <c r="H124" i="4"/>
  <c r="G124" i="4"/>
  <c r="F124" i="4"/>
  <c r="E124" i="4"/>
  <c r="D124" i="4"/>
  <c r="C124" i="4"/>
  <c r="B124" i="4"/>
  <c r="A124" i="4"/>
  <c r="AN123" i="4"/>
  <c r="AD123" i="4"/>
  <c r="AC123" i="4"/>
  <c r="AB123" i="4"/>
  <c r="AA123" i="4"/>
  <c r="Z123" i="4"/>
  <c r="Y123" i="4"/>
  <c r="X123" i="4"/>
  <c r="W123" i="4"/>
  <c r="V123" i="4"/>
  <c r="U123" i="4"/>
  <c r="T123" i="4"/>
  <c r="S123" i="4"/>
  <c r="R123" i="4"/>
  <c r="Q123" i="4"/>
  <c r="P123" i="4"/>
  <c r="O123" i="4"/>
  <c r="N123" i="4"/>
  <c r="M123" i="4"/>
  <c r="L123" i="4"/>
  <c r="K123" i="4"/>
  <c r="J123" i="4"/>
  <c r="I123" i="4"/>
  <c r="H123" i="4"/>
  <c r="G123" i="4"/>
  <c r="F123" i="4"/>
  <c r="E123" i="4"/>
  <c r="D123" i="4"/>
  <c r="C123" i="4"/>
  <c r="B123" i="4"/>
  <c r="A123" i="4"/>
  <c r="AN122" i="4"/>
  <c r="AD122" i="4"/>
  <c r="AC122" i="4"/>
  <c r="AB122" i="4"/>
  <c r="AA122" i="4"/>
  <c r="Z122" i="4"/>
  <c r="T122" i="4"/>
  <c r="S122" i="4"/>
  <c r="R122" i="4"/>
  <c r="Q122" i="4"/>
  <c r="P122" i="4"/>
  <c r="O122" i="4"/>
  <c r="N122" i="4"/>
  <c r="M122" i="4"/>
  <c r="L122" i="4"/>
  <c r="K122" i="4"/>
  <c r="J122" i="4"/>
  <c r="I122" i="4"/>
  <c r="H122" i="4"/>
  <c r="G122" i="4"/>
  <c r="F122" i="4"/>
  <c r="E122" i="4"/>
  <c r="D122" i="4"/>
  <c r="C122" i="4"/>
  <c r="B122" i="4"/>
  <c r="A122" i="4"/>
  <c r="AN121" i="4"/>
  <c r="AD121" i="4"/>
  <c r="AC121" i="4"/>
  <c r="AB121" i="4"/>
  <c r="AA121" i="4"/>
  <c r="Z121" i="4"/>
  <c r="Y121" i="4"/>
  <c r="X121" i="4"/>
  <c r="W121" i="4"/>
  <c r="V121" i="4"/>
  <c r="U121" i="4"/>
  <c r="T121" i="4"/>
  <c r="S121" i="4"/>
  <c r="R121" i="4"/>
  <c r="Q121" i="4"/>
  <c r="P121" i="4"/>
  <c r="O121" i="4"/>
  <c r="N121" i="4"/>
  <c r="M121" i="4"/>
  <c r="L121" i="4"/>
  <c r="K121" i="4"/>
  <c r="J121" i="4"/>
  <c r="I121" i="4"/>
  <c r="H121" i="4"/>
  <c r="G121" i="4"/>
  <c r="F121" i="4"/>
  <c r="E121" i="4"/>
  <c r="D121" i="4"/>
  <c r="C121" i="4"/>
  <c r="B121" i="4"/>
  <c r="A121" i="4"/>
  <c r="AN120" i="4"/>
  <c r="AM120" i="4"/>
  <c r="AL120" i="4"/>
  <c r="AK120" i="4"/>
  <c r="AJ120" i="4"/>
  <c r="AI120" i="4"/>
  <c r="AH120" i="4"/>
  <c r="AG120" i="4"/>
  <c r="AF120" i="4"/>
  <c r="AE120" i="4"/>
  <c r="AD120" i="4"/>
  <c r="AC120" i="4"/>
  <c r="AB120" i="4"/>
  <c r="AA120" i="4"/>
  <c r="Z120" i="4"/>
  <c r="Y120" i="4"/>
  <c r="X120" i="4"/>
  <c r="W120" i="4"/>
  <c r="V120" i="4"/>
  <c r="U120" i="4"/>
  <c r="T120" i="4"/>
  <c r="S120" i="4"/>
  <c r="R120" i="4"/>
  <c r="Q120" i="4"/>
  <c r="P120" i="4"/>
  <c r="O120" i="4"/>
  <c r="N120" i="4"/>
  <c r="M120" i="4"/>
  <c r="L120" i="4"/>
  <c r="K120" i="4"/>
  <c r="J120" i="4"/>
  <c r="I120" i="4"/>
  <c r="H120" i="4"/>
  <c r="G120" i="4"/>
  <c r="F120" i="4"/>
  <c r="E120" i="4"/>
  <c r="D120" i="4"/>
  <c r="C120" i="4"/>
  <c r="B120" i="4"/>
  <c r="A120" i="4"/>
  <c r="AN119" i="4"/>
  <c r="AD119" i="4"/>
  <c r="AC119" i="4"/>
  <c r="AB119" i="4"/>
  <c r="AA119" i="4"/>
  <c r="Z119" i="4"/>
  <c r="Y119" i="4"/>
  <c r="X119" i="4"/>
  <c r="W119" i="4"/>
  <c r="V119" i="4"/>
  <c r="U119" i="4"/>
  <c r="T119" i="4"/>
  <c r="S119" i="4"/>
  <c r="R119" i="4"/>
  <c r="Q119" i="4"/>
  <c r="P119" i="4"/>
  <c r="O119" i="4"/>
  <c r="N119" i="4"/>
  <c r="M119" i="4"/>
  <c r="L119" i="4"/>
  <c r="K119" i="4"/>
  <c r="J119" i="4"/>
  <c r="I119" i="4"/>
  <c r="H119" i="4"/>
  <c r="G119" i="4"/>
  <c r="F119" i="4"/>
  <c r="E119" i="4"/>
  <c r="D119" i="4"/>
  <c r="C119" i="4"/>
  <c r="B119" i="4"/>
  <c r="A119" i="4"/>
  <c r="AN118" i="4"/>
  <c r="AD118" i="4"/>
  <c r="AC118" i="4"/>
  <c r="AB118" i="4"/>
  <c r="AA118" i="4"/>
  <c r="Z118" i="4"/>
  <c r="Y118" i="4"/>
  <c r="X118" i="4"/>
  <c r="W118" i="4"/>
  <c r="V118" i="4"/>
  <c r="U118" i="4"/>
  <c r="T118" i="4"/>
  <c r="S118" i="4"/>
  <c r="R118" i="4"/>
  <c r="Q118" i="4"/>
  <c r="P118" i="4"/>
  <c r="O118" i="4"/>
  <c r="N118" i="4"/>
  <c r="M118" i="4"/>
  <c r="L118" i="4"/>
  <c r="K118" i="4"/>
  <c r="J118" i="4"/>
  <c r="I118" i="4"/>
  <c r="H118" i="4"/>
  <c r="G118" i="4"/>
  <c r="F118" i="4"/>
  <c r="E118" i="4"/>
  <c r="D118" i="4"/>
  <c r="C118" i="4"/>
  <c r="B118" i="4"/>
  <c r="A118" i="4"/>
  <c r="AN117" i="4"/>
  <c r="AD117" i="4"/>
  <c r="AC117" i="4"/>
  <c r="AB117" i="4"/>
  <c r="AA117" i="4"/>
  <c r="Z117" i="4"/>
  <c r="T117" i="4"/>
  <c r="S117" i="4"/>
  <c r="R117" i="4"/>
  <c r="Q117" i="4"/>
  <c r="P117" i="4"/>
  <c r="O117" i="4"/>
  <c r="N117" i="4"/>
  <c r="M117" i="4"/>
  <c r="L117" i="4"/>
  <c r="K117" i="4"/>
  <c r="J117" i="4"/>
  <c r="I117" i="4"/>
  <c r="H117" i="4"/>
  <c r="G117" i="4"/>
  <c r="F117" i="4"/>
  <c r="E117" i="4"/>
  <c r="D117" i="4"/>
  <c r="C117" i="4"/>
  <c r="B117" i="4"/>
  <c r="A117" i="4"/>
  <c r="AN116" i="4"/>
  <c r="AM116" i="4"/>
  <c r="AL116" i="4"/>
  <c r="AK116" i="4"/>
  <c r="AJ116" i="4"/>
  <c r="AI116" i="4"/>
  <c r="AH116" i="4"/>
  <c r="AG116" i="4"/>
  <c r="AF116" i="4"/>
  <c r="AE116" i="4"/>
  <c r="AD116" i="4"/>
  <c r="AC116" i="4"/>
  <c r="AB116" i="4"/>
  <c r="AA116" i="4"/>
  <c r="Z116" i="4"/>
  <c r="Y116" i="4"/>
  <c r="X116" i="4"/>
  <c r="W116" i="4"/>
  <c r="V116" i="4"/>
  <c r="U116" i="4"/>
  <c r="T116" i="4"/>
  <c r="S116" i="4"/>
  <c r="R116" i="4"/>
  <c r="Q116" i="4"/>
  <c r="P116" i="4"/>
  <c r="O116" i="4"/>
  <c r="N116" i="4"/>
  <c r="M116" i="4"/>
  <c r="L116" i="4"/>
  <c r="K116" i="4"/>
  <c r="J116" i="4"/>
  <c r="I116" i="4"/>
  <c r="H116" i="4"/>
  <c r="G116" i="4"/>
  <c r="F116" i="4"/>
  <c r="E116" i="4"/>
  <c r="D116" i="4"/>
  <c r="C116" i="4"/>
  <c r="B116" i="4"/>
  <c r="A116" i="4"/>
  <c r="AN115" i="4"/>
  <c r="AM115" i="4"/>
  <c r="AL115" i="4"/>
  <c r="AK115" i="4"/>
  <c r="AJ115" i="4"/>
  <c r="AI115" i="4"/>
  <c r="AH115" i="4"/>
  <c r="AG115" i="4"/>
  <c r="AF115" i="4"/>
  <c r="AE115" i="4"/>
  <c r="AD115" i="4"/>
  <c r="AC115" i="4"/>
  <c r="AB115" i="4"/>
  <c r="AA115" i="4"/>
  <c r="Z115" i="4"/>
  <c r="J115" i="4"/>
  <c r="I115" i="4"/>
  <c r="H115" i="4"/>
  <c r="G115" i="4"/>
  <c r="F115" i="4"/>
  <c r="E115" i="4"/>
  <c r="D115" i="4"/>
  <c r="C115" i="4"/>
  <c r="B115" i="4"/>
  <c r="A115" i="4"/>
  <c r="AN114" i="4"/>
  <c r="AC114" i="4"/>
  <c r="AB114" i="4"/>
  <c r="AA114" i="4"/>
  <c r="Z114" i="4"/>
  <c r="M114" i="4"/>
  <c r="L114" i="4"/>
  <c r="K114" i="4"/>
  <c r="J114" i="4"/>
  <c r="I114" i="4"/>
  <c r="H114" i="4"/>
  <c r="G114" i="4"/>
  <c r="F114" i="4"/>
  <c r="E114" i="4"/>
  <c r="D114" i="4"/>
  <c r="C114" i="4"/>
  <c r="B114" i="4"/>
  <c r="A114" i="4"/>
  <c r="AN113" i="4"/>
  <c r="AB113" i="4"/>
  <c r="AA113" i="4"/>
  <c r="Z113" i="4"/>
  <c r="I113" i="4"/>
  <c r="H113" i="4"/>
  <c r="G113" i="4"/>
  <c r="F113" i="4"/>
  <c r="E113" i="4"/>
  <c r="D113" i="4"/>
  <c r="C113" i="4"/>
  <c r="B113" i="4"/>
  <c r="A113" i="4"/>
  <c r="AN112" i="4"/>
  <c r="AM112" i="4"/>
  <c r="AL112" i="4"/>
  <c r="AK112" i="4"/>
  <c r="AJ112" i="4"/>
  <c r="AI112" i="4"/>
  <c r="AH112" i="4"/>
  <c r="AG112" i="4"/>
  <c r="AF112" i="4"/>
  <c r="AE112" i="4"/>
  <c r="AD112" i="4"/>
  <c r="AC112" i="4"/>
  <c r="AB112" i="4"/>
  <c r="AA112" i="4"/>
  <c r="Z112" i="4"/>
  <c r="S112" i="4"/>
  <c r="R112" i="4"/>
  <c r="Q112" i="4"/>
  <c r="P112" i="4"/>
  <c r="O112" i="4"/>
  <c r="N112" i="4"/>
  <c r="M112" i="4"/>
  <c r="L112" i="4"/>
  <c r="K112" i="4"/>
  <c r="J112" i="4"/>
  <c r="I112" i="4"/>
  <c r="H112" i="4"/>
  <c r="G112" i="4"/>
  <c r="F112" i="4"/>
  <c r="E112" i="4"/>
  <c r="D112" i="4"/>
  <c r="C112" i="4"/>
  <c r="B112" i="4"/>
  <c r="A112" i="4"/>
  <c r="AN111" i="4"/>
  <c r="AD111" i="4"/>
  <c r="AC111" i="4"/>
  <c r="AB111" i="4"/>
  <c r="AA111" i="4"/>
  <c r="Z111" i="4"/>
  <c r="S111" i="4"/>
  <c r="R111" i="4"/>
  <c r="Q111" i="4"/>
  <c r="P111" i="4"/>
  <c r="O111" i="4"/>
  <c r="N111" i="4"/>
  <c r="M111" i="4"/>
  <c r="L111" i="4"/>
  <c r="K111" i="4"/>
  <c r="J111" i="4"/>
  <c r="I111" i="4"/>
  <c r="H111" i="4"/>
  <c r="G111" i="4"/>
  <c r="F111" i="4"/>
  <c r="E111" i="4"/>
  <c r="D111" i="4"/>
  <c r="C111" i="4"/>
  <c r="B111" i="4"/>
  <c r="A111" i="4"/>
  <c r="AN110" i="4"/>
  <c r="AM110" i="4"/>
  <c r="AL110" i="4"/>
  <c r="AK110" i="4"/>
  <c r="AJ110" i="4"/>
  <c r="AI110" i="4"/>
  <c r="AH110" i="4"/>
  <c r="AG110" i="4"/>
  <c r="AF110" i="4"/>
  <c r="AE110" i="4"/>
  <c r="AD110" i="4"/>
  <c r="AC110" i="4"/>
  <c r="AB110" i="4"/>
  <c r="AA110" i="4"/>
  <c r="Z110" i="4"/>
  <c r="S110" i="4"/>
  <c r="R110" i="4"/>
  <c r="Q110" i="4"/>
  <c r="P110" i="4"/>
  <c r="O110" i="4"/>
  <c r="N110" i="4"/>
  <c r="M110" i="4"/>
  <c r="L110" i="4"/>
  <c r="K110" i="4"/>
  <c r="J110" i="4"/>
  <c r="I110" i="4"/>
  <c r="H110" i="4"/>
  <c r="G110" i="4"/>
  <c r="F110" i="4"/>
  <c r="E110" i="4"/>
  <c r="D110" i="4"/>
  <c r="C110" i="4"/>
  <c r="B110" i="4"/>
  <c r="A110" i="4"/>
  <c r="AN109" i="4"/>
  <c r="AD109" i="4"/>
  <c r="AC109" i="4"/>
  <c r="AB109" i="4"/>
  <c r="AA109" i="4"/>
  <c r="Z109" i="4"/>
  <c r="S109" i="4"/>
  <c r="R109" i="4"/>
  <c r="Q109" i="4"/>
  <c r="P109" i="4"/>
  <c r="O109" i="4"/>
  <c r="N109" i="4"/>
  <c r="M109" i="4"/>
  <c r="L109" i="4"/>
  <c r="K109" i="4"/>
  <c r="J109" i="4"/>
  <c r="I109" i="4"/>
  <c r="H109" i="4"/>
  <c r="G109" i="4"/>
  <c r="F109" i="4"/>
  <c r="E109" i="4"/>
  <c r="D109" i="4"/>
  <c r="C109" i="4"/>
  <c r="B109" i="4"/>
  <c r="A109" i="4"/>
  <c r="AN108" i="4"/>
  <c r="AD108" i="4"/>
  <c r="AC108" i="4"/>
  <c r="AB108" i="4"/>
  <c r="AA108" i="4"/>
  <c r="Z108" i="4"/>
  <c r="T108" i="4"/>
  <c r="S108" i="4"/>
  <c r="R108" i="4"/>
  <c r="Q108" i="4"/>
  <c r="P108" i="4"/>
  <c r="O108" i="4"/>
  <c r="N108" i="4"/>
  <c r="M108" i="4"/>
  <c r="L108" i="4"/>
  <c r="K108" i="4"/>
  <c r="J108" i="4"/>
  <c r="I108" i="4"/>
  <c r="H108" i="4"/>
  <c r="G108" i="4"/>
  <c r="F108" i="4"/>
  <c r="E108" i="4"/>
  <c r="D108" i="4"/>
  <c r="C108" i="4"/>
  <c r="B108" i="4"/>
  <c r="A108" i="4"/>
  <c r="AN107" i="4"/>
  <c r="AM107" i="4"/>
  <c r="AL107" i="4"/>
  <c r="AK107" i="4"/>
  <c r="AJ107" i="4"/>
  <c r="AI107" i="4"/>
  <c r="AH107" i="4"/>
  <c r="AG107" i="4"/>
  <c r="AF107" i="4"/>
  <c r="AE107" i="4"/>
  <c r="AD107" i="4"/>
  <c r="AC107" i="4"/>
  <c r="AB107" i="4"/>
  <c r="AA107" i="4"/>
  <c r="Z107" i="4"/>
  <c r="Y107" i="4"/>
  <c r="X107" i="4"/>
  <c r="W107" i="4"/>
  <c r="V107" i="4"/>
  <c r="U107" i="4"/>
  <c r="T107" i="4"/>
  <c r="S107" i="4"/>
  <c r="R107" i="4"/>
  <c r="Q107" i="4"/>
  <c r="P107" i="4"/>
  <c r="O107" i="4"/>
  <c r="N107" i="4"/>
  <c r="M107" i="4"/>
  <c r="L107" i="4"/>
  <c r="K107" i="4"/>
  <c r="J107" i="4"/>
  <c r="I107" i="4"/>
  <c r="H107" i="4"/>
  <c r="G107" i="4"/>
  <c r="F107" i="4"/>
  <c r="E107" i="4"/>
  <c r="D107" i="4"/>
  <c r="C107" i="4"/>
  <c r="B107" i="4"/>
  <c r="A107" i="4"/>
  <c r="AN104" i="4"/>
  <c r="AM104" i="4"/>
  <c r="AL104" i="4"/>
  <c r="AK104" i="4"/>
  <c r="AJ104" i="4"/>
  <c r="AI104" i="4"/>
  <c r="AH104" i="4"/>
  <c r="AG104" i="4"/>
  <c r="AF104" i="4"/>
  <c r="AE104" i="4"/>
  <c r="AD104" i="4"/>
  <c r="AC104" i="4"/>
  <c r="AB104"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B104" i="4"/>
  <c r="A104" i="4"/>
  <c r="AN103" i="4"/>
  <c r="AB103" i="4"/>
  <c r="AA103" i="4"/>
  <c r="Z103" i="4"/>
  <c r="I103" i="4"/>
  <c r="H103" i="4"/>
  <c r="G103" i="4"/>
  <c r="F103" i="4"/>
  <c r="E103" i="4"/>
  <c r="D103" i="4"/>
  <c r="C103" i="4"/>
  <c r="B103" i="4"/>
  <c r="A103" i="4"/>
  <c r="AN102" i="4"/>
  <c r="AM102" i="4"/>
  <c r="AL102" i="4"/>
  <c r="AK102" i="4"/>
  <c r="AJ102" i="4"/>
  <c r="AI102" i="4"/>
  <c r="AH102" i="4"/>
  <c r="AG102" i="4"/>
  <c r="AF102" i="4"/>
  <c r="AE102" i="4"/>
  <c r="AD102" i="4"/>
  <c r="AC102" i="4"/>
  <c r="AB102"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B102" i="4"/>
  <c r="A102" i="4"/>
  <c r="AN101" i="4"/>
  <c r="AM101" i="4"/>
  <c r="AL101" i="4"/>
  <c r="AK101" i="4"/>
  <c r="AJ101" i="4"/>
  <c r="AI101" i="4"/>
  <c r="AH101" i="4"/>
  <c r="AG101" i="4"/>
  <c r="AF101" i="4"/>
  <c r="AE101" i="4"/>
  <c r="AD101" i="4"/>
  <c r="AC101" i="4"/>
  <c r="AB101"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B101" i="4"/>
  <c r="A101" i="4"/>
  <c r="AN100" i="4"/>
  <c r="AM100" i="4"/>
  <c r="AL100" i="4"/>
  <c r="AK100" i="4"/>
  <c r="AJ100" i="4"/>
  <c r="AI100" i="4"/>
  <c r="AH100" i="4"/>
  <c r="AG100" i="4"/>
  <c r="AF100" i="4"/>
  <c r="AE100" i="4"/>
  <c r="AD100" i="4"/>
  <c r="AC100" i="4"/>
  <c r="AB100" i="4"/>
  <c r="AA100" i="4"/>
  <c r="Z100" i="4"/>
  <c r="T100" i="4"/>
  <c r="S100" i="4"/>
  <c r="R100" i="4"/>
  <c r="Q100" i="4"/>
  <c r="P100" i="4"/>
  <c r="O100" i="4"/>
  <c r="N100" i="4"/>
  <c r="M100" i="4"/>
  <c r="L100" i="4"/>
  <c r="K100" i="4"/>
  <c r="J100" i="4"/>
  <c r="I100" i="4"/>
  <c r="H100" i="4"/>
  <c r="G100" i="4"/>
  <c r="F100" i="4"/>
  <c r="E100" i="4"/>
  <c r="D100" i="4"/>
  <c r="C100" i="4"/>
  <c r="B100" i="4"/>
  <c r="A100" i="4"/>
  <c r="AN99" i="4"/>
  <c r="AM99" i="4"/>
  <c r="AL99" i="4"/>
  <c r="AK99" i="4"/>
  <c r="AJ99" i="4"/>
  <c r="AI99" i="4"/>
  <c r="AH99" i="4"/>
  <c r="AG99" i="4"/>
  <c r="AF99" i="4"/>
  <c r="AE99" i="4"/>
  <c r="AD99" i="4"/>
  <c r="AC99" i="4"/>
  <c r="AB99" i="4"/>
  <c r="AA99" i="4"/>
  <c r="Z99" i="4"/>
  <c r="T99" i="4"/>
  <c r="S99" i="4"/>
  <c r="R99" i="4"/>
  <c r="Q99" i="4"/>
  <c r="P99" i="4"/>
  <c r="O99" i="4"/>
  <c r="N99" i="4"/>
  <c r="M99" i="4"/>
  <c r="L99" i="4"/>
  <c r="K99" i="4"/>
  <c r="J99" i="4"/>
  <c r="I99" i="4"/>
  <c r="H99" i="4"/>
  <c r="G99" i="4"/>
  <c r="F99" i="4"/>
  <c r="E99" i="4"/>
  <c r="D99" i="4"/>
  <c r="C99" i="4"/>
  <c r="B99" i="4"/>
  <c r="A99" i="4"/>
  <c r="AN98" i="4"/>
  <c r="AD98" i="4"/>
  <c r="AC98" i="4"/>
  <c r="AB98" i="4"/>
  <c r="AA98" i="4"/>
  <c r="Z98" i="4"/>
  <c r="T98" i="4"/>
  <c r="S98" i="4"/>
  <c r="R98" i="4"/>
  <c r="Q98" i="4"/>
  <c r="P98" i="4"/>
  <c r="O98" i="4"/>
  <c r="N98" i="4"/>
  <c r="M98" i="4"/>
  <c r="L98" i="4"/>
  <c r="K98" i="4"/>
  <c r="J98" i="4"/>
  <c r="I98" i="4"/>
  <c r="H98" i="4"/>
  <c r="G98" i="4"/>
  <c r="F98" i="4"/>
  <c r="E98" i="4"/>
  <c r="D98" i="4"/>
  <c r="C98" i="4"/>
  <c r="B98" i="4"/>
  <c r="A98" i="4"/>
  <c r="AN97" i="4"/>
  <c r="AD97" i="4"/>
  <c r="AC97" i="4"/>
  <c r="AB97" i="4"/>
  <c r="AA97" i="4"/>
  <c r="Z97" i="4"/>
  <c r="T97" i="4"/>
  <c r="S97" i="4"/>
  <c r="R97" i="4"/>
  <c r="Q97" i="4"/>
  <c r="P97" i="4"/>
  <c r="O97" i="4"/>
  <c r="N97" i="4"/>
  <c r="M97" i="4"/>
  <c r="L97" i="4"/>
  <c r="K97" i="4"/>
  <c r="J97" i="4"/>
  <c r="I97" i="4"/>
  <c r="H97" i="4"/>
  <c r="G97" i="4"/>
  <c r="F97" i="4"/>
  <c r="E97" i="4"/>
  <c r="D97" i="4"/>
  <c r="C97" i="4"/>
  <c r="B97" i="4"/>
  <c r="A97" i="4"/>
  <c r="AN96" i="4"/>
  <c r="AM96" i="4"/>
  <c r="AL96" i="4"/>
  <c r="AK96" i="4"/>
  <c r="AJ96" i="4"/>
  <c r="AI96" i="4"/>
  <c r="AH96" i="4"/>
  <c r="AG96" i="4"/>
  <c r="AF96" i="4"/>
  <c r="AE96" i="4"/>
  <c r="AD96" i="4"/>
  <c r="AC96" i="4"/>
  <c r="AB96" i="4"/>
  <c r="AA96" i="4"/>
  <c r="Z96" i="4"/>
  <c r="Y96" i="4"/>
  <c r="X96" i="4"/>
  <c r="W96" i="4"/>
  <c r="V96" i="4"/>
  <c r="U96" i="4"/>
  <c r="T96" i="4"/>
  <c r="S96" i="4"/>
  <c r="R96" i="4"/>
  <c r="Q96" i="4"/>
  <c r="P96" i="4"/>
  <c r="O96" i="4"/>
  <c r="N96" i="4"/>
  <c r="M96" i="4"/>
  <c r="L96" i="4"/>
  <c r="K96" i="4"/>
  <c r="J96" i="4"/>
  <c r="I96" i="4"/>
  <c r="H96" i="4"/>
  <c r="G96" i="4"/>
  <c r="F96" i="4"/>
  <c r="E96" i="4"/>
  <c r="D96" i="4"/>
  <c r="C96" i="4"/>
  <c r="B96" i="4"/>
  <c r="A96" i="4"/>
  <c r="AN95" i="4"/>
  <c r="AM95" i="4"/>
  <c r="AL95" i="4"/>
  <c r="AK95" i="4"/>
  <c r="AJ95" i="4"/>
  <c r="AI95" i="4"/>
  <c r="AH95" i="4"/>
  <c r="AG95" i="4"/>
  <c r="AF95" i="4"/>
  <c r="AE95" i="4"/>
  <c r="AD95" i="4"/>
  <c r="AC95" i="4"/>
  <c r="AB95" i="4"/>
  <c r="AA95" i="4"/>
  <c r="Z95" i="4"/>
  <c r="Y95" i="4"/>
  <c r="X95" i="4"/>
  <c r="W95" i="4"/>
  <c r="V95" i="4"/>
  <c r="U95" i="4"/>
  <c r="T95" i="4"/>
  <c r="S95" i="4"/>
  <c r="R95" i="4"/>
  <c r="Q95" i="4"/>
  <c r="P95" i="4"/>
  <c r="O95" i="4"/>
  <c r="N95" i="4"/>
  <c r="M95" i="4"/>
  <c r="L95" i="4"/>
  <c r="K95" i="4"/>
  <c r="J95" i="4"/>
  <c r="I95" i="4"/>
  <c r="H95" i="4"/>
  <c r="G95" i="4"/>
  <c r="F95" i="4"/>
  <c r="E95" i="4"/>
  <c r="D95" i="4"/>
  <c r="C95" i="4"/>
  <c r="B95" i="4"/>
  <c r="A95" i="4"/>
  <c r="AN94" i="4"/>
  <c r="AM94" i="4"/>
  <c r="AL94" i="4"/>
  <c r="AK94" i="4"/>
  <c r="AJ94" i="4"/>
  <c r="AI94" i="4"/>
  <c r="AH94" i="4"/>
  <c r="AG94" i="4"/>
  <c r="AF94" i="4"/>
  <c r="AE94" i="4"/>
  <c r="AD94" i="4"/>
  <c r="AC94" i="4"/>
  <c r="AB94" i="4"/>
  <c r="AA94" i="4"/>
  <c r="Z94" i="4"/>
  <c r="T94" i="4"/>
  <c r="S94" i="4"/>
  <c r="R94" i="4"/>
  <c r="Q94" i="4"/>
  <c r="P94" i="4"/>
  <c r="O94" i="4"/>
  <c r="N94" i="4"/>
  <c r="M94" i="4"/>
  <c r="L94" i="4"/>
  <c r="K94" i="4"/>
  <c r="J94" i="4"/>
  <c r="I94" i="4"/>
  <c r="H94" i="4"/>
  <c r="G94" i="4"/>
  <c r="F94" i="4"/>
  <c r="E94" i="4"/>
  <c r="D94" i="4"/>
  <c r="C94" i="4"/>
  <c r="B94" i="4"/>
  <c r="A94" i="4"/>
  <c r="AN93" i="4"/>
  <c r="AD93" i="4"/>
  <c r="AC93" i="4"/>
  <c r="AB93" i="4"/>
  <c r="AA93" i="4"/>
  <c r="Z93" i="4"/>
  <c r="T93" i="4"/>
  <c r="S93" i="4"/>
  <c r="R93" i="4"/>
  <c r="Q93" i="4"/>
  <c r="P93" i="4"/>
  <c r="O93" i="4"/>
  <c r="N93" i="4"/>
  <c r="M93" i="4"/>
  <c r="L93" i="4"/>
  <c r="K93" i="4"/>
  <c r="J93" i="4"/>
  <c r="I93" i="4"/>
  <c r="H93" i="4"/>
  <c r="G93" i="4"/>
  <c r="F93" i="4"/>
  <c r="E93" i="4"/>
  <c r="D93" i="4"/>
  <c r="C93" i="4"/>
  <c r="B93" i="4"/>
  <c r="A93" i="4"/>
  <c r="AN92" i="4"/>
  <c r="AD92" i="4"/>
  <c r="AC92" i="4"/>
  <c r="AB92" i="4"/>
  <c r="AA92" i="4"/>
  <c r="Z92" i="4"/>
  <c r="T92" i="4"/>
  <c r="S92" i="4"/>
  <c r="R92" i="4"/>
  <c r="Q92" i="4"/>
  <c r="P92" i="4"/>
  <c r="O92" i="4"/>
  <c r="N92" i="4"/>
  <c r="M92" i="4"/>
  <c r="L92" i="4"/>
  <c r="K92" i="4"/>
  <c r="J92" i="4"/>
  <c r="I92" i="4"/>
  <c r="H92" i="4"/>
  <c r="G92" i="4"/>
  <c r="F92" i="4"/>
  <c r="E92" i="4"/>
  <c r="D92" i="4"/>
  <c r="C92" i="4"/>
  <c r="B92" i="4"/>
  <c r="A92" i="4"/>
  <c r="AN91" i="4"/>
  <c r="AD91" i="4"/>
  <c r="AC91" i="4"/>
  <c r="AB91" i="4"/>
  <c r="AA91" i="4"/>
  <c r="Z91" i="4"/>
  <c r="U91" i="4"/>
  <c r="T91" i="4"/>
  <c r="S91" i="4"/>
  <c r="R91" i="4"/>
  <c r="Q91" i="4"/>
  <c r="P91" i="4"/>
  <c r="O91" i="4"/>
  <c r="N91" i="4"/>
  <c r="M91" i="4"/>
  <c r="L91" i="4"/>
  <c r="K91" i="4"/>
  <c r="J91" i="4"/>
  <c r="I91" i="4"/>
  <c r="H91" i="4"/>
  <c r="G91" i="4"/>
  <c r="F91" i="4"/>
  <c r="E91" i="4"/>
  <c r="D91" i="4"/>
  <c r="C91" i="4"/>
  <c r="B91" i="4"/>
  <c r="A91" i="4"/>
  <c r="AN89" i="4"/>
  <c r="AM89" i="4"/>
  <c r="AL89" i="4"/>
  <c r="AK89" i="4"/>
  <c r="AJ89" i="4"/>
  <c r="AI89" i="4"/>
  <c r="AH89" i="4"/>
  <c r="AG89" i="4"/>
  <c r="AF89" i="4"/>
  <c r="AE89" i="4"/>
  <c r="AD89" i="4"/>
  <c r="AC89" i="4"/>
  <c r="AB89" i="4"/>
  <c r="AA89" i="4"/>
  <c r="Z89" i="4"/>
  <c r="T89" i="4"/>
  <c r="S89" i="4"/>
  <c r="R89" i="4"/>
  <c r="Q89" i="4"/>
  <c r="P89" i="4"/>
  <c r="O89" i="4"/>
  <c r="N89" i="4"/>
  <c r="M89" i="4"/>
  <c r="L89" i="4"/>
  <c r="K89" i="4"/>
  <c r="J89" i="4"/>
  <c r="I89" i="4"/>
  <c r="H89" i="4"/>
  <c r="G89" i="4"/>
  <c r="F89" i="4"/>
  <c r="E89" i="4"/>
  <c r="D89" i="4"/>
  <c r="C89" i="4"/>
  <c r="B89" i="4"/>
  <c r="A89" i="4"/>
  <c r="AN88" i="4"/>
  <c r="AD88" i="4"/>
  <c r="AC88" i="4"/>
  <c r="AB88" i="4"/>
  <c r="AA88" i="4"/>
  <c r="Z88" i="4"/>
  <c r="T88" i="4"/>
  <c r="S88" i="4"/>
  <c r="R88" i="4"/>
  <c r="Q88" i="4"/>
  <c r="P88" i="4"/>
  <c r="O88" i="4"/>
  <c r="N88" i="4"/>
  <c r="M88" i="4"/>
  <c r="L88" i="4"/>
  <c r="K88" i="4"/>
  <c r="J88" i="4"/>
  <c r="I88" i="4"/>
  <c r="H88" i="4"/>
  <c r="G88" i="4"/>
  <c r="F88" i="4"/>
  <c r="E88" i="4"/>
  <c r="D88" i="4"/>
  <c r="C88" i="4"/>
  <c r="B88" i="4"/>
  <c r="A88" i="4"/>
  <c r="AN87" i="4"/>
  <c r="AD87" i="4"/>
  <c r="AC87" i="4"/>
  <c r="AB87" i="4"/>
  <c r="AA87" i="4"/>
  <c r="Z87" i="4"/>
  <c r="X87" i="4"/>
  <c r="W87" i="4"/>
  <c r="V87" i="4"/>
  <c r="U87" i="4"/>
  <c r="T87" i="4"/>
  <c r="S87" i="4"/>
  <c r="R87" i="4"/>
  <c r="Q87" i="4"/>
  <c r="P87" i="4"/>
  <c r="O87" i="4"/>
  <c r="N87" i="4"/>
  <c r="M87" i="4"/>
  <c r="L87" i="4"/>
  <c r="K87" i="4"/>
  <c r="J87" i="4"/>
  <c r="I87" i="4"/>
  <c r="H87" i="4"/>
  <c r="G87" i="4"/>
  <c r="F87" i="4"/>
  <c r="E87" i="4"/>
  <c r="D87" i="4"/>
  <c r="C87" i="4"/>
  <c r="B87" i="4"/>
  <c r="A87" i="4"/>
  <c r="AN86" i="4"/>
  <c r="AD86" i="4"/>
  <c r="AC86" i="4"/>
  <c r="AB86" i="4"/>
  <c r="AA86" i="4"/>
  <c r="Z86" i="4"/>
  <c r="U86" i="4"/>
  <c r="T86" i="4"/>
  <c r="S86" i="4"/>
  <c r="R86" i="4"/>
  <c r="Q86" i="4"/>
  <c r="P86" i="4"/>
  <c r="O86" i="4"/>
  <c r="N86" i="4"/>
  <c r="M86" i="4"/>
  <c r="L86" i="4"/>
  <c r="K86" i="4"/>
  <c r="J86" i="4"/>
  <c r="I86" i="4"/>
  <c r="H86" i="4"/>
  <c r="G86" i="4"/>
  <c r="F86" i="4"/>
  <c r="E86" i="4"/>
  <c r="D86" i="4"/>
  <c r="C86" i="4"/>
  <c r="B86" i="4"/>
  <c r="A86" i="4"/>
  <c r="AN85" i="4"/>
  <c r="AM85" i="4"/>
  <c r="AL85" i="4"/>
  <c r="AK85" i="4"/>
  <c r="AJ85" i="4"/>
  <c r="AI85" i="4"/>
  <c r="AH85" i="4"/>
  <c r="AG85" i="4"/>
  <c r="AF85" i="4"/>
  <c r="AE85" i="4"/>
  <c r="AD85" i="4"/>
  <c r="AC85" i="4"/>
  <c r="AB85" i="4"/>
  <c r="AA85" i="4"/>
  <c r="Z85" i="4"/>
  <c r="Y85" i="4"/>
  <c r="X85" i="4"/>
  <c r="W85" i="4"/>
  <c r="V85" i="4"/>
  <c r="U85" i="4"/>
  <c r="T85" i="4"/>
  <c r="S85" i="4"/>
  <c r="R85" i="4"/>
  <c r="Q85" i="4"/>
  <c r="P85" i="4"/>
  <c r="O85" i="4"/>
  <c r="N85" i="4"/>
  <c r="M85" i="4"/>
  <c r="L85" i="4"/>
  <c r="K85" i="4"/>
  <c r="J85" i="4"/>
  <c r="I85" i="4"/>
  <c r="H85" i="4"/>
  <c r="G85" i="4"/>
  <c r="F85" i="4"/>
  <c r="E85" i="4"/>
  <c r="D85" i="4"/>
  <c r="C85" i="4"/>
  <c r="B85" i="4"/>
  <c r="A85" i="4"/>
  <c r="AN84" i="4"/>
  <c r="AM84" i="4"/>
  <c r="AL84" i="4"/>
  <c r="AK84" i="4"/>
  <c r="AJ84" i="4"/>
  <c r="AI84" i="4"/>
  <c r="AH84" i="4"/>
  <c r="AG84" i="4"/>
  <c r="AF84" i="4"/>
  <c r="AE84" i="4"/>
  <c r="AD84" i="4"/>
  <c r="AC84" i="4"/>
  <c r="AB84" i="4"/>
  <c r="AA84" i="4"/>
  <c r="Z84" i="4"/>
  <c r="Y84" i="4"/>
  <c r="X84" i="4"/>
  <c r="W84" i="4"/>
  <c r="V84" i="4"/>
  <c r="U84" i="4"/>
  <c r="T84" i="4"/>
  <c r="S84" i="4"/>
  <c r="R84" i="4"/>
  <c r="Q84" i="4"/>
  <c r="P84" i="4"/>
  <c r="O84" i="4"/>
  <c r="N84" i="4"/>
  <c r="M84" i="4"/>
  <c r="L84" i="4"/>
  <c r="K84" i="4"/>
  <c r="J84" i="4"/>
  <c r="I84" i="4"/>
  <c r="H84" i="4"/>
  <c r="G84" i="4"/>
  <c r="F84" i="4"/>
  <c r="E84" i="4"/>
  <c r="D84" i="4"/>
  <c r="C84" i="4"/>
  <c r="B84" i="4"/>
  <c r="A84" i="4"/>
  <c r="AN83" i="4"/>
  <c r="AM83" i="4"/>
  <c r="AL83" i="4"/>
  <c r="AK83" i="4"/>
  <c r="AJ83" i="4"/>
  <c r="AI83" i="4"/>
  <c r="AH83" i="4"/>
  <c r="AG83" i="4"/>
  <c r="AF83" i="4"/>
  <c r="AE83" i="4"/>
  <c r="AD83" i="4"/>
  <c r="AC83" i="4"/>
  <c r="AB83" i="4"/>
  <c r="AA83" i="4"/>
  <c r="Z83" i="4"/>
  <c r="Y83" i="4"/>
  <c r="X83" i="4"/>
  <c r="W83" i="4"/>
  <c r="V83" i="4"/>
  <c r="U83" i="4"/>
  <c r="T83" i="4"/>
  <c r="S83" i="4"/>
  <c r="R83" i="4"/>
  <c r="Q83" i="4"/>
  <c r="P83" i="4"/>
  <c r="O83" i="4"/>
  <c r="N83" i="4"/>
  <c r="M83" i="4"/>
  <c r="L83" i="4"/>
  <c r="K83" i="4"/>
  <c r="J83" i="4"/>
  <c r="I83" i="4"/>
  <c r="H83" i="4"/>
  <c r="G83" i="4"/>
  <c r="F83" i="4"/>
  <c r="E83" i="4"/>
  <c r="D83" i="4"/>
  <c r="C83" i="4"/>
  <c r="B83" i="4"/>
  <c r="A83" i="4"/>
  <c r="AN82" i="4"/>
  <c r="AM82" i="4"/>
  <c r="AL82" i="4"/>
  <c r="AK82" i="4"/>
  <c r="AJ82" i="4"/>
  <c r="AI82" i="4"/>
  <c r="AH82" i="4"/>
  <c r="AG82" i="4"/>
  <c r="AF82" i="4"/>
  <c r="AE82" i="4"/>
  <c r="AD82" i="4"/>
  <c r="AC82" i="4"/>
  <c r="AB82" i="4"/>
  <c r="AA82" i="4"/>
  <c r="Z82" i="4"/>
  <c r="T82" i="4"/>
  <c r="S82" i="4"/>
  <c r="R82" i="4"/>
  <c r="Q82" i="4"/>
  <c r="P82" i="4"/>
  <c r="O82" i="4"/>
  <c r="N82" i="4"/>
  <c r="M82" i="4"/>
  <c r="L82" i="4"/>
  <c r="K82" i="4"/>
  <c r="J82" i="4"/>
  <c r="I82" i="4"/>
  <c r="H82" i="4"/>
  <c r="G82" i="4"/>
  <c r="F82" i="4"/>
  <c r="E82" i="4"/>
  <c r="D82" i="4"/>
  <c r="C82" i="4"/>
  <c r="B82" i="4"/>
  <c r="A82" i="4"/>
  <c r="AN81" i="4"/>
  <c r="AM81" i="4"/>
  <c r="AL81" i="4"/>
  <c r="AK81" i="4"/>
  <c r="AJ81" i="4"/>
  <c r="AI81" i="4"/>
  <c r="AH81" i="4"/>
  <c r="AG81" i="4"/>
  <c r="AF81" i="4"/>
  <c r="AE81" i="4"/>
  <c r="AD81" i="4"/>
  <c r="AC81" i="4"/>
  <c r="AB81" i="4"/>
  <c r="AA81" i="4"/>
  <c r="Z81" i="4"/>
  <c r="T81" i="4"/>
  <c r="S81" i="4"/>
  <c r="R81" i="4"/>
  <c r="Q81" i="4"/>
  <c r="P81" i="4"/>
  <c r="O81" i="4"/>
  <c r="N81" i="4"/>
  <c r="M81" i="4"/>
  <c r="L81" i="4"/>
  <c r="K81" i="4"/>
  <c r="J81" i="4"/>
  <c r="I81" i="4"/>
  <c r="H81" i="4"/>
  <c r="G81" i="4"/>
  <c r="F81" i="4"/>
  <c r="E81" i="4"/>
  <c r="D81" i="4"/>
  <c r="C81" i="4"/>
  <c r="B81" i="4"/>
  <c r="A81" i="4"/>
  <c r="AN80" i="4"/>
  <c r="AD80" i="4"/>
  <c r="AC80" i="4"/>
  <c r="AB80" i="4"/>
  <c r="AA80" i="4"/>
  <c r="Z80" i="4"/>
  <c r="T80" i="4"/>
  <c r="S80" i="4"/>
  <c r="R80" i="4"/>
  <c r="Q80" i="4"/>
  <c r="P80" i="4"/>
  <c r="O80" i="4"/>
  <c r="N80" i="4"/>
  <c r="M80" i="4"/>
  <c r="L80" i="4"/>
  <c r="K80" i="4"/>
  <c r="J80" i="4"/>
  <c r="I80" i="4"/>
  <c r="H80" i="4"/>
  <c r="G80" i="4"/>
  <c r="F80" i="4"/>
  <c r="E80" i="4"/>
  <c r="D80" i="4"/>
  <c r="C80" i="4"/>
  <c r="B80" i="4"/>
  <c r="A80" i="4"/>
  <c r="AN79" i="4"/>
  <c r="AD79" i="4"/>
  <c r="AC79" i="4"/>
  <c r="AB79" i="4"/>
  <c r="AA79" i="4"/>
  <c r="Z79" i="4"/>
  <c r="T79" i="4"/>
  <c r="S79" i="4"/>
  <c r="R79" i="4"/>
  <c r="Q79" i="4"/>
  <c r="P79" i="4"/>
  <c r="O79" i="4"/>
  <c r="N79" i="4"/>
  <c r="M79" i="4"/>
  <c r="L79" i="4"/>
  <c r="K79" i="4"/>
  <c r="J79" i="4"/>
  <c r="I79" i="4"/>
  <c r="H79" i="4"/>
  <c r="G79" i="4"/>
  <c r="F79" i="4"/>
  <c r="E79" i="4"/>
  <c r="D79" i="4"/>
  <c r="C79" i="4"/>
  <c r="B79" i="4"/>
  <c r="A79" i="4"/>
  <c r="AN78" i="4"/>
  <c r="AM78" i="4"/>
  <c r="AL78" i="4"/>
  <c r="AK78" i="4"/>
  <c r="AJ78" i="4"/>
  <c r="AI78" i="4"/>
  <c r="AH78" i="4"/>
  <c r="AG78" i="4"/>
  <c r="AF78" i="4"/>
  <c r="AE78" i="4"/>
  <c r="AD78" i="4"/>
  <c r="AC78" i="4"/>
  <c r="AB78" i="4"/>
  <c r="AA78" i="4"/>
  <c r="Z78" i="4"/>
  <c r="Y78" i="4"/>
  <c r="X78" i="4"/>
  <c r="W78" i="4"/>
  <c r="V78" i="4"/>
  <c r="U78" i="4"/>
  <c r="T78" i="4"/>
  <c r="S78" i="4"/>
  <c r="R78" i="4"/>
  <c r="Q78" i="4"/>
  <c r="P78" i="4"/>
  <c r="O78" i="4"/>
  <c r="N78" i="4"/>
  <c r="M78" i="4"/>
  <c r="L78" i="4"/>
  <c r="K78" i="4"/>
  <c r="J78" i="4"/>
  <c r="I78" i="4"/>
  <c r="H78" i="4"/>
  <c r="G78" i="4"/>
  <c r="F78" i="4"/>
  <c r="E78" i="4"/>
  <c r="D78" i="4"/>
  <c r="C78" i="4"/>
  <c r="B78" i="4"/>
  <c r="A78" i="4"/>
  <c r="AN77" i="4"/>
  <c r="AM77" i="4"/>
  <c r="AL77" i="4"/>
  <c r="AK77" i="4"/>
  <c r="AJ77" i="4"/>
  <c r="AI77" i="4"/>
  <c r="AH77" i="4"/>
  <c r="AG77" i="4"/>
  <c r="AF77" i="4"/>
  <c r="AE77" i="4"/>
  <c r="AD77" i="4"/>
  <c r="AC77" i="4"/>
  <c r="AB77" i="4"/>
  <c r="AA77" i="4"/>
  <c r="Z77" i="4"/>
  <c r="Y77" i="4"/>
  <c r="X77" i="4"/>
  <c r="W77" i="4"/>
  <c r="V77" i="4"/>
  <c r="U77" i="4"/>
  <c r="T77" i="4"/>
  <c r="S77" i="4"/>
  <c r="R77" i="4"/>
  <c r="Q77" i="4"/>
  <c r="P77" i="4"/>
  <c r="O77" i="4"/>
  <c r="N77" i="4"/>
  <c r="M77" i="4"/>
  <c r="L77" i="4"/>
  <c r="K77" i="4"/>
  <c r="J77" i="4"/>
  <c r="I77" i="4"/>
  <c r="H77" i="4"/>
  <c r="G77" i="4"/>
  <c r="F77" i="4"/>
  <c r="E77" i="4"/>
  <c r="D77" i="4"/>
  <c r="C77" i="4"/>
  <c r="B77" i="4"/>
  <c r="A77" i="4"/>
  <c r="AN76" i="4"/>
  <c r="AM76" i="4"/>
  <c r="AK76" i="4"/>
  <c r="AJ76" i="4"/>
  <c r="AI76" i="4"/>
  <c r="AH76" i="4"/>
  <c r="AG76" i="4"/>
  <c r="AF76" i="4"/>
  <c r="AE76" i="4"/>
  <c r="AD76" i="4"/>
  <c r="AC76" i="4"/>
  <c r="AB76" i="4"/>
  <c r="AA76" i="4"/>
  <c r="Z76" i="4"/>
  <c r="T76" i="4"/>
  <c r="S76" i="4"/>
  <c r="R76" i="4"/>
  <c r="Q76" i="4"/>
  <c r="P76" i="4"/>
  <c r="O76" i="4"/>
  <c r="N76" i="4"/>
  <c r="M76" i="4"/>
  <c r="L76" i="4"/>
  <c r="K76" i="4"/>
  <c r="J76" i="4"/>
  <c r="I76" i="4"/>
  <c r="H76" i="4"/>
  <c r="G76" i="4"/>
  <c r="F76" i="4"/>
  <c r="E76" i="4"/>
  <c r="D76" i="4"/>
  <c r="C76" i="4"/>
  <c r="B76" i="4"/>
  <c r="A76" i="4"/>
  <c r="AN75" i="4"/>
  <c r="AD75" i="4"/>
  <c r="AC75" i="4"/>
  <c r="AB75" i="4"/>
  <c r="AA75" i="4"/>
  <c r="Z75" i="4"/>
  <c r="T75" i="4"/>
  <c r="S75" i="4"/>
  <c r="R75" i="4"/>
  <c r="Q75" i="4"/>
  <c r="P75" i="4"/>
  <c r="O75" i="4"/>
  <c r="N75" i="4"/>
  <c r="M75" i="4"/>
  <c r="L75" i="4"/>
  <c r="K75" i="4"/>
  <c r="J75" i="4"/>
  <c r="I75" i="4"/>
  <c r="H75" i="4"/>
  <c r="G75" i="4"/>
  <c r="F75" i="4"/>
  <c r="E75" i="4"/>
  <c r="D75" i="4"/>
  <c r="C75" i="4"/>
  <c r="B75" i="4"/>
  <c r="A75" i="4"/>
  <c r="AN74" i="4"/>
  <c r="AD74" i="4"/>
  <c r="AC74" i="4"/>
  <c r="AB74" i="4"/>
  <c r="AA74" i="4"/>
  <c r="Z74" i="4"/>
  <c r="T74" i="4"/>
  <c r="S74" i="4"/>
  <c r="R74" i="4"/>
  <c r="Q74" i="4"/>
  <c r="P74" i="4"/>
  <c r="O74" i="4"/>
  <c r="N74" i="4"/>
  <c r="M74" i="4"/>
  <c r="L74" i="4"/>
  <c r="K74" i="4"/>
  <c r="J74" i="4"/>
  <c r="I74" i="4"/>
  <c r="H74" i="4"/>
  <c r="G74" i="4"/>
  <c r="F74" i="4"/>
  <c r="E74" i="4"/>
  <c r="D74" i="4"/>
  <c r="C74" i="4"/>
  <c r="B74" i="4"/>
  <c r="A74" i="4"/>
  <c r="AN73" i="4"/>
  <c r="AD73" i="4"/>
  <c r="AC73" i="4"/>
  <c r="AB73" i="4"/>
  <c r="AA73" i="4"/>
  <c r="Z73" i="4"/>
  <c r="T73" i="4"/>
  <c r="S73" i="4"/>
  <c r="R73" i="4"/>
  <c r="Q73" i="4"/>
  <c r="P73" i="4"/>
  <c r="O73" i="4"/>
  <c r="N73" i="4"/>
  <c r="M73" i="4"/>
  <c r="L73" i="4"/>
  <c r="K73" i="4"/>
  <c r="J73" i="4"/>
  <c r="I73" i="4"/>
  <c r="H73" i="4"/>
  <c r="G73" i="4"/>
  <c r="F73" i="4"/>
  <c r="E73" i="4"/>
  <c r="D73" i="4"/>
  <c r="C73" i="4"/>
  <c r="B73" i="4"/>
  <c r="A73" i="4"/>
  <c r="AN72" i="4"/>
  <c r="AM72" i="4"/>
  <c r="AL72" i="4"/>
  <c r="AK72" i="4"/>
  <c r="AJ72" i="4"/>
  <c r="AI72" i="4"/>
  <c r="AH72" i="4"/>
  <c r="AG72" i="4"/>
  <c r="AF72" i="4"/>
  <c r="AE72" i="4"/>
  <c r="AD72" i="4"/>
  <c r="AC72" i="4"/>
  <c r="AB72" i="4"/>
  <c r="AA72" i="4"/>
  <c r="Z72" i="4"/>
  <c r="U72" i="4"/>
  <c r="T72" i="4"/>
  <c r="S72" i="4"/>
  <c r="R72" i="4"/>
  <c r="Q72" i="4"/>
  <c r="P72" i="4"/>
  <c r="O72" i="4"/>
  <c r="N72" i="4"/>
  <c r="M72" i="4"/>
  <c r="L72" i="4"/>
  <c r="K72" i="4"/>
  <c r="J72" i="4"/>
  <c r="I72" i="4"/>
  <c r="H72" i="4"/>
  <c r="G72" i="4"/>
  <c r="F72" i="4"/>
  <c r="E72" i="4"/>
  <c r="D72" i="4"/>
  <c r="C72" i="4"/>
  <c r="B72" i="4"/>
  <c r="A72" i="4"/>
  <c r="AN71" i="4"/>
  <c r="AM71" i="4"/>
  <c r="AL71" i="4"/>
  <c r="AK71" i="4"/>
  <c r="AJ71" i="4"/>
  <c r="AI71" i="4"/>
  <c r="AH71" i="4"/>
  <c r="AG71" i="4"/>
  <c r="AF71" i="4"/>
  <c r="AE71" i="4"/>
  <c r="AD71" i="4"/>
  <c r="AC71" i="4"/>
  <c r="AB71" i="4"/>
  <c r="AA71" i="4"/>
  <c r="Z71" i="4"/>
  <c r="T71" i="4"/>
  <c r="S71" i="4"/>
  <c r="R71" i="4"/>
  <c r="Q71" i="4"/>
  <c r="P71" i="4"/>
  <c r="O71" i="4"/>
  <c r="N71" i="4"/>
  <c r="M71" i="4"/>
  <c r="L71" i="4"/>
  <c r="K71" i="4"/>
  <c r="J71" i="4"/>
  <c r="I71" i="4"/>
  <c r="H71" i="4"/>
  <c r="G71" i="4"/>
  <c r="F71" i="4"/>
  <c r="E71" i="4"/>
  <c r="D71" i="4"/>
  <c r="C71" i="4"/>
  <c r="B71" i="4"/>
  <c r="A71" i="4"/>
  <c r="AN70" i="4"/>
  <c r="AD70" i="4"/>
  <c r="AC70" i="4"/>
  <c r="AB70" i="4"/>
  <c r="AA70" i="4"/>
  <c r="Z70" i="4"/>
  <c r="T70" i="4"/>
  <c r="S70" i="4"/>
  <c r="R70" i="4"/>
  <c r="Q70" i="4"/>
  <c r="P70" i="4"/>
  <c r="O70" i="4"/>
  <c r="N70" i="4"/>
  <c r="M70" i="4"/>
  <c r="L70" i="4"/>
  <c r="K70" i="4"/>
  <c r="J70" i="4"/>
  <c r="I70" i="4"/>
  <c r="H70" i="4"/>
  <c r="G70" i="4"/>
  <c r="F70" i="4"/>
  <c r="E70" i="4"/>
  <c r="D70" i="4"/>
  <c r="C70" i="4"/>
  <c r="B70" i="4"/>
  <c r="A70" i="4"/>
  <c r="AN69" i="4"/>
  <c r="AD69" i="4"/>
  <c r="AC69" i="4"/>
  <c r="AB69" i="4"/>
  <c r="AA69" i="4"/>
  <c r="Z69" i="4"/>
  <c r="Y69" i="4"/>
  <c r="X69" i="4"/>
  <c r="W69" i="4"/>
  <c r="V69" i="4"/>
  <c r="U69" i="4"/>
  <c r="T69" i="4"/>
  <c r="S69" i="4"/>
  <c r="R69" i="4"/>
  <c r="Q69" i="4"/>
  <c r="P69" i="4"/>
  <c r="O69" i="4"/>
  <c r="N69" i="4"/>
  <c r="M69" i="4"/>
  <c r="L69" i="4"/>
  <c r="K69" i="4"/>
  <c r="J69" i="4"/>
  <c r="I69" i="4"/>
  <c r="H69" i="4"/>
  <c r="G69" i="4"/>
  <c r="F69" i="4"/>
  <c r="E69" i="4"/>
  <c r="D69" i="4"/>
  <c r="C69" i="4"/>
  <c r="B69" i="4"/>
  <c r="A69" i="4"/>
  <c r="AN68" i="4"/>
  <c r="AD68" i="4"/>
  <c r="AC68" i="4"/>
  <c r="AB68" i="4"/>
  <c r="AA68" i="4"/>
  <c r="Z68" i="4"/>
  <c r="U68" i="4"/>
  <c r="T68" i="4"/>
  <c r="S68" i="4"/>
  <c r="R68" i="4"/>
  <c r="Q68" i="4"/>
  <c r="P68" i="4"/>
  <c r="O68" i="4"/>
  <c r="N68" i="4"/>
  <c r="M68" i="4"/>
  <c r="L68" i="4"/>
  <c r="K68" i="4"/>
  <c r="J68" i="4"/>
  <c r="I68" i="4"/>
  <c r="H68" i="4"/>
  <c r="G68" i="4"/>
  <c r="F68" i="4"/>
  <c r="E68" i="4"/>
  <c r="D68" i="4"/>
  <c r="C68" i="4"/>
  <c r="B68" i="4"/>
  <c r="A68" i="4"/>
  <c r="AN67" i="4"/>
  <c r="AM67" i="4"/>
  <c r="AL67" i="4"/>
  <c r="AK67" i="4"/>
  <c r="AJ67" i="4"/>
  <c r="AI67" i="4"/>
  <c r="AH67" i="4"/>
  <c r="AG67" i="4"/>
  <c r="AF67" i="4"/>
  <c r="AE67" i="4"/>
  <c r="AD67" i="4"/>
  <c r="AC67" i="4"/>
  <c r="AB67" i="4"/>
  <c r="AA67" i="4"/>
  <c r="Z67" i="4"/>
  <c r="Y67" i="4"/>
  <c r="X67" i="4"/>
  <c r="W67" i="4"/>
  <c r="V67" i="4"/>
  <c r="U67" i="4"/>
  <c r="T67" i="4"/>
  <c r="S67" i="4"/>
  <c r="R67" i="4"/>
  <c r="Q67" i="4"/>
  <c r="P67" i="4"/>
  <c r="O67" i="4"/>
  <c r="N67" i="4"/>
  <c r="M67" i="4"/>
  <c r="L67" i="4"/>
  <c r="K67" i="4"/>
  <c r="J67" i="4"/>
  <c r="I67" i="4"/>
  <c r="H67" i="4"/>
  <c r="G67" i="4"/>
  <c r="F67" i="4"/>
  <c r="E67" i="4"/>
  <c r="D67" i="4"/>
  <c r="C67" i="4"/>
  <c r="B67" i="4"/>
  <c r="A67" i="4"/>
  <c r="AN66" i="4"/>
  <c r="AM66" i="4"/>
  <c r="AL66" i="4"/>
  <c r="AK66" i="4"/>
  <c r="AJ66" i="4"/>
  <c r="AI66" i="4"/>
  <c r="AH66" i="4"/>
  <c r="AG66" i="4"/>
  <c r="AF66" i="4"/>
  <c r="AE66" i="4"/>
  <c r="AD66" i="4"/>
  <c r="AC66" i="4"/>
  <c r="AB66" i="4"/>
  <c r="AA66" i="4"/>
  <c r="Z66" i="4"/>
  <c r="Y66" i="4"/>
  <c r="X66" i="4"/>
  <c r="W66" i="4"/>
  <c r="V66" i="4"/>
  <c r="U66" i="4"/>
  <c r="T66" i="4"/>
  <c r="S66" i="4"/>
  <c r="R66" i="4"/>
  <c r="Q66" i="4"/>
  <c r="P66" i="4"/>
  <c r="O66" i="4"/>
  <c r="N66" i="4"/>
  <c r="M66" i="4"/>
  <c r="L66" i="4"/>
  <c r="K66" i="4"/>
  <c r="J66" i="4"/>
  <c r="I66" i="4"/>
  <c r="H66" i="4"/>
  <c r="G66" i="4"/>
  <c r="F66" i="4"/>
  <c r="E66" i="4"/>
  <c r="D66" i="4"/>
  <c r="C66" i="4"/>
  <c r="B66" i="4"/>
  <c r="A66" i="4"/>
  <c r="AN65" i="4"/>
  <c r="AM65" i="4"/>
  <c r="AL65" i="4"/>
  <c r="AK65" i="4"/>
  <c r="AJ65" i="4"/>
  <c r="AI65" i="4"/>
  <c r="AH65" i="4"/>
  <c r="AG65" i="4"/>
  <c r="AF65" i="4"/>
  <c r="AE65" i="4"/>
  <c r="AD65" i="4"/>
  <c r="AC65" i="4"/>
  <c r="AB65" i="4"/>
  <c r="AA65" i="4"/>
  <c r="Z65" i="4"/>
  <c r="Y65" i="4"/>
  <c r="X65" i="4"/>
  <c r="W65" i="4"/>
  <c r="V65" i="4"/>
  <c r="U65" i="4"/>
  <c r="T65" i="4"/>
  <c r="S65" i="4"/>
  <c r="R65" i="4"/>
  <c r="Q65" i="4"/>
  <c r="P65" i="4"/>
  <c r="O65" i="4"/>
  <c r="N65" i="4"/>
  <c r="M65" i="4"/>
  <c r="L65" i="4"/>
  <c r="K65" i="4"/>
  <c r="J65" i="4"/>
  <c r="I65" i="4"/>
  <c r="H65" i="4"/>
  <c r="G65" i="4"/>
  <c r="F65" i="4"/>
  <c r="E65" i="4"/>
  <c r="D65" i="4"/>
  <c r="C65" i="4"/>
  <c r="B65" i="4"/>
  <c r="A65" i="4"/>
  <c r="AN64" i="4"/>
  <c r="AM64" i="4"/>
  <c r="AL64" i="4"/>
  <c r="AK64" i="4"/>
  <c r="AJ64" i="4"/>
  <c r="AI64" i="4"/>
  <c r="AH64" i="4"/>
  <c r="AG64" i="4"/>
  <c r="AF64" i="4"/>
  <c r="AE64" i="4"/>
  <c r="AD64" i="4"/>
  <c r="AC64" i="4"/>
  <c r="AB64" i="4"/>
  <c r="AA64" i="4"/>
  <c r="Z64" i="4"/>
  <c r="T64" i="4"/>
  <c r="S64" i="4"/>
  <c r="P64" i="4"/>
  <c r="O64" i="4"/>
  <c r="N64" i="4"/>
  <c r="M64" i="4"/>
  <c r="L64" i="4"/>
  <c r="K64" i="4"/>
  <c r="J64" i="4"/>
  <c r="I64" i="4"/>
  <c r="H64" i="4"/>
  <c r="G64" i="4"/>
  <c r="F64" i="4"/>
  <c r="E64" i="4"/>
  <c r="D64" i="4"/>
  <c r="C64" i="4"/>
  <c r="B64" i="4"/>
  <c r="A64" i="4"/>
  <c r="AN63" i="4"/>
  <c r="AM63" i="4"/>
  <c r="AL63" i="4"/>
  <c r="AK63" i="4"/>
  <c r="AJ63" i="4"/>
  <c r="AI63" i="4"/>
  <c r="AH63" i="4"/>
  <c r="AG63" i="4"/>
  <c r="AF63" i="4"/>
  <c r="AE63" i="4"/>
  <c r="AD63" i="4"/>
  <c r="AC63" i="4"/>
  <c r="AB63" i="4"/>
  <c r="AA63" i="4"/>
  <c r="Z63" i="4"/>
  <c r="T63" i="4"/>
  <c r="S63" i="4"/>
  <c r="P63" i="4"/>
  <c r="O63" i="4"/>
  <c r="N63" i="4"/>
  <c r="M63" i="4"/>
  <c r="L63" i="4"/>
  <c r="K63" i="4"/>
  <c r="J63" i="4"/>
  <c r="I63" i="4"/>
  <c r="H63" i="4"/>
  <c r="G63" i="4"/>
  <c r="F63" i="4"/>
  <c r="E63" i="4"/>
  <c r="D63" i="4"/>
  <c r="C63" i="4"/>
  <c r="B63" i="4"/>
  <c r="A63" i="4"/>
  <c r="AN62" i="4"/>
  <c r="AC62" i="4"/>
  <c r="AB62" i="4"/>
  <c r="AA62" i="4"/>
  <c r="Z62" i="4"/>
  <c r="T62" i="4"/>
  <c r="S62" i="4"/>
  <c r="R62" i="4"/>
  <c r="P62" i="4"/>
  <c r="O62" i="4"/>
  <c r="N62" i="4"/>
  <c r="M62" i="4"/>
  <c r="L62" i="4"/>
  <c r="K62" i="4"/>
  <c r="J62" i="4"/>
  <c r="I62" i="4"/>
  <c r="H62" i="4"/>
  <c r="G62" i="4"/>
  <c r="F62" i="4"/>
  <c r="E62" i="4"/>
  <c r="D62" i="4"/>
  <c r="C62" i="4"/>
  <c r="B62" i="4"/>
  <c r="A62" i="4"/>
  <c r="AN61" i="4"/>
  <c r="AC61" i="4"/>
  <c r="AB61" i="4"/>
  <c r="AA61" i="4"/>
  <c r="Z61" i="4"/>
  <c r="T61" i="4"/>
  <c r="S61" i="4"/>
  <c r="R61" i="4"/>
  <c r="P61" i="4"/>
  <c r="O61" i="4"/>
  <c r="N61" i="4"/>
  <c r="M61" i="4"/>
  <c r="L61" i="4"/>
  <c r="K61" i="4"/>
  <c r="J61" i="4"/>
  <c r="I61" i="4"/>
  <c r="H61" i="4"/>
  <c r="G61" i="4"/>
  <c r="F61" i="4"/>
  <c r="E61" i="4"/>
  <c r="D61" i="4"/>
  <c r="C61" i="4"/>
  <c r="B61" i="4"/>
  <c r="A61" i="4"/>
  <c r="AN59" i="4"/>
  <c r="AM59" i="4"/>
  <c r="AL59" i="4"/>
  <c r="AK59" i="4"/>
  <c r="AJ59" i="4"/>
  <c r="AI59" i="4"/>
  <c r="AH59" i="4"/>
  <c r="AG59" i="4"/>
  <c r="AF59" i="4"/>
  <c r="AE59" i="4"/>
  <c r="AD59" i="4"/>
  <c r="AC59" i="4"/>
  <c r="AB59" i="4"/>
  <c r="AA59" i="4"/>
  <c r="Z59" i="4"/>
  <c r="Y59" i="4"/>
  <c r="X59" i="4"/>
  <c r="W59" i="4"/>
  <c r="V59" i="4"/>
  <c r="U59" i="4"/>
  <c r="T59" i="4"/>
  <c r="S59" i="4"/>
  <c r="P59" i="4"/>
  <c r="O59" i="4"/>
  <c r="N59" i="4"/>
  <c r="M59" i="4"/>
  <c r="L59" i="4"/>
  <c r="K59" i="4"/>
  <c r="J59" i="4"/>
  <c r="I59" i="4"/>
  <c r="H59" i="4"/>
  <c r="G59" i="4"/>
  <c r="F59" i="4"/>
  <c r="E59" i="4"/>
  <c r="D59" i="4"/>
  <c r="C59" i="4"/>
  <c r="B59" i="4"/>
  <c r="A59" i="4"/>
  <c r="AN58" i="4"/>
  <c r="AM58" i="4"/>
  <c r="AF58" i="4"/>
  <c r="AE58" i="4"/>
  <c r="AD58" i="4"/>
  <c r="AC58" i="4"/>
  <c r="AB58" i="4"/>
  <c r="AA58" i="4"/>
  <c r="Z58" i="4"/>
  <c r="T58" i="4"/>
  <c r="S58" i="4"/>
  <c r="P58" i="4"/>
  <c r="O58" i="4"/>
  <c r="N58" i="4"/>
  <c r="M58" i="4"/>
  <c r="L58" i="4"/>
  <c r="K58" i="4"/>
  <c r="J58" i="4"/>
  <c r="I58" i="4"/>
  <c r="H58" i="4"/>
  <c r="G58" i="4"/>
  <c r="F58" i="4"/>
  <c r="E58" i="4"/>
  <c r="D58" i="4"/>
  <c r="C58" i="4"/>
  <c r="B58" i="4"/>
  <c r="A58" i="4"/>
  <c r="AN57" i="4"/>
  <c r="AC57" i="4"/>
  <c r="AB57" i="4"/>
  <c r="AA57" i="4"/>
  <c r="Z57" i="4"/>
  <c r="T57" i="4"/>
  <c r="S57" i="4"/>
  <c r="R57" i="4"/>
  <c r="P57" i="4"/>
  <c r="O57" i="4"/>
  <c r="N57" i="4"/>
  <c r="M57" i="4"/>
  <c r="L57" i="4"/>
  <c r="K57" i="4"/>
  <c r="J57" i="4"/>
  <c r="I57" i="4"/>
  <c r="H57" i="4"/>
  <c r="G57" i="4"/>
  <c r="F57" i="4"/>
  <c r="E57" i="4"/>
  <c r="D57" i="4"/>
  <c r="C57" i="4"/>
  <c r="B57" i="4"/>
  <c r="A57" i="4"/>
  <c r="AN56" i="4"/>
  <c r="AC56" i="4"/>
  <c r="AB56" i="4"/>
  <c r="AA56" i="4"/>
  <c r="Z56" i="4"/>
  <c r="T56" i="4"/>
  <c r="S56" i="4"/>
  <c r="R56" i="4"/>
  <c r="P56" i="4"/>
  <c r="O56" i="4"/>
  <c r="N56" i="4"/>
  <c r="M56" i="4"/>
  <c r="L56" i="4"/>
  <c r="K56" i="4"/>
  <c r="J56" i="4"/>
  <c r="I56" i="4"/>
  <c r="H56" i="4"/>
  <c r="G56" i="4"/>
  <c r="F56" i="4"/>
  <c r="E56" i="4"/>
  <c r="D56" i="4"/>
  <c r="C56" i="4"/>
  <c r="B56" i="4"/>
  <c r="A56" i="4"/>
  <c r="AN55" i="4"/>
  <c r="AC55" i="4"/>
  <c r="AB55" i="4"/>
  <c r="AA55" i="4"/>
  <c r="Z55" i="4"/>
  <c r="T55" i="4"/>
  <c r="S55" i="4"/>
  <c r="R55" i="4"/>
  <c r="Q55" i="4"/>
  <c r="P55" i="4"/>
  <c r="O55" i="4"/>
  <c r="N55" i="4"/>
  <c r="M55" i="4"/>
  <c r="L55" i="4"/>
  <c r="K55" i="4"/>
  <c r="J55" i="4"/>
  <c r="I55" i="4"/>
  <c r="H55" i="4"/>
  <c r="G55" i="4"/>
  <c r="F55" i="4"/>
  <c r="E55" i="4"/>
  <c r="D55" i="4"/>
  <c r="C55" i="4"/>
  <c r="B55" i="4"/>
  <c r="A55" i="4"/>
  <c r="AN54" i="4"/>
  <c r="AM54" i="4"/>
  <c r="AF54" i="4"/>
  <c r="AE54" i="4"/>
  <c r="AD54" i="4"/>
  <c r="AC54" i="4"/>
  <c r="AB54" i="4"/>
  <c r="AA54" i="4"/>
  <c r="Z54" i="4"/>
  <c r="U54" i="4"/>
  <c r="T54" i="4"/>
  <c r="S54" i="4"/>
  <c r="R54" i="4"/>
  <c r="Q54" i="4"/>
  <c r="P54" i="4"/>
  <c r="O54" i="4"/>
  <c r="N54" i="4"/>
  <c r="M54" i="4"/>
  <c r="L54" i="4"/>
  <c r="K54" i="4"/>
  <c r="J54" i="4"/>
  <c r="I54" i="4"/>
  <c r="H54" i="4"/>
  <c r="G54" i="4"/>
  <c r="F54" i="4"/>
  <c r="E54" i="4"/>
  <c r="D54" i="4"/>
  <c r="C54" i="4"/>
  <c r="B54" i="4"/>
  <c r="A54" i="4"/>
  <c r="AN53" i="4"/>
  <c r="AM53" i="4"/>
  <c r="AL53" i="4"/>
  <c r="AK53" i="4"/>
  <c r="AJ53" i="4"/>
  <c r="AI53" i="4"/>
  <c r="AH53" i="4"/>
  <c r="AG53" i="4"/>
  <c r="AF53" i="4"/>
  <c r="AE53" i="4"/>
  <c r="AD53" i="4"/>
  <c r="AC53" i="4"/>
  <c r="AB53" i="4"/>
  <c r="AA53" i="4"/>
  <c r="Z53" i="4"/>
  <c r="T53" i="4"/>
  <c r="S53" i="4"/>
  <c r="R53" i="4"/>
  <c r="Q53" i="4"/>
  <c r="P53" i="4"/>
  <c r="O53" i="4"/>
  <c r="N53" i="4"/>
  <c r="M53" i="4"/>
  <c r="L53" i="4"/>
  <c r="K53" i="4"/>
  <c r="J53" i="4"/>
  <c r="I53" i="4"/>
  <c r="H53" i="4"/>
  <c r="G53" i="4"/>
  <c r="F53" i="4"/>
  <c r="E53" i="4"/>
  <c r="D53" i="4"/>
  <c r="C53" i="4"/>
  <c r="B53" i="4"/>
  <c r="A53" i="4"/>
  <c r="AN52" i="4"/>
  <c r="AD52" i="4"/>
  <c r="AC52" i="4"/>
  <c r="AB52" i="4"/>
  <c r="AA52" i="4"/>
  <c r="Z52" i="4"/>
  <c r="T52" i="4"/>
  <c r="S52" i="4"/>
  <c r="R52" i="4"/>
  <c r="Q52" i="4"/>
  <c r="P52" i="4"/>
  <c r="O52" i="4"/>
  <c r="N52" i="4"/>
  <c r="M52" i="4"/>
  <c r="L52" i="4"/>
  <c r="K52" i="4"/>
  <c r="J52" i="4"/>
  <c r="I52" i="4"/>
  <c r="H52" i="4"/>
  <c r="G52" i="4"/>
  <c r="F52" i="4"/>
  <c r="E52" i="4"/>
  <c r="D52" i="4"/>
  <c r="C52" i="4"/>
  <c r="B52" i="4"/>
  <c r="A52" i="4"/>
  <c r="AN51" i="4"/>
  <c r="AD51" i="4"/>
  <c r="AC51" i="4"/>
  <c r="AB51" i="4"/>
  <c r="AA51" i="4"/>
  <c r="Z51" i="4"/>
  <c r="U51" i="4"/>
  <c r="T51" i="4"/>
  <c r="S51" i="4"/>
  <c r="R51" i="4"/>
  <c r="Q51" i="4"/>
  <c r="P51" i="4"/>
  <c r="O51" i="4"/>
  <c r="N51" i="4"/>
  <c r="M51" i="4"/>
  <c r="L51" i="4"/>
  <c r="K51" i="4"/>
  <c r="J51" i="4"/>
  <c r="I51" i="4"/>
  <c r="H51" i="4"/>
  <c r="G51" i="4"/>
  <c r="F51" i="4"/>
  <c r="E51" i="4"/>
  <c r="D51" i="4"/>
  <c r="C51" i="4"/>
  <c r="B51" i="4"/>
  <c r="A51" i="4"/>
  <c r="AN50" i="4"/>
  <c r="AD50" i="4"/>
  <c r="AC50" i="4"/>
  <c r="AB50" i="4"/>
  <c r="AA50" i="4"/>
  <c r="Z50" i="4"/>
  <c r="U50" i="4"/>
  <c r="T50" i="4"/>
  <c r="S50" i="4"/>
  <c r="R50" i="4"/>
  <c r="Q50" i="4"/>
  <c r="P50" i="4"/>
  <c r="O50" i="4"/>
  <c r="N50" i="4"/>
  <c r="M50" i="4"/>
  <c r="L50" i="4"/>
  <c r="K50" i="4"/>
  <c r="J50" i="4"/>
  <c r="I50" i="4"/>
  <c r="H50" i="4"/>
  <c r="G50" i="4"/>
  <c r="F50" i="4"/>
  <c r="E50" i="4"/>
  <c r="D50" i="4"/>
  <c r="C50" i="4"/>
  <c r="B50" i="4"/>
  <c r="A50" i="4"/>
  <c r="AN49" i="4"/>
  <c r="AM49" i="4"/>
  <c r="AL49" i="4"/>
  <c r="AK49" i="4"/>
  <c r="AJ49" i="4"/>
  <c r="AI49" i="4"/>
  <c r="AH49" i="4"/>
  <c r="AG49" i="4"/>
  <c r="AF49" i="4"/>
  <c r="AE49" i="4"/>
  <c r="AD49" i="4"/>
  <c r="AC49" i="4"/>
  <c r="AB49" i="4"/>
  <c r="AA49" i="4"/>
  <c r="Z49" i="4"/>
  <c r="Y49" i="4"/>
  <c r="X49" i="4"/>
  <c r="W49" i="4"/>
  <c r="V49" i="4"/>
  <c r="U49" i="4"/>
  <c r="T49" i="4"/>
  <c r="S49" i="4"/>
  <c r="R49" i="4"/>
  <c r="Q49" i="4"/>
  <c r="P49" i="4"/>
  <c r="O49" i="4"/>
  <c r="N49" i="4"/>
  <c r="M49" i="4"/>
  <c r="L49" i="4"/>
  <c r="K49" i="4"/>
  <c r="J49" i="4"/>
  <c r="I49" i="4"/>
  <c r="H49" i="4"/>
  <c r="G49" i="4"/>
  <c r="F49" i="4"/>
  <c r="E49" i="4"/>
  <c r="D49" i="4"/>
  <c r="C49" i="4"/>
  <c r="B49" i="4"/>
  <c r="A49" i="4"/>
  <c r="AN48" i="4"/>
  <c r="AM48" i="4"/>
  <c r="AL48" i="4"/>
  <c r="AK48" i="4"/>
  <c r="AJ48" i="4"/>
  <c r="AI48" i="4"/>
  <c r="AH48" i="4"/>
  <c r="AG48" i="4"/>
  <c r="AF48" i="4"/>
  <c r="AE48" i="4"/>
  <c r="AD48" i="4"/>
  <c r="AC48" i="4"/>
  <c r="AB48" i="4"/>
  <c r="AA48" i="4"/>
  <c r="Z48" i="4"/>
  <c r="Y48" i="4"/>
  <c r="X48" i="4"/>
  <c r="W48" i="4"/>
  <c r="V48" i="4"/>
  <c r="U48" i="4"/>
  <c r="T48" i="4"/>
  <c r="S48" i="4"/>
  <c r="R48" i="4"/>
  <c r="Q48" i="4"/>
  <c r="P48" i="4"/>
  <c r="O48" i="4"/>
  <c r="N48" i="4"/>
  <c r="M48" i="4"/>
  <c r="L48" i="4"/>
  <c r="K48" i="4"/>
  <c r="J48" i="4"/>
  <c r="I48" i="4"/>
  <c r="H48" i="4"/>
  <c r="G48" i="4"/>
  <c r="F48" i="4"/>
  <c r="E48" i="4"/>
  <c r="D48" i="4"/>
  <c r="C48" i="4"/>
  <c r="B48" i="4"/>
  <c r="A48" i="4"/>
  <c r="AN47" i="4"/>
  <c r="AM47" i="4"/>
  <c r="AL47" i="4"/>
  <c r="AK47" i="4"/>
  <c r="AJ47" i="4"/>
  <c r="AI47" i="4"/>
  <c r="AH47" i="4"/>
  <c r="AG47" i="4"/>
  <c r="AF47" i="4"/>
  <c r="AE47" i="4"/>
  <c r="AD47" i="4"/>
  <c r="AC47" i="4"/>
  <c r="AB47" i="4"/>
  <c r="AA47" i="4"/>
  <c r="Z47" i="4"/>
  <c r="Y47" i="4"/>
  <c r="X47" i="4"/>
  <c r="W47" i="4"/>
  <c r="V47" i="4"/>
  <c r="U47" i="4"/>
  <c r="T47" i="4"/>
  <c r="S47" i="4"/>
  <c r="R47" i="4"/>
  <c r="Q47" i="4"/>
  <c r="P47" i="4"/>
  <c r="O47" i="4"/>
  <c r="N47" i="4"/>
  <c r="M47" i="4"/>
  <c r="L47" i="4"/>
  <c r="K47" i="4"/>
  <c r="J47" i="4"/>
  <c r="I47" i="4"/>
  <c r="H47" i="4"/>
  <c r="G47" i="4"/>
  <c r="F47" i="4"/>
  <c r="E47" i="4"/>
  <c r="D47" i="4"/>
  <c r="C47" i="4"/>
  <c r="B47" i="4"/>
  <c r="A47" i="4"/>
  <c r="AN46" i="4"/>
  <c r="AM46" i="4"/>
  <c r="AL46" i="4"/>
  <c r="AK46" i="4"/>
  <c r="AJ46" i="4"/>
  <c r="AI46" i="4"/>
  <c r="AH46" i="4"/>
  <c r="AG46" i="4"/>
  <c r="AF46" i="4"/>
  <c r="AE46" i="4"/>
  <c r="AD46" i="4"/>
  <c r="AC46" i="4"/>
  <c r="AB46" i="4"/>
  <c r="AA46" i="4"/>
  <c r="Z46" i="4"/>
  <c r="L46" i="4"/>
  <c r="K46" i="4"/>
  <c r="J46" i="4"/>
  <c r="I46" i="4"/>
  <c r="H46" i="4"/>
  <c r="G46" i="4"/>
  <c r="F46" i="4"/>
  <c r="E46" i="4"/>
  <c r="D46" i="4"/>
  <c r="C46" i="4"/>
  <c r="B46" i="4"/>
  <c r="A46" i="4"/>
  <c r="AN45" i="4"/>
  <c r="AC45" i="4"/>
  <c r="AB45" i="4"/>
  <c r="AA45" i="4"/>
  <c r="Z45" i="4"/>
  <c r="M45" i="4"/>
  <c r="L45" i="4"/>
  <c r="K45" i="4"/>
  <c r="J45" i="4"/>
  <c r="I45" i="4"/>
  <c r="H45" i="4"/>
  <c r="G45" i="4"/>
  <c r="F45" i="4"/>
  <c r="E45" i="4"/>
  <c r="D45" i="4"/>
  <c r="C45" i="4"/>
  <c r="B45" i="4"/>
  <c r="A45" i="4"/>
  <c r="AN44" i="4"/>
  <c r="AB44" i="4"/>
  <c r="AA44" i="4"/>
  <c r="Z44" i="4"/>
  <c r="L44" i="4"/>
  <c r="K44" i="4"/>
  <c r="J44" i="4"/>
  <c r="I44" i="4"/>
  <c r="H44" i="4"/>
  <c r="G44" i="4"/>
  <c r="F44" i="4"/>
  <c r="E44" i="4"/>
  <c r="D44" i="4"/>
  <c r="C44" i="4"/>
  <c r="B44" i="4"/>
  <c r="A44" i="4"/>
  <c r="AN43" i="4"/>
  <c r="AM43" i="4"/>
  <c r="AL43" i="4"/>
  <c r="AK43" i="4"/>
  <c r="AJ43" i="4"/>
  <c r="AI43" i="4"/>
  <c r="AH43" i="4"/>
  <c r="AG43" i="4"/>
  <c r="AF43" i="4"/>
  <c r="AE43" i="4"/>
  <c r="AD43" i="4"/>
  <c r="AC43" i="4"/>
  <c r="AB43" i="4"/>
  <c r="AA43" i="4"/>
  <c r="Z43" i="4"/>
  <c r="Y43" i="4"/>
  <c r="X43" i="4"/>
  <c r="W43" i="4"/>
  <c r="V43" i="4"/>
  <c r="U43" i="4"/>
  <c r="T43" i="4"/>
  <c r="S43" i="4"/>
  <c r="R43" i="4"/>
  <c r="Q43" i="4"/>
  <c r="P43" i="4"/>
  <c r="O43" i="4"/>
  <c r="N43" i="4"/>
  <c r="M43" i="4"/>
  <c r="L43" i="4"/>
  <c r="K43" i="4"/>
  <c r="J43" i="4"/>
  <c r="I43" i="4"/>
  <c r="H43" i="4"/>
  <c r="G43" i="4"/>
  <c r="F43" i="4"/>
  <c r="E43" i="4"/>
  <c r="D43" i="4"/>
  <c r="C43" i="4"/>
  <c r="B43" i="4"/>
  <c r="A43" i="4"/>
  <c r="AN42" i="4"/>
  <c r="AC42" i="4"/>
  <c r="AB42" i="4"/>
  <c r="AA42" i="4"/>
  <c r="Z42" i="4"/>
  <c r="M42" i="4"/>
  <c r="L42" i="4"/>
  <c r="K42" i="4"/>
  <c r="J42" i="4"/>
  <c r="I42" i="4"/>
  <c r="H42" i="4"/>
  <c r="G42" i="4"/>
  <c r="F42" i="4"/>
  <c r="E42" i="4"/>
  <c r="D42" i="4"/>
  <c r="C42" i="4"/>
  <c r="B42" i="4"/>
  <c r="A42" i="4"/>
  <c r="AN41" i="4"/>
  <c r="AB41" i="4"/>
  <c r="AA41" i="4"/>
  <c r="Z41" i="4"/>
  <c r="L41" i="4"/>
  <c r="K41" i="4"/>
  <c r="J41" i="4"/>
  <c r="I41" i="4"/>
  <c r="H41" i="4"/>
  <c r="G41" i="4"/>
  <c r="F41" i="4"/>
  <c r="E41" i="4"/>
  <c r="D41" i="4"/>
  <c r="C41" i="4"/>
  <c r="B41" i="4"/>
  <c r="A41" i="4"/>
  <c r="AN40" i="4"/>
  <c r="AM40" i="4"/>
  <c r="AL40" i="4"/>
  <c r="AK40" i="4"/>
  <c r="AJ40" i="4"/>
  <c r="AI40" i="4"/>
  <c r="AH40" i="4"/>
  <c r="AG40" i="4"/>
  <c r="AF40" i="4"/>
  <c r="AE40" i="4"/>
  <c r="AD40" i="4"/>
  <c r="AC40" i="4"/>
  <c r="AB40" i="4"/>
  <c r="AA40" i="4"/>
  <c r="Z40" i="4"/>
  <c r="Y40" i="4"/>
  <c r="X40" i="4"/>
  <c r="W40" i="4"/>
  <c r="V40" i="4"/>
  <c r="T40" i="4"/>
  <c r="S40" i="4"/>
  <c r="R40" i="4"/>
  <c r="Q40" i="4"/>
  <c r="P40" i="4"/>
  <c r="O40" i="4"/>
  <c r="N40" i="4"/>
  <c r="M40" i="4"/>
  <c r="L40" i="4"/>
  <c r="K40" i="4"/>
  <c r="J40" i="4"/>
  <c r="I40" i="4"/>
  <c r="H40" i="4"/>
  <c r="G40" i="4"/>
  <c r="F40" i="4"/>
  <c r="E40" i="4"/>
  <c r="D40" i="4"/>
  <c r="C40" i="4"/>
  <c r="B40" i="4"/>
  <c r="A40" i="4"/>
  <c r="AN39" i="4"/>
  <c r="AM39" i="4"/>
  <c r="AL39" i="4"/>
  <c r="AK39" i="4"/>
  <c r="AJ39" i="4"/>
  <c r="AI39" i="4"/>
  <c r="AH39" i="4"/>
  <c r="AG39" i="4"/>
  <c r="AC39" i="4"/>
  <c r="AB39" i="4"/>
  <c r="AA39" i="4"/>
  <c r="Z39" i="4"/>
  <c r="Y39" i="4"/>
  <c r="X39" i="4"/>
  <c r="W39" i="4"/>
  <c r="V39" i="4"/>
  <c r="R39" i="4"/>
  <c r="L39" i="4"/>
  <c r="K39" i="4"/>
  <c r="J39" i="4"/>
  <c r="I39" i="4"/>
  <c r="H39" i="4"/>
  <c r="G39" i="4"/>
  <c r="F39" i="4"/>
  <c r="E39" i="4"/>
  <c r="D39" i="4"/>
  <c r="C39" i="4"/>
  <c r="B39" i="4"/>
  <c r="A39" i="4"/>
  <c r="AN38" i="4"/>
  <c r="AB38" i="4"/>
  <c r="AA38" i="4"/>
  <c r="Z38" i="4"/>
  <c r="M38" i="4"/>
  <c r="L38" i="4"/>
  <c r="K38" i="4"/>
  <c r="J38" i="4"/>
  <c r="I38" i="4"/>
  <c r="H38" i="4"/>
  <c r="G38" i="4"/>
  <c r="F38" i="4"/>
  <c r="E38" i="4"/>
  <c r="D38" i="4"/>
  <c r="C38" i="4"/>
  <c r="B38" i="4"/>
  <c r="A38" i="4"/>
  <c r="AN37" i="4"/>
  <c r="AM37" i="4"/>
  <c r="AL37" i="4"/>
  <c r="AK37" i="4"/>
  <c r="AJ37" i="4"/>
  <c r="AI37" i="4"/>
  <c r="AH37" i="4"/>
  <c r="AG37" i="4"/>
  <c r="AF37" i="4"/>
  <c r="AE37" i="4"/>
  <c r="AD37" i="4"/>
  <c r="AC37" i="4"/>
  <c r="AB37" i="4"/>
  <c r="AA37" i="4"/>
  <c r="Z37" i="4"/>
  <c r="Y37" i="4"/>
  <c r="X37" i="4"/>
  <c r="W37" i="4"/>
  <c r="V37" i="4"/>
  <c r="U37" i="4"/>
  <c r="T37" i="4"/>
  <c r="S37" i="4"/>
  <c r="R37" i="4"/>
  <c r="Q37" i="4"/>
  <c r="P37" i="4"/>
  <c r="O37" i="4"/>
  <c r="N37" i="4"/>
  <c r="M37" i="4"/>
  <c r="L37" i="4"/>
  <c r="K37" i="4"/>
  <c r="J37" i="4"/>
  <c r="I37" i="4"/>
  <c r="H37" i="4"/>
  <c r="G37" i="4"/>
  <c r="F37" i="4"/>
  <c r="E37" i="4"/>
  <c r="D37" i="4"/>
  <c r="C37" i="4"/>
  <c r="B37" i="4"/>
  <c r="A37" i="4"/>
  <c r="AN36" i="4"/>
  <c r="AD36" i="4"/>
  <c r="AC36" i="4"/>
  <c r="AB36" i="4"/>
  <c r="AA36" i="4"/>
  <c r="Z36" i="4"/>
  <c r="T36" i="4"/>
  <c r="S36" i="4"/>
  <c r="R36" i="4"/>
  <c r="Q36" i="4"/>
  <c r="P36" i="4"/>
  <c r="O36" i="4"/>
  <c r="N36" i="4"/>
  <c r="M36" i="4"/>
  <c r="L36" i="4"/>
  <c r="K36" i="4"/>
  <c r="J36" i="4"/>
  <c r="I36" i="4"/>
  <c r="H36" i="4"/>
  <c r="G36" i="4"/>
  <c r="F36" i="4"/>
  <c r="E36" i="4"/>
  <c r="D36" i="4"/>
  <c r="C36" i="4"/>
  <c r="B36" i="4"/>
  <c r="A36" i="4"/>
  <c r="AN35" i="4"/>
  <c r="AM35" i="4"/>
  <c r="AL35" i="4"/>
  <c r="AK35" i="4"/>
  <c r="AJ35" i="4"/>
  <c r="AI35" i="4"/>
  <c r="AH35" i="4"/>
  <c r="AG35" i="4"/>
  <c r="AF35" i="4"/>
  <c r="AE35" i="4"/>
  <c r="AD35" i="4"/>
  <c r="AC35" i="4"/>
  <c r="AB35" i="4"/>
  <c r="AA35" i="4"/>
  <c r="Z35" i="4"/>
  <c r="Y35" i="4"/>
  <c r="X35" i="4"/>
  <c r="W35" i="4"/>
  <c r="V35" i="4"/>
  <c r="U35" i="4"/>
  <c r="T35" i="4"/>
  <c r="S35" i="4"/>
  <c r="R35" i="4"/>
  <c r="Q35" i="4"/>
  <c r="P35" i="4"/>
  <c r="O35" i="4"/>
  <c r="N35" i="4"/>
  <c r="M35" i="4"/>
  <c r="L35" i="4"/>
  <c r="K35" i="4"/>
  <c r="J35" i="4"/>
  <c r="I35" i="4"/>
  <c r="H35" i="4"/>
  <c r="G35" i="4"/>
  <c r="F35" i="4"/>
  <c r="E35" i="4"/>
  <c r="D35" i="4"/>
  <c r="C35" i="4"/>
  <c r="B35" i="4"/>
  <c r="A35" i="4"/>
  <c r="AN34" i="4"/>
  <c r="AC34" i="4"/>
  <c r="AB34" i="4"/>
  <c r="AA34" i="4"/>
  <c r="Z34" i="4"/>
  <c r="M34" i="4"/>
  <c r="L34" i="4"/>
  <c r="K34" i="4"/>
  <c r="J34" i="4"/>
  <c r="I34" i="4"/>
  <c r="H34" i="4"/>
  <c r="G34" i="4"/>
  <c r="F34" i="4"/>
  <c r="E34" i="4"/>
  <c r="D34" i="4"/>
  <c r="C34" i="4"/>
  <c r="B34" i="4"/>
  <c r="A34" i="4"/>
  <c r="AN33" i="4"/>
  <c r="AD33" i="4"/>
  <c r="AC33" i="4"/>
  <c r="AB33" i="4"/>
  <c r="AA33" i="4"/>
  <c r="Z33" i="4"/>
  <c r="S33" i="4"/>
  <c r="O33" i="4"/>
  <c r="M33" i="4"/>
  <c r="L33" i="4"/>
  <c r="K33" i="4"/>
  <c r="J33" i="4"/>
  <c r="I33" i="4"/>
  <c r="H33" i="4"/>
  <c r="G33" i="4"/>
  <c r="F33" i="4"/>
  <c r="E33" i="4"/>
  <c r="D33" i="4"/>
  <c r="C33" i="4"/>
  <c r="B33" i="4"/>
  <c r="A33" i="4"/>
  <c r="AN32" i="4"/>
  <c r="AC32" i="4"/>
  <c r="AB32" i="4"/>
  <c r="AA32" i="4"/>
  <c r="Z32" i="4"/>
  <c r="T32" i="4"/>
  <c r="S32" i="4"/>
  <c r="R32" i="4"/>
  <c r="O32" i="4"/>
  <c r="M32" i="4"/>
  <c r="L32" i="4"/>
  <c r="K32" i="4"/>
  <c r="J32" i="4"/>
  <c r="I32" i="4"/>
  <c r="H32" i="4"/>
  <c r="G32" i="4"/>
  <c r="F32" i="4"/>
  <c r="E32" i="4"/>
  <c r="D32" i="4"/>
  <c r="C32" i="4"/>
  <c r="B32" i="4"/>
  <c r="A32" i="4"/>
  <c r="AN31" i="4"/>
  <c r="AM31" i="4"/>
  <c r="AL31" i="4"/>
  <c r="AK31" i="4"/>
  <c r="AJ31" i="4"/>
  <c r="AI31" i="4"/>
  <c r="AH31" i="4"/>
  <c r="AG31" i="4"/>
  <c r="AF31" i="4"/>
  <c r="AE31" i="4"/>
  <c r="AD31" i="4"/>
  <c r="AC31" i="4"/>
  <c r="AB31" i="4"/>
  <c r="AA31" i="4"/>
  <c r="Z31" i="4"/>
  <c r="T31" i="4"/>
  <c r="S31" i="4"/>
  <c r="M31" i="4"/>
  <c r="L31" i="4"/>
  <c r="K31" i="4"/>
  <c r="J31" i="4"/>
  <c r="I31" i="4"/>
  <c r="H31" i="4"/>
  <c r="G31" i="4"/>
  <c r="F31" i="4"/>
  <c r="E31" i="4"/>
  <c r="D31" i="4"/>
  <c r="C31" i="4"/>
  <c r="B31" i="4"/>
  <c r="A31" i="4"/>
  <c r="AN30" i="4"/>
  <c r="AD30" i="4"/>
  <c r="AC30" i="4"/>
  <c r="AB30" i="4"/>
  <c r="AA30" i="4"/>
  <c r="Z30" i="4"/>
  <c r="S30" i="4"/>
  <c r="O30" i="4"/>
  <c r="M30" i="4"/>
  <c r="L30" i="4"/>
  <c r="K30" i="4"/>
  <c r="J30" i="4"/>
  <c r="I30" i="4"/>
  <c r="H30" i="4"/>
  <c r="G30" i="4"/>
  <c r="F30" i="4"/>
  <c r="E30" i="4"/>
  <c r="D30" i="4"/>
  <c r="C30" i="4"/>
  <c r="B30" i="4"/>
  <c r="A30" i="4"/>
  <c r="AN29" i="4"/>
  <c r="AC29" i="4"/>
  <c r="AB29" i="4"/>
  <c r="AA29" i="4"/>
  <c r="Z29" i="4"/>
  <c r="T29" i="4"/>
  <c r="S29" i="4"/>
  <c r="R29" i="4"/>
  <c r="O29" i="4"/>
  <c r="N29" i="4"/>
  <c r="M29" i="4"/>
  <c r="L29" i="4"/>
  <c r="K29" i="4"/>
  <c r="J29" i="4"/>
  <c r="I29" i="4"/>
  <c r="H29" i="4"/>
  <c r="G29" i="4"/>
  <c r="F29" i="4"/>
  <c r="E29" i="4"/>
  <c r="D29" i="4"/>
  <c r="C29" i="4"/>
  <c r="B29" i="4"/>
  <c r="A29" i="4"/>
  <c r="AN28" i="4"/>
  <c r="AM28" i="4"/>
  <c r="AL28" i="4"/>
  <c r="AK28" i="4"/>
  <c r="AJ28" i="4"/>
  <c r="AI28" i="4"/>
  <c r="AH28" i="4"/>
  <c r="AG28" i="4"/>
  <c r="AF28" i="4"/>
  <c r="AE28" i="4"/>
  <c r="AD28" i="4"/>
  <c r="AC28" i="4"/>
  <c r="AB28" i="4"/>
  <c r="AA28" i="4"/>
  <c r="Z28" i="4"/>
  <c r="Y28" i="4"/>
  <c r="X28" i="4"/>
  <c r="W28" i="4"/>
  <c r="V28" i="4"/>
  <c r="U28" i="4"/>
  <c r="T28" i="4"/>
  <c r="S28" i="4"/>
  <c r="R28" i="4"/>
  <c r="Q28" i="4"/>
  <c r="P28" i="4"/>
  <c r="O28" i="4"/>
  <c r="N28" i="4"/>
  <c r="M28" i="4"/>
  <c r="L28" i="4"/>
  <c r="K28" i="4"/>
  <c r="J28" i="4"/>
  <c r="I28" i="4"/>
  <c r="H28" i="4"/>
  <c r="G28" i="4"/>
  <c r="F28" i="4"/>
  <c r="E28" i="4"/>
  <c r="D28" i="4"/>
  <c r="C28" i="4"/>
  <c r="B28" i="4"/>
  <c r="A28" i="4"/>
  <c r="AN27" i="4"/>
  <c r="AD27" i="4"/>
  <c r="AC27" i="4"/>
  <c r="AB27" i="4"/>
  <c r="AA27" i="4"/>
  <c r="Z27" i="4"/>
  <c r="T27" i="4"/>
  <c r="S27" i="4"/>
  <c r="R27" i="4"/>
  <c r="Q27" i="4"/>
  <c r="P27" i="4"/>
  <c r="O27" i="4"/>
  <c r="N27" i="4"/>
  <c r="M27" i="4"/>
  <c r="L27" i="4"/>
  <c r="K27" i="4"/>
  <c r="J27" i="4"/>
  <c r="I27" i="4"/>
  <c r="H27" i="4"/>
  <c r="G27" i="4"/>
  <c r="F27" i="4"/>
  <c r="E27" i="4"/>
  <c r="D27" i="4"/>
  <c r="C27" i="4"/>
  <c r="B27" i="4"/>
  <c r="A27" i="4"/>
  <c r="AN26" i="4"/>
  <c r="AD26" i="4"/>
  <c r="AC26" i="4"/>
  <c r="AB26" i="4"/>
  <c r="AA26" i="4"/>
  <c r="Z26" i="4"/>
  <c r="U26" i="4"/>
  <c r="T26" i="4"/>
  <c r="S26" i="4"/>
  <c r="R26" i="4"/>
  <c r="Q26" i="4"/>
  <c r="P26" i="4"/>
  <c r="O26" i="4"/>
  <c r="N26" i="4"/>
  <c r="M26" i="4"/>
  <c r="L26" i="4"/>
  <c r="K26" i="4"/>
  <c r="J26" i="4"/>
  <c r="I26" i="4"/>
  <c r="H26" i="4"/>
  <c r="G26" i="4"/>
  <c r="F26" i="4"/>
  <c r="E26" i="4"/>
  <c r="D26" i="4"/>
  <c r="C26" i="4"/>
  <c r="B26" i="4"/>
  <c r="A26" i="4"/>
  <c r="AN25" i="4"/>
  <c r="AM25" i="4"/>
  <c r="AL25" i="4"/>
  <c r="AK25" i="4"/>
  <c r="AJ25" i="4"/>
  <c r="AI25" i="4"/>
  <c r="AH25" i="4"/>
  <c r="AG25" i="4"/>
  <c r="AF25" i="4"/>
  <c r="AE25" i="4"/>
  <c r="AD25" i="4"/>
  <c r="AC25" i="4"/>
  <c r="AB25" i="4"/>
  <c r="AA25" i="4"/>
  <c r="Z25" i="4"/>
  <c r="Y25" i="4"/>
  <c r="X25" i="4"/>
  <c r="W25" i="4"/>
  <c r="V25" i="4"/>
  <c r="U25" i="4"/>
  <c r="T25" i="4"/>
  <c r="S25" i="4"/>
  <c r="R25" i="4"/>
  <c r="Q25" i="4"/>
  <c r="P25" i="4"/>
  <c r="O25" i="4"/>
  <c r="N25" i="4"/>
  <c r="M25" i="4"/>
  <c r="L25" i="4"/>
  <c r="K25" i="4"/>
  <c r="J25" i="4"/>
  <c r="I25" i="4"/>
  <c r="H25" i="4"/>
  <c r="G25" i="4"/>
  <c r="F25" i="4"/>
  <c r="E25" i="4"/>
  <c r="D25" i="4"/>
  <c r="C25" i="4"/>
  <c r="B25" i="4"/>
  <c r="A25" i="4"/>
  <c r="AN24" i="4"/>
  <c r="AD24" i="4"/>
  <c r="AC24" i="4"/>
  <c r="AB24" i="4"/>
  <c r="AA24" i="4"/>
  <c r="Z24" i="4"/>
  <c r="Y24" i="4"/>
  <c r="X24" i="4"/>
  <c r="W24" i="4"/>
  <c r="V24" i="4"/>
  <c r="U24" i="4"/>
  <c r="T24" i="4"/>
  <c r="S24" i="4"/>
  <c r="R24" i="4"/>
  <c r="Q24" i="4"/>
  <c r="P24" i="4"/>
  <c r="O24" i="4"/>
  <c r="N24" i="4"/>
  <c r="M24" i="4"/>
  <c r="L24" i="4"/>
  <c r="K24" i="4"/>
  <c r="J24" i="4"/>
  <c r="I24" i="4"/>
  <c r="H24" i="4"/>
  <c r="G24" i="4"/>
  <c r="F24" i="4"/>
  <c r="E24" i="4"/>
  <c r="D24" i="4"/>
  <c r="C24" i="4"/>
  <c r="B24" i="4"/>
  <c r="A24" i="4"/>
  <c r="AN23" i="4"/>
  <c r="AD23" i="4"/>
  <c r="AC23" i="4"/>
  <c r="AB23" i="4"/>
  <c r="AA23" i="4"/>
  <c r="Z23" i="4"/>
  <c r="Y23" i="4"/>
  <c r="X23" i="4"/>
  <c r="W23" i="4"/>
  <c r="V23" i="4"/>
  <c r="U23" i="4"/>
  <c r="T23" i="4"/>
  <c r="S23" i="4"/>
  <c r="R23" i="4"/>
  <c r="Q23" i="4"/>
  <c r="P23" i="4"/>
  <c r="O23" i="4"/>
  <c r="N23" i="4"/>
  <c r="M23" i="4"/>
  <c r="L23" i="4"/>
  <c r="K23" i="4"/>
  <c r="J23" i="4"/>
  <c r="I23" i="4"/>
  <c r="H23" i="4"/>
  <c r="G23" i="4"/>
  <c r="F23" i="4"/>
  <c r="E23" i="4"/>
  <c r="D23" i="4"/>
  <c r="C23" i="4"/>
  <c r="B23" i="4"/>
  <c r="A23" i="4"/>
  <c r="AN22" i="4"/>
  <c r="AM22" i="4"/>
  <c r="AL22" i="4"/>
  <c r="AK22" i="4"/>
  <c r="AJ22" i="4"/>
  <c r="AI22" i="4"/>
  <c r="AH22" i="4"/>
  <c r="AG22" i="4"/>
  <c r="AF22" i="4"/>
  <c r="AE22" i="4"/>
  <c r="AD22" i="4"/>
  <c r="AC22" i="4"/>
  <c r="AB22" i="4"/>
  <c r="AA22" i="4"/>
  <c r="Z22" i="4"/>
  <c r="Y22" i="4"/>
  <c r="X22" i="4"/>
  <c r="W22" i="4"/>
  <c r="V22" i="4"/>
  <c r="U22" i="4"/>
  <c r="T22" i="4"/>
  <c r="S22" i="4"/>
  <c r="R22" i="4"/>
  <c r="Q22" i="4"/>
  <c r="P22" i="4"/>
  <c r="O22" i="4"/>
  <c r="N22" i="4"/>
  <c r="M22" i="4"/>
  <c r="L22" i="4"/>
  <c r="K22" i="4"/>
  <c r="J22" i="4"/>
  <c r="I22" i="4"/>
  <c r="H22" i="4"/>
  <c r="G22" i="4"/>
  <c r="F22" i="4"/>
  <c r="E22" i="4"/>
  <c r="D22" i="4"/>
  <c r="C22" i="4"/>
  <c r="B22" i="4"/>
  <c r="A22" i="4"/>
  <c r="AN21" i="4"/>
  <c r="AM21" i="4"/>
  <c r="AL21" i="4"/>
  <c r="AK21" i="4"/>
  <c r="AJ21" i="4"/>
  <c r="AI21" i="4"/>
  <c r="AH21" i="4"/>
  <c r="AG21" i="4"/>
  <c r="AF21" i="4"/>
  <c r="AE21" i="4"/>
  <c r="AD21" i="4"/>
  <c r="AC21" i="4"/>
  <c r="AB21" i="4"/>
  <c r="AA21" i="4"/>
  <c r="Z21" i="4"/>
  <c r="U21" i="4"/>
  <c r="T21" i="4"/>
  <c r="S21" i="4"/>
  <c r="R21" i="4"/>
  <c r="Q21" i="4"/>
  <c r="P21" i="4"/>
  <c r="O21" i="4"/>
  <c r="N21" i="4"/>
  <c r="M21" i="4"/>
  <c r="L21" i="4"/>
  <c r="K21" i="4"/>
  <c r="J21" i="4"/>
  <c r="I21" i="4"/>
  <c r="H21" i="4"/>
  <c r="G21" i="4"/>
  <c r="F21" i="4"/>
  <c r="E21" i="4"/>
  <c r="D21" i="4"/>
  <c r="C21" i="4"/>
  <c r="B21" i="4"/>
  <c r="A21" i="4"/>
  <c r="AN20" i="4"/>
  <c r="AM20" i="4"/>
  <c r="AL20" i="4"/>
  <c r="AK20" i="4"/>
  <c r="AJ20" i="4"/>
  <c r="AI20" i="4"/>
  <c r="AH20" i="4"/>
  <c r="AG20" i="4"/>
  <c r="AF20" i="4"/>
  <c r="AE20" i="4"/>
  <c r="AD20" i="4"/>
  <c r="AC20" i="4"/>
  <c r="AB20" i="4"/>
  <c r="AA20" i="4"/>
  <c r="Z20" i="4"/>
  <c r="U20" i="4"/>
  <c r="T20" i="4"/>
  <c r="S20" i="4"/>
  <c r="R20" i="4"/>
  <c r="Q20" i="4"/>
  <c r="P20" i="4"/>
  <c r="O20" i="4"/>
  <c r="N20" i="4"/>
  <c r="M20" i="4"/>
  <c r="L20" i="4"/>
  <c r="K20" i="4"/>
  <c r="J20" i="4"/>
  <c r="I20" i="4"/>
  <c r="H20" i="4"/>
  <c r="G20" i="4"/>
  <c r="F20" i="4"/>
  <c r="E20" i="4"/>
  <c r="D20" i="4"/>
  <c r="C20" i="4"/>
  <c r="B20" i="4"/>
  <c r="A20" i="4"/>
  <c r="AN19" i="4"/>
  <c r="AM19" i="4"/>
  <c r="AL19" i="4"/>
  <c r="AK19" i="4"/>
  <c r="AJ19" i="4"/>
  <c r="AI19" i="4"/>
  <c r="AH19" i="4"/>
  <c r="AE19" i="4"/>
  <c r="AD19" i="4"/>
  <c r="AC19" i="4"/>
  <c r="AB19" i="4"/>
  <c r="AA19" i="4"/>
  <c r="Z19" i="4"/>
  <c r="U19" i="4"/>
  <c r="T19" i="4"/>
  <c r="S19" i="4"/>
  <c r="R19" i="4"/>
  <c r="Q19" i="4"/>
  <c r="P19" i="4"/>
  <c r="O19" i="4"/>
  <c r="N19" i="4"/>
  <c r="M19" i="4"/>
  <c r="L19" i="4"/>
  <c r="K19" i="4"/>
  <c r="J19" i="4"/>
  <c r="I19" i="4"/>
  <c r="H19" i="4"/>
  <c r="G19" i="4"/>
  <c r="F19" i="4"/>
  <c r="E19" i="4"/>
  <c r="D19" i="4"/>
  <c r="C19" i="4"/>
  <c r="B19" i="4"/>
  <c r="A19" i="4"/>
  <c r="AN18" i="4"/>
  <c r="AE18" i="4"/>
  <c r="AD18" i="4"/>
  <c r="AC18" i="4"/>
  <c r="AB18" i="4"/>
  <c r="AA18" i="4"/>
  <c r="Z18" i="4"/>
  <c r="U18" i="4"/>
  <c r="T18" i="4"/>
  <c r="S18" i="4"/>
  <c r="R18" i="4"/>
  <c r="Q18" i="4"/>
  <c r="P18" i="4"/>
  <c r="O18" i="4"/>
  <c r="N18" i="4"/>
  <c r="M18" i="4"/>
  <c r="L18" i="4"/>
  <c r="K18" i="4"/>
  <c r="J18" i="4"/>
  <c r="I18" i="4"/>
  <c r="H18" i="4"/>
  <c r="G18" i="4"/>
  <c r="F18" i="4"/>
  <c r="E18" i="4"/>
  <c r="D18" i="4"/>
  <c r="C18" i="4"/>
  <c r="B18" i="4"/>
  <c r="A18" i="4"/>
  <c r="AN17" i="4"/>
  <c r="AE17" i="4"/>
  <c r="AD17" i="4"/>
  <c r="AC17" i="4"/>
  <c r="AB17" i="4"/>
  <c r="AA17" i="4"/>
  <c r="Z17" i="4"/>
  <c r="Y17" i="4"/>
  <c r="X17" i="4"/>
  <c r="W17" i="4"/>
  <c r="V17" i="4"/>
  <c r="U17" i="4"/>
  <c r="T17" i="4"/>
  <c r="S17" i="4"/>
  <c r="R17" i="4"/>
  <c r="Q17" i="4"/>
  <c r="P17" i="4"/>
  <c r="O17" i="4"/>
  <c r="N17" i="4"/>
  <c r="M17" i="4"/>
  <c r="L17" i="4"/>
  <c r="K17" i="4"/>
  <c r="J17" i="4"/>
  <c r="I17" i="4"/>
  <c r="H17" i="4"/>
  <c r="G17" i="4"/>
  <c r="F17" i="4"/>
  <c r="E17" i="4"/>
  <c r="D17" i="4"/>
  <c r="C17" i="4"/>
  <c r="B17" i="4"/>
  <c r="A17" i="4"/>
  <c r="AN16" i="4"/>
  <c r="AM16" i="4"/>
  <c r="AL16" i="4"/>
  <c r="AK16" i="4"/>
  <c r="AJ16" i="4"/>
  <c r="AI16" i="4"/>
  <c r="AH16" i="4"/>
  <c r="AG16" i="4"/>
  <c r="AF16" i="4"/>
  <c r="AE16" i="4"/>
  <c r="AD16" i="4"/>
  <c r="AC16" i="4"/>
  <c r="AB16" i="4"/>
  <c r="AA16" i="4"/>
  <c r="Z16" i="4"/>
  <c r="Y16" i="4"/>
  <c r="X16" i="4"/>
  <c r="W16" i="4"/>
  <c r="V16" i="4"/>
  <c r="U16" i="4"/>
  <c r="T16" i="4"/>
  <c r="S16" i="4"/>
  <c r="R16" i="4"/>
  <c r="Q16" i="4"/>
  <c r="P16" i="4"/>
  <c r="O16" i="4"/>
  <c r="N16" i="4"/>
  <c r="M16" i="4"/>
  <c r="L16" i="4"/>
  <c r="K16" i="4"/>
  <c r="J16" i="4"/>
  <c r="I16" i="4"/>
  <c r="H16" i="4"/>
  <c r="G16" i="4"/>
  <c r="F16" i="4"/>
  <c r="E16" i="4"/>
  <c r="D16" i="4"/>
  <c r="C16" i="4"/>
  <c r="B16" i="4"/>
  <c r="A16" i="4"/>
  <c r="AN15" i="4"/>
  <c r="AM15" i="4"/>
  <c r="AL15" i="4"/>
  <c r="AK15" i="4"/>
  <c r="AJ15" i="4"/>
  <c r="AI15" i="4"/>
  <c r="AH15" i="4"/>
  <c r="AG15" i="4"/>
  <c r="AF15" i="4"/>
  <c r="AE15" i="4"/>
  <c r="AD15" i="4"/>
  <c r="AC15" i="4"/>
  <c r="AB15" i="4"/>
  <c r="AA15" i="4"/>
  <c r="Z15" i="4"/>
  <c r="Y15" i="4"/>
  <c r="X15" i="4"/>
  <c r="W15" i="4"/>
  <c r="V15" i="4"/>
  <c r="U15" i="4"/>
  <c r="T15" i="4"/>
  <c r="S15" i="4"/>
  <c r="R15" i="4"/>
  <c r="Q15" i="4"/>
  <c r="P15" i="4"/>
  <c r="O15" i="4"/>
  <c r="N15" i="4"/>
  <c r="M15" i="4"/>
  <c r="L15" i="4"/>
  <c r="K15" i="4"/>
  <c r="J15" i="4"/>
  <c r="I15" i="4"/>
  <c r="H15" i="4"/>
  <c r="G15" i="4"/>
  <c r="F15" i="4"/>
  <c r="E15" i="4"/>
  <c r="D15" i="4"/>
  <c r="C15" i="4"/>
  <c r="B15" i="4"/>
  <c r="A15" i="4"/>
  <c r="AN14" i="4"/>
  <c r="AM14" i="4"/>
  <c r="AL14" i="4"/>
  <c r="AK14" i="4"/>
  <c r="AJ14" i="4"/>
  <c r="AI14" i="4"/>
  <c r="AH14" i="4"/>
  <c r="AG14" i="4"/>
  <c r="AF14" i="4"/>
  <c r="AE14" i="4"/>
  <c r="AD14" i="4"/>
  <c r="AC14" i="4"/>
  <c r="AB14" i="4"/>
  <c r="AA14" i="4"/>
  <c r="Z14" i="4"/>
  <c r="T14" i="4"/>
  <c r="S14" i="4"/>
  <c r="O14" i="4"/>
  <c r="N14" i="4"/>
  <c r="M14" i="4"/>
  <c r="L14" i="4"/>
  <c r="K14" i="4"/>
  <c r="J14" i="4"/>
  <c r="I14" i="4"/>
  <c r="H14" i="4"/>
  <c r="G14" i="4"/>
  <c r="F14" i="4"/>
  <c r="E14" i="4"/>
  <c r="D14" i="4"/>
  <c r="C14" i="4"/>
  <c r="B14" i="4"/>
  <c r="A14" i="4"/>
  <c r="AN13" i="4"/>
  <c r="AM13" i="4"/>
  <c r="AL13" i="4"/>
  <c r="AK13" i="4"/>
  <c r="AJ13" i="4"/>
  <c r="AI13" i="4"/>
  <c r="AH13" i="4"/>
  <c r="AG13" i="4"/>
  <c r="AF13" i="4"/>
  <c r="AE13" i="4"/>
  <c r="AD13" i="4"/>
  <c r="AC13" i="4"/>
  <c r="AB13" i="4"/>
  <c r="AA13" i="4"/>
  <c r="Z13" i="4"/>
  <c r="T13" i="4"/>
  <c r="S13" i="4"/>
  <c r="O13" i="4"/>
  <c r="N13" i="4"/>
  <c r="M13" i="4"/>
  <c r="L13" i="4"/>
  <c r="K13" i="4"/>
  <c r="J13" i="4"/>
  <c r="I13" i="4"/>
  <c r="H13" i="4"/>
  <c r="G13" i="4"/>
  <c r="F13" i="4"/>
  <c r="E13" i="4"/>
  <c r="D13" i="4"/>
  <c r="C13" i="4"/>
  <c r="B13" i="4"/>
  <c r="A13" i="4"/>
  <c r="AN12" i="4"/>
  <c r="AC12" i="4"/>
  <c r="AB12" i="4"/>
  <c r="AA12" i="4"/>
  <c r="Z12" i="4"/>
  <c r="S12" i="4"/>
  <c r="R12" i="4"/>
  <c r="O12" i="4"/>
  <c r="N12" i="4"/>
  <c r="M12" i="4"/>
  <c r="L12" i="4"/>
  <c r="K12" i="4"/>
  <c r="J12" i="4"/>
  <c r="I12" i="4"/>
  <c r="H12" i="4"/>
  <c r="G12" i="4"/>
  <c r="F12" i="4"/>
  <c r="E12" i="4"/>
  <c r="D12" i="4"/>
  <c r="C12" i="4"/>
  <c r="B12" i="4"/>
  <c r="A12" i="4"/>
  <c r="AN11" i="4"/>
  <c r="AC11" i="4"/>
  <c r="AB11" i="4"/>
  <c r="AA11" i="4"/>
  <c r="Z11" i="4"/>
  <c r="T11" i="4"/>
  <c r="S11" i="4"/>
  <c r="R11" i="4"/>
  <c r="O11" i="4"/>
  <c r="N11" i="4"/>
  <c r="M11" i="4"/>
  <c r="L11" i="4"/>
  <c r="K11" i="4"/>
  <c r="J11" i="4"/>
  <c r="I11" i="4"/>
  <c r="H11" i="4"/>
  <c r="G11" i="4"/>
  <c r="F11" i="4"/>
  <c r="E11" i="4"/>
  <c r="D11" i="4"/>
  <c r="C11" i="4"/>
  <c r="B11" i="4"/>
  <c r="A11" i="4"/>
  <c r="AN10" i="4"/>
  <c r="AM10" i="4"/>
  <c r="AL10" i="4"/>
  <c r="AK10" i="4"/>
  <c r="AJ10" i="4"/>
  <c r="AI10" i="4"/>
  <c r="AH10" i="4"/>
  <c r="AG10" i="4"/>
  <c r="AF10" i="4"/>
  <c r="AE10" i="4"/>
  <c r="AD10" i="4"/>
  <c r="AC10" i="4"/>
  <c r="AB10" i="4"/>
  <c r="AA10" i="4"/>
  <c r="Z10" i="4"/>
  <c r="Y10" i="4"/>
  <c r="X10" i="4"/>
  <c r="W10" i="4"/>
  <c r="V10" i="4"/>
  <c r="U10" i="4"/>
  <c r="T10" i="4"/>
  <c r="S10" i="4"/>
  <c r="R10" i="4"/>
  <c r="Q10" i="4"/>
  <c r="P10" i="4"/>
  <c r="O10" i="4"/>
  <c r="N10" i="4"/>
  <c r="M10" i="4"/>
  <c r="L10" i="4"/>
  <c r="K10" i="4"/>
  <c r="J10" i="4"/>
  <c r="I10" i="4"/>
  <c r="H10" i="4"/>
  <c r="G10" i="4"/>
  <c r="F10" i="4"/>
  <c r="E10" i="4"/>
  <c r="D10" i="4"/>
  <c r="C10" i="4"/>
  <c r="B10" i="4"/>
  <c r="A10" i="4"/>
  <c r="AN9" i="4"/>
  <c r="AM9" i="4"/>
  <c r="AL9" i="4"/>
  <c r="AK9" i="4"/>
  <c r="AJ9" i="4"/>
  <c r="AI9" i="4"/>
  <c r="AH9" i="4"/>
  <c r="AG9" i="4"/>
  <c r="AF9" i="4"/>
  <c r="AE9" i="4"/>
  <c r="AD9" i="4"/>
  <c r="AC9" i="4"/>
  <c r="AB9" i="4"/>
  <c r="AA9" i="4"/>
  <c r="Z9" i="4"/>
  <c r="T9" i="4"/>
  <c r="S9" i="4"/>
  <c r="R9" i="4"/>
  <c r="Q9" i="4"/>
  <c r="P9" i="4"/>
  <c r="O9" i="4"/>
  <c r="N9" i="4"/>
  <c r="M9" i="4"/>
  <c r="L9" i="4"/>
  <c r="K9" i="4"/>
  <c r="J9" i="4"/>
  <c r="I9" i="4"/>
  <c r="H9" i="4"/>
  <c r="G9" i="4"/>
  <c r="F9" i="4"/>
  <c r="E9" i="4"/>
  <c r="D9" i="4"/>
  <c r="C9" i="4"/>
  <c r="B9" i="4"/>
  <c r="A9" i="4"/>
  <c r="AN8" i="4"/>
  <c r="AD8" i="4"/>
  <c r="AC8" i="4"/>
  <c r="AB8" i="4"/>
  <c r="AA8" i="4"/>
  <c r="Z8" i="4"/>
  <c r="T8" i="4"/>
  <c r="S8" i="4"/>
  <c r="R8" i="4"/>
  <c r="Q8" i="4"/>
  <c r="P8" i="4"/>
  <c r="O8" i="4"/>
  <c r="N8" i="4"/>
  <c r="M8" i="4"/>
  <c r="L8" i="4"/>
  <c r="K8" i="4"/>
  <c r="J8" i="4"/>
  <c r="I8" i="4"/>
  <c r="H8" i="4"/>
  <c r="G8" i="4"/>
  <c r="F8" i="4"/>
  <c r="E8" i="4"/>
  <c r="D8" i="4"/>
  <c r="C8" i="4"/>
  <c r="B8" i="4"/>
  <c r="A8" i="4"/>
  <c r="AN7" i="4"/>
  <c r="AD7" i="4"/>
  <c r="AC7" i="4"/>
  <c r="AB7" i="4"/>
  <c r="AA7" i="4"/>
  <c r="Z7" i="4"/>
  <c r="T7" i="4"/>
  <c r="S7" i="4"/>
  <c r="R7" i="4"/>
  <c r="Q7" i="4"/>
  <c r="P7" i="4"/>
  <c r="O7" i="4"/>
  <c r="N7" i="4"/>
  <c r="M7" i="4"/>
  <c r="L7" i="4"/>
  <c r="K7" i="4"/>
  <c r="J7" i="4"/>
  <c r="I7" i="4"/>
  <c r="H7" i="4"/>
  <c r="G7" i="4"/>
  <c r="F7" i="4"/>
  <c r="E7" i="4"/>
  <c r="D7" i="4"/>
  <c r="C7" i="4"/>
  <c r="B7" i="4"/>
  <c r="A7" i="4"/>
  <c r="AN6" i="4"/>
  <c r="AD6" i="4"/>
  <c r="AC6" i="4"/>
  <c r="AB6" i="4"/>
  <c r="AA6" i="4"/>
  <c r="Z6" i="4"/>
  <c r="T6" i="4"/>
  <c r="S6" i="4"/>
  <c r="R6" i="4"/>
  <c r="Q6" i="4"/>
  <c r="P6" i="4"/>
  <c r="O6" i="4"/>
  <c r="N6" i="4"/>
  <c r="M6" i="4"/>
  <c r="L6" i="4"/>
  <c r="K6" i="4"/>
  <c r="J6" i="4"/>
  <c r="I6" i="4"/>
  <c r="H6" i="4"/>
  <c r="G6" i="4"/>
  <c r="F6" i="4"/>
  <c r="E6" i="4"/>
  <c r="D6" i="4"/>
  <c r="C6" i="4"/>
  <c r="B6" i="4"/>
  <c r="A6" i="4"/>
  <c r="AN5" i="4"/>
  <c r="AM5" i="4"/>
  <c r="AL5" i="4"/>
  <c r="AK5" i="4"/>
  <c r="AJ5" i="4"/>
  <c r="AI5" i="4"/>
  <c r="AH5" i="4"/>
  <c r="AG5" i="4"/>
  <c r="AF5" i="4"/>
  <c r="AE5" i="4"/>
  <c r="AD5" i="4"/>
  <c r="AC5" i="4"/>
  <c r="AB5" i="4"/>
  <c r="AA5" i="4"/>
  <c r="Z5" i="4"/>
  <c r="Y5" i="4"/>
  <c r="X5" i="4"/>
  <c r="W5" i="4"/>
  <c r="V5" i="4"/>
  <c r="U5" i="4"/>
  <c r="T5" i="4"/>
  <c r="S5" i="4"/>
  <c r="R5" i="4"/>
  <c r="Q5" i="4"/>
  <c r="P5" i="4"/>
  <c r="O5" i="4"/>
  <c r="N5" i="4"/>
  <c r="M5" i="4"/>
  <c r="L5" i="4"/>
  <c r="K5" i="4"/>
  <c r="J5" i="4"/>
  <c r="I5" i="4"/>
  <c r="H5" i="4"/>
  <c r="G5" i="4"/>
  <c r="F5" i="4"/>
  <c r="E5" i="4"/>
  <c r="D5" i="4"/>
  <c r="C5" i="4"/>
  <c r="B5" i="4"/>
  <c r="A5" i="4"/>
  <c r="AN4" i="4"/>
  <c r="AC4" i="4"/>
  <c r="AB4" i="4"/>
  <c r="AA4" i="4"/>
  <c r="Z4" i="4"/>
  <c r="S4" i="4"/>
  <c r="R4" i="4"/>
  <c r="O4" i="4"/>
  <c r="N4" i="4"/>
  <c r="M4" i="4"/>
  <c r="L4" i="4"/>
  <c r="K4" i="4"/>
  <c r="J4" i="4"/>
  <c r="I4" i="4"/>
  <c r="H4" i="4"/>
  <c r="G4" i="4"/>
  <c r="F4" i="4"/>
  <c r="E4" i="4"/>
  <c r="D4" i="4"/>
  <c r="C4" i="4"/>
  <c r="B4" i="4"/>
  <c r="A4" i="4"/>
  <c r="AN3" i="4"/>
  <c r="AC3" i="4"/>
  <c r="AB3" i="4"/>
  <c r="AA3" i="4"/>
  <c r="Z3" i="4"/>
  <c r="T3" i="4"/>
  <c r="S3" i="4"/>
  <c r="R3" i="4"/>
  <c r="Q3" i="4"/>
  <c r="P3" i="4"/>
  <c r="O3" i="4"/>
  <c r="N3" i="4"/>
  <c r="M3" i="4"/>
  <c r="L3" i="4"/>
  <c r="K3" i="4"/>
  <c r="J3" i="4"/>
  <c r="I3" i="4"/>
  <c r="H3" i="4"/>
  <c r="G3" i="4"/>
  <c r="F3" i="4"/>
  <c r="E3" i="4"/>
  <c r="D3" i="4"/>
  <c r="C3" i="4"/>
  <c r="B3" i="4"/>
  <c r="A3" i="4"/>
  <c r="AN2" i="4"/>
  <c r="AE2" i="4"/>
  <c r="AD2" i="4"/>
  <c r="AC2" i="4"/>
  <c r="AB2" i="4"/>
  <c r="AA2" i="4"/>
  <c r="Z2" i="4"/>
  <c r="Y2" i="4"/>
  <c r="X2" i="4"/>
  <c r="W2" i="4"/>
  <c r="V2" i="4"/>
  <c r="U2" i="4"/>
  <c r="T2" i="4"/>
  <c r="S2" i="4"/>
  <c r="R2" i="4"/>
  <c r="Q2" i="4"/>
  <c r="P2" i="4"/>
  <c r="O2" i="4"/>
  <c r="N2" i="4"/>
  <c r="M2" i="4"/>
  <c r="L2" i="4"/>
  <c r="K2" i="4"/>
  <c r="J2" i="4"/>
  <c r="I2" i="4"/>
  <c r="H2" i="4"/>
  <c r="G2" i="4"/>
  <c r="F2" i="4"/>
  <c r="E2" i="4"/>
  <c r="D2" i="4"/>
  <c r="C2" i="4"/>
  <c r="B2" i="4"/>
  <c r="A2" i="4"/>
  <c r="AN1" i="4"/>
  <c r="AM1" i="4"/>
  <c r="AL1" i="4"/>
  <c r="AK1" i="4"/>
  <c r="AJ1" i="4"/>
  <c r="AI1" i="4"/>
  <c r="AH1" i="4"/>
  <c r="AG1" i="4"/>
  <c r="AF1" i="4"/>
  <c r="AE1" i="4"/>
  <c r="AD1" i="4"/>
  <c r="AC1" i="4"/>
  <c r="AB1" i="4"/>
  <c r="AA1" i="4"/>
  <c r="Z1" i="4"/>
  <c r="Y1" i="4"/>
  <c r="X1" i="4"/>
  <c r="W1" i="4"/>
  <c r="U1" i="4"/>
  <c r="T1" i="4"/>
  <c r="S1" i="4"/>
  <c r="R1" i="4"/>
  <c r="Q1" i="4"/>
  <c r="P1" i="4"/>
  <c r="O1" i="4"/>
  <c r="N1" i="4"/>
  <c r="M1" i="4"/>
  <c r="L1" i="4"/>
  <c r="K1" i="4"/>
  <c r="J1" i="4"/>
  <c r="I1" i="4"/>
  <c r="H1" i="4"/>
  <c r="G1" i="4"/>
  <c r="F1" i="4"/>
  <c r="E1" i="4"/>
  <c r="D1" i="4"/>
  <c r="C1" i="4"/>
  <c r="B1" i="4"/>
  <c r="A1" i="4"/>
  <c r="H77" i="10" l="1"/>
  <c r="H86" i="10" s="1"/>
  <c r="E65" i="10"/>
  <c r="E59" i="10"/>
  <c r="E60" i="10" s="1"/>
  <c r="E50" i="10" s="1"/>
  <c r="E54" i="10" s="1"/>
  <c r="E58" i="10"/>
  <c r="E57" i="10"/>
  <c r="E53" i="10"/>
  <c r="E52" i="10"/>
  <c r="E51" i="10"/>
  <c r="E43" i="10"/>
  <c r="E33" i="10"/>
  <c r="L25" i="10"/>
  <c r="M25" i="10" s="1"/>
  <c r="N25" i="10" s="1"/>
  <c r="O25" i="10" s="1"/>
  <c r="P25" i="10" s="1"/>
  <c r="Q25" i="10" s="1"/>
  <c r="K25" i="10"/>
  <c r="J21" i="10"/>
  <c r="K21" i="10" s="1"/>
  <c r="L21" i="10" s="1"/>
  <c r="M21" i="10" s="1"/>
  <c r="N21" i="10" s="1"/>
  <c r="O21" i="10" s="1"/>
  <c r="P21" i="10" s="1"/>
  <c r="Q21" i="10" s="1"/>
  <c r="I19" i="10"/>
  <c r="H657" i="4" s="1"/>
  <c r="J8" i="10"/>
  <c r="I8" i="10"/>
  <c r="H8" i="10"/>
  <c r="R2" i="10"/>
  <c r="I2" i="10"/>
  <c r="H640" i="4" s="1"/>
  <c r="H2" i="10"/>
  <c r="G2" i="10"/>
  <c r="F2" i="10"/>
  <c r="K75" i="6"/>
  <c r="L75" i="6" s="1"/>
  <c r="M75" i="6" s="1"/>
  <c r="N75" i="6" s="1"/>
  <c r="O75" i="6" s="1"/>
  <c r="P75" i="6" s="1"/>
  <c r="Q75" i="6" s="1"/>
  <c r="E65" i="6"/>
  <c r="E60" i="6"/>
  <c r="E50" i="6"/>
  <c r="I43" i="6"/>
  <c r="I41" i="6"/>
  <c r="M40" i="6"/>
  <c r="N40" i="6" s="1"/>
  <c r="K40" i="6"/>
  <c r="J40" i="6"/>
  <c r="K25" i="6"/>
  <c r="L25" i="6" s="1"/>
  <c r="M25" i="6" s="1"/>
  <c r="N25" i="6" s="1"/>
  <c r="O25" i="6" s="1"/>
  <c r="P25" i="6" s="1"/>
  <c r="Q25" i="6" s="1"/>
  <c r="J21" i="6"/>
  <c r="K21" i="6" s="1"/>
  <c r="L21" i="6" s="1"/>
  <c r="M21" i="6" s="1"/>
  <c r="N21" i="6" s="1"/>
  <c r="O21" i="6" s="1"/>
  <c r="P21" i="6" s="1"/>
  <c r="Q21" i="6" s="1"/>
  <c r="K11" i="6"/>
  <c r="J228" i="4" s="1"/>
  <c r="J8" i="6"/>
  <c r="J8" i="12" s="1"/>
  <c r="H10" i="6"/>
  <c r="G227" i="4" s="1"/>
  <c r="G10" i="6"/>
  <c r="F227" i="4" s="1"/>
  <c r="I8" i="6"/>
  <c r="H8" i="6"/>
  <c r="H8" i="12" s="1"/>
  <c r="G8" i="6"/>
  <c r="F225" i="4" s="1"/>
  <c r="G4" i="6"/>
  <c r="F221" i="4" s="1"/>
  <c r="F4" i="6"/>
  <c r="E221" i="4" s="1"/>
  <c r="G2" i="6"/>
  <c r="H2" i="6" s="1"/>
  <c r="E65" i="12"/>
  <c r="E59" i="12"/>
  <c r="E60" i="12" s="1"/>
  <c r="E50" i="12" s="1"/>
  <c r="E54" i="12" s="1"/>
  <c r="E58" i="12"/>
  <c r="E57" i="12"/>
  <c r="E53" i="12"/>
  <c r="E52" i="12"/>
  <c r="E51" i="12"/>
  <c r="E43" i="12"/>
  <c r="N25" i="12"/>
  <c r="O25" i="12" s="1"/>
  <c r="P25" i="12" s="1"/>
  <c r="Q25" i="12" s="1"/>
  <c r="M25" i="12"/>
  <c r="L25" i="12"/>
  <c r="K25" i="12"/>
  <c r="J21" i="12"/>
  <c r="K21" i="12" s="1"/>
  <c r="L21" i="12" s="1"/>
  <c r="M21" i="12" s="1"/>
  <c r="N21" i="12" s="1"/>
  <c r="O21" i="12" s="1"/>
  <c r="P21" i="12" s="1"/>
  <c r="Q21" i="12" s="1"/>
  <c r="I8" i="12"/>
  <c r="G4" i="12"/>
  <c r="F714" i="4" s="1"/>
  <c r="F4" i="12"/>
  <c r="E714" i="4" s="1"/>
  <c r="R2" i="12"/>
  <c r="G2" i="12"/>
  <c r="F2" i="12"/>
  <c r="S248" i="3"/>
  <c r="AA248" i="3"/>
  <c r="Z248" i="3"/>
  <c r="AA246" i="3"/>
  <c r="V246" i="3"/>
  <c r="Y245" i="3"/>
  <c r="AB244" i="3"/>
  <c r="AA244" i="3"/>
  <c r="Z244" i="3"/>
  <c r="Y244" i="3"/>
  <c r="Y182" i="3" s="1"/>
  <c r="X244" i="3"/>
  <c r="W244" i="3"/>
  <c r="V244" i="3"/>
  <c r="U244" i="3"/>
  <c r="T244" i="3"/>
  <c r="S244" i="3"/>
  <c r="S246" i="3" s="1"/>
  <c r="R244" i="3"/>
  <c r="U238" i="3"/>
  <c r="AA238" i="3"/>
  <c r="AA237" i="3"/>
  <c r="W237" i="3"/>
  <c r="V237" i="3"/>
  <c r="Z236" i="3"/>
  <c r="W235" i="3"/>
  <c r="V235" i="3"/>
  <c r="AB234" i="3"/>
  <c r="AB238" i="3" s="1"/>
  <c r="AA234" i="3"/>
  <c r="AA236" i="3" s="1"/>
  <c r="Z234" i="3"/>
  <c r="Y234" i="3"/>
  <c r="Y237" i="3" s="1"/>
  <c r="X234" i="3"/>
  <c r="W234" i="3"/>
  <c r="V234" i="3"/>
  <c r="W238" i="3" s="1"/>
  <c r="U234" i="3"/>
  <c r="U236" i="3" s="1"/>
  <c r="T234" i="3"/>
  <c r="S234" i="3"/>
  <c r="T238" i="3" s="1"/>
  <c r="R234" i="3"/>
  <c r="T226" i="3"/>
  <c r="AB228" i="3"/>
  <c r="Z228" i="3"/>
  <c r="Y227" i="3"/>
  <c r="X227" i="3"/>
  <c r="AB226" i="3"/>
  <c r="AA226" i="3"/>
  <c r="Z226" i="3"/>
  <c r="AB225" i="3"/>
  <c r="AB224" i="3"/>
  <c r="AA224" i="3"/>
  <c r="Z224" i="3"/>
  <c r="Y224" i="3"/>
  <c r="Y228" i="3" s="1"/>
  <c r="X224" i="3"/>
  <c r="W224" i="3"/>
  <c r="V224" i="3"/>
  <c r="U224" i="3"/>
  <c r="T224" i="3"/>
  <c r="T228" i="3" s="1"/>
  <c r="S224" i="3"/>
  <c r="R224" i="3"/>
  <c r="S228" i="3" s="1"/>
  <c r="AA218" i="3"/>
  <c r="Y218" i="3"/>
  <c r="X218" i="3"/>
  <c r="Z217" i="3"/>
  <c r="Y217" i="3"/>
  <c r="V217" i="3"/>
  <c r="X216" i="3"/>
  <c r="V216" i="3"/>
  <c r="Y215" i="3"/>
  <c r="X215" i="3"/>
  <c r="AA214" i="3"/>
  <c r="Z214" i="3"/>
  <c r="Y214" i="3"/>
  <c r="X214" i="3"/>
  <c r="W214" i="3"/>
  <c r="W216" i="3" s="1"/>
  <c r="V214" i="3"/>
  <c r="U214" i="3"/>
  <c r="T214" i="3"/>
  <c r="S214" i="3"/>
  <c r="R214" i="3"/>
  <c r="Z206" i="3"/>
  <c r="AB196" i="3"/>
  <c r="Z196" i="3"/>
  <c r="T196" i="3"/>
  <c r="Y204" i="4"/>
  <c r="AB190" i="3"/>
  <c r="AA190" i="3"/>
  <c r="Z190" i="3"/>
  <c r="Y190" i="3"/>
  <c r="X190" i="3"/>
  <c r="W190" i="3"/>
  <c r="V190" i="3"/>
  <c r="U190" i="3"/>
  <c r="T190" i="3"/>
  <c r="S190" i="3"/>
  <c r="AL189" i="3"/>
  <c r="AK189" i="3"/>
  <c r="AL190" i="3" s="1"/>
  <c r="U203" i="4"/>
  <c r="AB182" i="3"/>
  <c r="AA182" i="3"/>
  <c r="Z182" i="3"/>
  <c r="U182" i="3"/>
  <c r="S182" i="3"/>
  <c r="R182" i="3"/>
  <c r="Y180" i="3"/>
  <c r="U180" i="3"/>
  <c r="T180" i="3"/>
  <c r="Z179" i="3"/>
  <c r="Y179" i="3"/>
  <c r="Z177" i="3"/>
  <c r="Y177" i="3"/>
  <c r="AB176" i="3"/>
  <c r="AA176" i="3"/>
  <c r="Z176" i="3"/>
  <c r="Y176" i="3"/>
  <c r="X176" i="3"/>
  <c r="W176" i="3"/>
  <c r="V176" i="3"/>
  <c r="V178" i="3" s="1"/>
  <c r="U176" i="3"/>
  <c r="U179" i="3" s="1"/>
  <c r="T176" i="3"/>
  <c r="S176" i="3"/>
  <c r="S196" i="3" s="1"/>
  <c r="R176" i="3"/>
  <c r="Z174" i="3"/>
  <c r="W174" i="3"/>
  <c r="V174" i="3"/>
  <c r="U174" i="3"/>
  <c r="Z173" i="3"/>
  <c r="Y173" i="3"/>
  <c r="U173" i="3"/>
  <c r="T173" i="3"/>
  <c r="Z172" i="3"/>
  <c r="X172" i="3"/>
  <c r="Z171" i="3"/>
  <c r="W171" i="3"/>
  <c r="V171" i="3"/>
  <c r="AA170" i="3"/>
  <c r="Z170" i="3"/>
  <c r="Y170" i="3"/>
  <c r="Y172" i="3" s="1"/>
  <c r="X170" i="3"/>
  <c r="W170" i="3"/>
  <c r="V170" i="3"/>
  <c r="U170" i="3"/>
  <c r="Y171" i="3" s="1"/>
  <c r="T170" i="3"/>
  <c r="S170" i="3"/>
  <c r="R170" i="3"/>
  <c r="AK170" i="3" s="1"/>
  <c r="AG164" i="3"/>
  <c r="Y191" i="4" s="1"/>
  <c r="AF164" i="3"/>
  <c r="X191" i="4" s="1"/>
  <c r="AE164" i="3"/>
  <c r="W191" i="4" s="1"/>
  <c r="AD164" i="3"/>
  <c r="V191" i="4" s="1"/>
  <c r="AB164" i="3"/>
  <c r="AG163" i="3"/>
  <c r="Y190" i="4" s="1"/>
  <c r="AF163" i="3"/>
  <c r="X190" i="4" s="1"/>
  <c r="AE163" i="3"/>
  <c r="W190" i="4" s="1"/>
  <c r="AC163" i="3"/>
  <c r="U190" i="4" s="1"/>
  <c r="W163" i="3"/>
  <c r="AN162" i="3"/>
  <c r="AF189" i="4" s="1"/>
  <c r="AB162" i="3"/>
  <c r="AC164" i="3" s="1"/>
  <c r="U191" i="4" s="1"/>
  <c r="AA162" i="3"/>
  <c r="AA163" i="3" s="1"/>
  <c r="Z162" i="3"/>
  <c r="Y162" i="3"/>
  <c r="X162" i="3"/>
  <c r="W162" i="3"/>
  <c r="V162" i="3"/>
  <c r="U162" i="3"/>
  <c r="U164" i="3" s="1"/>
  <c r="T162" i="3"/>
  <c r="S162" i="3"/>
  <c r="T164" i="3" s="1"/>
  <c r="R162" i="3"/>
  <c r="AP162" i="3"/>
  <c r="AH189" i="4" s="1"/>
  <c r="AL161" i="3"/>
  <c r="AK161" i="3"/>
  <c r="AL160" i="3"/>
  <c r="AK160" i="3"/>
  <c r="AM159" i="3"/>
  <c r="AE186" i="4" s="1"/>
  <c r="AL159" i="3"/>
  <c r="AL224" i="3" s="1"/>
  <c r="AK159" i="3"/>
  <c r="AM158" i="3"/>
  <c r="AE185" i="4" s="1"/>
  <c r="AL158" i="3"/>
  <c r="AK158" i="3"/>
  <c r="AD160" i="3"/>
  <c r="V187" i="4" s="1"/>
  <c r="AM160" i="3"/>
  <c r="AE187" i="4" s="1"/>
  <c r="AD159" i="3"/>
  <c r="V186" i="4" s="1"/>
  <c r="AD158" i="3"/>
  <c r="V185" i="4" s="1"/>
  <c r="U152" i="3"/>
  <c r="T152" i="3"/>
  <c r="S152" i="3"/>
  <c r="AB152" i="3"/>
  <c r="AA152" i="3"/>
  <c r="Z152" i="3"/>
  <c r="Y152" i="3"/>
  <c r="X152" i="3"/>
  <c r="W152" i="3"/>
  <c r="V152" i="3"/>
  <c r="AB151" i="3"/>
  <c r="AA151" i="3"/>
  <c r="Z151" i="3"/>
  <c r="Y151" i="3"/>
  <c r="X151" i="3"/>
  <c r="W151" i="3"/>
  <c r="V151" i="3"/>
  <c r="AB150" i="3"/>
  <c r="AA150" i="3"/>
  <c r="Z150" i="3"/>
  <c r="Y150" i="3"/>
  <c r="X150" i="3"/>
  <c r="W150" i="3"/>
  <c r="V150" i="3"/>
  <c r="U150" i="3"/>
  <c r="T150" i="3"/>
  <c r="S150" i="3"/>
  <c r="AL149" i="3"/>
  <c r="AB149" i="3"/>
  <c r="AA149" i="3"/>
  <c r="Z149" i="3"/>
  <c r="Y149" i="3"/>
  <c r="X149" i="3"/>
  <c r="W149" i="3"/>
  <c r="V149" i="3"/>
  <c r="AL148" i="3"/>
  <c r="AK148" i="3"/>
  <c r="AE148" i="3"/>
  <c r="W175" i="4" s="1"/>
  <c r="U142" i="3"/>
  <c r="T142" i="3"/>
  <c r="S142" i="3"/>
  <c r="AC142" i="3"/>
  <c r="U169" i="4" s="1"/>
  <c r="AB142" i="3"/>
  <c r="AA142" i="3"/>
  <c r="Z142" i="3"/>
  <c r="Y142" i="3"/>
  <c r="X142" i="3"/>
  <c r="W142" i="3"/>
  <c r="V142" i="3"/>
  <c r="AB141" i="3"/>
  <c r="AA141" i="3"/>
  <c r="Z141" i="3"/>
  <c r="Y141" i="3"/>
  <c r="X141" i="3"/>
  <c r="W141" i="3"/>
  <c r="V141" i="3"/>
  <c r="AC140" i="3"/>
  <c r="U167" i="4" s="1"/>
  <c r="AB140" i="3"/>
  <c r="AA140" i="3"/>
  <c r="Z140" i="3"/>
  <c r="Y140" i="3"/>
  <c r="X140" i="3"/>
  <c r="W140" i="3"/>
  <c r="V140" i="3"/>
  <c r="U140" i="3"/>
  <c r="T140" i="3"/>
  <c r="S140" i="3"/>
  <c r="AD138" i="3"/>
  <c r="V165" i="4" s="1"/>
  <c r="AB139" i="3"/>
  <c r="AA139" i="3"/>
  <c r="Z139" i="3"/>
  <c r="Y139" i="3"/>
  <c r="X139" i="3"/>
  <c r="W139" i="3"/>
  <c r="V139" i="3"/>
  <c r="AM138" i="3"/>
  <c r="AL138" i="3"/>
  <c r="AK138" i="3"/>
  <c r="AG138" i="3"/>
  <c r="Y165" i="4" s="1"/>
  <c r="AF138" i="3"/>
  <c r="X165" i="4" s="1"/>
  <c r="AE138" i="3"/>
  <c r="W165" i="4" s="1"/>
  <c r="AC234" i="3"/>
  <c r="AC237" i="3" s="1"/>
  <c r="U131" i="3"/>
  <c r="T131" i="3"/>
  <c r="S131" i="3"/>
  <c r="AL130" i="3"/>
  <c r="AC131" i="3"/>
  <c r="U158" i="4" s="1"/>
  <c r="AB131" i="3"/>
  <c r="AA131" i="3"/>
  <c r="Z131" i="3"/>
  <c r="Y131" i="3"/>
  <c r="X131" i="3"/>
  <c r="W131" i="3"/>
  <c r="V131" i="3"/>
  <c r="AC130" i="3"/>
  <c r="U157" i="4" s="1"/>
  <c r="AB130" i="3"/>
  <c r="AA130" i="3"/>
  <c r="Z130" i="3"/>
  <c r="Y130" i="3"/>
  <c r="X130" i="3"/>
  <c r="W130" i="3"/>
  <c r="V130" i="3"/>
  <c r="AC129" i="3"/>
  <c r="U156" i="4" s="1"/>
  <c r="AB129" i="3"/>
  <c r="AA129" i="3"/>
  <c r="Z129" i="3"/>
  <c r="Y129" i="3"/>
  <c r="X129" i="3"/>
  <c r="W129" i="3"/>
  <c r="V129" i="3"/>
  <c r="U129" i="3"/>
  <c r="T129" i="3"/>
  <c r="S129" i="3"/>
  <c r="AL128" i="3"/>
  <c r="AB128" i="3"/>
  <c r="AA128" i="3"/>
  <c r="Z128" i="3"/>
  <c r="Y128" i="3"/>
  <c r="X128" i="3"/>
  <c r="W128" i="3"/>
  <c r="V128" i="3"/>
  <c r="AM127" i="3"/>
  <c r="AE154" i="4" s="1"/>
  <c r="AL127" i="3"/>
  <c r="AK127" i="3"/>
  <c r="AG127" i="3"/>
  <c r="Y154" i="4" s="1"/>
  <c r="AF127" i="3"/>
  <c r="X154" i="4" s="1"/>
  <c r="AE127" i="3"/>
  <c r="W154" i="4" s="1"/>
  <c r="AB115" i="3"/>
  <c r="T141" i="4" s="1"/>
  <c r="AA115" i="3"/>
  <c r="Z115" i="3"/>
  <c r="R141" i="4" s="1"/>
  <c r="Y115" i="3"/>
  <c r="Q141" i="4" s="1"/>
  <c r="X115" i="3"/>
  <c r="W115" i="3"/>
  <c r="O141" i="4" s="1"/>
  <c r="V115" i="3"/>
  <c r="U115" i="3"/>
  <c r="M141" i="4" s="1"/>
  <c r="T115" i="3"/>
  <c r="L141" i="4" s="1"/>
  <c r="S115" i="3"/>
  <c r="K141" i="4" s="1"/>
  <c r="R115" i="3"/>
  <c r="J141" i="4" s="1"/>
  <c r="Y113" i="3"/>
  <c r="Y112" i="3"/>
  <c r="Y111" i="3"/>
  <c r="Q140" i="4" s="1"/>
  <c r="Y110" i="3"/>
  <c r="Y109" i="3"/>
  <c r="Y108" i="3"/>
  <c r="Y107" i="3"/>
  <c r="Y106" i="3"/>
  <c r="Y105" i="3"/>
  <c r="Y104" i="3"/>
  <c r="U111" i="3"/>
  <c r="M140" i="4" s="1"/>
  <c r="U110" i="3"/>
  <c r="U109" i="3"/>
  <c r="U108" i="3"/>
  <c r="U107" i="3"/>
  <c r="U106" i="3"/>
  <c r="U105" i="3"/>
  <c r="U104" i="3"/>
  <c r="AL92" i="3"/>
  <c r="Z88" i="3"/>
  <c r="Y88" i="3"/>
  <c r="X88" i="3"/>
  <c r="W88" i="3"/>
  <c r="V88" i="3"/>
  <c r="AL85" i="3"/>
  <c r="AG85" i="3"/>
  <c r="AF85" i="3"/>
  <c r="AF56" i="3" s="1"/>
  <c r="AE85" i="3"/>
  <c r="AE56" i="3" s="1"/>
  <c r="AD85" i="3"/>
  <c r="AD56" i="3" s="1"/>
  <c r="AC85" i="3"/>
  <c r="AC56" i="3" s="1"/>
  <c r="AB85" i="3"/>
  <c r="AA85" i="3"/>
  <c r="Z85" i="3"/>
  <c r="Y85" i="3"/>
  <c r="X85" i="3"/>
  <c r="X56" i="3" s="1"/>
  <c r="X57" i="3" s="1"/>
  <c r="W85" i="3"/>
  <c r="W56" i="3" s="1"/>
  <c r="W57" i="3" s="1"/>
  <c r="V85" i="3"/>
  <c r="AL81" i="3"/>
  <c r="AQ82" i="3"/>
  <c r="AI124" i="4" s="1"/>
  <c r="Y79" i="3"/>
  <c r="X79" i="3"/>
  <c r="W79" i="3"/>
  <c r="V79" i="3"/>
  <c r="Z76" i="3"/>
  <c r="AA73" i="3"/>
  <c r="Z73" i="3"/>
  <c r="AA67" i="3"/>
  <c r="Z67" i="3"/>
  <c r="AA64" i="3"/>
  <c r="AA62" i="3"/>
  <c r="AG61" i="3"/>
  <c r="Y131" i="4" s="1"/>
  <c r="AF61" i="3"/>
  <c r="X131" i="4" s="1"/>
  <c r="AE61" i="3"/>
  <c r="W131" i="4" s="1"/>
  <c r="AL55" i="3"/>
  <c r="AA58" i="3"/>
  <c r="AA76" i="3" s="1"/>
  <c r="Z58" i="3"/>
  <c r="Y58" i="3"/>
  <c r="X58" i="3"/>
  <c r="W58" i="3"/>
  <c r="V58" i="3"/>
  <c r="AG56" i="3"/>
  <c r="AB56" i="3"/>
  <c r="AA56" i="3"/>
  <c r="AA74" i="3" s="1"/>
  <c r="Z56" i="3"/>
  <c r="Y56" i="3"/>
  <c r="AC68" i="3" s="1"/>
  <c r="V56" i="3"/>
  <c r="AL56" i="3" s="1"/>
  <c r="AB55" i="3"/>
  <c r="AA55" i="3"/>
  <c r="Z55" i="3"/>
  <c r="AQ50" i="3"/>
  <c r="AP50" i="3"/>
  <c r="AN49" i="3"/>
  <c r="AQ48" i="3"/>
  <c r="AQ49" i="3" s="1"/>
  <c r="AP48" i="3"/>
  <c r="AP49" i="3" s="1"/>
  <c r="AO48" i="3"/>
  <c r="AN48" i="3"/>
  <c r="AN50" i="3" s="1"/>
  <c r="AM48" i="3"/>
  <c r="AR47" i="3"/>
  <c r="AS47" i="3" s="1"/>
  <c r="AT47" i="3" s="1"/>
  <c r="AU47" i="3" s="1"/>
  <c r="AR46" i="3"/>
  <c r="AR48" i="3" s="1"/>
  <c r="AB41" i="3"/>
  <c r="AA41" i="3"/>
  <c r="Z41" i="3"/>
  <c r="Z43" i="3" s="1"/>
  <c r="Y41" i="3"/>
  <c r="X41" i="3"/>
  <c r="X43" i="3" s="1"/>
  <c r="W41" i="3"/>
  <c r="V41" i="3"/>
  <c r="AL37" i="3"/>
  <c r="AB37" i="3"/>
  <c r="AF37" i="3" s="1"/>
  <c r="AA37" i="3"/>
  <c r="Z37" i="3"/>
  <c r="Y37" i="3"/>
  <c r="X37" i="3"/>
  <c r="W37" i="3"/>
  <c r="V37" i="3"/>
  <c r="AL32" i="3"/>
  <c r="AL41" i="3" s="1"/>
  <c r="Z33" i="3"/>
  <c r="AA33" i="3" s="1"/>
  <c r="Y33" i="3"/>
  <c r="Y35" i="3" s="1"/>
  <c r="X33" i="3"/>
  <c r="W33" i="3"/>
  <c r="V33" i="3"/>
  <c r="Z31" i="3"/>
  <c r="AB22" i="3"/>
  <c r="AB24" i="3" s="1"/>
  <c r="AA22" i="3"/>
  <c r="Z22" i="3"/>
  <c r="Y22" i="3"/>
  <c r="X19" i="3"/>
  <c r="P138" i="4" s="1"/>
  <c r="AB18" i="3"/>
  <c r="AB20" i="3" s="1"/>
  <c r="T139" i="4" s="1"/>
  <c r="AA18" i="3"/>
  <c r="S137" i="4" s="1"/>
  <c r="Z18" i="3"/>
  <c r="Y18" i="3"/>
  <c r="X18" i="3"/>
  <c r="P137" i="4" s="1"/>
  <c r="W18" i="3"/>
  <c r="V18" i="3"/>
  <c r="U18" i="3"/>
  <c r="T18" i="3"/>
  <c r="L137" i="4" s="1"/>
  <c r="S18" i="3"/>
  <c r="R18" i="3"/>
  <c r="J137" i="4" s="1"/>
  <c r="U13" i="3"/>
  <c r="T13" i="3"/>
  <c r="S13" i="3"/>
  <c r="U11" i="3"/>
  <c r="T11" i="3"/>
  <c r="S11" i="3"/>
  <c r="AB13" i="3"/>
  <c r="T112" i="4" s="1"/>
  <c r="AA13" i="3"/>
  <c r="Z13" i="3"/>
  <c r="Y13" i="3"/>
  <c r="X13" i="3"/>
  <c r="W13" i="3"/>
  <c r="V13" i="3"/>
  <c r="AA12" i="3"/>
  <c r="Z12" i="3"/>
  <c r="Y12" i="3"/>
  <c r="X12" i="3"/>
  <c r="W12" i="3"/>
  <c r="V12" i="3"/>
  <c r="AA11" i="3"/>
  <c r="Z11" i="3"/>
  <c r="Y11" i="3"/>
  <c r="X11" i="3"/>
  <c r="W11" i="3"/>
  <c r="V11" i="3"/>
  <c r="AA10" i="3"/>
  <c r="Z10" i="3"/>
  <c r="Y10" i="3"/>
  <c r="X10" i="3"/>
  <c r="W10" i="3"/>
  <c r="V10" i="3"/>
  <c r="AL9" i="3"/>
  <c r="AL33" i="3" s="1"/>
  <c r="AK9" i="3"/>
  <c r="AK6" i="3"/>
  <c r="AK5" i="3"/>
  <c r="AC103" i="4" s="1"/>
  <c r="AB6" i="3"/>
  <c r="AA6" i="3"/>
  <c r="Z6" i="3"/>
  <c r="W6" i="3"/>
  <c r="V6" i="3"/>
  <c r="U6" i="3"/>
  <c r="T6" i="3"/>
  <c r="S6" i="3"/>
  <c r="R6" i="3"/>
  <c r="AB5" i="3"/>
  <c r="T103" i="4" s="1"/>
  <c r="AA5" i="3"/>
  <c r="Z5" i="3"/>
  <c r="R103" i="4" s="1"/>
  <c r="Y5" i="3"/>
  <c r="Q103" i="4" s="1"/>
  <c r="X5" i="3"/>
  <c r="P103" i="4" s="1"/>
  <c r="W5" i="3"/>
  <c r="O103" i="4" s="1"/>
  <c r="V5" i="3"/>
  <c r="U5" i="3"/>
  <c r="M103" i="4" s="1"/>
  <c r="T5" i="3"/>
  <c r="T14" i="3" s="1"/>
  <c r="L113" i="4" s="1"/>
  <c r="S5" i="3"/>
  <c r="R5" i="3"/>
  <c r="J103" i="4" s="1"/>
  <c r="AL3" i="3"/>
  <c r="AN3" i="3" s="1"/>
  <c r="AO3" i="3" s="1"/>
  <c r="AP3" i="3" s="1"/>
  <c r="AQ3" i="3" s="1"/>
  <c r="AR3" i="3" s="1"/>
  <c r="AS3" i="3" s="1"/>
  <c r="AT3" i="3" s="1"/>
  <c r="AU3" i="3" s="1"/>
  <c r="V2" i="3"/>
  <c r="AD2" i="3" s="1"/>
  <c r="V157" i="2"/>
  <c r="T157" i="2"/>
  <c r="S157" i="2"/>
  <c r="Z155" i="2"/>
  <c r="Y155" i="2"/>
  <c r="X155" i="2"/>
  <c r="AB156" i="2"/>
  <c r="AA156" i="2"/>
  <c r="AB153" i="2"/>
  <c r="AB155" i="2" s="1"/>
  <c r="AA153" i="2"/>
  <c r="AA157" i="2" s="1"/>
  <c r="Z153" i="2"/>
  <c r="Y153" i="2"/>
  <c r="Y157" i="2" s="1"/>
  <c r="X153" i="2"/>
  <c r="W153" i="2"/>
  <c r="V153" i="2"/>
  <c r="V155" i="2" s="1"/>
  <c r="U153" i="2"/>
  <c r="U157" i="2" s="1"/>
  <c r="T153" i="2"/>
  <c r="S153" i="2"/>
  <c r="R153" i="2"/>
  <c r="AB151" i="2"/>
  <c r="T631" i="4" s="1"/>
  <c r="AA151" i="2"/>
  <c r="Z151" i="2"/>
  <c r="Y151" i="2"/>
  <c r="Q631" i="4" s="1"/>
  <c r="X151" i="2"/>
  <c r="P631" i="4" s="1"/>
  <c r="W151" i="2"/>
  <c r="V151" i="2"/>
  <c r="AB150" i="2"/>
  <c r="AA150" i="2"/>
  <c r="Z150" i="2"/>
  <c r="Y150" i="2"/>
  <c r="Q630" i="4" s="1"/>
  <c r="X150" i="2"/>
  <c r="P630" i="4" s="1"/>
  <c r="W150" i="2"/>
  <c r="V150" i="2"/>
  <c r="U150" i="2"/>
  <c r="T150" i="2"/>
  <c r="S150" i="2"/>
  <c r="R150" i="2"/>
  <c r="AB149" i="2"/>
  <c r="AA149" i="2"/>
  <c r="Z149" i="2"/>
  <c r="Y149" i="2"/>
  <c r="X149" i="2"/>
  <c r="W149" i="2"/>
  <c r="V149" i="2"/>
  <c r="U149" i="2"/>
  <c r="T149" i="2"/>
  <c r="S149" i="2"/>
  <c r="AC148" i="2"/>
  <c r="AB148" i="2"/>
  <c r="AA148" i="2"/>
  <c r="Z148" i="2"/>
  <c r="Y148" i="2"/>
  <c r="X148" i="2"/>
  <c r="W148" i="2"/>
  <c r="AC147" i="2"/>
  <c r="AB147" i="2"/>
  <c r="AA147" i="2"/>
  <c r="Z147" i="2"/>
  <c r="Y147" i="2"/>
  <c r="X147" i="2"/>
  <c r="W147" i="2"/>
  <c r="V147" i="2"/>
  <c r="AC146" i="2"/>
  <c r="AB146" i="2"/>
  <c r="AA146" i="2"/>
  <c r="AM145" i="2"/>
  <c r="AL145" i="2"/>
  <c r="AK145" i="2"/>
  <c r="AJ145" i="2"/>
  <c r="AI145" i="2"/>
  <c r="AD145" i="2"/>
  <c r="U141" i="2"/>
  <c r="T141" i="2"/>
  <c r="S141" i="2"/>
  <c r="R141" i="2"/>
  <c r="Q141" i="2"/>
  <c r="P141" i="2"/>
  <c r="O141" i="2"/>
  <c r="N141" i="2"/>
  <c r="AC141" i="2"/>
  <c r="AB141" i="2"/>
  <c r="AA141" i="2"/>
  <c r="Z141" i="2"/>
  <c r="Y141" i="2"/>
  <c r="X141" i="2"/>
  <c r="W141" i="2"/>
  <c r="V141" i="2"/>
  <c r="AB140" i="2"/>
  <c r="AA140" i="2"/>
  <c r="Z140" i="2"/>
  <c r="Y140" i="2"/>
  <c r="X140" i="2"/>
  <c r="W140" i="2"/>
  <c r="V140" i="2"/>
  <c r="U140" i="2"/>
  <c r="T140" i="2"/>
  <c r="S140" i="2"/>
  <c r="R140" i="2"/>
  <c r="AB139" i="2"/>
  <c r="AA139" i="2"/>
  <c r="Z139" i="2"/>
  <c r="Y139" i="2"/>
  <c r="X139" i="2"/>
  <c r="W139" i="2"/>
  <c r="V139" i="2"/>
  <c r="U139" i="2"/>
  <c r="T139" i="2"/>
  <c r="S139" i="2"/>
  <c r="R139" i="2"/>
  <c r="Q139" i="2"/>
  <c r="P139" i="2"/>
  <c r="O139" i="2"/>
  <c r="M139" i="2"/>
  <c r="AL139" i="2"/>
  <c r="AL138" i="2"/>
  <c r="AK138" i="2"/>
  <c r="AJ138" i="2"/>
  <c r="AD139" i="2"/>
  <c r="AD138" i="2"/>
  <c r="AD141" i="2" s="1"/>
  <c r="M138" i="2"/>
  <c r="N139" i="2" s="1"/>
  <c r="L138" i="2"/>
  <c r="K138" i="2"/>
  <c r="J138" i="2"/>
  <c r="Y134" i="2"/>
  <c r="V134" i="2"/>
  <c r="U134" i="2"/>
  <c r="Z133" i="2"/>
  <c r="Y133" i="2"/>
  <c r="T133" i="2"/>
  <c r="AB132" i="2"/>
  <c r="W132" i="2"/>
  <c r="X131" i="2"/>
  <c r="AL130" i="2"/>
  <c r="AA131" i="2"/>
  <c r="AB130" i="2"/>
  <c r="AA130" i="2"/>
  <c r="Z130" i="2"/>
  <c r="Y130" i="2"/>
  <c r="X130" i="2"/>
  <c r="X133" i="2" s="1"/>
  <c r="W130" i="2"/>
  <c r="W134" i="2" s="1"/>
  <c r="V130" i="2"/>
  <c r="V133" i="2" s="1"/>
  <c r="U130" i="2"/>
  <c r="U133" i="2" s="1"/>
  <c r="T130" i="2"/>
  <c r="S130" i="2"/>
  <c r="R130" i="2"/>
  <c r="S134" i="2" s="1"/>
  <c r="AB127" i="2"/>
  <c r="T607" i="4" s="1"/>
  <c r="AA127" i="2"/>
  <c r="Z127" i="2"/>
  <c r="Y127" i="2"/>
  <c r="Q607" i="4" s="1"/>
  <c r="X127" i="2"/>
  <c r="P607" i="4" s="1"/>
  <c r="W127" i="2"/>
  <c r="V127" i="2"/>
  <c r="AB126" i="2"/>
  <c r="AA126" i="2"/>
  <c r="Z126" i="2"/>
  <c r="Y126" i="2"/>
  <c r="Q606" i="4" s="1"/>
  <c r="X126" i="2"/>
  <c r="P606" i="4" s="1"/>
  <c r="W126" i="2"/>
  <c r="V126" i="2"/>
  <c r="U126" i="2"/>
  <c r="T126" i="2"/>
  <c r="S126" i="2"/>
  <c r="R126" i="2"/>
  <c r="AB125" i="2"/>
  <c r="AA125" i="2"/>
  <c r="Z125" i="2"/>
  <c r="Y125" i="2"/>
  <c r="X125" i="2"/>
  <c r="W125" i="2"/>
  <c r="V125" i="2"/>
  <c r="U125" i="2"/>
  <c r="T125" i="2"/>
  <c r="S125" i="2"/>
  <c r="AB124" i="2"/>
  <c r="AA124" i="2"/>
  <c r="Z124" i="2"/>
  <c r="Y124" i="2"/>
  <c r="X124" i="2"/>
  <c r="W124" i="2"/>
  <c r="V124" i="2"/>
  <c r="U124" i="2"/>
  <c r="T124" i="2"/>
  <c r="S124" i="2"/>
  <c r="AB123" i="2"/>
  <c r="AA123" i="2"/>
  <c r="Z123" i="2"/>
  <c r="Y123" i="2"/>
  <c r="X123" i="2"/>
  <c r="W123" i="2"/>
  <c r="V123" i="2"/>
  <c r="AB122" i="2"/>
  <c r="AA122" i="2"/>
  <c r="Z122" i="2"/>
  <c r="Y122" i="2"/>
  <c r="X122" i="2"/>
  <c r="W122" i="2"/>
  <c r="V122" i="2"/>
  <c r="AL121" i="2"/>
  <c r="AK121" i="2"/>
  <c r="AJ121" i="2"/>
  <c r="AJ130" i="2" s="1"/>
  <c r="AI121" i="2"/>
  <c r="O118" i="2"/>
  <c r="U117" i="2"/>
  <c r="T117" i="2"/>
  <c r="S117" i="2"/>
  <c r="R117" i="2"/>
  <c r="Q117" i="2"/>
  <c r="P117" i="2"/>
  <c r="O117" i="2"/>
  <c r="N117" i="2"/>
  <c r="AB118" i="2"/>
  <c r="AB117" i="2"/>
  <c r="AA117" i="2"/>
  <c r="Z117" i="2"/>
  <c r="Y117" i="2"/>
  <c r="X117" i="2"/>
  <c r="W117" i="2"/>
  <c r="V117" i="2"/>
  <c r="AB116" i="2"/>
  <c r="AA116" i="2"/>
  <c r="Z116" i="2"/>
  <c r="Y116" i="2"/>
  <c r="X116" i="2"/>
  <c r="W116" i="2"/>
  <c r="V116" i="2"/>
  <c r="U116" i="2"/>
  <c r="T116" i="2"/>
  <c r="S116" i="2"/>
  <c r="R116" i="2"/>
  <c r="AB115" i="2"/>
  <c r="AA115" i="2"/>
  <c r="Z115" i="2"/>
  <c r="Y115" i="2"/>
  <c r="X115" i="2"/>
  <c r="W115" i="2"/>
  <c r="V115" i="2"/>
  <c r="U115" i="2"/>
  <c r="T115" i="2"/>
  <c r="S115" i="2"/>
  <c r="R115" i="2"/>
  <c r="Q115" i="2"/>
  <c r="P115" i="2"/>
  <c r="O115" i="2"/>
  <c r="N115" i="2"/>
  <c r="AK115" i="2"/>
  <c r="AL114" i="2"/>
  <c r="AK114" i="2"/>
  <c r="AJ114" i="2"/>
  <c r="AI114" i="2"/>
  <c r="M114" i="2"/>
  <c r="L114" i="2"/>
  <c r="K114" i="2"/>
  <c r="J114" i="2"/>
  <c r="AA110" i="2"/>
  <c r="X110" i="2"/>
  <c r="T110" i="2"/>
  <c r="U109" i="2"/>
  <c r="AB108" i="2"/>
  <c r="Z108" i="2"/>
  <c r="W108" i="2"/>
  <c r="Z107" i="2"/>
  <c r="X107" i="2"/>
  <c r="V107" i="2"/>
  <c r="AB106" i="2"/>
  <c r="AB107" i="2" s="1"/>
  <c r="AA106" i="2"/>
  <c r="AA109" i="2" s="1"/>
  <c r="Z106" i="2"/>
  <c r="Y106" i="2"/>
  <c r="Z110" i="2" s="1"/>
  <c r="X106" i="2"/>
  <c r="W106" i="2"/>
  <c r="V106" i="2"/>
  <c r="U106" i="2"/>
  <c r="U110" i="2" s="1"/>
  <c r="T106" i="2"/>
  <c r="T109" i="2" s="1"/>
  <c r="S106" i="2"/>
  <c r="S109" i="2" s="1"/>
  <c r="R106" i="2"/>
  <c r="AB104" i="2"/>
  <c r="T583" i="4" s="1"/>
  <c r="AA104" i="2"/>
  <c r="Z104" i="2"/>
  <c r="Y104" i="2"/>
  <c r="Q583" i="4" s="1"/>
  <c r="X104" i="2"/>
  <c r="P583" i="4" s="1"/>
  <c r="W104" i="2"/>
  <c r="V104" i="2"/>
  <c r="AB103" i="2"/>
  <c r="AA103" i="2"/>
  <c r="Z103" i="2"/>
  <c r="Y103" i="2"/>
  <c r="Q582" i="4" s="1"/>
  <c r="X103" i="2"/>
  <c r="P582" i="4" s="1"/>
  <c r="W103" i="2"/>
  <c r="V103" i="2"/>
  <c r="U103" i="2"/>
  <c r="T103" i="2"/>
  <c r="S103" i="2"/>
  <c r="R103" i="2"/>
  <c r="AB102" i="2"/>
  <c r="AA102" i="2"/>
  <c r="Z102" i="2"/>
  <c r="Y102" i="2"/>
  <c r="X102" i="2"/>
  <c r="W102" i="2"/>
  <c r="V102" i="2"/>
  <c r="U102" i="2"/>
  <c r="T102" i="2"/>
  <c r="S102" i="2"/>
  <c r="AB101" i="2"/>
  <c r="AA101" i="2"/>
  <c r="Z101" i="2"/>
  <c r="Y101" i="2"/>
  <c r="X101" i="2"/>
  <c r="W101" i="2"/>
  <c r="V101" i="2"/>
  <c r="U101" i="2"/>
  <c r="T101" i="2"/>
  <c r="S101" i="2"/>
  <c r="AB100" i="2"/>
  <c r="AA100" i="2"/>
  <c r="Z100" i="2"/>
  <c r="Y100" i="2"/>
  <c r="X100" i="2"/>
  <c r="W100" i="2"/>
  <c r="V100" i="2"/>
  <c r="AB99" i="2"/>
  <c r="AA99" i="2"/>
  <c r="Z99" i="2"/>
  <c r="Y99" i="2"/>
  <c r="X99" i="2"/>
  <c r="W99" i="2"/>
  <c r="V99" i="2"/>
  <c r="AL98" i="2"/>
  <c r="AK98" i="2"/>
  <c r="AJ98" i="2"/>
  <c r="AI98" i="2"/>
  <c r="AC101" i="2"/>
  <c r="U95" i="2"/>
  <c r="T95" i="2"/>
  <c r="R95" i="2"/>
  <c r="P95" i="2"/>
  <c r="U94" i="2"/>
  <c r="T94" i="2"/>
  <c r="S94" i="2"/>
  <c r="R94" i="2"/>
  <c r="Q94" i="2"/>
  <c r="P94" i="2"/>
  <c r="O94" i="2"/>
  <c r="K94" i="2"/>
  <c r="AB95" i="2"/>
  <c r="AB94" i="2"/>
  <c r="AA94" i="2"/>
  <c r="Z94" i="2"/>
  <c r="Y94" i="2"/>
  <c r="X94" i="2"/>
  <c r="W94" i="2"/>
  <c r="V94" i="2"/>
  <c r="AC93" i="2"/>
  <c r="AB93" i="2"/>
  <c r="AA93" i="2"/>
  <c r="Z93" i="2"/>
  <c r="Y93" i="2"/>
  <c r="X93" i="2"/>
  <c r="W93" i="2"/>
  <c r="V93" i="2"/>
  <c r="U93" i="2"/>
  <c r="T93" i="2"/>
  <c r="S93" i="2"/>
  <c r="R93" i="2"/>
  <c r="AB92" i="2"/>
  <c r="AA92" i="2"/>
  <c r="Z92" i="2"/>
  <c r="Y92" i="2"/>
  <c r="X92" i="2"/>
  <c r="W92" i="2"/>
  <c r="V92" i="2"/>
  <c r="U92" i="2"/>
  <c r="T92" i="2"/>
  <c r="S92" i="2"/>
  <c r="R92" i="2"/>
  <c r="Q92" i="2"/>
  <c r="P92" i="2"/>
  <c r="O92" i="2"/>
  <c r="AL92" i="2"/>
  <c r="AL91" i="2"/>
  <c r="AK91" i="2"/>
  <c r="AJ91" i="2"/>
  <c r="AC94" i="2"/>
  <c r="M91" i="2"/>
  <c r="L91" i="2"/>
  <c r="K91" i="2"/>
  <c r="K92" i="2" s="1"/>
  <c r="J91" i="2"/>
  <c r="Y83" i="2"/>
  <c r="AQ82" i="2"/>
  <c r="AR82" i="2" s="1"/>
  <c r="AS82" i="2" s="1"/>
  <c r="AT82" i="2" s="1"/>
  <c r="AU82" i="2" s="1"/>
  <c r="AP82" i="2"/>
  <c r="AO82" i="2"/>
  <c r="AN82" i="2"/>
  <c r="Z82" i="2"/>
  <c r="AF76" i="2"/>
  <c r="AE76" i="2"/>
  <c r="AD76" i="2"/>
  <c r="AC76" i="2"/>
  <c r="U555" i="4" s="1"/>
  <c r="AA76" i="2"/>
  <c r="Y76" i="2"/>
  <c r="S72" i="2"/>
  <c r="S74" i="2" s="1"/>
  <c r="S68" i="2"/>
  <c r="S70" i="2" s="1"/>
  <c r="R68" i="2"/>
  <c r="U66" i="2"/>
  <c r="T66" i="2"/>
  <c r="S66" i="2"/>
  <c r="R66" i="2"/>
  <c r="Q66" i="2"/>
  <c r="P66" i="2"/>
  <c r="O66" i="2"/>
  <c r="N66" i="2"/>
  <c r="Z62" i="2"/>
  <c r="Y62" i="2"/>
  <c r="X62" i="2"/>
  <c r="W62" i="2"/>
  <c r="W66" i="2" s="1"/>
  <c r="V62" i="2"/>
  <c r="AB52" i="2"/>
  <c r="Z52" i="2"/>
  <c r="Z79" i="2" s="1"/>
  <c r="T52" i="2"/>
  <c r="S52" i="2"/>
  <c r="R52" i="2"/>
  <c r="R72" i="2" s="1"/>
  <c r="P52" i="2"/>
  <c r="AB43" i="2"/>
  <c r="T522" i="4" s="1"/>
  <c r="AA43" i="2"/>
  <c r="S522" i="4" s="1"/>
  <c r="AJ42" i="2"/>
  <c r="AI42" i="2"/>
  <c r="S42" i="2"/>
  <c r="S47" i="2" s="1"/>
  <c r="S48" i="2" s="1"/>
  <c r="R42" i="2"/>
  <c r="Z38" i="2"/>
  <c r="U38" i="2"/>
  <c r="AB36" i="2"/>
  <c r="T36" i="2"/>
  <c r="AJ34" i="2"/>
  <c r="AJ47" i="2" s="1"/>
  <c r="AI34" i="2"/>
  <c r="AI47" i="2" s="1"/>
  <c r="AA35" i="2"/>
  <c r="V35" i="2"/>
  <c r="AB34" i="2"/>
  <c r="AA34" i="2"/>
  <c r="AA47" i="2" s="1"/>
  <c r="S526" i="4" s="1"/>
  <c r="Z34" i="2"/>
  <c r="Z42" i="2" s="1"/>
  <c r="X34" i="2"/>
  <c r="W34" i="2"/>
  <c r="U34" i="2"/>
  <c r="U42" i="2" s="1"/>
  <c r="T34" i="2"/>
  <c r="S34" i="2"/>
  <c r="S36" i="2" s="1"/>
  <c r="R34" i="2"/>
  <c r="Y31" i="2"/>
  <c r="Z28" i="2"/>
  <c r="Z22" i="2" s="1"/>
  <c r="AD26" i="2"/>
  <c r="AD25" i="2"/>
  <c r="AR24" i="2"/>
  <c r="AS24" i="2" s="1"/>
  <c r="AT24" i="2" s="1"/>
  <c r="AU24" i="2" s="1"/>
  <c r="AQ24" i="2"/>
  <c r="AK22" i="2"/>
  <c r="AJ22" i="2"/>
  <c r="AI22" i="2"/>
  <c r="AB16" i="2"/>
  <c r="Y16" i="2"/>
  <c r="U16" i="2"/>
  <c r="T16" i="2"/>
  <c r="R16" i="2"/>
  <c r="Z14" i="2"/>
  <c r="U14" i="2"/>
  <c r="T14" i="2"/>
  <c r="P14" i="2"/>
  <c r="AL11" i="2"/>
  <c r="AJ11" i="2"/>
  <c r="AJ16" i="2" s="1"/>
  <c r="Y13" i="2"/>
  <c r="X13" i="2"/>
  <c r="R13" i="2"/>
  <c r="X12" i="2"/>
  <c r="U12" i="2"/>
  <c r="AC11" i="2"/>
  <c r="AC95" i="2" s="1"/>
  <c r="U574" i="4" s="1"/>
  <c r="AB11" i="2"/>
  <c r="AA11" i="2"/>
  <c r="Z11" i="2"/>
  <c r="Y11" i="2"/>
  <c r="Z12" i="2" s="1"/>
  <c r="X11" i="2"/>
  <c r="X16" i="2" s="1"/>
  <c r="W11" i="2"/>
  <c r="V11" i="2"/>
  <c r="U11" i="2"/>
  <c r="T11" i="2"/>
  <c r="S11" i="2"/>
  <c r="S12" i="2" s="1"/>
  <c r="R11" i="2"/>
  <c r="R118" i="2" s="1"/>
  <c r="P12" i="2"/>
  <c r="Q11" i="2"/>
  <c r="P11" i="2"/>
  <c r="O11" i="2"/>
  <c r="O12" i="2" s="1"/>
  <c r="N11" i="2"/>
  <c r="J11" i="2" s="1"/>
  <c r="J142" i="2" s="1"/>
  <c r="L11" i="2"/>
  <c r="AB8" i="2"/>
  <c r="AA8" i="2"/>
  <c r="Z8" i="2"/>
  <c r="R487" i="4" s="1"/>
  <c r="Y8" i="2"/>
  <c r="Q487" i="4" s="1"/>
  <c r="X8" i="2"/>
  <c r="P487" i="4" s="1"/>
  <c r="W8" i="2"/>
  <c r="V8" i="2"/>
  <c r="U8" i="2"/>
  <c r="T8" i="2"/>
  <c r="S8" i="2"/>
  <c r="U6" i="2"/>
  <c r="T6" i="2"/>
  <c r="S6" i="2"/>
  <c r="AB7" i="2"/>
  <c r="T486" i="4" s="1"/>
  <c r="AA7" i="2"/>
  <c r="Z7" i="2"/>
  <c r="Y7" i="2"/>
  <c r="Q486" i="4" s="1"/>
  <c r="X7" i="2"/>
  <c r="P486" i="4" s="1"/>
  <c r="W7" i="2"/>
  <c r="V7" i="2"/>
  <c r="AB6" i="2"/>
  <c r="AA6" i="2"/>
  <c r="Z6" i="2"/>
  <c r="R485" i="4" s="1"/>
  <c r="Y6" i="2"/>
  <c r="Q485" i="4" s="1"/>
  <c r="X6" i="2"/>
  <c r="P485" i="4" s="1"/>
  <c r="W6" i="2"/>
  <c r="V6" i="2"/>
  <c r="AB5" i="2"/>
  <c r="AA5" i="2"/>
  <c r="Z5" i="2"/>
  <c r="Y5" i="2"/>
  <c r="X5" i="2"/>
  <c r="W5" i="2"/>
  <c r="V5" i="2"/>
  <c r="AK4" i="2"/>
  <c r="AL4" i="2"/>
  <c r="AL3" i="2"/>
  <c r="AN3" i="2" s="1"/>
  <c r="AD2" i="2"/>
  <c r="V1" i="4" s="1"/>
  <c r="V2" i="2"/>
  <c r="AL259" i="1"/>
  <c r="AD481" i="4" s="1"/>
  <c r="AK259" i="1"/>
  <c r="AC481" i="4" s="1"/>
  <c r="AG259" i="1"/>
  <c r="Y481" i="4" s="1"/>
  <c r="AF259" i="1"/>
  <c r="X481" i="4" s="1"/>
  <c r="AE259" i="1"/>
  <c r="W481" i="4" s="1"/>
  <c r="AD259" i="1"/>
  <c r="V481" i="4" s="1"/>
  <c r="Z259" i="1"/>
  <c r="R481" i="4" s="1"/>
  <c r="Y259" i="1"/>
  <c r="Q481" i="4" s="1"/>
  <c r="X259" i="1"/>
  <c r="P481" i="4" s="1"/>
  <c r="W259" i="1"/>
  <c r="O481" i="4" s="1"/>
  <c r="V259" i="1"/>
  <c r="N481" i="4" s="1"/>
  <c r="U259" i="1"/>
  <c r="M481" i="4" s="1"/>
  <c r="T259" i="1"/>
  <c r="L481" i="4" s="1"/>
  <c r="S259" i="1"/>
  <c r="K481" i="4" s="1"/>
  <c r="R259" i="1"/>
  <c r="J481" i="4" s="1"/>
  <c r="Q259" i="1"/>
  <c r="I481" i="4" s="1"/>
  <c r="P259" i="1"/>
  <c r="H481" i="4" s="1"/>
  <c r="O259" i="1"/>
  <c r="G481" i="4" s="1"/>
  <c r="N259" i="1"/>
  <c r="F481" i="4" s="1"/>
  <c r="AB258" i="1"/>
  <c r="T480" i="4" s="1"/>
  <c r="Q258" i="1"/>
  <c r="I480" i="4" s="1"/>
  <c r="P258" i="1"/>
  <c r="H480" i="4" s="1"/>
  <c r="O258" i="1"/>
  <c r="G480" i="4" s="1"/>
  <c r="N258" i="1"/>
  <c r="F480" i="4" s="1"/>
  <c r="AS245" i="1"/>
  <c r="AK467" i="4" s="1"/>
  <c r="AR245" i="1"/>
  <c r="AJ467" i="4" s="1"/>
  <c r="AQ245" i="1"/>
  <c r="AI467" i="4" s="1"/>
  <c r="AB240" i="1"/>
  <c r="T459" i="4" s="1"/>
  <c r="AA240" i="1"/>
  <c r="S459" i="4" s="1"/>
  <c r="Z240" i="1"/>
  <c r="R459" i="4" s="1"/>
  <c r="Y240" i="1"/>
  <c r="X240" i="1"/>
  <c r="W240" i="1"/>
  <c r="V240" i="1"/>
  <c r="N459" i="4" s="1"/>
  <c r="U240" i="1"/>
  <c r="M459" i="4" s="1"/>
  <c r="T240" i="1"/>
  <c r="L459" i="4" s="1"/>
  <c r="S240" i="1"/>
  <c r="K459" i="4" s="1"/>
  <c r="R240" i="1"/>
  <c r="J459" i="4" s="1"/>
  <c r="Z233" i="1"/>
  <c r="R452" i="4" s="1"/>
  <c r="Y233" i="1"/>
  <c r="Q452" i="4" s="1"/>
  <c r="X233" i="1"/>
  <c r="P452" i="4" s="1"/>
  <c r="W233" i="1"/>
  <c r="O452" i="4" s="1"/>
  <c r="V233" i="1"/>
  <c r="N452" i="4" s="1"/>
  <c r="U233" i="1"/>
  <c r="M452" i="4" s="1"/>
  <c r="T233" i="1"/>
  <c r="L452" i="4" s="1"/>
  <c r="S233" i="1"/>
  <c r="K452" i="4" s="1"/>
  <c r="R233" i="1"/>
  <c r="AP226" i="1"/>
  <c r="AH445" i="4" s="1"/>
  <c r="AM225" i="1"/>
  <c r="AE444" i="4" s="1"/>
  <c r="AB225" i="1"/>
  <c r="T444" i="4" s="1"/>
  <c r="AA225" i="1"/>
  <c r="S444" i="4" s="1"/>
  <c r="Z225" i="1"/>
  <c r="R444" i="4" s="1"/>
  <c r="Y225" i="1"/>
  <c r="Q444" i="4" s="1"/>
  <c r="X225" i="1"/>
  <c r="P444" i="4" s="1"/>
  <c r="W225" i="1"/>
  <c r="O444" i="4" s="1"/>
  <c r="V225" i="1"/>
  <c r="N444" i="4" s="1"/>
  <c r="U225" i="1"/>
  <c r="M444" i="4" s="1"/>
  <c r="T225" i="1"/>
  <c r="L444" i="4" s="1"/>
  <c r="S225" i="1"/>
  <c r="K444" i="4" s="1"/>
  <c r="R225" i="1"/>
  <c r="J444" i="4" s="1"/>
  <c r="AB222" i="1"/>
  <c r="T441" i="4" s="1"/>
  <c r="AA222" i="1"/>
  <c r="S441" i="4" s="1"/>
  <c r="Z222" i="1"/>
  <c r="R441" i="4" s="1"/>
  <c r="Y222" i="1"/>
  <c r="X222" i="1"/>
  <c r="P441" i="4" s="1"/>
  <c r="W222" i="1"/>
  <c r="O441" i="4" s="1"/>
  <c r="V222" i="1"/>
  <c r="N441" i="4" s="1"/>
  <c r="U222" i="1"/>
  <c r="M441" i="4" s="1"/>
  <c r="T222" i="1"/>
  <c r="L441" i="4" s="1"/>
  <c r="S222" i="1"/>
  <c r="R222" i="1"/>
  <c r="J441" i="4" s="1"/>
  <c r="AL207" i="1"/>
  <c r="AD434" i="4" s="1"/>
  <c r="AK207" i="1"/>
  <c r="AC434" i="4" s="1"/>
  <c r="AG207" i="1"/>
  <c r="Y434" i="4" s="1"/>
  <c r="AF207" i="1"/>
  <c r="X434" i="4" s="1"/>
  <c r="AE207" i="1"/>
  <c r="W434" i="4" s="1"/>
  <c r="AD207" i="1"/>
  <c r="V434" i="4" s="1"/>
  <c r="Z207" i="1"/>
  <c r="R434" i="4" s="1"/>
  <c r="AN205" i="1"/>
  <c r="AN204" i="1"/>
  <c r="AN203" i="1"/>
  <c r="AN202" i="1"/>
  <c r="AN201" i="1"/>
  <c r="AF428" i="4" s="1"/>
  <c r="AN200" i="1"/>
  <c r="AF427" i="4" s="1"/>
  <c r="AA205" i="1"/>
  <c r="AA204" i="1"/>
  <c r="S431" i="4" s="1"/>
  <c r="AA203" i="1"/>
  <c r="S430" i="4" s="1"/>
  <c r="AA202" i="1"/>
  <c r="S429" i="4" s="1"/>
  <c r="AB201" i="1"/>
  <c r="AA201" i="1"/>
  <c r="S428" i="4" s="1"/>
  <c r="AA200" i="1"/>
  <c r="S427" i="4" s="1"/>
  <c r="AL197" i="1"/>
  <c r="AD424" i="4" s="1"/>
  <c r="AK197" i="1"/>
  <c r="AC424" i="4" s="1"/>
  <c r="Z197" i="1"/>
  <c r="R424" i="4" s="1"/>
  <c r="AA196" i="1"/>
  <c r="S423" i="4" s="1"/>
  <c r="AA195" i="1"/>
  <c r="S422" i="4" s="1"/>
  <c r="AB194" i="1"/>
  <c r="AA194" i="1"/>
  <c r="S421" i="4" s="1"/>
  <c r="AA193" i="1"/>
  <c r="AA192" i="1"/>
  <c r="S419" i="4" s="1"/>
  <c r="AA191" i="1"/>
  <c r="S418" i="4" s="1"/>
  <c r="AA190" i="1"/>
  <c r="S417" i="4" s="1"/>
  <c r="AB189" i="1"/>
  <c r="AA189" i="1"/>
  <c r="S416" i="4" s="1"/>
  <c r="AA188" i="1"/>
  <c r="S415" i="4" s="1"/>
  <c r="AA187" i="1"/>
  <c r="AN196" i="1"/>
  <c r="AF423" i="4" s="1"/>
  <c r="AN195" i="1"/>
  <c r="AF422" i="4" s="1"/>
  <c r="AO194" i="1"/>
  <c r="AN194" i="1"/>
  <c r="AF421" i="4" s="1"/>
  <c r="AN193" i="1"/>
  <c r="AF420" i="4" s="1"/>
  <c r="AO192" i="1"/>
  <c r="AN192" i="1"/>
  <c r="AF419" i="4" s="1"/>
  <c r="AN191" i="1"/>
  <c r="AF418" i="4" s="1"/>
  <c r="AN190" i="1"/>
  <c r="AN189" i="1"/>
  <c r="AF416" i="4" s="1"/>
  <c r="AO188" i="1"/>
  <c r="AN188" i="1"/>
  <c r="AF415" i="4" s="1"/>
  <c r="AN187" i="1"/>
  <c r="AF414" i="4" s="1"/>
  <c r="AA186" i="1"/>
  <c r="S413" i="4" s="1"/>
  <c r="AL180" i="1"/>
  <c r="AD407" i="4" s="1"/>
  <c r="AK180" i="1"/>
  <c r="AC407" i="4" s="1"/>
  <c r="Z180" i="1"/>
  <c r="AL178" i="1"/>
  <c r="AK178" i="1"/>
  <c r="AC405" i="4" s="1"/>
  <c r="Z178" i="1"/>
  <c r="AA179" i="1"/>
  <c r="S406" i="4" s="1"/>
  <c r="AA177" i="1"/>
  <c r="AA174" i="1"/>
  <c r="S401" i="4" s="1"/>
  <c r="AA173" i="1"/>
  <c r="S400" i="4" s="1"/>
  <c r="Z171" i="1"/>
  <c r="R398" i="4" s="1"/>
  <c r="Y171" i="1"/>
  <c r="Q398" i="4" s="1"/>
  <c r="X171" i="1"/>
  <c r="P398" i="4" s="1"/>
  <c r="W171" i="1"/>
  <c r="O398" i="4" s="1"/>
  <c r="V171" i="1"/>
  <c r="N398" i="4" s="1"/>
  <c r="U171" i="1"/>
  <c r="M398" i="4" s="1"/>
  <c r="T171" i="1"/>
  <c r="L398" i="4" s="1"/>
  <c r="S171" i="1"/>
  <c r="K398" i="4" s="1"/>
  <c r="R171" i="1"/>
  <c r="J398" i="4" s="1"/>
  <c r="AN174" i="1"/>
  <c r="AN173" i="1"/>
  <c r="AO172" i="1"/>
  <c r="AG399" i="4" s="1"/>
  <c r="AG172" i="1"/>
  <c r="Y399" i="4" s="1"/>
  <c r="AF172" i="1"/>
  <c r="X399" i="4" s="1"/>
  <c r="AE172" i="1"/>
  <c r="W399" i="4" s="1"/>
  <c r="AD172" i="1"/>
  <c r="AA172" i="1"/>
  <c r="S399" i="4" s="1"/>
  <c r="AA171" i="1"/>
  <c r="S398" i="4" s="1"/>
  <c r="AK168" i="1"/>
  <c r="AC395" i="4" s="1"/>
  <c r="W163" i="1"/>
  <c r="U163" i="1"/>
  <c r="Y144" i="1"/>
  <c r="U144" i="1"/>
  <c r="M371" i="4" s="1"/>
  <c r="AA143" i="1"/>
  <c r="AL143" i="1"/>
  <c r="AD370" i="4" s="1"/>
  <c r="AK143" i="1"/>
  <c r="AC370" i="4" s="1"/>
  <c r="AL142" i="1"/>
  <c r="AD369" i="4" s="1"/>
  <c r="AK142" i="1"/>
  <c r="AC369" i="4" s="1"/>
  <c r="AL141" i="1"/>
  <c r="AD368" i="4" s="1"/>
  <c r="AK141" i="1"/>
  <c r="AC368" i="4" s="1"/>
  <c r="AL140" i="1"/>
  <c r="AD367" i="4" s="1"/>
  <c r="AK140" i="1"/>
  <c r="AC367" i="4" s="1"/>
  <c r="AM139" i="1"/>
  <c r="AE366" i="4" s="1"/>
  <c r="AL139" i="1"/>
  <c r="AD366" i="4" s="1"/>
  <c r="AK139" i="1"/>
  <c r="U368" i="4"/>
  <c r="AD140" i="1"/>
  <c r="AM140" i="1"/>
  <c r="AE367" i="4" s="1"/>
  <c r="AD139" i="1"/>
  <c r="V366" i="4" s="1"/>
  <c r="AB139" i="1"/>
  <c r="AA139" i="1"/>
  <c r="S366" i="4" s="1"/>
  <c r="Z139" i="1"/>
  <c r="Z136" i="1"/>
  <c r="R363" i="4" s="1"/>
  <c r="Y136" i="1"/>
  <c r="Q363" i="4" s="1"/>
  <c r="AL134" i="1"/>
  <c r="AD361" i="4" s="1"/>
  <c r="AK134" i="1"/>
  <c r="AC361" i="4" s="1"/>
  <c r="AB132" i="1"/>
  <c r="AA132" i="1"/>
  <c r="Z132" i="1"/>
  <c r="R359" i="4" s="1"/>
  <c r="U132" i="1"/>
  <c r="M359" i="4" s="1"/>
  <c r="AL132" i="1"/>
  <c r="AL131" i="1"/>
  <c r="AD358" i="4" s="1"/>
  <c r="AK131" i="1"/>
  <c r="AC358" i="4" s="1"/>
  <c r="AL130" i="1"/>
  <c r="AD357" i="4" s="1"/>
  <c r="AK130" i="1"/>
  <c r="AC357" i="4" s="1"/>
  <c r="AL125" i="1"/>
  <c r="AD352" i="4" s="1"/>
  <c r="AK125" i="1"/>
  <c r="AC352" i="4" s="1"/>
  <c r="AL124" i="1"/>
  <c r="AD351" i="4" s="1"/>
  <c r="AK124" i="1"/>
  <c r="AC351" i="4" s="1"/>
  <c r="AM123" i="1"/>
  <c r="AE350" i="4" s="1"/>
  <c r="AL123" i="1"/>
  <c r="AD350" i="4" s="1"/>
  <c r="AK123" i="1"/>
  <c r="AC350" i="4" s="1"/>
  <c r="AL122" i="1"/>
  <c r="AD349" i="4" s="1"/>
  <c r="AK122" i="1"/>
  <c r="AC349" i="4" s="1"/>
  <c r="AM125" i="1"/>
  <c r="AE352" i="4" s="1"/>
  <c r="AM124" i="1"/>
  <c r="AE351" i="4" s="1"/>
  <c r="AD123" i="1"/>
  <c r="AB120" i="1"/>
  <c r="T347" i="4" s="1"/>
  <c r="AA120" i="1"/>
  <c r="Z120" i="1"/>
  <c r="Y120" i="1"/>
  <c r="U120" i="1"/>
  <c r="AL119" i="1"/>
  <c r="AD346" i="4" s="1"/>
  <c r="AK119" i="1"/>
  <c r="AC346" i="4" s="1"/>
  <c r="AL118" i="1"/>
  <c r="AD345" i="4" s="1"/>
  <c r="AK118" i="1"/>
  <c r="AC345" i="4" s="1"/>
  <c r="AM117" i="1"/>
  <c r="AE344" i="4" s="1"/>
  <c r="AL117" i="1"/>
  <c r="AD344" i="4" s="1"/>
  <c r="AK117" i="1"/>
  <c r="AC344" i="4" s="1"/>
  <c r="AL116" i="1"/>
  <c r="AD343" i="4" s="1"/>
  <c r="AK116" i="1"/>
  <c r="AD117" i="1"/>
  <c r="V344" i="4" s="1"/>
  <c r="AK113" i="1"/>
  <c r="AC340" i="4" s="1"/>
  <c r="Z104" i="1"/>
  <c r="Z106" i="1" s="1"/>
  <c r="Z102" i="1"/>
  <c r="Z79" i="1"/>
  <c r="Z75" i="1"/>
  <c r="Y75" i="1"/>
  <c r="AC66" i="1"/>
  <c r="AC69" i="1" s="1"/>
  <c r="AL64" i="1"/>
  <c r="AL63" i="1"/>
  <c r="AB63" i="1"/>
  <c r="Z57" i="1"/>
  <c r="R337" i="4" s="1"/>
  <c r="AO57" i="1"/>
  <c r="AG337" i="4" s="1"/>
  <c r="AL57" i="1"/>
  <c r="AD337" i="4" s="1"/>
  <c r="AK57" i="1"/>
  <c r="AC337" i="4" s="1"/>
  <c r="AL56" i="1"/>
  <c r="AD336" i="4" s="1"/>
  <c r="AK56" i="1"/>
  <c r="AC336" i="4" s="1"/>
  <c r="AG57" i="1"/>
  <c r="Y337" i="4" s="1"/>
  <c r="AF57" i="1"/>
  <c r="X337" i="4" s="1"/>
  <c r="AE57" i="1"/>
  <c r="W337" i="4" s="1"/>
  <c r="AD57" i="1"/>
  <c r="V337" i="4" s="1"/>
  <c r="AG54" i="1"/>
  <c r="Y334" i="4" s="1"/>
  <c r="AF54" i="1"/>
  <c r="X334" i="4" s="1"/>
  <c r="AE54" i="1"/>
  <c r="W334" i="4" s="1"/>
  <c r="AD54" i="1"/>
  <c r="V334" i="4" s="1"/>
  <c r="AC54" i="1"/>
  <c r="U334" i="4" s="1"/>
  <c r="AB55" i="1"/>
  <c r="T335" i="4" s="1"/>
  <c r="AA55" i="1"/>
  <c r="S335" i="4" s="1"/>
  <c r="Z55" i="1"/>
  <c r="R335" i="4" s="1"/>
  <c r="Y55" i="1"/>
  <c r="Q335" i="4" s="1"/>
  <c r="X55" i="1"/>
  <c r="P335" i="4" s="1"/>
  <c r="W55" i="1"/>
  <c r="O335" i="4" s="1"/>
  <c r="V55" i="1"/>
  <c r="U55" i="1"/>
  <c r="M335" i="4" s="1"/>
  <c r="T55" i="1"/>
  <c r="S55" i="1"/>
  <c r="K335" i="4" s="1"/>
  <c r="R55" i="1"/>
  <c r="J335" i="4" s="1"/>
  <c r="AB54" i="1"/>
  <c r="T334" i="4" s="1"/>
  <c r="AA54" i="1"/>
  <c r="S334" i="4" s="1"/>
  <c r="Z54" i="1"/>
  <c r="R334" i="4" s="1"/>
  <c r="Y54" i="1"/>
  <c r="Q334" i="4" s="1"/>
  <c r="X54" i="1"/>
  <c r="P334" i="4" s="1"/>
  <c r="W54" i="1"/>
  <c r="O334" i="4" s="1"/>
  <c r="V54" i="1"/>
  <c r="U54" i="1"/>
  <c r="M334" i="4" s="1"/>
  <c r="T54" i="1"/>
  <c r="L334" i="4" s="1"/>
  <c r="S54" i="1"/>
  <c r="K334" i="4" s="1"/>
  <c r="R54" i="1"/>
  <c r="J334" i="4" s="1"/>
  <c r="AB53" i="1"/>
  <c r="T333" i="4" s="1"/>
  <c r="AA53" i="1"/>
  <c r="S333" i="4" s="1"/>
  <c r="Z53" i="1"/>
  <c r="R333" i="4" s="1"/>
  <c r="Y53" i="1"/>
  <c r="Q333" i="4" s="1"/>
  <c r="X53" i="1"/>
  <c r="P333" i="4" s="1"/>
  <c r="W53" i="1"/>
  <c r="O333" i="4" s="1"/>
  <c r="V53" i="1"/>
  <c r="N333" i="4" s="1"/>
  <c r="U53" i="1"/>
  <c r="M333" i="4" s="1"/>
  <c r="T53" i="1"/>
  <c r="L333" i="4" s="1"/>
  <c r="S53" i="1"/>
  <c r="K333" i="4" s="1"/>
  <c r="R53" i="1"/>
  <c r="AB52" i="1"/>
  <c r="T332" i="4" s="1"/>
  <c r="AA52" i="1"/>
  <c r="S332" i="4" s="1"/>
  <c r="Z52" i="1"/>
  <c r="R332" i="4" s="1"/>
  <c r="Y52" i="1"/>
  <c r="Q332" i="4" s="1"/>
  <c r="X52" i="1"/>
  <c r="P332" i="4" s="1"/>
  <c r="W52" i="1"/>
  <c r="O332" i="4" s="1"/>
  <c r="V52" i="1"/>
  <c r="N332" i="4" s="1"/>
  <c r="U52" i="1"/>
  <c r="M332" i="4" s="1"/>
  <c r="T52" i="1"/>
  <c r="L332" i="4" s="1"/>
  <c r="S52" i="1"/>
  <c r="K332" i="4" s="1"/>
  <c r="R52" i="1"/>
  <c r="J332" i="4" s="1"/>
  <c r="AB48" i="1"/>
  <c r="Z47" i="1"/>
  <c r="R327" i="4" s="1"/>
  <c r="AL39" i="1"/>
  <c r="AD321" i="4" s="1"/>
  <c r="AK39" i="1"/>
  <c r="AC321" i="4" s="1"/>
  <c r="AR35" i="1"/>
  <c r="AQ35" i="1"/>
  <c r="AI317" i="4" s="1"/>
  <c r="AP35" i="1"/>
  <c r="AO35" i="1"/>
  <c r="AN35" i="1"/>
  <c r="AF317" i="4" s="1"/>
  <c r="AM35" i="1"/>
  <c r="AE317" i="4" s="1"/>
  <c r="AL35" i="1"/>
  <c r="AD317" i="4" s="1"/>
  <c r="AK35" i="1"/>
  <c r="AC317" i="4" s="1"/>
  <c r="AC33" i="1"/>
  <c r="U315" i="4" s="1"/>
  <c r="AB33" i="1"/>
  <c r="T315" i="4" s="1"/>
  <c r="AA33" i="1"/>
  <c r="S315" i="4" s="1"/>
  <c r="Z33" i="1"/>
  <c r="R315" i="4" s="1"/>
  <c r="Y33" i="1"/>
  <c r="X33" i="1"/>
  <c r="P315" i="4" s="1"/>
  <c r="W33" i="1"/>
  <c r="O315" i="4" s="1"/>
  <c r="V33" i="1"/>
  <c r="N315" i="4" s="1"/>
  <c r="U33" i="1"/>
  <c r="M315" i="4" s="1"/>
  <c r="T33" i="1"/>
  <c r="L315" i="4" s="1"/>
  <c r="S33" i="1"/>
  <c r="K315" i="4" s="1"/>
  <c r="R33" i="1"/>
  <c r="AL32" i="1"/>
  <c r="AK32" i="1"/>
  <c r="AL31" i="1"/>
  <c r="AD313" i="4" s="1"/>
  <c r="AK31" i="1"/>
  <c r="AC313" i="4" s="1"/>
  <c r="AC222" i="1"/>
  <c r="U441" i="4" s="1"/>
  <c r="AE17" i="1"/>
  <c r="W299" i="4" s="1"/>
  <c r="AC17" i="1"/>
  <c r="U299" i="4" s="1"/>
  <c r="AB17" i="1"/>
  <c r="T299" i="4" s="1"/>
  <c r="AA17" i="1"/>
  <c r="S299" i="4" s="1"/>
  <c r="Z17" i="1"/>
  <c r="R299" i="4" s="1"/>
  <c r="Y17" i="1"/>
  <c r="Q299" i="4" s="1"/>
  <c r="X17" i="1"/>
  <c r="P299" i="4" s="1"/>
  <c r="W17" i="1"/>
  <c r="O299" i="4" s="1"/>
  <c r="V17" i="1"/>
  <c r="N299" i="4" s="1"/>
  <c r="U17" i="1"/>
  <c r="M299" i="4" s="1"/>
  <c r="T17" i="1"/>
  <c r="L299" i="4" s="1"/>
  <c r="S17" i="1"/>
  <c r="K299" i="4" s="1"/>
  <c r="R17" i="1"/>
  <c r="AG16" i="1"/>
  <c r="Y298" i="4" s="1"/>
  <c r="AC16" i="1"/>
  <c r="U298" i="4" s="1"/>
  <c r="AB16" i="1"/>
  <c r="T298" i="4" s="1"/>
  <c r="AA16" i="1"/>
  <c r="S298" i="4" s="1"/>
  <c r="Z16" i="1"/>
  <c r="R298" i="4" s="1"/>
  <c r="Y16" i="1"/>
  <c r="Q298" i="4" s="1"/>
  <c r="X16" i="1"/>
  <c r="W16" i="1"/>
  <c r="O298" i="4" s="1"/>
  <c r="V16" i="1"/>
  <c r="N298" i="4" s="1"/>
  <c r="U16" i="1"/>
  <c r="M298" i="4" s="1"/>
  <c r="T16" i="1"/>
  <c r="L298" i="4" s="1"/>
  <c r="S16" i="1"/>
  <c r="K298" i="4" s="1"/>
  <c r="R16" i="1"/>
  <c r="AF15" i="1"/>
  <c r="X297" i="4" s="1"/>
  <c r="AE15" i="1"/>
  <c r="W297" i="4" s="1"/>
  <c r="AC15" i="1"/>
  <c r="U297" i="4" s="1"/>
  <c r="AB15" i="1"/>
  <c r="T297" i="4" s="1"/>
  <c r="AA15" i="1"/>
  <c r="S297" i="4" s="1"/>
  <c r="Z15" i="1"/>
  <c r="R297" i="4" s="1"/>
  <c r="Y15" i="1"/>
  <c r="X15" i="1"/>
  <c r="P297" i="4" s="1"/>
  <c r="W15" i="1"/>
  <c r="O297" i="4" s="1"/>
  <c r="V15" i="1"/>
  <c r="N297" i="4" s="1"/>
  <c r="U15" i="1"/>
  <c r="T15" i="1"/>
  <c r="L297" i="4" s="1"/>
  <c r="S15" i="1"/>
  <c r="K297" i="4" s="1"/>
  <c r="R15" i="1"/>
  <c r="AB9" i="1"/>
  <c r="T291" i="4" s="1"/>
  <c r="AA9" i="1"/>
  <c r="Z9" i="1"/>
  <c r="R291" i="4" s="1"/>
  <c r="Y9" i="1"/>
  <c r="Y152" i="1" s="1"/>
  <c r="Q379" i="4" s="1"/>
  <c r="X9" i="1"/>
  <c r="W9" i="1"/>
  <c r="O291" i="4" s="1"/>
  <c r="V9" i="1"/>
  <c r="U9" i="1"/>
  <c r="M291" i="4" s="1"/>
  <c r="T9" i="1"/>
  <c r="S9" i="1"/>
  <c r="R9" i="1"/>
  <c r="J291" i="4" s="1"/>
  <c r="AB6" i="1"/>
  <c r="AA6" i="1"/>
  <c r="Z6" i="1"/>
  <c r="Y6" i="1"/>
  <c r="Q288" i="4" s="1"/>
  <c r="X6" i="1"/>
  <c r="P288" i="4" s="1"/>
  <c r="W6" i="1"/>
  <c r="O288" i="4" s="1"/>
  <c r="V6" i="1"/>
  <c r="N288" i="4" s="1"/>
  <c r="U6" i="1"/>
  <c r="T6" i="1"/>
  <c r="L288" i="4" s="1"/>
  <c r="S6" i="1"/>
  <c r="K288" i="4" s="1"/>
  <c r="R6" i="1"/>
  <c r="J288" i="4" s="1"/>
  <c r="AL3" i="1"/>
  <c r="AL113" i="1" s="1"/>
  <c r="AD340" i="4" s="1"/>
  <c r="V2" i="1"/>
  <c r="AA20" i="3" l="1"/>
  <c r="S139" i="4" s="1"/>
  <c r="X39" i="3"/>
  <c r="AE16" i="1"/>
  <c r="W298" i="4" s="1"/>
  <c r="AF401" i="4"/>
  <c r="AN125" i="1"/>
  <c r="AO174" i="1"/>
  <c r="N514" i="4"/>
  <c r="N30" i="4"/>
  <c r="AA48" i="2"/>
  <c r="S527" i="4" s="1"/>
  <c r="S193" i="3"/>
  <c r="K210" i="4" s="1"/>
  <c r="K103" i="4"/>
  <c r="AA82" i="3"/>
  <c r="S124" i="4" s="1"/>
  <c r="S103" i="4"/>
  <c r="Z14" i="3"/>
  <c r="R113" i="4" s="1"/>
  <c r="U20" i="3"/>
  <c r="M139" i="4" s="1"/>
  <c r="M137" i="4"/>
  <c r="Y20" i="3"/>
  <c r="Q139" i="4" s="1"/>
  <c r="Q137" i="4"/>
  <c r="Z38" i="3"/>
  <c r="AA42" i="3"/>
  <c r="AA57" i="3"/>
  <c r="Z82" i="3"/>
  <c r="R124" i="4" s="1"/>
  <c r="AA117" i="3"/>
  <c r="S143" i="4" s="1"/>
  <c r="S141" i="4"/>
  <c r="S117" i="3"/>
  <c r="K143" i="4" s="1"/>
  <c r="S121" i="3"/>
  <c r="S229" i="3"/>
  <c r="S239" i="3"/>
  <c r="F4" i="10"/>
  <c r="E642" i="4" s="1"/>
  <c r="T239" i="3"/>
  <c r="T241" i="3" s="1"/>
  <c r="L103" i="4"/>
  <c r="V19" i="3"/>
  <c r="N138" i="4" s="1"/>
  <c r="N137" i="4"/>
  <c r="Z20" i="3"/>
  <c r="R139" i="4" s="1"/>
  <c r="R137" i="4"/>
  <c r="Z19" i="3"/>
  <c r="R138" i="4" s="1"/>
  <c r="W39" i="3"/>
  <c r="AC74" i="3"/>
  <c r="X117" i="3"/>
  <c r="P143" i="4" s="1"/>
  <c r="P141" i="4"/>
  <c r="U117" i="3"/>
  <c r="M143" i="4" s="1"/>
  <c r="G4" i="10"/>
  <c r="F642" i="4" s="1"/>
  <c r="S20" i="3"/>
  <c r="K139" i="4" s="1"/>
  <c r="K137" i="4"/>
  <c r="W19" i="3"/>
  <c r="O138" i="4" s="1"/>
  <c r="O137" i="4"/>
  <c r="AA19" i="3"/>
  <c r="S138" i="4" s="1"/>
  <c r="Z39" i="3"/>
  <c r="Y43" i="3"/>
  <c r="X116" i="3"/>
  <c r="P142" i="4" s="1"/>
  <c r="Y117" i="3"/>
  <c r="Q143" i="4" s="1"/>
  <c r="AA132" i="3"/>
  <c r="S159" i="4" s="1"/>
  <c r="V219" i="3"/>
  <c r="N103" i="4"/>
  <c r="R14" i="3"/>
  <c r="J113" i="4" s="1"/>
  <c r="V20" i="3"/>
  <c r="N139" i="4" s="1"/>
  <c r="Y39" i="3"/>
  <c r="AC38" i="3"/>
  <c r="AC39" i="3"/>
  <c r="W43" i="3"/>
  <c r="AA43" i="3"/>
  <c r="Z74" i="3"/>
  <c r="W59" i="3"/>
  <c r="O129" i="4" s="1"/>
  <c r="V117" i="3"/>
  <c r="N143" i="4" s="1"/>
  <c r="N141" i="4"/>
  <c r="Y116" i="3"/>
  <c r="Q142" i="4" s="1"/>
  <c r="Z117" i="3"/>
  <c r="R143" i="4" s="1"/>
  <c r="S132" i="3"/>
  <c r="K159" i="4" s="1"/>
  <c r="X66" i="2"/>
  <c r="P39" i="4" s="1"/>
  <c r="P541" i="4"/>
  <c r="Y68" i="2"/>
  <c r="AC68" i="2" s="1"/>
  <c r="AC65" i="2" s="1"/>
  <c r="AC66" i="2" s="1"/>
  <c r="Q541" i="4"/>
  <c r="AP172" i="1"/>
  <c r="AH399" i="4" s="1"/>
  <c r="AP57" i="1"/>
  <c r="AH337" i="4" s="1"/>
  <c r="N544" i="4"/>
  <c r="N38" i="4"/>
  <c r="O39" i="4"/>
  <c r="O545" i="4"/>
  <c r="O38" i="4"/>
  <c r="O544" i="4"/>
  <c r="P545" i="4"/>
  <c r="M545" i="4"/>
  <c r="M39" i="4"/>
  <c r="AQ162" i="3"/>
  <c r="AR162" i="3" s="1"/>
  <c r="L11" i="6"/>
  <c r="K228" i="4" s="1"/>
  <c r="AF130" i="3"/>
  <c r="X157" i="4" s="1"/>
  <c r="AF131" i="3"/>
  <c r="X158" i="4" s="1"/>
  <c r="AE151" i="3"/>
  <c r="W178" i="4" s="1"/>
  <c r="AE141" i="3"/>
  <c r="W168" i="4" s="1"/>
  <c r="AE176" i="3"/>
  <c r="W785" i="4" s="1"/>
  <c r="J11" i="6"/>
  <c r="I228" i="4" s="1"/>
  <c r="AM189" i="3"/>
  <c r="AE203" i="4" s="1"/>
  <c r="AN190" i="3"/>
  <c r="AG204" i="4" s="1"/>
  <c r="AD189" i="3"/>
  <c r="AG76" i="2"/>
  <c r="Y555" i="4" s="1"/>
  <c r="V504" i="4"/>
  <c r="V20" i="4"/>
  <c r="V505" i="4"/>
  <c r="V21" i="4"/>
  <c r="Z2" i="1"/>
  <c r="R284" i="4" s="1"/>
  <c r="N284" i="4"/>
  <c r="AK225" i="1"/>
  <c r="AC444" i="4" s="1"/>
  <c r="AC314" i="4"/>
  <c r="AL54" i="1"/>
  <c r="AD334" i="4" s="1"/>
  <c r="N334" i="4"/>
  <c r="AL53" i="1"/>
  <c r="AD333" i="4" s="1"/>
  <c r="AK120" i="1"/>
  <c r="AC347" i="4" s="1"/>
  <c r="AC343" i="4"/>
  <c r="Z126" i="1"/>
  <c r="R353" i="4" s="1"/>
  <c r="R347" i="4"/>
  <c r="AB126" i="1"/>
  <c r="T353" i="4" s="1"/>
  <c r="AA136" i="1"/>
  <c r="S363" i="4" s="1"/>
  <c r="S359" i="4"/>
  <c r="AB144" i="1"/>
  <c r="T366" i="4"/>
  <c r="AA144" i="1"/>
  <c r="S370" i="4"/>
  <c r="AA178" i="1"/>
  <c r="R405" i="4"/>
  <c r="AP188" i="1"/>
  <c r="AG415" i="4"/>
  <c r="AO190" i="1"/>
  <c r="AF417" i="4"/>
  <c r="AP192" i="1"/>
  <c r="AG419" i="4"/>
  <c r="AP194" i="1"/>
  <c r="AG421" i="4"/>
  <c r="AC194" i="1"/>
  <c r="T421" i="4"/>
  <c r="AO203" i="1"/>
  <c r="AF430" i="4"/>
  <c r="AK222" i="1"/>
  <c r="K441" i="4"/>
  <c r="V236" i="1"/>
  <c r="N455" i="4" s="1"/>
  <c r="Y241" i="1"/>
  <c r="Q460" i="4" s="1"/>
  <c r="Q459" i="4"/>
  <c r="AL225" i="1"/>
  <c r="AD314" i="4"/>
  <c r="AN33" i="1"/>
  <c r="AF315" i="4" s="1"/>
  <c r="Q315" i="4"/>
  <c r="AR54" i="1"/>
  <c r="AJ334" i="4" s="1"/>
  <c r="AJ317" i="4"/>
  <c r="AB47" i="1"/>
  <c r="T327" i="4" s="1"/>
  <c r="T328" i="4"/>
  <c r="AK53" i="1"/>
  <c r="AC333" i="4" s="1"/>
  <c r="J333" i="4"/>
  <c r="AK55" i="1"/>
  <c r="AC335" i="4" s="1"/>
  <c r="L335" i="4"/>
  <c r="AQ54" i="1"/>
  <c r="AI334" i="4" s="1"/>
  <c r="AL120" i="1"/>
  <c r="AD347" i="4" s="1"/>
  <c r="AA126" i="1"/>
  <c r="S347" i="4"/>
  <c r="AL136" i="1"/>
  <c r="AD363" i="4" s="1"/>
  <c r="AD359" i="4"/>
  <c r="AB136" i="1"/>
  <c r="T363" i="4" s="1"/>
  <c r="T359" i="4"/>
  <c r="AK144" i="1"/>
  <c r="AC371" i="4" s="1"/>
  <c r="AC366" i="4"/>
  <c r="U165" i="1"/>
  <c r="M392" i="4" s="1"/>
  <c r="M390" i="4"/>
  <c r="AB177" i="1"/>
  <c r="S404" i="4"/>
  <c r="AC189" i="1"/>
  <c r="T416" i="4"/>
  <c r="AC201" i="1"/>
  <c r="U428" i="4" s="1"/>
  <c r="T428" i="4"/>
  <c r="AO204" i="1"/>
  <c r="AF431" i="4"/>
  <c r="AK162" i="3"/>
  <c r="AC189" i="4" s="1"/>
  <c r="G10" i="12"/>
  <c r="F720" i="4" s="1"/>
  <c r="R11" i="1"/>
  <c r="J293" i="4" s="1"/>
  <c r="AK33" i="1"/>
  <c r="AC315" i="4" s="1"/>
  <c r="J315" i="4"/>
  <c r="U126" i="1"/>
  <c r="M347" i="4"/>
  <c r="Z144" i="1"/>
  <c r="R366" i="4"/>
  <c r="Y146" i="1"/>
  <c r="Q373" i="4" s="1"/>
  <c r="Q371" i="4"/>
  <c r="W165" i="1"/>
  <c r="O392" i="4" s="1"/>
  <c r="O390" i="4"/>
  <c r="AL181" i="1"/>
  <c r="AD405" i="4"/>
  <c r="AK181" i="1"/>
  <c r="AO187" i="1"/>
  <c r="AO191" i="1"/>
  <c r="AB187" i="1"/>
  <c r="S414" i="4"/>
  <c r="AB193" i="1"/>
  <c r="S420" i="4"/>
  <c r="AB195" i="1"/>
  <c r="S432" i="4"/>
  <c r="AO201" i="1"/>
  <c r="AL222" i="1"/>
  <c r="AD441" i="4" s="1"/>
  <c r="Q441" i="4"/>
  <c r="W241" i="1"/>
  <c r="O460" i="4" s="1"/>
  <c r="O459" i="4"/>
  <c r="AL162" i="3"/>
  <c r="H11" i="6" s="1"/>
  <c r="G228" i="4" s="1"/>
  <c r="AL168" i="1"/>
  <c r="AD395" i="4" s="1"/>
  <c r="AD285" i="4"/>
  <c r="W11" i="1"/>
  <c r="O293" i="4" s="1"/>
  <c r="AP54" i="1"/>
  <c r="AH334" i="4" s="1"/>
  <c r="AH317" i="4"/>
  <c r="AL55" i="1"/>
  <c r="AD335" i="4" s="1"/>
  <c r="N335" i="4"/>
  <c r="AL52" i="1"/>
  <c r="AD332" i="4" s="1"/>
  <c r="Y126" i="1"/>
  <c r="Q347" i="4"/>
  <c r="AO173" i="1"/>
  <c r="AF400" i="4"/>
  <c r="AB179" i="1"/>
  <c r="AA180" i="1"/>
  <c r="R407" i="4"/>
  <c r="AO189" i="1"/>
  <c r="AO195" i="1"/>
  <c r="AO196" i="1"/>
  <c r="AB190" i="1"/>
  <c r="AB202" i="1"/>
  <c r="AB205" i="1"/>
  <c r="AP202" i="1"/>
  <c r="AO202" i="1"/>
  <c r="AG429" i="4" s="1"/>
  <c r="AF429" i="4"/>
  <c r="AO205" i="1"/>
  <c r="AG432" i="4" s="1"/>
  <c r="AF432" i="4"/>
  <c r="R241" i="1"/>
  <c r="J460" i="4" s="1"/>
  <c r="J452" i="4"/>
  <c r="X241" i="1"/>
  <c r="P460" i="4" s="1"/>
  <c r="P459" i="4"/>
  <c r="H11" i="10"/>
  <c r="G649" i="4" s="1"/>
  <c r="H10" i="12"/>
  <c r="G720" i="4" s="1"/>
  <c r="Z11" i="1"/>
  <c r="C12" i="20" s="1"/>
  <c r="R288" i="4"/>
  <c r="W12" i="1"/>
  <c r="O294" i="4" s="1"/>
  <c r="AK16" i="1"/>
  <c r="AC298" i="4" s="1"/>
  <c r="J298" i="4"/>
  <c r="AP174" i="1"/>
  <c r="AG401" i="4"/>
  <c r="AL15" i="1"/>
  <c r="AD297" i="4" s="1"/>
  <c r="Q297" i="4"/>
  <c r="X18" i="1"/>
  <c r="P300" i="4" s="1"/>
  <c r="P291" i="4"/>
  <c r="W7" i="1"/>
  <c r="O289" i="4" s="1"/>
  <c r="AK17" i="1"/>
  <c r="AC299" i="4" s="1"/>
  <c r="J299" i="4"/>
  <c r="AN172" i="1"/>
  <c r="AF399" i="4" s="1"/>
  <c r="V399" i="4"/>
  <c r="AP173" i="1"/>
  <c r="AG400" i="4"/>
  <c r="G10" i="10"/>
  <c r="F648" i="4" s="1"/>
  <c r="V18" i="1"/>
  <c r="N291" i="4"/>
  <c r="S288" i="4"/>
  <c r="R12" i="1"/>
  <c r="J294" i="4" s="1"/>
  <c r="T288" i="4"/>
  <c r="R18" i="1"/>
  <c r="J300" i="4" s="1"/>
  <c r="J297" i="4"/>
  <c r="AD189" i="4"/>
  <c r="G8" i="12"/>
  <c r="F718" i="4" s="1"/>
  <c r="G8" i="10"/>
  <c r="M288" i="4"/>
  <c r="Y153" i="1"/>
  <c r="Q380" i="4" s="1"/>
  <c r="Q291" i="4"/>
  <c r="Y18" i="1"/>
  <c r="Q300" i="4" s="1"/>
  <c r="S18" i="1"/>
  <c r="K300" i="4" s="1"/>
  <c r="K291" i="4"/>
  <c r="AA18" i="1"/>
  <c r="S300" i="4" s="1"/>
  <c r="S291" i="4"/>
  <c r="U18" i="1"/>
  <c r="M300" i="4" s="1"/>
  <c r="M297" i="4"/>
  <c r="T18" i="1"/>
  <c r="L300" i="4" s="1"/>
  <c r="L291" i="4"/>
  <c r="AL16" i="1"/>
  <c r="AD298" i="4" s="1"/>
  <c r="P298" i="4"/>
  <c r="H10" i="10"/>
  <c r="G648" i="4" s="1"/>
  <c r="AE140" i="1"/>
  <c r="V367" i="4"/>
  <c r="AE123" i="1"/>
  <c r="V350" i="4"/>
  <c r="AO54" i="1"/>
  <c r="AG334" i="4" s="1"/>
  <c r="AG317" i="4"/>
  <c r="AM54" i="1"/>
  <c r="AE334" i="4" s="1"/>
  <c r="AM222" i="1"/>
  <c r="AE441" i="4" s="1"/>
  <c r="AO3" i="2"/>
  <c r="AF2" i="4"/>
  <c r="AE158" i="3"/>
  <c r="W185" i="4" s="1"/>
  <c r="AM141" i="1"/>
  <c r="AE368" i="4" s="1"/>
  <c r="AM57" i="1"/>
  <c r="AE337" i="4" s="1"/>
  <c r="U337" i="4"/>
  <c r="AD141" i="1"/>
  <c r="AC235" i="3"/>
  <c r="AM234" i="3"/>
  <c r="AE165" i="4"/>
  <c r="AM141" i="3"/>
  <c r="AE168" i="4" s="1"/>
  <c r="AE91" i="4"/>
  <c r="AE625" i="4"/>
  <c r="U628" i="4"/>
  <c r="U94" i="4"/>
  <c r="V625" i="4"/>
  <c r="V91" i="4"/>
  <c r="U626" i="4"/>
  <c r="U92" i="4"/>
  <c r="U93" i="4"/>
  <c r="U627" i="4"/>
  <c r="AD148" i="2"/>
  <c r="R590" i="4"/>
  <c r="R64" i="4"/>
  <c r="Q580" i="4"/>
  <c r="Q58" i="4"/>
  <c r="R58" i="4"/>
  <c r="R580" i="4"/>
  <c r="Q57" i="4"/>
  <c r="Q579" i="4"/>
  <c r="Q59" i="4"/>
  <c r="Q581" i="4"/>
  <c r="AD55" i="4"/>
  <c r="AD577" i="4"/>
  <c r="Q578" i="4"/>
  <c r="Q56" i="4"/>
  <c r="R581" i="4"/>
  <c r="R59" i="4"/>
  <c r="Q586" i="4"/>
  <c r="Q61" i="4"/>
  <c r="Y108" i="2"/>
  <c r="Q588" i="4" s="1"/>
  <c r="Z109" i="2"/>
  <c r="Y619" i="4"/>
  <c r="Y87" i="4"/>
  <c r="V621" i="4"/>
  <c r="V89" i="4"/>
  <c r="U621" i="4"/>
  <c r="U89" i="4"/>
  <c r="V86" i="4"/>
  <c r="V618" i="4"/>
  <c r="V571" i="4"/>
  <c r="V51" i="4"/>
  <c r="AC12" i="2"/>
  <c r="AC13" i="2"/>
  <c r="U6" i="4"/>
  <c r="U490" i="4"/>
  <c r="U53" i="4"/>
  <c r="U573" i="4"/>
  <c r="U52" i="4"/>
  <c r="U572" i="4"/>
  <c r="X47" i="2"/>
  <c r="P526" i="4" s="1"/>
  <c r="P521" i="4"/>
  <c r="AB44" i="2"/>
  <c r="T523" i="4" s="1"/>
  <c r="X6" i="3"/>
  <c r="X14" i="3"/>
  <c r="P113" i="4" s="1"/>
  <c r="X20" i="1"/>
  <c r="P302" i="4" s="1"/>
  <c r="P484" i="4"/>
  <c r="P4" i="4"/>
  <c r="T484" i="4"/>
  <c r="T4" i="4"/>
  <c r="P495" i="4"/>
  <c r="P11" i="4"/>
  <c r="X17" i="2"/>
  <c r="X7" i="1"/>
  <c r="P289" i="4" s="1"/>
  <c r="P29" i="4"/>
  <c r="P513" i="4"/>
  <c r="X165" i="3"/>
  <c r="P192" i="4" s="1"/>
  <c r="Y82" i="3"/>
  <c r="Q124" i="4" s="1"/>
  <c r="Y14" i="3"/>
  <c r="Q113" i="4" s="1"/>
  <c r="Q4" i="4"/>
  <c r="Q484" i="4"/>
  <c r="Q495" i="4"/>
  <c r="Q11" i="4"/>
  <c r="Y121" i="3"/>
  <c r="Y153" i="3"/>
  <c r="Q180" i="4" s="1"/>
  <c r="Y150" i="1"/>
  <c r="AL5" i="2"/>
  <c r="AD483" i="4"/>
  <c r="AD3" i="4"/>
  <c r="AL5" i="3"/>
  <c r="Y143" i="3"/>
  <c r="Q170" i="4" s="1"/>
  <c r="H4" i="6"/>
  <c r="AH432" i="4"/>
  <c r="AQ202" i="1"/>
  <c r="AH429" i="4"/>
  <c r="AE117" i="1"/>
  <c r="AB19" i="3"/>
  <c r="T138" i="4" s="1"/>
  <c r="T137" i="4"/>
  <c r="AI204" i="4"/>
  <c r="AC5" i="2"/>
  <c r="AC122" i="2"/>
  <c r="U73" i="4"/>
  <c r="U601" i="4"/>
  <c r="AC123" i="2"/>
  <c r="AD121" i="2"/>
  <c r="AC124" i="2"/>
  <c r="U580" i="4"/>
  <c r="U58" i="4"/>
  <c r="AC6" i="2"/>
  <c r="U485" i="4" s="1"/>
  <c r="AM98" i="2"/>
  <c r="AM99" i="2" s="1"/>
  <c r="U577" i="4"/>
  <c r="U55" i="4"/>
  <c r="AC99" i="2"/>
  <c r="AC100" i="2"/>
  <c r="H2" i="12"/>
  <c r="Y64" i="3"/>
  <c r="Y63" i="3"/>
  <c r="Y57" i="3"/>
  <c r="Y59" i="3"/>
  <c r="Q129" i="4" s="1"/>
  <c r="AF141" i="3"/>
  <c r="X168" i="4" s="1"/>
  <c r="AF140" i="3"/>
  <c r="X167" i="4" s="1"/>
  <c r="AF142" i="3"/>
  <c r="X169" i="4" s="1"/>
  <c r="AF16" i="1"/>
  <c r="X298" i="4" s="1"/>
  <c r="AK214" i="3"/>
  <c r="AK18" i="3"/>
  <c r="AC137" i="4" s="1"/>
  <c r="AK14" i="3"/>
  <c r="AC113" i="4" s="1"/>
  <c r="AA34" i="3"/>
  <c r="AB33" i="3"/>
  <c r="AA35" i="3"/>
  <c r="AR49" i="3"/>
  <c r="AR50" i="3"/>
  <c r="AG129" i="3"/>
  <c r="Y156" i="4" s="1"/>
  <c r="AG131" i="3"/>
  <c r="Y158" i="4" s="1"/>
  <c r="AG15" i="1"/>
  <c r="Y297" i="4" s="1"/>
  <c r="AG130" i="3"/>
  <c r="Y157" i="4" s="1"/>
  <c r="AB43" i="3"/>
  <c r="AB42" i="3"/>
  <c r="AA38" i="3"/>
  <c r="AB39" i="3"/>
  <c r="AE37" i="3"/>
  <c r="AA39" i="3"/>
  <c r="AE68" i="3"/>
  <c r="AN56" i="3"/>
  <c r="AE74" i="3"/>
  <c r="AD234" i="3"/>
  <c r="AN138" i="3"/>
  <c r="AF165" i="4" s="1"/>
  <c r="AD142" i="3"/>
  <c r="V169" i="4" s="1"/>
  <c r="AD139" i="3"/>
  <c r="V166" i="4" s="1"/>
  <c r="AD141" i="3"/>
  <c r="V168" i="4" s="1"/>
  <c r="AD16" i="1"/>
  <c r="V298" i="4" s="1"/>
  <c r="AE140" i="3"/>
  <c r="W167" i="4" s="1"/>
  <c r="U219" i="3"/>
  <c r="U165" i="3"/>
  <c r="M192" i="4" s="1"/>
  <c r="U143" i="3"/>
  <c r="U193" i="3"/>
  <c r="M210" i="4" s="1"/>
  <c r="U153" i="3"/>
  <c r="U132" i="3"/>
  <c r="M159" i="4" s="1"/>
  <c r="U121" i="3"/>
  <c r="U14" i="3"/>
  <c r="AA69" i="3"/>
  <c r="AA75" i="3"/>
  <c r="AE177" i="3"/>
  <c r="W786" i="4" s="1"/>
  <c r="AE178" i="3"/>
  <c r="W787" i="4" s="1"/>
  <c r="W20" i="3"/>
  <c r="O139" i="4" s="1"/>
  <c r="AF68" i="3"/>
  <c r="AB74" i="3"/>
  <c r="Z64" i="3"/>
  <c r="Z63" i="3"/>
  <c r="Z62" i="3"/>
  <c r="Z57" i="3"/>
  <c r="AA183" i="3"/>
  <c r="AA186" i="3"/>
  <c r="AA206" i="3"/>
  <c r="AA185" i="3"/>
  <c r="W193" i="3"/>
  <c r="W153" i="3"/>
  <c r="O180" i="4" s="1"/>
  <c r="W132" i="3"/>
  <c r="O159" i="4" s="1"/>
  <c r="W165" i="3"/>
  <c r="O192" i="4" s="1"/>
  <c r="W249" i="3"/>
  <c r="X20" i="3"/>
  <c r="P139" i="4" s="1"/>
  <c r="Z35" i="3"/>
  <c r="AD74" i="3"/>
  <c r="AD68" i="3"/>
  <c r="Z59" i="3"/>
  <c r="R129" i="4" s="1"/>
  <c r="AG68" i="3"/>
  <c r="AF74" i="3"/>
  <c r="T117" i="3"/>
  <c r="L143" i="4" s="1"/>
  <c r="AB117" i="3"/>
  <c r="T143" i="4" s="1"/>
  <c r="AB116" i="3"/>
  <c r="T142" i="4" s="1"/>
  <c r="V121" i="3"/>
  <c r="V132" i="3"/>
  <c r="N159" i="4" s="1"/>
  <c r="AK234" i="3"/>
  <c r="AK239" i="3" s="1"/>
  <c r="AK143" i="3"/>
  <c r="AC170" i="4" s="1"/>
  <c r="AD148" i="3"/>
  <c r="V175" i="4" s="1"/>
  <c r="AM148" i="3"/>
  <c r="AC151" i="3"/>
  <c r="U178" i="4" s="1"/>
  <c r="AC152" i="3"/>
  <c r="U179" i="4" s="1"/>
  <c r="AC150" i="3"/>
  <c r="U177" i="4" s="1"/>
  <c r="W180" i="3"/>
  <c r="W179" i="3"/>
  <c r="W177" i="3"/>
  <c r="W196" i="3"/>
  <c r="W197" i="3" s="1"/>
  <c r="AB206" i="3"/>
  <c r="AB185" i="3"/>
  <c r="V229" i="3"/>
  <c r="V227" i="3"/>
  <c r="V226" i="3"/>
  <c r="V228" i="3"/>
  <c r="Z227" i="3"/>
  <c r="V182" i="3"/>
  <c r="W228" i="3"/>
  <c r="X229" i="3"/>
  <c r="X219" i="3"/>
  <c r="X193" i="3"/>
  <c r="P210" i="4" s="1"/>
  <c r="X153" i="3"/>
  <c r="P180" i="4" s="1"/>
  <c r="X143" i="3"/>
  <c r="P170" i="4" s="1"/>
  <c r="X121" i="3"/>
  <c r="X59" i="3"/>
  <c r="P129" i="4" s="1"/>
  <c r="AB170" i="3"/>
  <c r="T197" i="4" s="1"/>
  <c r="AB214" i="3"/>
  <c r="AB14" i="3"/>
  <c r="T113" i="4" s="1"/>
  <c r="AB12" i="3"/>
  <c r="T111" i="4" s="1"/>
  <c r="AB10" i="3"/>
  <c r="T109" i="4" s="1"/>
  <c r="AB11" i="3"/>
  <c r="T110" i="4" s="1"/>
  <c r="AA14" i="3"/>
  <c r="S113" i="4" s="1"/>
  <c r="S14" i="3"/>
  <c r="K113" i="4" s="1"/>
  <c r="Z34" i="3"/>
  <c r="AD37" i="3"/>
  <c r="AS46" i="3"/>
  <c r="AO50" i="3"/>
  <c r="AM56" i="3"/>
  <c r="AM74" i="3" s="1"/>
  <c r="AB58" i="3"/>
  <c r="T128" i="4" s="1"/>
  <c r="AA59" i="3"/>
  <c r="S129" i="4" s="1"/>
  <c r="AG74" i="3"/>
  <c r="W121" i="3"/>
  <c r="X132" i="3"/>
  <c r="P159" i="4" s="1"/>
  <c r="AL141" i="3"/>
  <c r="X179" i="3"/>
  <c r="W182" i="3"/>
  <c r="AA184" i="3" s="1"/>
  <c r="W227" i="3"/>
  <c r="X226" i="3"/>
  <c r="W226" i="3"/>
  <c r="W225" i="3"/>
  <c r="AA225" i="3"/>
  <c r="W229" i="3"/>
  <c r="V225" i="3"/>
  <c r="V193" i="3"/>
  <c r="N210" i="4" s="1"/>
  <c r="V153" i="3"/>
  <c r="N180" i="4" s="1"/>
  <c r="V82" i="3"/>
  <c r="N124" i="4" s="1"/>
  <c r="AL214" i="3"/>
  <c r="AL10" i="3"/>
  <c r="AM237" i="3"/>
  <c r="AM15" i="1"/>
  <c r="AE297" i="4" s="1"/>
  <c r="R153" i="3"/>
  <c r="J180" i="4" s="1"/>
  <c r="R229" i="3"/>
  <c r="R132" i="3"/>
  <c r="R143" i="3"/>
  <c r="J170" i="4" s="1"/>
  <c r="R121" i="3"/>
  <c r="Z193" i="3"/>
  <c r="R210" i="4" s="1"/>
  <c r="Z132" i="3"/>
  <c r="R159" i="4" s="1"/>
  <c r="Z239" i="3"/>
  <c r="Z229" i="3"/>
  <c r="Z143" i="3"/>
  <c r="R170" i="4" s="1"/>
  <c r="Z153" i="3"/>
  <c r="R180" i="4" s="1"/>
  <c r="Z121" i="3"/>
  <c r="AK193" i="3"/>
  <c r="AC210" i="4" s="1"/>
  <c r="AK121" i="3"/>
  <c r="AG37" i="3"/>
  <c r="V57" i="3"/>
  <c r="AR82" i="3"/>
  <c r="AJ124" i="4" s="1"/>
  <c r="S173" i="3"/>
  <c r="S174" i="3"/>
  <c r="AA173" i="3"/>
  <c r="AA172" i="3"/>
  <c r="AA174" i="3"/>
  <c r="AA171" i="3"/>
  <c r="AA199" i="3"/>
  <c r="AB186" i="3"/>
  <c r="AA63" i="3"/>
  <c r="S231" i="3"/>
  <c r="AM17" i="1"/>
  <c r="AE299" i="4" s="1"/>
  <c r="S249" i="3"/>
  <c r="S153" i="3"/>
  <c r="S143" i="3"/>
  <c r="S165" i="3"/>
  <c r="K192" i="4" s="1"/>
  <c r="AA153" i="3"/>
  <c r="S180" i="4" s="1"/>
  <c r="AA193" i="3"/>
  <c r="S210" i="4" s="1"/>
  <c r="AA229" i="3"/>
  <c r="AA121" i="3"/>
  <c r="AA239" i="3"/>
  <c r="AA143" i="3"/>
  <c r="S170" i="4" s="1"/>
  <c r="AL193" i="3"/>
  <c r="AL132" i="3"/>
  <c r="AD159" i="4" s="1"/>
  <c r="AL82" i="3"/>
  <c r="AD124" i="4" s="1"/>
  <c r="V14" i="3"/>
  <c r="N113" i="4" s="1"/>
  <c r="AL12" i="3"/>
  <c r="AL28" i="3"/>
  <c r="AL26" i="3" s="1"/>
  <c r="AA116" i="3"/>
  <c r="S142" i="4" s="1"/>
  <c r="AE130" i="3"/>
  <c r="W157" i="4" s="1"/>
  <c r="AF129" i="3"/>
  <c r="X156" i="4" s="1"/>
  <c r="V143" i="3"/>
  <c r="N170" i="4" s="1"/>
  <c r="AL143" i="3"/>
  <c r="AD170" i="4" s="1"/>
  <c r="AL244" i="3"/>
  <c r="AL153" i="3"/>
  <c r="AD180" i="4" s="1"/>
  <c r="AL151" i="3"/>
  <c r="AL227" i="3"/>
  <c r="AL229" i="3"/>
  <c r="S179" i="3"/>
  <c r="T179" i="3"/>
  <c r="S180" i="3"/>
  <c r="AA196" i="3"/>
  <c r="AA197" i="3" s="1"/>
  <c r="AA180" i="3"/>
  <c r="AB179" i="3"/>
  <c r="AB180" i="3"/>
  <c r="AA177" i="3"/>
  <c r="AA179" i="3"/>
  <c r="AA178" i="3"/>
  <c r="W178" i="3"/>
  <c r="S219" i="3"/>
  <c r="W215" i="3"/>
  <c r="S216" i="3"/>
  <c r="S253" i="3"/>
  <c r="S218" i="3"/>
  <c r="AA253" i="3"/>
  <c r="AA216" i="3"/>
  <c r="AA219" i="3"/>
  <c r="AA217" i="3"/>
  <c r="AA215" i="3"/>
  <c r="X239" i="3"/>
  <c r="X237" i="3"/>
  <c r="X235" i="3"/>
  <c r="Y238" i="3"/>
  <c r="AB237" i="3"/>
  <c r="AB235" i="3"/>
  <c r="X236" i="3"/>
  <c r="X182" i="3"/>
  <c r="AB183" i="3" s="1"/>
  <c r="Y236" i="3"/>
  <c r="X238" i="3"/>
  <c r="AL22" i="3"/>
  <c r="V116" i="3"/>
  <c r="N142" i="4" s="1"/>
  <c r="Z116" i="3"/>
  <c r="R142" i="4" s="1"/>
  <c r="AM16" i="1"/>
  <c r="AE298" i="4" s="1"/>
  <c r="T143" i="3"/>
  <c r="L170" i="4" s="1"/>
  <c r="T165" i="3"/>
  <c r="T219" i="3"/>
  <c r="T193" i="3"/>
  <c r="L210" i="4" s="1"/>
  <c r="T153" i="3"/>
  <c r="L180" i="4" s="1"/>
  <c r="T132" i="3"/>
  <c r="T121" i="3"/>
  <c r="AB239" i="3"/>
  <c r="AB165" i="3"/>
  <c r="T192" i="4" s="1"/>
  <c r="AB153" i="3"/>
  <c r="T180" i="4" s="1"/>
  <c r="AB193" i="3"/>
  <c r="AB121" i="3"/>
  <c r="AB143" i="3"/>
  <c r="T170" i="4" s="1"/>
  <c r="AB132" i="3"/>
  <c r="T159" i="4" s="1"/>
  <c r="AB82" i="3"/>
  <c r="T124" i="4" s="1"/>
  <c r="W14" i="3"/>
  <c r="O113" i="4" s="1"/>
  <c r="AL14" i="3"/>
  <c r="T20" i="3"/>
  <c r="L139" i="4" s="1"/>
  <c r="Y19" i="3"/>
  <c r="Q138" i="4" s="1"/>
  <c r="AL18" i="3"/>
  <c r="U117" i="4"/>
  <c r="AB67" i="3"/>
  <c r="AB73" i="3"/>
  <c r="V59" i="3"/>
  <c r="N129" i="4" s="1"/>
  <c r="AL58" i="3"/>
  <c r="AL59" i="3" s="1"/>
  <c r="AD129" i="4" s="1"/>
  <c r="AE142" i="3"/>
  <c r="W169" i="4" s="1"/>
  <c r="W143" i="3"/>
  <c r="O170" i="4" s="1"/>
  <c r="AE160" i="3"/>
  <c r="AE234" i="3" s="1"/>
  <c r="R165" i="3"/>
  <c r="J192" i="4" s="1"/>
  <c r="Z163" i="3"/>
  <c r="Z165" i="3"/>
  <c r="R192" i="4" s="1"/>
  <c r="AA164" i="3"/>
  <c r="Z164" i="3"/>
  <c r="AM162" i="3"/>
  <c r="AE189" i="4" s="1"/>
  <c r="AD163" i="3"/>
  <c r="V190" i="4" s="1"/>
  <c r="Y239" i="3"/>
  <c r="Y229" i="3"/>
  <c r="Y249" i="3"/>
  <c r="Y219" i="3"/>
  <c r="Y34" i="3"/>
  <c r="AB38" i="3"/>
  <c r="Z42" i="3"/>
  <c r="AK224" i="3"/>
  <c r="AK132" i="3"/>
  <c r="AC159" i="4" s="1"/>
  <c r="AK176" i="3"/>
  <c r="Y132" i="3"/>
  <c r="Q159" i="4" s="1"/>
  <c r="AG142" i="3"/>
  <c r="Y169" i="4" s="1"/>
  <c r="AG140" i="3"/>
  <c r="Y167" i="4" s="1"/>
  <c r="AG141" i="3"/>
  <c r="Y168" i="4" s="1"/>
  <c r="AK244" i="3"/>
  <c r="AK249" i="3" s="1"/>
  <c r="AK153" i="3"/>
  <c r="AC180" i="4" s="1"/>
  <c r="AD161" i="3"/>
  <c r="V188" i="4" s="1"/>
  <c r="AM161" i="3"/>
  <c r="AE188" i="4" s="1"/>
  <c r="V249" i="3"/>
  <c r="V248" i="3"/>
  <c r="V245" i="3"/>
  <c r="V247" i="3"/>
  <c r="Z245" i="3"/>
  <c r="W117" i="3"/>
  <c r="O143" i="4" s="1"/>
  <c r="AM224" i="3"/>
  <c r="AE218" i="4" s="1"/>
  <c r="AM130" i="3"/>
  <c r="AE157" i="4" s="1"/>
  <c r="AM128" i="3"/>
  <c r="AE155" i="4" s="1"/>
  <c r="AL139" i="3"/>
  <c r="AL234" i="3"/>
  <c r="AL176" i="3"/>
  <c r="V164" i="3"/>
  <c r="V165" i="3"/>
  <c r="N192" i="4" s="1"/>
  <c r="V163" i="3"/>
  <c r="W173" i="3"/>
  <c r="W172" i="3"/>
  <c r="X196" i="3"/>
  <c r="X197" i="3" s="1"/>
  <c r="X177" i="3"/>
  <c r="AB177" i="3"/>
  <c r="X178" i="3"/>
  <c r="X180" i="3"/>
  <c r="AB197" i="3"/>
  <c r="Z225" i="3"/>
  <c r="X245" i="3"/>
  <c r="X248" i="3"/>
  <c r="X247" i="3"/>
  <c r="X249" i="3"/>
  <c r="X246" i="3"/>
  <c r="Y246" i="3"/>
  <c r="AM139" i="3"/>
  <c r="AE166" i="4" s="1"/>
  <c r="AE159" i="3"/>
  <c r="W186" i="4" s="1"/>
  <c r="W164" i="3"/>
  <c r="Y174" i="3"/>
  <c r="X173" i="3"/>
  <c r="X174" i="3"/>
  <c r="X171" i="3"/>
  <c r="AL170" i="3"/>
  <c r="Y178" i="3"/>
  <c r="Y196" i="3"/>
  <c r="Y197" i="3" s="1"/>
  <c r="Z180" i="3"/>
  <c r="W116" i="3"/>
  <c r="O142" i="4" s="1"/>
  <c r="AC224" i="3"/>
  <c r="U218" i="4" s="1"/>
  <c r="AC176" i="3"/>
  <c r="U785" i="4" s="1"/>
  <c r="AD127" i="3"/>
  <c r="V154" i="4" s="1"/>
  <c r="Y164" i="3"/>
  <c r="AB163" i="3"/>
  <c r="X164" i="3"/>
  <c r="X163" i="3"/>
  <c r="AO163" i="3"/>
  <c r="AG190" i="4" s="1"/>
  <c r="Y183" i="3"/>
  <c r="U206" i="3"/>
  <c r="U186" i="3"/>
  <c r="U185" i="3"/>
  <c r="Y184" i="3"/>
  <c r="Y193" i="3"/>
  <c r="AO49" i="3"/>
  <c r="Y165" i="3"/>
  <c r="Q192" i="4" s="1"/>
  <c r="Y163" i="3"/>
  <c r="AA165" i="3"/>
  <c r="S192" i="4" s="1"/>
  <c r="Z199" i="3"/>
  <c r="S206" i="3"/>
  <c r="S185" i="3"/>
  <c r="S186" i="3"/>
  <c r="U196" i="3"/>
  <c r="R253" i="3"/>
  <c r="R219" i="3"/>
  <c r="V220" i="3" s="1"/>
  <c r="Z253" i="3"/>
  <c r="Z219" i="3"/>
  <c r="Z218" i="3"/>
  <c r="Z216" i="3"/>
  <c r="Z215" i="3"/>
  <c r="Z237" i="3"/>
  <c r="Y206" i="3"/>
  <c r="Y185" i="3"/>
  <c r="Y186" i="3"/>
  <c r="AB178" i="3"/>
  <c r="T253" i="3"/>
  <c r="T218" i="3"/>
  <c r="T216" i="3"/>
  <c r="S164" i="3"/>
  <c r="AB229" i="3"/>
  <c r="T246" i="3"/>
  <c r="T249" i="3"/>
  <c r="T251" i="3" s="1"/>
  <c r="T248" i="3"/>
  <c r="T182" i="3"/>
  <c r="AB247" i="3"/>
  <c r="AB246" i="3"/>
  <c r="AB248" i="3"/>
  <c r="AB245" i="3"/>
  <c r="AB146" i="3" s="1"/>
  <c r="AB249" i="3"/>
  <c r="V173" i="3"/>
  <c r="V172" i="3"/>
  <c r="V179" i="3"/>
  <c r="V196" i="3"/>
  <c r="Z197" i="3" s="1"/>
  <c r="V180" i="3"/>
  <c r="V177" i="3"/>
  <c r="Z178" i="3"/>
  <c r="Z186" i="3"/>
  <c r="Z183" i="3"/>
  <c r="Z185" i="3"/>
  <c r="V218" i="3"/>
  <c r="V253" i="3"/>
  <c r="V215" i="3"/>
  <c r="U226" i="3"/>
  <c r="U229" i="3"/>
  <c r="U228" i="3"/>
  <c r="U253" i="3"/>
  <c r="Y225" i="3"/>
  <c r="V239" i="3"/>
  <c r="V236" i="3"/>
  <c r="V238" i="3"/>
  <c r="U249" i="3"/>
  <c r="U248" i="3"/>
  <c r="U246" i="3"/>
  <c r="AC141" i="3"/>
  <c r="U168" i="4" s="1"/>
  <c r="AE152" i="3"/>
  <c r="W179" i="4" s="1"/>
  <c r="T174" i="3"/>
  <c r="U218" i="3"/>
  <c r="U216" i="3"/>
  <c r="X228" i="3"/>
  <c r="X225" i="3"/>
  <c r="AB227" i="3"/>
  <c r="AA228" i="3"/>
  <c r="W239" i="3"/>
  <c r="W236" i="3"/>
  <c r="AC238" i="3"/>
  <c r="W219" i="3"/>
  <c r="W217" i="3"/>
  <c r="Y248" i="3"/>
  <c r="Y253" i="3"/>
  <c r="Y247" i="3"/>
  <c r="X253" i="3"/>
  <c r="X217" i="3"/>
  <c r="S226" i="3"/>
  <c r="AA227" i="3"/>
  <c r="R239" i="3"/>
  <c r="S241" i="3" s="1"/>
  <c r="Z238" i="3"/>
  <c r="Z235" i="3"/>
  <c r="AA235" i="3"/>
  <c r="AC236" i="3"/>
  <c r="Z247" i="3"/>
  <c r="Y216" i="3"/>
  <c r="W218" i="3"/>
  <c r="T229" i="3"/>
  <c r="T231" i="3" s="1"/>
  <c r="S238" i="3"/>
  <c r="T236" i="3"/>
  <c r="S236" i="3"/>
  <c r="W253" i="3"/>
  <c r="W248" i="3"/>
  <c r="Z246" i="3"/>
  <c r="W247" i="3"/>
  <c r="Z249" i="3"/>
  <c r="Y235" i="3"/>
  <c r="U239" i="3"/>
  <c r="U241" i="3" s="1"/>
  <c r="R249" i="3"/>
  <c r="W245" i="3"/>
  <c r="AA249" i="3"/>
  <c r="AA247" i="3"/>
  <c r="AA245" i="3"/>
  <c r="Y226" i="3"/>
  <c r="AB236" i="3"/>
  <c r="W246" i="3"/>
  <c r="L118" i="2"/>
  <c r="L117" i="2"/>
  <c r="L115" i="2"/>
  <c r="V142" i="2"/>
  <c r="V119" i="2"/>
  <c r="V118" i="2"/>
  <c r="V96" i="2"/>
  <c r="Z96" i="2"/>
  <c r="V95" i="2"/>
  <c r="V143" i="2"/>
  <c r="V38" i="2"/>
  <c r="V14" i="2"/>
  <c r="V13" i="2"/>
  <c r="V52" i="2"/>
  <c r="Z54" i="2" s="1"/>
  <c r="V16" i="2"/>
  <c r="Z13" i="2"/>
  <c r="V12" i="2"/>
  <c r="T18" i="2"/>
  <c r="AK42" i="2"/>
  <c r="AK43" i="2" s="1"/>
  <c r="R47" i="2"/>
  <c r="R48" i="2" s="1"/>
  <c r="S55" i="2"/>
  <c r="T53" i="2"/>
  <c r="Z83" i="2"/>
  <c r="AA82" i="2"/>
  <c r="Q142" i="2"/>
  <c r="Q118" i="2"/>
  <c r="Q95" i="2"/>
  <c r="R38" i="2"/>
  <c r="Q12" i="2"/>
  <c r="Q52" i="2"/>
  <c r="M11" i="2"/>
  <c r="R14" i="2"/>
  <c r="W12" i="2"/>
  <c r="Q14" i="2"/>
  <c r="U18" i="2"/>
  <c r="U19" i="2"/>
  <c r="T38" i="2"/>
  <c r="AG24" i="2"/>
  <c r="AG23" i="2"/>
  <c r="AB17" i="2"/>
  <c r="V66" i="2"/>
  <c r="Z65" i="2"/>
  <c r="J118" i="2"/>
  <c r="Y19" i="2"/>
  <c r="Y17" i="2"/>
  <c r="Y18" i="2"/>
  <c r="AC126" i="2"/>
  <c r="U606" i="4" s="1"/>
  <c r="AC151" i="2"/>
  <c r="U631" i="4" s="1"/>
  <c r="AC150" i="2"/>
  <c r="U630" i="4" s="1"/>
  <c r="AC127" i="2"/>
  <c r="U607" i="4" s="1"/>
  <c r="AC16" i="2"/>
  <c r="AC6" i="1"/>
  <c r="AC7" i="2"/>
  <c r="U486" i="4" s="1"/>
  <c r="AJ142" i="2"/>
  <c r="AD23" i="2"/>
  <c r="AD24" i="2"/>
  <c r="Z39" i="2"/>
  <c r="X68" i="2"/>
  <c r="AB68" i="2" s="1"/>
  <c r="AB65" i="2" s="1"/>
  <c r="AL150" i="2"/>
  <c r="AD630" i="4" s="1"/>
  <c r="AL34" i="2"/>
  <c r="AL127" i="2"/>
  <c r="AD607" i="4" s="1"/>
  <c r="AL16" i="2"/>
  <c r="AL7" i="2"/>
  <c r="AD486" i="4" s="1"/>
  <c r="L142" i="2"/>
  <c r="L14" i="2"/>
  <c r="L52" i="2"/>
  <c r="P54" i="2" s="1"/>
  <c r="L95" i="2"/>
  <c r="S142" i="2"/>
  <c r="S118" i="2"/>
  <c r="S95" i="2"/>
  <c r="S38" i="2"/>
  <c r="S16" i="2"/>
  <c r="W13" i="2"/>
  <c r="S13" i="2"/>
  <c r="S14" i="2"/>
  <c r="AA143" i="2"/>
  <c r="AA142" i="2"/>
  <c r="AA119" i="2"/>
  <c r="AA96" i="2"/>
  <c r="AA95" i="2"/>
  <c r="AB38" i="2"/>
  <c r="AA38" i="2"/>
  <c r="AA39" i="2" s="1"/>
  <c r="AA12" i="2"/>
  <c r="AA118" i="2"/>
  <c r="AA52" i="2"/>
  <c r="AA16" i="2"/>
  <c r="AA13" i="2"/>
  <c r="AB14" i="2"/>
  <c r="AL12" i="2"/>
  <c r="AA14" i="2"/>
  <c r="AA28" i="2"/>
  <c r="J52" i="2"/>
  <c r="S53" i="2"/>
  <c r="W38" i="2"/>
  <c r="W39" i="2" s="1"/>
  <c r="W36" i="2"/>
  <c r="W47" i="2"/>
  <c r="W35" i="2"/>
  <c r="AA36" i="2"/>
  <c r="AL104" i="2"/>
  <c r="AD583" i="4" s="1"/>
  <c r="AL106" i="2"/>
  <c r="AL103" i="2"/>
  <c r="AD582" i="4" s="1"/>
  <c r="AL100" i="2"/>
  <c r="AK16" i="2"/>
  <c r="AK103" i="2"/>
  <c r="AK34" i="2"/>
  <c r="U142" i="2"/>
  <c r="U118" i="2"/>
  <c r="U52" i="2"/>
  <c r="AK11" i="2"/>
  <c r="U13" i="2"/>
  <c r="AC52" i="2"/>
  <c r="AC143" i="2"/>
  <c r="U623" i="4" s="1"/>
  <c r="AC96" i="2"/>
  <c r="U575" i="4" s="1"/>
  <c r="AM11" i="2"/>
  <c r="AC14" i="2"/>
  <c r="X35" i="2"/>
  <c r="X36" i="2"/>
  <c r="AB35" i="2"/>
  <c r="X38" i="2"/>
  <c r="W142" i="2"/>
  <c r="W118" i="2"/>
  <c r="W96" i="2"/>
  <c r="W143" i="2"/>
  <c r="W119" i="2"/>
  <c r="W16" i="2"/>
  <c r="X19" i="2" s="1"/>
  <c r="W14" i="2"/>
  <c r="W95" i="2"/>
  <c r="W52" i="2"/>
  <c r="Y12" i="2"/>
  <c r="AB18" i="2"/>
  <c r="AB55" i="2"/>
  <c r="W68" i="2"/>
  <c r="AK93" i="2"/>
  <c r="AK92" i="2"/>
  <c r="AL99" i="2"/>
  <c r="AK127" i="2"/>
  <c r="Y142" i="2"/>
  <c r="Z47" i="2"/>
  <c r="Z35" i="2"/>
  <c r="AJ95" i="2"/>
  <c r="AJ93" i="2"/>
  <c r="N142" i="2"/>
  <c r="N95" i="2"/>
  <c r="N118" i="2"/>
  <c r="N52" i="2"/>
  <c r="N14" i="2"/>
  <c r="X142" i="2"/>
  <c r="X143" i="2"/>
  <c r="X118" i="2"/>
  <c r="X95" i="2"/>
  <c r="X52" i="2"/>
  <c r="X119" i="2"/>
  <c r="X14" i="2"/>
  <c r="Y34" i="2"/>
  <c r="AL31" i="2"/>
  <c r="Y22" i="2"/>
  <c r="R55" i="2"/>
  <c r="AB79" i="2"/>
  <c r="M94" i="2"/>
  <c r="AI91" i="2"/>
  <c r="AJ92" i="2" s="1"/>
  <c r="M95" i="2"/>
  <c r="N94" i="2"/>
  <c r="N92" i="2"/>
  <c r="M92" i="2"/>
  <c r="O142" i="2"/>
  <c r="O52" i="2"/>
  <c r="P53" i="2" s="1"/>
  <c r="O14" i="2"/>
  <c r="K11" i="2"/>
  <c r="L12" i="2" s="1"/>
  <c r="O95" i="2"/>
  <c r="Y118" i="2"/>
  <c r="Y143" i="2"/>
  <c r="Y95" i="2"/>
  <c r="Y119" i="2"/>
  <c r="Y52" i="2"/>
  <c r="Y96" i="2"/>
  <c r="Y14" i="2"/>
  <c r="T68" i="2"/>
  <c r="T47" i="2"/>
  <c r="T48" i="2" s="1"/>
  <c r="T42" i="2"/>
  <c r="X44" i="2"/>
  <c r="P523" i="4" s="1"/>
  <c r="X96" i="2"/>
  <c r="AK95" i="2"/>
  <c r="K115" i="2"/>
  <c r="K117" i="2"/>
  <c r="P142" i="2"/>
  <c r="P118" i="2"/>
  <c r="Z143" i="2"/>
  <c r="Z142" i="2"/>
  <c r="Z119" i="2"/>
  <c r="Z118" i="2"/>
  <c r="Z95" i="2"/>
  <c r="R12" i="2"/>
  <c r="Z16" i="2"/>
  <c r="AB47" i="2"/>
  <c r="T526" i="4" s="1"/>
  <c r="T54" i="2"/>
  <c r="T55" i="2"/>
  <c r="X76" i="2"/>
  <c r="AD91" i="2"/>
  <c r="AL95" i="2"/>
  <c r="AL93" i="2"/>
  <c r="L94" i="2"/>
  <c r="K95" i="2"/>
  <c r="AK100" i="2"/>
  <c r="AK104" i="2"/>
  <c r="AK106" i="2"/>
  <c r="AC130" i="2"/>
  <c r="AC119" i="2"/>
  <c r="U599" i="4" s="1"/>
  <c r="AC116" i="2"/>
  <c r="AD114" i="2"/>
  <c r="AC118" i="2"/>
  <c r="U598" i="4" s="1"/>
  <c r="AM114" i="2"/>
  <c r="AC117" i="2"/>
  <c r="U36" i="2"/>
  <c r="L92" i="2"/>
  <c r="AJ140" i="2"/>
  <c r="R142" i="2"/>
  <c r="V68" i="2"/>
  <c r="V36" i="2"/>
  <c r="J95" i="2"/>
  <c r="AC104" i="2"/>
  <c r="U583" i="4" s="1"/>
  <c r="AC106" i="2"/>
  <c r="AC103" i="2"/>
  <c r="U582" i="4" s="1"/>
  <c r="AD98" i="2"/>
  <c r="V108" i="2"/>
  <c r="V110" i="2"/>
  <c r="V109" i="2"/>
  <c r="U47" i="2"/>
  <c r="U48" i="2" s="1"/>
  <c r="U68" i="2"/>
  <c r="W110" i="2"/>
  <c r="W107" i="2"/>
  <c r="W109" i="2"/>
  <c r="AA107" i="2"/>
  <c r="AL118" i="2"/>
  <c r="AL115" i="2"/>
  <c r="AL116" i="2"/>
  <c r="AL142" i="2"/>
  <c r="AM147" i="2"/>
  <c r="AM146" i="2"/>
  <c r="T142" i="2"/>
  <c r="T118" i="2"/>
  <c r="AB143" i="2"/>
  <c r="AB142" i="2"/>
  <c r="AB119" i="2"/>
  <c r="AB96" i="2"/>
  <c r="T12" i="2"/>
  <c r="AB12" i="2"/>
  <c r="T13" i="2"/>
  <c r="AB13" i="2"/>
  <c r="AM91" i="2"/>
  <c r="Y110" i="2"/>
  <c r="Y107" i="2"/>
  <c r="Y109" i="2"/>
  <c r="AD140" i="2"/>
  <c r="AE138" i="2"/>
  <c r="AK139" i="2"/>
  <c r="AL153" i="2"/>
  <c r="AK140" i="2"/>
  <c r="AD153" i="2"/>
  <c r="AD147" i="2"/>
  <c r="AE145" i="2"/>
  <c r="AD146" i="2"/>
  <c r="Y156" i="2"/>
  <c r="X134" i="2"/>
  <c r="X132" i="2"/>
  <c r="AB131" i="2"/>
  <c r="W155" i="2"/>
  <c r="W156" i="2"/>
  <c r="W157" i="2"/>
  <c r="AJ116" i="2"/>
  <c r="AJ115" i="2"/>
  <c r="AK126" i="2"/>
  <c r="AK123" i="2"/>
  <c r="Y131" i="2"/>
  <c r="Y132" i="2"/>
  <c r="AK151" i="2"/>
  <c r="AK116" i="2"/>
  <c r="AJ118" i="2"/>
  <c r="AL126" i="2"/>
  <c r="AD606" i="4" s="1"/>
  <c r="AL123" i="2"/>
  <c r="AL122" i="2"/>
  <c r="AA134" i="2"/>
  <c r="Z132" i="2"/>
  <c r="Z134" i="2"/>
  <c r="AK130" i="2"/>
  <c r="AK132" i="2" s="1"/>
  <c r="K139" i="2"/>
  <c r="K141" i="2"/>
  <c r="L139" i="2"/>
  <c r="Z157" i="2"/>
  <c r="X109" i="2"/>
  <c r="AA108" i="2"/>
  <c r="S110" i="2"/>
  <c r="AB110" i="2"/>
  <c r="M117" i="2"/>
  <c r="M115" i="2"/>
  <c r="AM121" i="2"/>
  <c r="T134" i="2"/>
  <c r="S133" i="2"/>
  <c r="AB134" i="2"/>
  <c r="AA133" i="2"/>
  <c r="V132" i="2"/>
  <c r="AB133" i="2"/>
  <c r="AK147" i="2"/>
  <c r="X156" i="2"/>
  <c r="X157" i="2"/>
  <c r="AB154" i="2"/>
  <c r="L141" i="2"/>
  <c r="AK153" i="2"/>
  <c r="AB109" i="2"/>
  <c r="M141" i="2"/>
  <c r="M142" i="2"/>
  <c r="AA154" i="2"/>
  <c r="AA155" i="2"/>
  <c r="AB157" i="2"/>
  <c r="W133" i="2"/>
  <c r="AA132" i="2"/>
  <c r="AC153" i="2"/>
  <c r="AM138" i="2"/>
  <c r="AI138" i="2"/>
  <c r="AC140" i="2"/>
  <c r="AC142" i="2"/>
  <c r="U622" i="4" s="1"/>
  <c r="AK150" i="2"/>
  <c r="AL147" i="2"/>
  <c r="AL151" i="2"/>
  <c r="AD631" i="4" s="1"/>
  <c r="X108" i="2"/>
  <c r="AL140" i="2"/>
  <c r="X11" i="1"/>
  <c r="AK15" i="1"/>
  <c r="AC297" i="4" s="1"/>
  <c r="AB152" i="1"/>
  <c r="T379" i="4" s="1"/>
  <c r="AB153" i="1"/>
  <c r="T380" i="4" s="1"/>
  <c r="AB18" i="1"/>
  <c r="AL33" i="1"/>
  <c r="AD315" i="4" s="1"/>
  <c r="AC258" i="1"/>
  <c r="U480" i="4" s="1"/>
  <c r="AC48" i="1"/>
  <c r="U328" i="4" s="1"/>
  <c r="AD66" i="1"/>
  <c r="AD69" i="1" s="1"/>
  <c r="AD64" i="1" s="1"/>
  <c r="AC63" i="1"/>
  <c r="S20" i="1"/>
  <c r="K302" i="4" s="1"/>
  <c r="AK6" i="1"/>
  <c r="AK151" i="1" s="1"/>
  <c r="AC378" i="4" s="1"/>
  <c r="AA20" i="1"/>
  <c r="S302" i="4" s="1"/>
  <c r="AA7" i="1"/>
  <c r="S289" i="4" s="1"/>
  <c r="AA151" i="1"/>
  <c r="S378" i="4" s="1"/>
  <c r="AA11" i="1"/>
  <c r="D12" i="20" s="1"/>
  <c r="AA150" i="1"/>
  <c r="AK9" i="1"/>
  <c r="Z18" i="1"/>
  <c r="AL144" i="1"/>
  <c r="Z12" i="1"/>
  <c r="R294" i="4" s="1"/>
  <c r="T11" i="1"/>
  <c r="T20" i="1"/>
  <c r="L302" i="4" s="1"/>
  <c r="AB150" i="1"/>
  <c r="AB11" i="1"/>
  <c r="E12" i="20" s="1"/>
  <c r="AB151" i="1"/>
  <c r="T378" i="4" s="1"/>
  <c r="AB7" i="1"/>
  <c r="T289" i="4" s="1"/>
  <c r="S11" i="1"/>
  <c r="K293" i="4" s="1"/>
  <c r="AM142" i="1"/>
  <c r="AE369" i="4" s="1"/>
  <c r="AD142" i="1"/>
  <c r="Y7" i="1"/>
  <c r="Q289" i="4" s="1"/>
  <c r="U11" i="1"/>
  <c r="AC225" i="1"/>
  <c r="U444" i="4" s="1"/>
  <c r="AC53" i="1"/>
  <c r="U333" i="4" s="1"/>
  <c r="AD134" i="1"/>
  <c r="V361" i="4" s="1"/>
  <c r="AM134" i="1"/>
  <c r="AE361" i="4" s="1"/>
  <c r="AB196" i="1"/>
  <c r="T423" i="4" s="1"/>
  <c r="Z215" i="1"/>
  <c r="R782" i="4" s="1"/>
  <c r="Z235" i="1"/>
  <c r="R454" i="4" s="1"/>
  <c r="Z236" i="1"/>
  <c r="R455" i="4" s="1"/>
  <c r="AD233" i="1"/>
  <c r="V452" i="4" s="1"/>
  <c r="Z234" i="1"/>
  <c r="R453" i="4" s="1"/>
  <c r="Z241" i="1"/>
  <c r="R460" i="4" s="1"/>
  <c r="V234" i="1"/>
  <c r="N453" i="4" s="1"/>
  <c r="AL6" i="1"/>
  <c r="AD288" i="4" s="1"/>
  <c r="Z7" i="1"/>
  <c r="R289" i="4" s="1"/>
  <c r="W18" i="1"/>
  <c r="V11" i="1"/>
  <c r="N293" i="4" s="1"/>
  <c r="AE139" i="1"/>
  <c r="W366" i="4" s="1"/>
  <c r="AB191" i="1"/>
  <c r="S234" i="1"/>
  <c r="K453" i="4" s="1"/>
  <c r="W235" i="1"/>
  <c r="O454" i="4" s="1"/>
  <c r="AK233" i="1"/>
  <c r="AC452" i="4" s="1"/>
  <c r="S241" i="1"/>
  <c r="K460" i="4" s="1"/>
  <c r="AB172" i="1"/>
  <c r="AB203" i="1"/>
  <c r="T430" i="4" s="1"/>
  <c r="AL228" i="1"/>
  <c r="AL223" i="1"/>
  <c r="AD442" i="4" s="1"/>
  <c r="AL17" i="1"/>
  <c r="AD299" i="4" s="1"/>
  <c r="AK52" i="1"/>
  <c r="AC332" i="4" s="1"/>
  <c r="Y151" i="1"/>
  <c r="Q378" i="4" s="1"/>
  <c r="Y11" i="1"/>
  <c r="Z153" i="1"/>
  <c r="R380" i="4" s="1"/>
  <c r="Z152" i="1"/>
  <c r="R379" i="4" s="1"/>
  <c r="AM33" i="1"/>
  <c r="AE315" i="4" s="1"/>
  <c r="AN54" i="1"/>
  <c r="AF334" i="4" s="1"/>
  <c r="Z108" i="1"/>
  <c r="Z110" i="1" s="1"/>
  <c r="Z78" i="1"/>
  <c r="Z80" i="1" s="1"/>
  <c r="Z63" i="1" s="1"/>
  <c r="AM228" i="1"/>
  <c r="AE447" i="4" s="1"/>
  <c r="AM168" i="1"/>
  <c r="AE395" i="4" s="1"/>
  <c r="AM113" i="1"/>
  <c r="AE340" i="4" s="1"/>
  <c r="R20" i="1"/>
  <c r="J302" i="4" s="1"/>
  <c r="Z151" i="1"/>
  <c r="R378" i="4" s="1"/>
  <c r="Z150" i="1"/>
  <c r="V7" i="1"/>
  <c r="N289" i="4" s="1"/>
  <c r="AA153" i="1"/>
  <c r="S380" i="4" s="1"/>
  <c r="AA152" i="1"/>
  <c r="S379" i="4" s="1"/>
  <c r="AL9" i="1"/>
  <c r="AD291" i="4" s="1"/>
  <c r="AA259" i="1"/>
  <c r="S481" i="4" s="1"/>
  <c r="AB200" i="1"/>
  <c r="AA207" i="1"/>
  <c r="S434" i="4" s="1"/>
  <c r="AA197" i="1"/>
  <c r="S424" i="4" s="1"/>
  <c r="AM204" i="1"/>
  <c r="AE431" i="4" s="1"/>
  <c r="AB204" i="1"/>
  <c r="T431" i="4" s="1"/>
  <c r="AQ226" i="1"/>
  <c r="AI445" i="4" s="1"/>
  <c r="W234" i="1"/>
  <c r="O453" i="4" s="1"/>
  <c r="AC52" i="1"/>
  <c r="U332" i="4" s="1"/>
  <c r="U234" i="1"/>
  <c r="M453" i="4" s="1"/>
  <c r="AT35" i="1"/>
  <c r="AS35" i="1"/>
  <c r="AK54" i="1"/>
  <c r="AC334" i="4" s="1"/>
  <c r="AK132" i="1"/>
  <c r="AC359" i="4" s="1"/>
  <c r="U136" i="1"/>
  <c r="M363" i="4" s="1"/>
  <c r="AN259" i="1"/>
  <c r="AF481" i="4" s="1"/>
  <c r="AU35" i="1"/>
  <c r="AD124" i="1"/>
  <c r="AB173" i="1"/>
  <c r="X236" i="1"/>
  <c r="P455" i="4" s="1"/>
  <c r="X234" i="1"/>
  <c r="P453" i="4" s="1"/>
  <c r="X235" i="1"/>
  <c r="P454" i="4" s="1"/>
  <c r="AL126" i="1"/>
  <c r="AB174" i="1"/>
  <c r="AB188" i="1"/>
  <c r="Y235" i="1"/>
  <c r="Q454" i="4" s="1"/>
  <c r="Y234" i="1"/>
  <c r="Q453" i="4" s="1"/>
  <c r="Y236" i="1"/>
  <c r="Q455" i="4" s="1"/>
  <c r="U452" i="4"/>
  <c r="AN57" i="1"/>
  <c r="AF337" i="4" s="1"/>
  <c r="T234" i="1"/>
  <c r="L453" i="4" s="1"/>
  <c r="Z181" i="1"/>
  <c r="R408" i="4" s="1"/>
  <c r="AB186" i="1"/>
  <c r="AA233" i="1"/>
  <c r="S452" i="4" s="1"/>
  <c r="AA181" i="1"/>
  <c r="S408" i="4" s="1"/>
  <c r="AO200" i="1"/>
  <c r="AG427" i="4" s="1"/>
  <c r="AN207" i="1"/>
  <c r="AF434" i="4" s="1"/>
  <c r="AL233" i="1"/>
  <c r="AD452" i="4" s="1"/>
  <c r="U241" i="1"/>
  <c r="M460" i="4" s="1"/>
  <c r="W236" i="1"/>
  <c r="O455" i="4" s="1"/>
  <c r="AL240" i="1"/>
  <c r="AD459" i="4" s="1"/>
  <c r="AB192" i="1"/>
  <c r="R234" i="1"/>
  <c r="J453" i="4" s="1"/>
  <c r="V235" i="1"/>
  <c r="N454" i="4" s="1"/>
  <c r="AK240" i="1"/>
  <c r="AC459" i="4" s="1"/>
  <c r="T241" i="1"/>
  <c r="L460" i="4" s="1"/>
  <c r="V241" i="1"/>
  <c r="N460" i="4" s="1"/>
  <c r="X167" i="3" l="1"/>
  <c r="P194" i="4" s="1"/>
  <c r="AK165" i="3"/>
  <c r="AC192" i="4" s="1"/>
  <c r="X15" i="3"/>
  <c r="P114" i="4" s="1"/>
  <c r="C13" i="20"/>
  <c r="C31" i="20" s="1"/>
  <c r="C30" i="20"/>
  <c r="D13" i="20"/>
  <c r="D31" i="20" s="1"/>
  <c r="D30" i="20"/>
  <c r="Y20" i="1"/>
  <c r="Q302" i="4" s="1"/>
  <c r="E13" i="20"/>
  <c r="E31" i="20" s="1"/>
  <c r="E30" i="20"/>
  <c r="AL57" i="3"/>
  <c r="AL163" i="3"/>
  <c r="AD190" i="4" s="1"/>
  <c r="G11" i="6"/>
  <c r="AO125" i="1"/>
  <c r="AP125" i="1" s="1"/>
  <c r="X48" i="2"/>
  <c r="P527" i="4" s="1"/>
  <c r="AA49" i="2"/>
  <c r="O526" i="4"/>
  <c r="R30" i="4"/>
  <c r="R514" i="4"/>
  <c r="N515" i="4"/>
  <c r="N31" i="4"/>
  <c r="O515" i="4"/>
  <c r="O31" i="4"/>
  <c r="R518" i="4"/>
  <c r="R33" i="4"/>
  <c r="N517" i="4"/>
  <c r="N32" i="4"/>
  <c r="S528" i="4"/>
  <c r="S34" i="4"/>
  <c r="AB194" i="3"/>
  <c r="T210" i="4"/>
  <c r="U221" i="3"/>
  <c r="Z16" i="3"/>
  <c r="R115" i="4" s="1"/>
  <c r="S221" i="3"/>
  <c r="S155" i="3"/>
  <c r="K182" i="4" s="1"/>
  <c r="K180" i="4"/>
  <c r="S134" i="3"/>
  <c r="K161" i="4" s="1"/>
  <c r="J159" i="4"/>
  <c r="V122" i="3"/>
  <c r="N148" i="4" s="1"/>
  <c r="N147" i="4"/>
  <c r="U122" i="3"/>
  <c r="M147" i="4"/>
  <c r="U145" i="3"/>
  <c r="M172" i="4" s="1"/>
  <c r="M170" i="4"/>
  <c r="Y16" i="3"/>
  <c r="Q115" i="4" s="1"/>
  <c r="Y144" i="3"/>
  <c r="Q171" i="4" s="1"/>
  <c r="AL19" i="3"/>
  <c r="AD138" i="4" s="1"/>
  <c r="AD137" i="4"/>
  <c r="S251" i="3"/>
  <c r="AK122" i="3"/>
  <c r="AC148" i="4" s="1"/>
  <c r="AC147" i="4"/>
  <c r="W122" i="3"/>
  <c r="O148" i="4" s="1"/>
  <c r="O147" i="4"/>
  <c r="T122" i="3"/>
  <c r="L147" i="4"/>
  <c r="AA122" i="3"/>
  <c r="S148" i="4" s="1"/>
  <c r="S147" i="4"/>
  <c r="R122" i="3"/>
  <c r="J147" i="4"/>
  <c r="U155" i="3"/>
  <c r="M182" i="4" s="1"/>
  <c r="M180" i="4"/>
  <c r="T134" i="3"/>
  <c r="L161" i="4" s="1"/>
  <c r="L159" i="4"/>
  <c r="X166" i="3"/>
  <c r="P193" i="4" s="1"/>
  <c r="L192" i="4"/>
  <c r="S145" i="3"/>
  <c r="K172" i="4" s="1"/>
  <c r="K170" i="4"/>
  <c r="Z122" i="3"/>
  <c r="R148" i="4" s="1"/>
  <c r="R147" i="4"/>
  <c r="Y15" i="3"/>
  <c r="Q114" i="4" s="1"/>
  <c r="W194" i="3"/>
  <c r="O210" i="4"/>
  <c r="U16" i="3"/>
  <c r="M115" i="4" s="1"/>
  <c r="M113" i="4"/>
  <c r="S122" i="3"/>
  <c r="K148" i="4" s="1"/>
  <c r="K147" i="4"/>
  <c r="P38" i="4"/>
  <c r="P544" i="4"/>
  <c r="AB66" i="2"/>
  <c r="T39" i="4" s="1"/>
  <c r="AA65" i="2"/>
  <c r="Q544" i="4"/>
  <c r="Q38" i="4"/>
  <c r="Y66" i="2"/>
  <c r="Q39" i="4" s="1"/>
  <c r="U39" i="4"/>
  <c r="U545" i="4"/>
  <c r="AD65" i="2"/>
  <c r="R38" i="4"/>
  <c r="R544" i="4"/>
  <c r="N547" i="4"/>
  <c r="N41" i="4"/>
  <c r="Z68" i="2"/>
  <c r="N39" i="4"/>
  <c r="N545" i="4"/>
  <c r="O547" i="4"/>
  <c r="O41" i="4"/>
  <c r="M547" i="4"/>
  <c r="M41" i="4"/>
  <c r="Y503" i="4"/>
  <c r="Y19" i="4"/>
  <c r="Y502" i="4"/>
  <c r="Y18" i="4"/>
  <c r="U40" i="4"/>
  <c r="U546" i="4"/>
  <c r="AG65" i="2"/>
  <c r="U38" i="4"/>
  <c r="U544" i="4"/>
  <c r="AI189" i="4"/>
  <c r="M11" i="6"/>
  <c r="L228" i="4" s="1"/>
  <c r="AQ172" i="1"/>
  <c r="AI399" i="4" s="1"/>
  <c r="AQ57" i="1"/>
  <c r="AI337" i="4" s="1"/>
  <c r="AS162" i="3"/>
  <c r="AJ189" i="4"/>
  <c r="AR172" i="1"/>
  <c r="AJ399" i="4" s="1"/>
  <c r="N11" i="6"/>
  <c r="M228" i="4" s="1"/>
  <c r="AR57" i="1"/>
  <c r="AJ337" i="4" s="1"/>
  <c r="AF158" i="3"/>
  <c r="AG158" i="3" s="1"/>
  <c r="AM190" i="3"/>
  <c r="AE204" i="4" s="1"/>
  <c r="AF204" i="4"/>
  <c r="V203" i="4"/>
  <c r="AE189" i="3"/>
  <c r="V19" i="4"/>
  <c r="V503" i="4"/>
  <c r="V18" i="4"/>
  <c r="V502" i="4"/>
  <c r="AD123" i="2"/>
  <c r="AD4" i="2"/>
  <c r="AD103" i="2" s="1"/>
  <c r="V582" i="4" s="1"/>
  <c r="AD124" i="2"/>
  <c r="V76" i="4" s="1"/>
  <c r="AD122" i="2"/>
  <c r="V602" i="4" s="1"/>
  <c r="AC192" i="1"/>
  <c r="U419" i="4" s="1"/>
  <c r="T419" i="4"/>
  <c r="AC188" i="1"/>
  <c r="U415" i="4" s="1"/>
  <c r="T415" i="4"/>
  <c r="AS54" i="1"/>
  <c r="AK334" i="4" s="1"/>
  <c r="AK317" i="4"/>
  <c r="Z64" i="1"/>
  <c r="E36" i="6"/>
  <c r="AM192" i="1"/>
  <c r="AE419" i="4" s="1"/>
  <c r="AM188" i="1"/>
  <c r="AE415" i="4" s="1"/>
  <c r="AD353" i="4"/>
  <c r="AC173" i="1"/>
  <c r="U400" i="4" s="1"/>
  <c r="T400" i="4"/>
  <c r="AC172" i="1"/>
  <c r="U399" i="4" s="1"/>
  <c r="T399" i="4"/>
  <c r="AM190" i="1"/>
  <c r="AE417" i="4" s="1"/>
  <c r="T417" i="4"/>
  <c r="AP201" i="1"/>
  <c r="AG428" i="4"/>
  <c r="AP191" i="1"/>
  <c r="AG418" i="4"/>
  <c r="AD408" i="4"/>
  <c r="H9" i="6"/>
  <c r="M353" i="4"/>
  <c r="AK126" i="1"/>
  <c r="AC353" i="4" s="1"/>
  <c r="AE285" i="4"/>
  <c r="AN3" i="1"/>
  <c r="AP204" i="1"/>
  <c r="AG431" i="4"/>
  <c r="AL226" i="1"/>
  <c r="AD445" i="4" s="1"/>
  <c r="AD444" i="4"/>
  <c r="AP203" i="1"/>
  <c r="AG430" i="4"/>
  <c r="AQ194" i="1"/>
  <c r="AH421" i="4"/>
  <c r="AG417" i="4"/>
  <c r="AP190" i="1"/>
  <c r="AB178" i="1"/>
  <c r="S405" i="4"/>
  <c r="AB146" i="1"/>
  <c r="T371" i="4"/>
  <c r="AP196" i="1"/>
  <c r="AG423" i="4"/>
  <c r="AB180" i="1"/>
  <c r="S407" i="4"/>
  <c r="AC193" i="1"/>
  <c r="T420" i="4"/>
  <c r="AP187" i="1"/>
  <c r="AG414" i="4"/>
  <c r="U416" i="4"/>
  <c r="AM189" i="1"/>
  <c r="AE416" i="4" s="1"/>
  <c r="S353" i="4"/>
  <c r="AC205" i="1"/>
  <c r="U432" i="4" s="1"/>
  <c r="T432" i="4"/>
  <c r="AP195" i="1"/>
  <c r="AG422" i="4"/>
  <c r="AC179" i="1"/>
  <c r="T406" i="4"/>
  <c r="Y147" i="1"/>
  <c r="Q374" i="4" s="1"/>
  <c r="Q353" i="4"/>
  <c r="AM205" i="1"/>
  <c r="AE432" i="4" s="1"/>
  <c r="AC408" i="4"/>
  <c r="G9" i="6"/>
  <c r="R371" i="4"/>
  <c r="Z146" i="1"/>
  <c r="AK228" i="1"/>
  <c r="AC441" i="4"/>
  <c r="U421" i="4"/>
  <c r="AM194" i="1"/>
  <c r="AE421" i="4" s="1"/>
  <c r="AQ192" i="1"/>
  <c r="AH419" i="4"/>
  <c r="AQ188" i="1"/>
  <c r="AH415" i="4"/>
  <c r="AA146" i="1"/>
  <c r="S373" i="4" s="1"/>
  <c r="S371" i="4"/>
  <c r="AL229" i="1"/>
  <c r="AD448" i="4" s="1"/>
  <c r="AD447" i="4"/>
  <c r="AM191" i="1"/>
  <c r="AE418" i="4" s="1"/>
  <c r="T418" i="4"/>
  <c r="AL146" i="1"/>
  <c r="AD373" i="4" s="1"/>
  <c r="AD371" i="4"/>
  <c r="AC186" i="1"/>
  <c r="T413" i="4"/>
  <c r="AM226" i="1"/>
  <c r="AE445" i="4" s="1"/>
  <c r="T401" i="4"/>
  <c r="AC200" i="1"/>
  <c r="T427" i="4"/>
  <c r="AM203" i="1"/>
  <c r="AE430" i="4" s="1"/>
  <c r="AM196" i="1"/>
  <c r="AE423" i="4" s="1"/>
  <c r="AM52" i="1"/>
  <c r="AE332" i="4" s="1"/>
  <c r="AM202" i="1"/>
  <c r="AE429" i="4" s="1"/>
  <c r="T429" i="4"/>
  <c r="AP189" i="1"/>
  <c r="AG416" i="4"/>
  <c r="AC195" i="1"/>
  <c r="U422" i="4" s="1"/>
  <c r="T422" i="4"/>
  <c r="AC187" i="1"/>
  <c r="U414" i="4" s="1"/>
  <c r="T414" i="4"/>
  <c r="AM187" i="1"/>
  <c r="AE414" i="4" s="1"/>
  <c r="AM201" i="1"/>
  <c r="AE428" i="4" s="1"/>
  <c r="AC177" i="1"/>
  <c r="T404" i="4"/>
  <c r="AD2" i="1"/>
  <c r="V284" i="4" s="1"/>
  <c r="U20" i="1"/>
  <c r="AQ173" i="1"/>
  <c r="AH400" i="4"/>
  <c r="AD150" i="1"/>
  <c r="V377" i="4" s="1"/>
  <c r="R377" i="4"/>
  <c r="W20" i="1"/>
  <c r="O302" i="4" s="1"/>
  <c r="O300" i="4"/>
  <c r="U12" i="1"/>
  <c r="M294" i="4" s="1"/>
  <c r="M293" i="4"/>
  <c r="AF150" i="1"/>
  <c r="X377" i="4" s="1"/>
  <c r="T377" i="4"/>
  <c r="AE150" i="1"/>
  <c r="W377" i="4" s="1"/>
  <c r="S377" i="4"/>
  <c r="AC150" i="1"/>
  <c r="AC151" i="1"/>
  <c r="U378" i="4" s="1"/>
  <c r="T12" i="1"/>
  <c r="L294" i="4" s="1"/>
  <c r="L293" i="4"/>
  <c r="AL150" i="1"/>
  <c r="AD377" i="4" s="1"/>
  <c r="X24" i="1"/>
  <c r="P306" i="4" s="1"/>
  <c r="V20" i="1"/>
  <c r="N300" i="4"/>
  <c r="Z20" i="1"/>
  <c r="R302" i="4" s="1"/>
  <c r="R300" i="4"/>
  <c r="AH401" i="4"/>
  <c r="AQ174" i="1"/>
  <c r="AK153" i="1"/>
  <c r="AC380" i="4" s="1"/>
  <c r="AC291" i="4"/>
  <c r="S293" i="4"/>
  <c r="X21" i="1"/>
  <c r="P303" i="4" s="1"/>
  <c r="AK152" i="1"/>
  <c r="AC379" i="4" s="1"/>
  <c r="AK150" i="1"/>
  <c r="AC377" i="4" s="1"/>
  <c r="AC288" i="4"/>
  <c r="X37" i="1"/>
  <c r="P319" i="4" s="1"/>
  <c r="R293" i="4"/>
  <c r="F646" i="4"/>
  <c r="G11" i="12"/>
  <c r="F721" i="4" s="1"/>
  <c r="F228" i="4"/>
  <c r="G11" i="10"/>
  <c r="F649" i="4" s="1"/>
  <c r="AE142" i="1"/>
  <c r="V369" i="4"/>
  <c r="AE124" i="1"/>
  <c r="V351" i="4"/>
  <c r="W350" i="4"/>
  <c r="AF123" i="1"/>
  <c r="V352" i="4"/>
  <c r="AF140" i="1"/>
  <c r="W367" i="4"/>
  <c r="AU54" i="1"/>
  <c r="AM334" i="4" s="1"/>
  <c r="AM317" i="4"/>
  <c r="AT54" i="1"/>
  <c r="AL334" i="4" s="1"/>
  <c r="AL317" i="4"/>
  <c r="AM53" i="1"/>
  <c r="AE333" i="4" s="1"/>
  <c r="AP3" i="2"/>
  <c r="AG2" i="4"/>
  <c r="AE141" i="1"/>
  <c r="V368" i="4"/>
  <c r="AF160" i="3"/>
  <c r="AF234" i="3" s="1"/>
  <c r="W187" i="4"/>
  <c r="AM176" i="3"/>
  <c r="AE785" i="4" s="1"/>
  <c r="AE175" i="4"/>
  <c r="AE150" i="3"/>
  <c r="W177" i="4" s="1"/>
  <c r="AN16" i="1"/>
  <c r="AF298" i="4" s="1"/>
  <c r="W91" i="4"/>
  <c r="W625" i="4"/>
  <c r="AE626" i="4"/>
  <c r="AE92" i="4"/>
  <c r="V93" i="4"/>
  <c r="V627" i="4"/>
  <c r="AE93" i="4"/>
  <c r="AE627" i="4"/>
  <c r="V94" i="4"/>
  <c r="V628" i="4"/>
  <c r="V626" i="4"/>
  <c r="V92" i="4"/>
  <c r="AE121" i="2"/>
  <c r="AM100" i="2"/>
  <c r="Q587" i="4"/>
  <c r="Q62" i="4"/>
  <c r="AD578" i="4"/>
  <c r="AD56" i="4"/>
  <c r="AD586" i="4"/>
  <c r="AD61" i="4"/>
  <c r="R589" i="4"/>
  <c r="R63" i="4"/>
  <c r="AD57" i="4"/>
  <c r="AD579" i="4"/>
  <c r="Q63" i="4"/>
  <c r="Q589" i="4"/>
  <c r="Q590" i="4"/>
  <c r="Q64" i="4"/>
  <c r="U633" i="4"/>
  <c r="U97" i="4"/>
  <c r="U620" i="4"/>
  <c r="U88" i="4"/>
  <c r="V97" i="4"/>
  <c r="V633" i="4"/>
  <c r="W618" i="4"/>
  <c r="W86" i="4"/>
  <c r="AM153" i="2"/>
  <c r="AE618" i="4"/>
  <c r="AE86" i="4"/>
  <c r="V88" i="4"/>
  <c r="V620" i="4"/>
  <c r="U71" i="4"/>
  <c r="U597" i="4"/>
  <c r="U70" i="4"/>
  <c r="U596" i="4"/>
  <c r="AD130" i="2"/>
  <c r="V79" i="4" s="1"/>
  <c r="V68" i="4"/>
  <c r="V594" i="4"/>
  <c r="AE594" i="4"/>
  <c r="AE68" i="4"/>
  <c r="W571" i="4"/>
  <c r="W51" i="4"/>
  <c r="V570" i="4"/>
  <c r="V50" i="4"/>
  <c r="AE490" i="4"/>
  <c r="AE6" i="4"/>
  <c r="AE570" i="4"/>
  <c r="AE50" i="4"/>
  <c r="U493" i="4"/>
  <c r="U9" i="4"/>
  <c r="U531" i="4"/>
  <c r="U36" i="4"/>
  <c r="U492" i="4"/>
  <c r="U8" i="4"/>
  <c r="U491" i="4"/>
  <c r="U7" i="4"/>
  <c r="Y155" i="3"/>
  <c r="Q182" i="4" s="1"/>
  <c r="AC7" i="1"/>
  <c r="U289" i="4" s="1"/>
  <c r="P30" i="4"/>
  <c r="P514" i="4"/>
  <c r="X39" i="2"/>
  <c r="P32" i="4"/>
  <c r="P517" i="4"/>
  <c r="X122" i="3"/>
  <c r="P148" i="4" s="1"/>
  <c r="P147" i="4"/>
  <c r="P14" i="4"/>
  <c r="P498" i="4"/>
  <c r="P515" i="4"/>
  <c r="P31" i="4"/>
  <c r="T496" i="4"/>
  <c r="T12" i="4"/>
  <c r="X12" i="1"/>
  <c r="P294" i="4" s="1"/>
  <c r="P293" i="4"/>
  <c r="P41" i="4"/>
  <c r="P547" i="4"/>
  <c r="T30" i="4"/>
  <c r="T514" i="4"/>
  <c r="P496" i="4"/>
  <c r="P12" i="4"/>
  <c r="AD4" i="4"/>
  <c r="AD484" i="4"/>
  <c r="AD103" i="4"/>
  <c r="AL165" i="3"/>
  <c r="AL121" i="3"/>
  <c r="Q377" i="4"/>
  <c r="Q513" i="4"/>
  <c r="Q29" i="4"/>
  <c r="Y6" i="3"/>
  <c r="Y194" i="3"/>
  <c r="Q210" i="4"/>
  <c r="AD495" i="4"/>
  <c r="AD11" i="4"/>
  <c r="H81" i="10"/>
  <c r="H5" i="6"/>
  <c r="G222" i="4" s="1"/>
  <c r="G221" i="4"/>
  <c r="H4" i="10"/>
  <c r="H4" i="12"/>
  <c r="AD513" i="4"/>
  <c r="AD29" i="4"/>
  <c r="AL97" i="3"/>
  <c r="AL99" i="3" s="1"/>
  <c r="AL94" i="3"/>
  <c r="AL6" i="3"/>
  <c r="Q12" i="4"/>
  <c r="Q496" i="4"/>
  <c r="AL15" i="3"/>
  <c r="AD114" i="4" s="1"/>
  <c r="AD113" i="4"/>
  <c r="Q498" i="4"/>
  <c r="Q14" i="4"/>
  <c r="Y12" i="1"/>
  <c r="Q294" i="4" s="1"/>
  <c r="Q293" i="4"/>
  <c r="Q13" i="4"/>
  <c r="Q497" i="4"/>
  <c r="AL194" i="3"/>
  <c r="AD210" i="4"/>
  <c r="Y122" i="3"/>
  <c r="Q148" i="4" s="1"/>
  <c r="Q147" i="4"/>
  <c r="AI432" i="4"/>
  <c r="AR202" i="1"/>
  <c r="AI429" i="4"/>
  <c r="AG420" i="4"/>
  <c r="AF117" i="1"/>
  <c r="W344" i="4"/>
  <c r="T293" i="4"/>
  <c r="AB20" i="1"/>
  <c r="AB22" i="1" s="1"/>
  <c r="T304" i="4" s="1"/>
  <c r="T300" i="4"/>
  <c r="AB122" i="3"/>
  <c r="T148" i="4" s="1"/>
  <c r="T147" i="4"/>
  <c r="AC8" i="2"/>
  <c r="U487" i="4" s="1"/>
  <c r="U483" i="4"/>
  <c r="U3" i="4"/>
  <c r="AJ204" i="4"/>
  <c r="AC5" i="3"/>
  <c r="AC229" i="3" s="1"/>
  <c r="AM4" i="2"/>
  <c r="AM126" i="2" s="1"/>
  <c r="AE606" i="4" s="1"/>
  <c r="V74" i="4"/>
  <c r="U603" i="4"/>
  <c r="U75" i="4"/>
  <c r="AE601" i="4"/>
  <c r="AE73" i="4"/>
  <c r="V603" i="4"/>
  <c r="V75" i="4"/>
  <c r="U610" i="4"/>
  <c r="U79" i="4"/>
  <c r="U288" i="4"/>
  <c r="U76" i="4"/>
  <c r="U604" i="4"/>
  <c r="V73" i="4"/>
  <c r="V601" i="4"/>
  <c r="U602" i="4"/>
  <c r="U74" i="4"/>
  <c r="U586" i="4"/>
  <c r="U61" i="4"/>
  <c r="AE579" i="4"/>
  <c r="AE57" i="4"/>
  <c r="U484" i="4"/>
  <c r="U4" i="4"/>
  <c r="U579" i="4"/>
  <c r="U57" i="4"/>
  <c r="AE577" i="4"/>
  <c r="AE55" i="4"/>
  <c r="AE578" i="4"/>
  <c r="AE56" i="4"/>
  <c r="V577" i="4"/>
  <c r="V55" i="4"/>
  <c r="U495" i="4"/>
  <c r="U11" i="4"/>
  <c r="U578" i="4"/>
  <c r="U56" i="4"/>
  <c r="I19" i="6"/>
  <c r="H236" i="4" s="1"/>
  <c r="I2" i="12"/>
  <c r="J2" i="6"/>
  <c r="AM178" i="3"/>
  <c r="AE787" i="4" s="1"/>
  <c r="AM177" i="3"/>
  <c r="AE786" i="4" s="1"/>
  <c r="AM196" i="3"/>
  <c r="AE211" i="4" s="1"/>
  <c r="W16" i="3"/>
  <c r="O115" i="4" s="1"/>
  <c r="W15" i="3"/>
  <c r="O114" i="4" s="1"/>
  <c r="W133" i="3"/>
  <c r="O160" i="4" s="1"/>
  <c r="W134" i="3"/>
  <c r="O161" i="4" s="1"/>
  <c r="AO138" i="3"/>
  <c r="AG165" i="4" s="1"/>
  <c r="AN141" i="3"/>
  <c r="AF168" i="4" s="1"/>
  <c r="AN139" i="3"/>
  <c r="AF166" i="4" s="1"/>
  <c r="AB250" i="3"/>
  <c r="AB251" i="3"/>
  <c r="AD176" i="3"/>
  <c r="V785" i="4" s="1"/>
  <c r="AD130" i="3"/>
  <c r="V157" i="4" s="1"/>
  <c r="AN127" i="3"/>
  <c r="AF154" i="4" s="1"/>
  <c r="AD128" i="3"/>
  <c r="V155" i="4" s="1"/>
  <c r="AD15" i="1"/>
  <c r="AD131" i="3"/>
  <c r="V158" i="4" s="1"/>
  <c r="AD224" i="3"/>
  <c r="V218" i="4" s="1"/>
  <c r="V251" i="3"/>
  <c r="V250" i="3"/>
  <c r="AM163" i="3"/>
  <c r="AE190" i="4" s="1"/>
  <c r="AN163" i="3"/>
  <c r="AF190" i="4" s="1"/>
  <c r="T221" i="3"/>
  <c r="AE131" i="3"/>
  <c r="W158" i="4" s="1"/>
  <c r="AA144" i="3"/>
  <c r="S171" i="4" s="1"/>
  <c r="AA145" i="3"/>
  <c r="S172" i="4" s="1"/>
  <c r="Z133" i="3"/>
  <c r="R160" i="4" s="1"/>
  <c r="Z134" i="3"/>
  <c r="R161" i="4" s="1"/>
  <c r="W231" i="3"/>
  <c r="W230" i="3"/>
  <c r="AA61" i="3"/>
  <c r="S131" i="4" s="1"/>
  <c r="AE60" i="3"/>
  <c r="W130" i="4" s="1"/>
  <c r="X145" i="3"/>
  <c r="P172" i="4" s="1"/>
  <c r="X144" i="3"/>
  <c r="P171" i="4" s="1"/>
  <c r="W154" i="3"/>
  <c r="O181" i="4" s="1"/>
  <c r="W155" i="3"/>
  <c r="O182" i="4" s="1"/>
  <c r="V221" i="3"/>
  <c r="AN68" i="3"/>
  <c r="AN74" i="3"/>
  <c r="AC33" i="3"/>
  <c r="AB35" i="3"/>
  <c r="AB34" i="3"/>
  <c r="Y145" i="3"/>
  <c r="Q172" i="4" s="1"/>
  <c r="U231" i="3"/>
  <c r="AB231" i="3"/>
  <c r="AB230" i="3"/>
  <c r="Y207" i="3"/>
  <c r="Y167" i="3"/>
  <c r="Q194" i="4" s="1"/>
  <c r="Y166" i="3"/>
  <c r="Q193" i="4" s="1"/>
  <c r="AC178" i="3"/>
  <c r="U787" i="4" s="1"/>
  <c r="AC180" i="3"/>
  <c r="U789" i="4" s="1"/>
  <c r="AC177" i="3"/>
  <c r="U786" i="4" s="1"/>
  <c r="AC196" i="3"/>
  <c r="AC179" i="3"/>
  <c r="U788" i="4" s="1"/>
  <c r="AM225" i="3"/>
  <c r="AM227" i="3"/>
  <c r="Y134" i="3"/>
  <c r="Q161" i="4" s="1"/>
  <c r="Y133" i="3"/>
  <c r="Q160" i="4" s="1"/>
  <c r="W144" i="3"/>
  <c r="O171" i="4" s="1"/>
  <c r="W145" i="3"/>
  <c r="O172" i="4" s="1"/>
  <c r="AB154" i="3"/>
  <c r="T181" i="4" s="1"/>
  <c r="AB155" i="3"/>
  <c r="T182" i="4" s="1"/>
  <c r="AE129" i="3"/>
  <c r="W156" i="4" s="1"/>
  <c r="AA240" i="3"/>
  <c r="AA241" i="3"/>
  <c r="AB59" i="3"/>
  <c r="T129" i="4" s="1"/>
  <c r="AB57" i="3"/>
  <c r="AB63" i="3"/>
  <c r="T133" i="4" s="1"/>
  <c r="AB62" i="3"/>
  <c r="T132" i="4" s="1"/>
  <c r="AB64" i="3"/>
  <c r="T134" i="4" s="1"/>
  <c r="AB76" i="3"/>
  <c r="AA16" i="3"/>
  <c r="S115" i="4" s="1"/>
  <c r="AA15" i="3"/>
  <c r="S114" i="4" s="1"/>
  <c r="X155" i="3"/>
  <c r="P182" i="4" s="1"/>
  <c r="X154" i="3"/>
  <c r="P181" i="4" s="1"/>
  <c r="V134" i="3"/>
  <c r="N161" i="4" s="1"/>
  <c r="V133" i="3"/>
  <c r="N160" i="4" s="1"/>
  <c r="AD235" i="3"/>
  <c r="AD236" i="3"/>
  <c r="AD237" i="3"/>
  <c r="AD238" i="3"/>
  <c r="AA250" i="3"/>
  <c r="AA251" i="3"/>
  <c r="U251" i="3"/>
  <c r="AC227" i="3"/>
  <c r="AC225" i="3"/>
  <c r="U802" i="4"/>
  <c r="AC228" i="3"/>
  <c r="AC226" i="3"/>
  <c r="X251" i="3"/>
  <c r="X250" i="3"/>
  <c r="AE161" i="3"/>
  <c r="W188" i="4" s="1"/>
  <c r="Y221" i="3"/>
  <c r="Y220" i="3"/>
  <c r="AM32" i="3"/>
  <c r="AE117" i="4" s="1"/>
  <c r="AB167" i="3"/>
  <c r="T194" i="4" s="1"/>
  <c r="AB166" i="3"/>
  <c r="T193" i="4" s="1"/>
  <c r="T145" i="3"/>
  <c r="L172" i="4" s="1"/>
  <c r="AA256" i="3"/>
  <c r="AA257" i="3"/>
  <c r="AA254" i="3"/>
  <c r="AA255" i="3"/>
  <c r="Y154" i="3"/>
  <c r="Q181" i="4" s="1"/>
  <c r="AA124" i="3"/>
  <c r="S150" i="4" s="1"/>
  <c r="AA123" i="3"/>
  <c r="S149" i="4" s="1"/>
  <c r="AS82" i="3"/>
  <c r="AK124" i="4" s="1"/>
  <c r="X194" i="3"/>
  <c r="V124" i="3"/>
  <c r="N150" i="4" s="1"/>
  <c r="V123" i="3"/>
  <c r="N149" i="4" s="1"/>
  <c r="U134" i="3"/>
  <c r="M161" i="4" s="1"/>
  <c r="U257" i="3"/>
  <c r="U256" i="3"/>
  <c r="Z255" i="3"/>
  <c r="Z256" i="3"/>
  <c r="Z257" i="3"/>
  <c r="Z254" i="3"/>
  <c r="T16" i="3"/>
  <c r="L115" i="4" s="1"/>
  <c r="S16" i="3"/>
  <c r="K115" i="4" s="1"/>
  <c r="V185" i="3"/>
  <c r="V184" i="3"/>
  <c r="V186" i="3"/>
  <c r="V183" i="3"/>
  <c r="V206" i="3"/>
  <c r="Z207" i="3" s="1"/>
  <c r="AL199" i="3"/>
  <c r="AL172" i="3"/>
  <c r="AL171" i="3"/>
  <c r="X257" i="3"/>
  <c r="X254" i="3"/>
  <c r="X256" i="3"/>
  <c r="X255" i="3"/>
  <c r="AB240" i="3"/>
  <c r="AB241" i="3"/>
  <c r="Z123" i="3"/>
  <c r="R149" i="4" s="1"/>
  <c r="Z69" i="3"/>
  <c r="Z75" i="3"/>
  <c r="V254" i="3"/>
  <c r="V257" i="3"/>
  <c r="V256" i="3"/>
  <c r="V255" i="3"/>
  <c r="AL196" i="3"/>
  <c r="AL178" i="3"/>
  <c r="AL177" i="3"/>
  <c r="AK229" i="3"/>
  <c r="AL230" i="3" s="1"/>
  <c r="AK182" i="3"/>
  <c r="AK206" i="3" s="1"/>
  <c r="AL225" i="3"/>
  <c r="Y230" i="3"/>
  <c r="Y231" i="3"/>
  <c r="AA133" i="3"/>
  <c r="S160" i="4" s="1"/>
  <c r="S256" i="3"/>
  <c r="S257" i="3"/>
  <c r="AL154" i="3"/>
  <c r="AD181" i="4" s="1"/>
  <c r="AA194" i="3"/>
  <c r="AA134" i="3"/>
  <c r="S161" i="4" s="1"/>
  <c r="Z155" i="3"/>
  <c r="R182" i="4" s="1"/>
  <c r="Z154" i="3"/>
  <c r="R181" i="4" s="1"/>
  <c r="W124" i="3"/>
  <c r="O150" i="4" s="1"/>
  <c r="W123" i="3"/>
  <c r="O149" i="4" s="1"/>
  <c r="AT46" i="3"/>
  <c r="AS48" i="3"/>
  <c r="X231" i="3"/>
  <c r="X230" i="3"/>
  <c r="V231" i="3"/>
  <c r="V230" i="3"/>
  <c r="AC246" i="3"/>
  <c r="AC248" i="3"/>
  <c r="AC245" i="3"/>
  <c r="AC146" i="3" s="1"/>
  <c r="U173" i="4" s="1"/>
  <c r="AC247" i="3"/>
  <c r="V145" i="3"/>
  <c r="N172" i="4" s="1"/>
  <c r="V144" i="3"/>
  <c r="N171" i="4" s="1"/>
  <c r="Z241" i="3"/>
  <c r="Z240" i="3"/>
  <c r="AB174" i="3"/>
  <c r="T201" i="4" s="1"/>
  <c r="AB172" i="3"/>
  <c r="T199" i="4" s="1"/>
  <c r="AB171" i="3"/>
  <c r="T198" i="4" s="1"/>
  <c r="AB173" i="3"/>
  <c r="T200" i="4" s="1"/>
  <c r="AB199" i="3"/>
  <c r="T214" i="4" s="1"/>
  <c r="AK253" i="3"/>
  <c r="AK219" i="3"/>
  <c r="W221" i="3"/>
  <c r="W220" i="3"/>
  <c r="AA221" i="3"/>
  <c r="AA220" i="3"/>
  <c r="Z61" i="3"/>
  <c r="R131" i="4" s="1"/>
  <c r="AD60" i="3"/>
  <c r="V130" i="4" s="1"/>
  <c r="Z166" i="3"/>
  <c r="R193" i="4" s="1"/>
  <c r="Z167" i="3"/>
  <c r="R194" i="4" s="1"/>
  <c r="Z184" i="3"/>
  <c r="AA230" i="3"/>
  <c r="AA231" i="3"/>
  <c r="X133" i="3"/>
  <c r="P160" i="4" s="1"/>
  <c r="X134" i="3"/>
  <c r="P161" i="4" s="1"/>
  <c r="X221" i="3"/>
  <c r="X220" i="3"/>
  <c r="AE39" i="3"/>
  <c r="AF39" i="3"/>
  <c r="X16" i="3"/>
  <c r="P115" i="4" s="1"/>
  <c r="Y256" i="3"/>
  <c r="Y255" i="3"/>
  <c r="Y257" i="3"/>
  <c r="Y254" i="3"/>
  <c r="V241" i="3"/>
  <c r="V240" i="3"/>
  <c r="T206" i="3"/>
  <c r="T186" i="3"/>
  <c r="T185" i="3"/>
  <c r="T256" i="3"/>
  <c r="T257" i="3"/>
  <c r="AL239" i="3"/>
  <c r="AL237" i="3"/>
  <c r="AL235" i="3"/>
  <c r="AM235" i="3"/>
  <c r="Y241" i="3"/>
  <c r="Y240" i="3"/>
  <c r="AB134" i="3"/>
  <c r="T161" i="4" s="1"/>
  <c r="AB133" i="3"/>
  <c r="T160" i="4" s="1"/>
  <c r="X240" i="3"/>
  <c r="X241" i="3"/>
  <c r="AL182" i="3"/>
  <c r="AL245" i="3"/>
  <c r="AL249" i="3"/>
  <c r="AL250" i="3" s="1"/>
  <c r="AL247" i="3"/>
  <c r="AA155" i="3"/>
  <c r="S182" i="4" s="1"/>
  <c r="AA154" i="3"/>
  <c r="S181" i="4" s="1"/>
  <c r="Z144" i="3"/>
  <c r="R171" i="4" s="1"/>
  <c r="Z145" i="3"/>
  <c r="R172" i="4" s="1"/>
  <c r="V154" i="3"/>
  <c r="N181" i="4" s="1"/>
  <c r="V155" i="3"/>
  <c r="N182" i="4" s="1"/>
  <c r="AD39" i="3"/>
  <c r="AB15" i="3"/>
  <c r="T114" i="4" s="1"/>
  <c r="AB16" i="3"/>
  <c r="T115" i="4" s="1"/>
  <c r="AM244" i="3"/>
  <c r="AM151" i="3"/>
  <c r="AE178" i="4" s="1"/>
  <c r="AM149" i="3"/>
  <c r="AE176" i="4" s="1"/>
  <c r="W250" i="3"/>
  <c r="W251" i="3"/>
  <c r="Z251" i="3"/>
  <c r="Z250" i="3"/>
  <c r="AA167" i="3"/>
  <c r="S194" i="4" s="1"/>
  <c r="AA166" i="3"/>
  <c r="S193" i="4" s="1"/>
  <c r="V167" i="3"/>
  <c r="N194" i="4" s="1"/>
  <c r="V166" i="3"/>
  <c r="N193" i="4" s="1"/>
  <c r="W257" i="3"/>
  <c r="W254" i="3"/>
  <c r="W256" i="3"/>
  <c r="W255" i="3"/>
  <c r="W241" i="3"/>
  <c r="W240" i="3"/>
  <c r="Y250" i="3"/>
  <c r="Y251" i="3"/>
  <c r="AE236" i="3"/>
  <c r="AE238" i="3"/>
  <c r="AE237" i="3"/>
  <c r="AE235" i="3"/>
  <c r="Z15" i="3"/>
  <c r="R114" i="4" s="1"/>
  <c r="V15" i="3"/>
  <c r="N114" i="4" s="1"/>
  <c r="V16" i="3"/>
  <c r="N115" i="4" s="1"/>
  <c r="AL253" i="3"/>
  <c r="AL215" i="3"/>
  <c r="AL217" i="3"/>
  <c r="AL219" i="3"/>
  <c r="Z221" i="3"/>
  <c r="Z220" i="3"/>
  <c r="AF159" i="3"/>
  <c r="X186" i="4" s="1"/>
  <c r="AE224" i="3"/>
  <c r="W218" i="4" s="1"/>
  <c r="AB145" i="3"/>
  <c r="T172" i="4" s="1"/>
  <c r="AB144" i="3"/>
  <c r="T171" i="4" s="1"/>
  <c r="T155" i="3"/>
  <c r="L182" i="4" s="1"/>
  <c r="X184" i="3"/>
  <c r="X186" i="3"/>
  <c r="X185" i="3"/>
  <c r="X183" i="3"/>
  <c r="X206" i="3"/>
  <c r="X207" i="3" s="1"/>
  <c r="AL144" i="3"/>
  <c r="AD171" i="4" s="1"/>
  <c r="AL133" i="3"/>
  <c r="AD160" i="4" s="1"/>
  <c r="AG39" i="3"/>
  <c r="Z230" i="3"/>
  <c r="Z231" i="3"/>
  <c r="W184" i="3"/>
  <c r="W185" i="3"/>
  <c r="W206" i="3"/>
  <c r="W207" i="3" s="1"/>
  <c r="W186" i="3"/>
  <c r="W183" i="3"/>
  <c r="AB216" i="3"/>
  <c r="AB215" i="3"/>
  <c r="AB218" i="3"/>
  <c r="AB219" i="3"/>
  <c r="AB217" i="3"/>
  <c r="AB253" i="3"/>
  <c r="AB184" i="3"/>
  <c r="AD152" i="3"/>
  <c r="V179" i="4" s="1"/>
  <c r="AD151" i="3"/>
  <c r="V178" i="4" s="1"/>
  <c r="AD149" i="3"/>
  <c r="V176" i="4" s="1"/>
  <c r="AD17" i="1"/>
  <c r="V299" i="4" s="1"/>
  <c r="AD244" i="3"/>
  <c r="W167" i="3"/>
  <c r="O194" i="4" s="1"/>
  <c r="W166" i="3"/>
  <c r="O193" i="4" s="1"/>
  <c r="AD131" i="2"/>
  <c r="AM155" i="2"/>
  <c r="AE635" i="4" s="1"/>
  <c r="AM154" i="2"/>
  <c r="AC154" i="2"/>
  <c r="AC157" i="2"/>
  <c r="AC156" i="2"/>
  <c r="AC155" i="2"/>
  <c r="U635" i="4" s="1"/>
  <c r="AL52" i="2"/>
  <c r="Y53" i="2"/>
  <c r="Y55" i="2"/>
  <c r="Y54" i="2"/>
  <c r="AC54" i="2"/>
  <c r="U533" i="4" s="1"/>
  <c r="AM52" i="2"/>
  <c r="AC53" i="2"/>
  <c r="U532" i="4" s="1"/>
  <c r="AC55" i="2"/>
  <c r="U534" i="4" s="1"/>
  <c r="X69" i="2"/>
  <c r="X70" i="2"/>
  <c r="P549" i="4" s="1"/>
  <c r="X72" i="2"/>
  <c r="AB48" i="2"/>
  <c r="T527" i="4" s="1"/>
  <c r="AB49" i="2"/>
  <c r="W69" i="2"/>
  <c r="W70" i="2"/>
  <c r="O549" i="4" s="1"/>
  <c r="W72" i="2"/>
  <c r="W44" i="2"/>
  <c r="O523" i="4" s="1"/>
  <c r="AA44" i="2"/>
  <c r="S523" i="4" s="1"/>
  <c r="AE147" i="2"/>
  <c r="AF145" i="2"/>
  <c r="AE146" i="2"/>
  <c r="AE153" i="2"/>
  <c r="AE148" i="2"/>
  <c r="AM95" i="2"/>
  <c r="AE574" i="4" s="1"/>
  <c r="AM93" i="2"/>
  <c r="AM96" i="2"/>
  <c r="AE575" i="4" s="1"/>
  <c r="AM92" i="2"/>
  <c r="AL22" i="2"/>
  <c r="AC24" i="2"/>
  <c r="AC23" i="2"/>
  <c r="Z26" i="2"/>
  <c r="AK13" i="2"/>
  <c r="AK12" i="2"/>
  <c r="AK118" i="2"/>
  <c r="AL13" i="2"/>
  <c r="AL96" i="2"/>
  <c r="S18" i="2"/>
  <c r="S19" i="2"/>
  <c r="Z25" i="2"/>
  <c r="AK142" i="2"/>
  <c r="AL119" i="2"/>
  <c r="AC79" i="2"/>
  <c r="Z19" i="2"/>
  <c r="Z17" i="2"/>
  <c r="Z18" i="2"/>
  <c r="AL28" i="2"/>
  <c r="U54" i="2"/>
  <c r="AK52" i="2"/>
  <c r="U53" i="2"/>
  <c r="U55" i="2"/>
  <c r="AL17" i="2"/>
  <c r="AC18" i="2"/>
  <c r="AC19" i="2"/>
  <c r="AC17" i="2"/>
  <c r="T19" i="2"/>
  <c r="V39" i="2"/>
  <c r="U70" i="2"/>
  <c r="M549" i="4" s="1"/>
  <c r="U72" i="2"/>
  <c r="Z53" i="2"/>
  <c r="AD94" i="2"/>
  <c r="AD93" i="2"/>
  <c r="AE91" i="2"/>
  <c r="AD11" i="2"/>
  <c r="AA17" i="2"/>
  <c r="AA19" i="2"/>
  <c r="AA18" i="2"/>
  <c r="AB19" i="2"/>
  <c r="AE140" i="2"/>
  <c r="AF138" i="2"/>
  <c r="AE141" i="2"/>
  <c r="Z55" i="2"/>
  <c r="AK108" i="2"/>
  <c r="Y79" i="2"/>
  <c r="T72" i="2"/>
  <c r="T74" i="2" s="1"/>
  <c r="T70" i="2"/>
  <c r="AK68" i="2"/>
  <c r="N53" i="2"/>
  <c r="N54" i="2"/>
  <c r="R54" i="2"/>
  <c r="Z48" i="2"/>
  <c r="AM106" i="2"/>
  <c r="AM13" i="2"/>
  <c r="AM12" i="2"/>
  <c r="AA54" i="2"/>
  <c r="AA53" i="2"/>
  <c r="AA79" i="2"/>
  <c r="AM79" i="2" s="1"/>
  <c r="AE558" i="4" s="1"/>
  <c r="AB53" i="2"/>
  <c r="AA55" i="2"/>
  <c r="X49" i="2"/>
  <c r="AL38" i="2"/>
  <c r="AA83" i="2"/>
  <c r="AB82" i="2"/>
  <c r="AL155" i="2"/>
  <c r="AL154" i="2"/>
  <c r="W17" i="2"/>
  <c r="W19" i="2"/>
  <c r="W18" i="2"/>
  <c r="AB39" i="2"/>
  <c r="AD99" i="2"/>
  <c r="AD101" i="2"/>
  <c r="AD100" i="2"/>
  <c r="AE98" i="2"/>
  <c r="AD106" i="2"/>
  <c r="AC132" i="2"/>
  <c r="U612" i="4" s="1"/>
  <c r="AC131" i="2"/>
  <c r="AC134" i="2"/>
  <c r="AC133" i="2"/>
  <c r="Y38" i="2"/>
  <c r="Y36" i="2"/>
  <c r="Z70" i="2"/>
  <c r="R549" i="4" s="1"/>
  <c r="Y47" i="2"/>
  <c r="Q526" i="4" s="1"/>
  <c r="Y35" i="2"/>
  <c r="Z36" i="2"/>
  <c r="AM130" i="2"/>
  <c r="AM123" i="2"/>
  <c r="AM122" i="2"/>
  <c r="AJ139" i="2"/>
  <c r="AJ153" i="2"/>
  <c r="AK155" i="2" s="1"/>
  <c r="AD154" i="2"/>
  <c r="AD155" i="2"/>
  <c r="V635" i="4" s="1"/>
  <c r="AD157" i="2"/>
  <c r="AD156" i="2"/>
  <c r="AC109" i="2"/>
  <c r="AC108" i="2"/>
  <c r="U588" i="4" s="1"/>
  <c r="AC110" i="2"/>
  <c r="AC107" i="2"/>
  <c r="V72" i="2"/>
  <c r="V70" i="2"/>
  <c r="N549" i="4" s="1"/>
  <c r="V69" i="2"/>
  <c r="X79" i="2"/>
  <c r="W76" i="2"/>
  <c r="AB77" i="2"/>
  <c r="K142" i="2"/>
  <c r="K14" i="2"/>
  <c r="K52" i="2"/>
  <c r="K12" i="2"/>
  <c r="AJ106" i="2"/>
  <c r="Z72" i="2"/>
  <c r="Z69" i="2"/>
  <c r="W55" i="2"/>
  <c r="W54" i="2"/>
  <c r="W53" i="2"/>
  <c r="AK47" i="2"/>
  <c r="AK48" i="2" s="1"/>
  <c r="AK38" i="2"/>
  <c r="AK65" i="2"/>
  <c r="AA22" i="2"/>
  <c r="AB28" i="2"/>
  <c r="M118" i="2"/>
  <c r="M52" i="2"/>
  <c r="N55" i="2" s="1"/>
  <c r="M14" i="2"/>
  <c r="M12" i="2"/>
  <c r="N12" i="2"/>
  <c r="AI11" i="2"/>
  <c r="O53" i="2"/>
  <c r="O55" i="2"/>
  <c r="S54" i="2"/>
  <c r="W48" i="2"/>
  <c r="O527" i="4" s="1"/>
  <c r="W49" i="2"/>
  <c r="L55" i="2"/>
  <c r="L53" i="2"/>
  <c r="V53" i="2"/>
  <c r="V55" i="2"/>
  <c r="V54" i="2"/>
  <c r="AE124" i="2"/>
  <c r="AD116" i="2"/>
  <c r="AE114" i="2"/>
  <c r="AD117" i="2"/>
  <c r="AL132" i="2"/>
  <c r="AL108" i="2"/>
  <c r="AD588" i="4" s="1"/>
  <c r="AL107" i="2"/>
  <c r="AM6" i="1"/>
  <c r="AM140" i="2"/>
  <c r="AM143" i="2"/>
  <c r="AE623" i="4" s="1"/>
  <c r="AM139" i="2"/>
  <c r="AM142" i="2"/>
  <c r="AE622" i="4" s="1"/>
  <c r="AL143" i="2"/>
  <c r="P55" i="2"/>
  <c r="V44" i="2"/>
  <c r="N523" i="4" s="1"/>
  <c r="V47" i="2"/>
  <c r="N526" i="4" s="1"/>
  <c r="AD521" i="4"/>
  <c r="AM115" i="2"/>
  <c r="AM119" i="2"/>
  <c r="AE599" i="4" s="1"/>
  <c r="AM116" i="2"/>
  <c r="AM118" i="2"/>
  <c r="AE598" i="4" s="1"/>
  <c r="K118" i="2"/>
  <c r="X55" i="2"/>
  <c r="X53" i="2"/>
  <c r="AB54" i="2"/>
  <c r="X54" i="2"/>
  <c r="AL131" i="2"/>
  <c r="Z44" i="2"/>
  <c r="R523" i="4" s="1"/>
  <c r="Q53" i="2"/>
  <c r="Q54" i="2"/>
  <c r="AJ52" i="2"/>
  <c r="Q55" i="2"/>
  <c r="R53" i="2"/>
  <c r="V19" i="2"/>
  <c r="V18" i="2"/>
  <c r="V17" i="2"/>
  <c r="X18" i="2"/>
  <c r="W22" i="1"/>
  <c r="O304" i="4" s="1"/>
  <c r="W24" i="1"/>
  <c r="O306" i="4" s="1"/>
  <c r="AL20" i="1"/>
  <c r="AD302" i="4" s="1"/>
  <c r="AF139" i="1"/>
  <c r="X366" i="4" s="1"/>
  <c r="T24" i="1"/>
  <c r="T21" i="1"/>
  <c r="L303" i="4" s="1"/>
  <c r="T37" i="1"/>
  <c r="L319" i="4" s="1"/>
  <c r="AB207" i="1"/>
  <c r="T434" i="4" s="1"/>
  <c r="AB259" i="1"/>
  <c r="T481" i="4" s="1"/>
  <c r="AM200" i="1"/>
  <c r="AE427" i="4" s="1"/>
  <c r="AK215" i="1"/>
  <c r="AC782" i="4" s="1"/>
  <c r="AK234" i="1"/>
  <c r="AC453" i="4" s="1"/>
  <c r="AD240" i="1"/>
  <c r="V459" i="4" s="1"/>
  <c r="AD186" i="1"/>
  <c r="AD235" i="1"/>
  <c r="V454" i="4" s="1"/>
  <c r="AD215" i="1"/>
  <c r="V782" i="4" s="1"/>
  <c r="AA12" i="1"/>
  <c r="S294" i="4" s="1"/>
  <c r="Z48" i="1"/>
  <c r="R328" i="4" s="1"/>
  <c r="AA64" i="1"/>
  <c r="Z258" i="1"/>
  <c r="R480" i="4" s="1"/>
  <c r="AA66" i="1"/>
  <c r="AA69" i="1" s="1"/>
  <c r="AE134" i="1"/>
  <c r="W361" i="4" s="1"/>
  <c r="Y37" i="1"/>
  <c r="Q319" i="4" s="1"/>
  <c r="Y22" i="1"/>
  <c r="Q304" i="4" s="1"/>
  <c r="Y21" i="1"/>
  <c r="Q303" i="4" s="1"/>
  <c r="Y24" i="1"/>
  <c r="Q306" i="4" s="1"/>
  <c r="V12" i="1"/>
  <c r="N294" i="4" s="1"/>
  <c r="AL11" i="1"/>
  <c r="AK18" i="1"/>
  <c r="AC300" i="4" s="1"/>
  <c r="AD258" i="1"/>
  <c r="V480" i="4" s="1"/>
  <c r="AE66" i="1"/>
  <c r="AE69" i="1" s="1"/>
  <c r="AE64" i="1" s="1"/>
  <c r="AD48" i="1"/>
  <c r="V328" i="4" s="1"/>
  <c r="X22" i="1"/>
  <c r="P304" i="4" s="1"/>
  <c r="AO259" i="1"/>
  <c r="AG481" i="4" s="1"/>
  <c r="AO207" i="1"/>
  <c r="AG434" i="4" s="1"/>
  <c r="AP200" i="1"/>
  <c r="AH427" i="4" s="1"/>
  <c r="AC234" i="1"/>
  <c r="U453" i="4" s="1"/>
  <c r="AC215" i="1"/>
  <c r="U782" i="4" s="1"/>
  <c r="AC235" i="1"/>
  <c r="U454" i="4" s="1"/>
  <c r="AG233" i="1"/>
  <c r="Y452" i="4" s="1"/>
  <c r="Z37" i="1"/>
  <c r="R319" i="4" s="1"/>
  <c r="AA215" i="1"/>
  <c r="S782" i="4" s="1"/>
  <c r="AA236" i="1"/>
  <c r="S455" i="4" s="1"/>
  <c r="AE233" i="1"/>
  <c r="W452" i="4" s="1"/>
  <c r="AA234" i="1"/>
  <c r="S453" i="4" s="1"/>
  <c r="AA235" i="1"/>
  <c r="S454" i="4" s="1"/>
  <c r="AA241" i="1"/>
  <c r="S460" i="4" s="1"/>
  <c r="U146" i="1"/>
  <c r="M373" i="4" s="1"/>
  <c r="AK136" i="1"/>
  <c r="AC363" i="4" s="1"/>
  <c r="AB233" i="1"/>
  <c r="T452" i="4" s="1"/>
  <c r="AB197" i="1"/>
  <c r="T424" i="4" s="1"/>
  <c r="AL153" i="1"/>
  <c r="AD380" i="4" s="1"/>
  <c r="AL18" i="1"/>
  <c r="AD300" i="4" s="1"/>
  <c r="AL152" i="1"/>
  <c r="AD379" i="4" s="1"/>
  <c r="AM233" i="1"/>
  <c r="AE452" i="4" s="1"/>
  <c r="AM119" i="1"/>
  <c r="S12" i="1"/>
  <c r="K294" i="4" s="1"/>
  <c r="AK11" i="1"/>
  <c r="AB12" i="1"/>
  <c r="T294" i="4" s="1"/>
  <c r="AA37" i="1"/>
  <c r="S319" i="4" s="1"/>
  <c r="AA24" i="1"/>
  <c r="D14" i="20" s="1"/>
  <c r="AA21" i="1"/>
  <c r="S303" i="4" s="1"/>
  <c r="AA22" i="1"/>
  <c r="S304" i="4" s="1"/>
  <c r="S21" i="1"/>
  <c r="K303" i="4" s="1"/>
  <c r="S24" i="1"/>
  <c r="S37" i="1"/>
  <c r="K319" i="4" s="1"/>
  <c r="AL247" i="1"/>
  <c r="AL171" i="1"/>
  <c r="AD398" i="4" s="1"/>
  <c r="AL241" i="1"/>
  <c r="AD460" i="4" s="1"/>
  <c r="AR226" i="1"/>
  <c r="AJ445" i="4" s="1"/>
  <c r="AK20" i="1"/>
  <c r="AC302" i="4" s="1"/>
  <c r="R37" i="1"/>
  <c r="J319" i="4" s="1"/>
  <c r="R24" i="1"/>
  <c r="R21" i="1"/>
  <c r="J303" i="4" s="1"/>
  <c r="AD63" i="1"/>
  <c r="AC47" i="1"/>
  <c r="U327" i="4" s="1"/>
  <c r="AK171" i="1"/>
  <c r="AC398" i="4" s="1"/>
  <c r="AK241" i="1"/>
  <c r="AC460" i="4" s="1"/>
  <c r="AL234" i="1"/>
  <c r="AL235" i="1"/>
  <c r="AD454" i="4" s="1"/>
  <c r="AL215" i="1"/>
  <c r="AD782" i="4" s="1"/>
  <c r="AL236" i="1"/>
  <c r="AD455" i="4" s="1"/>
  <c r="AL151" i="1"/>
  <c r="AD378" i="4" s="1"/>
  <c r="AL7" i="1"/>
  <c r="AD289" i="4" s="1"/>
  <c r="X43" i="1"/>
  <c r="X40" i="1"/>
  <c r="P322" i="4" s="1"/>
  <c r="X124" i="3" l="1"/>
  <c r="P150" i="4" s="1"/>
  <c r="D15" i="20"/>
  <c r="D33" i="20" s="1"/>
  <c r="D32" i="20"/>
  <c r="X123" i="3"/>
  <c r="P149" i="4" s="1"/>
  <c r="AQ125" i="1"/>
  <c r="O528" i="4"/>
  <c r="O34" i="4"/>
  <c r="N33" i="4"/>
  <c r="N518" i="4"/>
  <c r="Y124" i="3"/>
  <c r="Q150" i="4" s="1"/>
  <c r="U124" i="3"/>
  <c r="M150" i="4" s="1"/>
  <c r="M148" i="4"/>
  <c r="Y123" i="3"/>
  <c r="Q149" i="4" s="1"/>
  <c r="Z124" i="3"/>
  <c r="R150" i="4" s="1"/>
  <c r="AC249" i="3"/>
  <c r="AC59" i="3"/>
  <c r="AC82" i="3"/>
  <c r="S124" i="3"/>
  <c r="K150" i="4" s="1"/>
  <c r="J148" i="4"/>
  <c r="T124" i="3"/>
  <c r="L150" i="4" s="1"/>
  <c r="L148" i="4"/>
  <c r="T545" i="4"/>
  <c r="Q545" i="4"/>
  <c r="N42" i="4"/>
  <c r="N548" i="4"/>
  <c r="R548" i="4"/>
  <c r="R42" i="4"/>
  <c r="N551" i="4"/>
  <c r="N44" i="4"/>
  <c r="R41" i="4"/>
  <c r="R547" i="4"/>
  <c r="R551" i="4"/>
  <c r="R44" i="4"/>
  <c r="V544" i="4"/>
  <c r="V38" i="4"/>
  <c r="O42" i="4"/>
  <c r="O548" i="4"/>
  <c r="O551" i="4"/>
  <c r="O44" i="4"/>
  <c r="AL68" i="2"/>
  <c r="AL69" i="2" s="1"/>
  <c r="U74" i="2"/>
  <c r="M551" i="4"/>
  <c r="M44" i="4"/>
  <c r="AC38" i="4"/>
  <c r="AC544" i="4"/>
  <c r="AK72" i="2"/>
  <c r="AC547" i="4"/>
  <c r="AC41" i="4"/>
  <c r="Y38" i="4"/>
  <c r="Y544" i="4"/>
  <c r="AS172" i="1"/>
  <c r="AK399" i="4" s="1"/>
  <c r="AK189" i="4"/>
  <c r="O11" i="6"/>
  <c r="N228" i="4" s="1"/>
  <c r="AS57" i="1"/>
  <c r="AK337" i="4" s="1"/>
  <c r="AT162" i="3"/>
  <c r="X185" i="4"/>
  <c r="W203" i="4"/>
  <c r="AF189" i="3"/>
  <c r="AE196" i="3"/>
  <c r="W601" i="4"/>
  <c r="AE122" i="2"/>
  <c r="W74" i="4" s="1"/>
  <c r="V604" i="4"/>
  <c r="AF121" i="2"/>
  <c r="AE123" i="2"/>
  <c r="AE130" i="2"/>
  <c r="W610" i="4" s="1"/>
  <c r="AD133" i="2"/>
  <c r="V81" i="4" s="1"/>
  <c r="AD134" i="2"/>
  <c r="V82" i="4" s="1"/>
  <c r="AD197" i="1"/>
  <c r="V424" i="4" s="1"/>
  <c r="V413" i="4"/>
  <c r="AM195" i="1"/>
  <c r="AE422" i="4" s="1"/>
  <c r="AR188" i="1"/>
  <c r="AI415" i="4"/>
  <c r="AQ190" i="1"/>
  <c r="AH417" i="4"/>
  <c r="AM172" i="1"/>
  <c r="AE399" i="4" s="1"/>
  <c r="D254" i="4"/>
  <c r="E36" i="10"/>
  <c r="D679" i="4" s="1"/>
  <c r="AC207" i="1"/>
  <c r="U434" i="4" s="1"/>
  <c r="U427" i="4"/>
  <c r="AC259" i="1"/>
  <c r="U481" i="4" s="1"/>
  <c r="G9" i="12"/>
  <c r="F719" i="4" s="1"/>
  <c r="G9" i="10"/>
  <c r="F647" i="4" s="1"/>
  <c r="F226" i="4"/>
  <c r="AQ195" i="1"/>
  <c r="AH422" i="4"/>
  <c r="AA147" i="1"/>
  <c r="S374" i="4" s="1"/>
  <c r="AQ187" i="1"/>
  <c r="AH414" i="4"/>
  <c r="AC180" i="1"/>
  <c r="T407" i="4"/>
  <c r="T373" i="4"/>
  <c r="AB147" i="1"/>
  <c r="T374" i="4" s="1"/>
  <c r="AQ203" i="1"/>
  <c r="AH430" i="4"/>
  <c r="AQ204" i="1"/>
  <c r="AH431" i="4"/>
  <c r="AH418" i="4"/>
  <c r="AQ191" i="1"/>
  <c r="AL147" i="1"/>
  <c r="AD374" i="4" s="1"/>
  <c r="AQ189" i="1"/>
  <c r="AH416" i="4"/>
  <c r="AC197" i="1"/>
  <c r="U424" i="4" s="1"/>
  <c r="U413" i="4"/>
  <c r="AR192" i="1"/>
  <c r="AI419" i="4"/>
  <c r="AC447" i="4"/>
  <c r="AK229" i="1"/>
  <c r="AC448" i="4" s="1"/>
  <c r="AF285" i="4"/>
  <c r="AN113" i="1"/>
  <c r="AF340" i="4" s="1"/>
  <c r="AN168" i="1"/>
  <c r="AF395" i="4" s="1"/>
  <c r="AO3" i="1"/>
  <c r="G226" i="4"/>
  <c r="H9" i="10"/>
  <c r="G647" i="4" s="1"/>
  <c r="H9" i="12"/>
  <c r="G719" i="4" s="1"/>
  <c r="AL248" i="1"/>
  <c r="AD470" i="4" s="1"/>
  <c r="AD469" i="4"/>
  <c r="U401" i="4"/>
  <c r="AM174" i="1"/>
  <c r="AE401" i="4" s="1"/>
  <c r="Z147" i="1"/>
  <c r="R374" i="4" s="1"/>
  <c r="R373" i="4"/>
  <c r="U420" i="4"/>
  <c r="AM193" i="1"/>
  <c r="AE420" i="4" s="1"/>
  <c r="AQ196" i="1"/>
  <c r="AH423" i="4"/>
  <c r="AC178" i="1"/>
  <c r="U405" i="4" s="1"/>
  <c r="T405" i="4"/>
  <c r="AB181" i="1"/>
  <c r="T408" i="4" s="1"/>
  <c r="AI421" i="4"/>
  <c r="AR194" i="1"/>
  <c r="AQ201" i="1"/>
  <c r="AH428" i="4"/>
  <c r="AM173" i="1"/>
  <c r="AE400" i="4" s="1"/>
  <c r="Z21" i="1"/>
  <c r="R303" i="4" s="1"/>
  <c r="W37" i="1"/>
  <c r="O319" i="4" s="1"/>
  <c r="S306" i="4"/>
  <c r="Z24" i="1"/>
  <c r="C14" i="20" s="1"/>
  <c r="T26" i="1"/>
  <c r="L308" i="4" s="1"/>
  <c r="L306" i="4"/>
  <c r="W21" i="1"/>
  <c r="O303" i="4" s="1"/>
  <c r="N302" i="4"/>
  <c r="V21" i="1"/>
  <c r="N303" i="4" s="1"/>
  <c r="V37" i="1"/>
  <c r="V24" i="1"/>
  <c r="T302" i="4"/>
  <c r="AB24" i="1"/>
  <c r="E14" i="20" s="1"/>
  <c r="AB37" i="1"/>
  <c r="T319" i="4" s="1"/>
  <c r="R26" i="1"/>
  <c r="J308" i="4" s="1"/>
  <c r="J306" i="4"/>
  <c r="AB21" i="1"/>
  <c r="T303" i="4" s="1"/>
  <c r="AR173" i="1"/>
  <c r="AI400" i="4"/>
  <c r="S26" i="1"/>
  <c r="K306" i="4"/>
  <c r="X26" i="1"/>
  <c r="P308" i="4" s="1"/>
  <c r="AK12" i="1"/>
  <c r="AC294" i="4" s="1"/>
  <c r="AC293" i="4"/>
  <c r="AR174" i="1"/>
  <c r="AI401" i="4"/>
  <c r="M302" i="4"/>
  <c r="U37" i="1"/>
  <c r="U24" i="1"/>
  <c r="Y29" i="1" s="1"/>
  <c r="Q311" i="4" s="1"/>
  <c r="U21" i="1"/>
  <c r="M303" i="4" s="1"/>
  <c r="W352" i="4"/>
  <c r="AG123" i="1"/>
  <c r="X350" i="4"/>
  <c r="AF124" i="1"/>
  <c r="W351" i="4"/>
  <c r="X367" i="4"/>
  <c r="AG140" i="1"/>
  <c r="AF142" i="1"/>
  <c r="W369" i="4"/>
  <c r="AQ3" i="2"/>
  <c r="AH2" i="4"/>
  <c r="AF141" i="1"/>
  <c r="W368" i="4"/>
  <c r="AG160" i="3"/>
  <c r="AN160" i="3" s="1"/>
  <c r="X187" i="4"/>
  <c r="Y185" i="4"/>
  <c r="AN158" i="3"/>
  <c r="AC197" i="3"/>
  <c r="U212" i="4" s="1"/>
  <c r="U211" i="4"/>
  <c r="AN15" i="1"/>
  <c r="AF297" i="4" s="1"/>
  <c r="V297" i="4"/>
  <c r="W626" i="4"/>
  <c r="W92" i="4"/>
  <c r="X625" i="4"/>
  <c r="X91" i="4"/>
  <c r="W94" i="4"/>
  <c r="W628" i="4"/>
  <c r="W93" i="4"/>
  <c r="W627" i="4"/>
  <c r="V610" i="4"/>
  <c r="W73" i="4"/>
  <c r="AD587" i="4"/>
  <c r="AD62" i="4"/>
  <c r="AE619" i="4"/>
  <c r="AE87" i="4"/>
  <c r="V100" i="4"/>
  <c r="V637" i="4"/>
  <c r="W621" i="4"/>
  <c r="W89" i="4"/>
  <c r="U99" i="4"/>
  <c r="U636" i="4"/>
  <c r="X86" i="4"/>
  <c r="X618" i="4"/>
  <c r="W633" i="4"/>
  <c r="W97" i="4"/>
  <c r="U637" i="4"/>
  <c r="U100" i="4"/>
  <c r="AE620" i="4"/>
  <c r="AE88" i="4"/>
  <c r="V634" i="4"/>
  <c r="V98" i="4"/>
  <c r="W620" i="4"/>
  <c r="W88" i="4"/>
  <c r="U634" i="4"/>
  <c r="U98" i="4"/>
  <c r="V99" i="4"/>
  <c r="V636" i="4"/>
  <c r="AE634" i="4"/>
  <c r="AE98" i="4"/>
  <c r="AE633" i="4"/>
  <c r="AE97" i="4"/>
  <c r="V71" i="4"/>
  <c r="V597" i="4"/>
  <c r="AE595" i="4"/>
  <c r="AE69" i="4"/>
  <c r="W594" i="4"/>
  <c r="W68" i="4"/>
  <c r="AD132" i="2"/>
  <c r="V612" i="4" s="1"/>
  <c r="V70" i="4"/>
  <c r="V596" i="4"/>
  <c r="AE596" i="4"/>
  <c r="AE70" i="4"/>
  <c r="X571" i="4"/>
  <c r="X51" i="4"/>
  <c r="V490" i="4"/>
  <c r="V6" i="4"/>
  <c r="V573" i="4"/>
  <c r="V53" i="4"/>
  <c r="AE492" i="4"/>
  <c r="AE8" i="4"/>
  <c r="W570" i="4"/>
  <c r="W50" i="4"/>
  <c r="AD95" i="2"/>
  <c r="V574" i="4" s="1"/>
  <c r="AE572" i="4"/>
  <c r="AE52" i="4"/>
  <c r="AE531" i="4"/>
  <c r="AE36" i="4"/>
  <c r="I77" i="10"/>
  <c r="AD32" i="3"/>
  <c r="V117" i="4" s="1"/>
  <c r="AD96" i="2"/>
  <c r="V575" i="4" s="1"/>
  <c r="AD118" i="2"/>
  <c r="V598" i="4" s="1"/>
  <c r="AE491" i="4"/>
  <c r="AE7" i="4"/>
  <c r="AD119" i="2"/>
  <c r="V599" i="4" s="1"/>
  <c r="V572" i="4"/>
  <c r="V52" i="4"/>
  <c r="AC80" i="2"/>
  <c r="U559" i="4" s="1"/>
  <c r="U558" i="4"/>
  <c r="AE571" i="4"/>
  <c r="AE51" i="4"/>
  <c r="AC41" i="3"/>
  <c r="AC43" i="3" s="1"/>
  <c r="AM127" i="2"/>
  <c r="AE607" i="4" s="1"/>
  <c r="I219" i="4"/>
  <c r="J2" i="10"/>
  <c r="I19" i="12"/>
  <c r="H729" i="4" s="1"/>
  <c r="H712" i="4"/>
  <c r="P34" i="4"/>
  <c r="P528" i="4"/>
  <c r="P551" i="4"/>
  <c r="P44" i="4"/>
  <c r="P518" i="4"/>
  <c r="P33" i="4"/>
  <c r="X59" i="1"/>
  <c r="X60" i="1" s="1"/>
  <c r="P325" i="4"/>
  <c r="P13" i="4"/>
  <c r="P497" i="4"/>
  <c r="T518" i="4"/>
  <c r="T33" i="4"/>
  <c r="T528" i="4"/>
  <c r="T34" i="4"/>
  <c r="P548" i="4"/>
  <c r="P42" i="4"/>
  <c r="R515" i="4"/>
  <c r="R31" i="4"/>
  <c r="AD192" i="4"/>
  <c r="H73" i="10"/>
  <c r="H73" i="12" s="1"/>
  <c r="H72" i="12" s="1"/>
  <c r="H11" i="12" s="1"/>
  <c r="G721" i="4" s="1"/>
  <c r="AL166" i="3"/>
  <c r="AD193" i="4" s="1"/>
  <c r="AL12" i="1"/>
  <c r="AD294" i="4" s="1"/>
  <c r="AD293" i="4"/>
  <c r="Q30" i="4"/>
  <c r="Q514" i="4"/>
  <c r="Q515" i="4"/>
  <c r="Q31" i="4"/>
  <c r="AD517" i="4"/>
  <c r="AD32" i="4"/>
  <c r="R497" i="4"/>
  <c r="R13" i="4"/>
  <c r="G714" i="4"/>
  <c r="Y44" i="2"/>
  <c r="Q523" i="4" s="1"/>
  <c r="Q521" i="4"/>
  <c r="Y39" i="2"/>
  <c r="Q517" i="4"/>
  <c r="Q32" i="4"/>
  <c r="G642" i="4"/>
  <c r="H90" i="10"/>
  <c r="H94" i="10" s="1"/>
  <c r="AG150" i="1"/>
  <c r="Y377" i="4" s="1"/>
  <c r="U377" i="4"/>
  <c r="AD453" i="4"/>
  <c r="H70" i="10"/>
  <c r="F709" i="4" s="1"/>
  <c r="H70" i="12"/>
  <c r="H69" i="12" s="1"/>
  <c r="G780" i="4" s="1"/>
  <c r="Q41" i="4"/>
  <c r="Q547" i="4"/>
  <c r="AD12" i="4"/>
  <c r="AD496" i="4"/>
  <c r="R14" i="4"/>
  <c r="R498" i="4"/>
  <c r="AL122" i="3"/>
  <c r="AD147" i="4"/>
  <c r="AJ432" i="4"/>
  <c r="AS202" i="1"/>
  <c r="AJ429" i="4"/>
  <c r="AH420" i="4"/>
  <c r="AG117" i="1"/>
  <c r="X344" i="4"/>
  <c r="AB124" i="3"/>
  <c r="T150" i="4" s="1"/>
  <c r="AB123" i="3"/>
  <c r="T149" i="4" s="1"/>
  <c r="AK204" i="4"/>
  <c r="AE3" i="4"/>
  <c r="AM7" i="2"/>
  <c r="AE486" i="4" s="1"/>
  <c r="I4" i="6"/>
  <c r="AM151" i="2"/>
  <c r="AE631" i="4" s="1"/>
  <c r="AM104" i="2"/>
  <c r="AE583" i="4" s="1"/>
  <c r="AE483" i="4"/>
  <c r="AM5" i="3"/>
  <c r="AM249" i="3" s="1"/>
  <c r="AM250" i="3" s="1"/>
  <c r="AM16" i="2"/>
  <c r="AM150" i="2"/>
  <c r="AE630" i="4" s="1"/>
  <c r="AM5" i="2"/>
  <c r="AM103" i="2"/>
  <c r="AE582" i="4" s="1"/>
  <c r="U103" i="4"/>
  <c r="AC165" i="3"/>
  <c r="AC193" i="3"/>
  <c r="AC132" i="3"/>
  <c r="AC239" i="3"/>
  <c r="AC153" i="3"/>
  <c r="AC143" i="3"/>
  <c r="AM7" i="1"/>
  <c r="AE289" i="4" s="1"/>
  <c r="W602" i="4"/>
  <c r="X601" i="4"/>
  <c r="X73" i="4"/>
  <c r="AE602" i="4"/>
  <c r="AE74" i="4"/>
  <c r="AE610" i="4"/>
  <c r="AE79" i="4"/>
  <c r="U81" i="4"/>
  <c r="U613" i="4"/>
  <c r="V614" i="4"/>
  <c r="W603" i="4"/>
  <c r="W75" i="4"/>
  <c r="W79" i="4"/>
  <c r="AE603" i="4"/>
  <c r="AE75" i="4"/>
  <c r="U614" i="4"/>
  <c r="U82" i="4"/>
  <c r="V611" i="4"/>
  <c r="V80" i="4"/>
  <c r="W604" i="4"/>
  <c r="W76" i="4"/>
  <c r="U611" i="4"/>
  <c r="U80" i="4"/>
  <c r="AM131" i="1"/>
  <c r="AE358" i="4" s="1"/>
  <c r="U358" i="4"/>
  <c r="U496" i="4"/>
  <c r="U12" i="4"/>
  <c r="AE288" i="4"/>
  <c r="U589" i="4"/>
  <c r="U63" i="4"/>
  <c r="V579" i="4"/>
  <c r="V57" i="4"/>
  <c r="U498" i="4"/>
  <c r="U14" i="4"/>
  <c r="AM151" i="1"/>
  <c r="AE378" i="4" s="1"/>
  <c r="AE346" i="4"/>
  <c r="AM178" i="1"/>
  <c r="AE405" i="4" s="1"/>
  <c r="U346" i="4"/>
  <c r="W577" i="4"/>
  <c r="W55" i="4"/>
  <c r="U587" i="4"/>
  <c r="U62" i="4"/>
  <c r="V483" i="4"/>
  <c r="V3" i="4"/>
  <c r="AD5" i="3"/>
  <c r="AD229" i="3" s="1"/>
  <c r="V580" i="4"/>
  <c r="V58" i="4"/>
  <c r="U497" i="4"/>
  <c r="U13" i="4"/>
  <c r="U590" i="4"/>
  <c r="U64" i="4"/>
  <c r="V586" i="4"/>
  <c r="V61" i="4"/>
  <c r="V578" i="4"/>
  <c r="V56" i="4"/>
  <c r="AE586" i="4"/>
  <c r="AE61" i="4"/>
  <c r="J2" i="12"/>
  <c r="J19" i="6"/>
  <c r="I236" i="4" s="1"/>
  <c r="K2" i="6"/>
  <c r="AF161" i="3"/>
  <c r="X188" i="4" s="1"/>
  <c r="AE244" i="3"/>
  <c r="AE182" i="3" s="1"/>
  <c r="W802" i="4" s="1"/>
  <c r="AG159" i="3"/>
  <c r="AN159" i="3" s="1"/>
  <c r="AF224" i="3"/>
  <c r="X218" i="4" s="1"/>
  <c r="AM245" i="3"/>
  <c r="AM247" i="3"/>
  <c r="AF237" i="3"/>
  <c r="AF235" i="3"/>
  <c r="AF236" i="3"/>
  <c r="AF238" i="3"/>
  <c r="AC230" i="3"/>
  <c r="AC231" i="3"/>
  <c r="AF60" i="3"/>
  <c r="X130" i="4" s="1"/>
  <c r="AB61" i="3"/>
  <c r="T131" i="4" s="1"/>
  <c r="AC61" i="3"/>
  <c r="U131" i="4" s="1"/>
  <c r="AM182" i="3"/>
  <c r="AE802" i="4" s="1"/>
  <c r="AB220" i="3"/>
  <c r="AB221" i="3"/>
  <c r="AL220" i="3"/>
  <c r="AA207" i="3"/>
  <c r="AC251" i="3"/>
  <c r="AC250" i="3"/>
  <c r="AS49" i="3"/>
  <c r="AS50" i="3"/>
  <c r="AT82" i="3"/>
  <c r="AL124" i="4" s="1"/>
  <c r="AM37" i="3"/>
  <c r="AM38" i="3" s="1"/>
  <c r="AM51" i="3"/>
  <c r="AM41" i="3"/>
  <c r="AM42" i="3" s="1"/>
  <c r="AN128" i="3"/>
  <c r="AF155" i="4" s="1"/>
  <c r="AO127" i="3"/>
  <c r="AN130" i="3"/>
  <c r="AF157" i="4" s="1"/>
  <c r="AB256" i="3"/>
  <c r="AB255" i="3"/>
  <c r="AB257" i="3"/>
  <c r="AB254" i="3"/>
  <c r="AE228" i="3"/>
  <c r="AE227" i="3"/>
  <c r="AE225" i="3"/>
  <c r="AE135" i="3" s="1"/>
  <c r="AE226" i="3"/>
  <c r="AB75" i="3"/>
  <c r="AB69" i="3"/>
  <c r="AL184" i="3"/>
  <c r="AL206" i="3"/>
  <c r="AL207" i="3" s="1"/>
  <c r="AL183" i="3"/>
  <c r="AP138" i="3"/>
  <c r="AH165" i="4" s="1"/>
  <c r="AO141" i="3"/>
  <c r="AG168" i="4" s="1"/>
  <c r="AO16" i="1"/>
  <c r="AG298" i="4" s="1"/>
  <c r="AU46" i="3"/>
  <c r="AU48" i="3" s="1"/>
  <c r="AT48" i="3"/>
  <c r="AL255" i="3"/>
  <c r="AL254" i="3"/>
  <c r="AL240" i="3"/>
  <c r="AD179" i="3"/>
  <c r="V788" i="4" s="1"/>
  <c r="AD196" i="3"/>
  <c r="AD180" i="3"/>
  <c r="V789" i="4" s="1"/>
  <c r="AD178" i="3"/>
  <c r="V787" i="4" s="1"/>
  <c r="AD177" i="3"/>
  <c r="V786" i="4" s="1"/>
  <c r="AE180" i="3"/>
  <c r="W789" i="4" s="1"/>
  <c r="AE179" i="3"/>
  <c r="W788" i="4" s="1"/>
  <c r="AM197" i="3"/>
  <c r="AE212" i="4" s="1"/>
  <c r="AD246" i="3"/>
  <c r="AD248" i="3"/>
  <c r="AD245" i="3"/>
  <c r="AD247" i="3"/>
  <c r="AC34" i="3"/>
  <c r="AC35" i="3"/>
  <c r="AD33" i="3"/>
  <c r="AC185" i="3"/>
  <c r="U805" i="4" s="1"/>
  <c r="AC183" i="3"/>
  <c r="U803" i="4" s="1"/>
  <c r="AC186" i="3"/>
  <c r="U806" i="4" s="1"/>
  <c r="AC184" i="3"/>
  <c r="U804" i="4" s="1"/>
  <c r="AC206" i="3"/>
  <c r="AB207" i="3"/>
  <c r="AD226" i="3"/>
  <c r="AD228" i="3"/>
  <c r="AD227" i="3"/>
  <c r="AD225" i="3"/>
  <c r="AD135" i="3" s="1"/>
  <c r="AD182" i="3"/>
  <c r="V802" i="4" s="1"/>
  <c r="AD108" i="2"/>
  <c r="V588" i="4" s="1"/>
  <c r="AD110" i="2"/>
  <c r="AD107" i="2"/>
  <c r="AD109" i="2"/>
  <c r="AL44" i="2"/>
  <c r="AD523" i="4" s="1"/>
  <c r="AL43" i="2"/>
  <c r="AD522" i="4" s="1"/>
  <c r="AJ38" i="2"/>
  <c r="AJ13" i="2"/>
  <c r="AJ12" i="2"/>
  <c r="AI118" i="2"/>
  <c r="AI142" i="2"/>
  <c r="AE101" i="2"/>
  <c r="AE100" i="2"/>
  <c r="AE99" i="2"/>
  <c r="AE106" i="2"/>
  <c r="AF98" i="2"/>
  <c r="AE4" i="2"/>
  <c r="AF147" i="2"/>
  <c r="AG145" i="2"/>
  <c r="AF146" i="2"/>
  <c r="AF148" i="2"/>
  <c r="AF153" i="2"/>
  <c r="V49" i="2"/>
  <c r="V48" i="2"/>
  <c r="N527" i="4" s="1"/>
  <c r="Z73" i="2"/>
  <c r="Z85" i="2"/>
  <c r="R564" i="4" s="1"/>
  <c r="W79" i="2"/>
  <c r="V76" i="2"/>
  <c r="AA77" i="2"/>
  <c r="AM132" i="2"/>
  <c r="AE612" i="4" s="1"/>
  <c r="AM131" i="2"/>
  <c r="AF114" i="2"/>
  <c r="AE116" i="2"/>
  <c r="AE117" i="2"/>
  <c r="AL47" i="2"/>
  <c r="AD526" i="4" s="1"/>
  <c r="AF140" i="2"/>
  <c r="AF141" i="2"/>
  <c r="AG138" i="2"/>
  <c r="AD13" i="2"/>
  <c r="AD52" i="2"/>
  <c r="AD12" i="2"/>
  <c r="AD14" i="2"/>
  <c r="AD142" i="2"/>
  <c r="V622" i="4" s="1"/>
  <c r="AD143" i="2"/>
  <c r="V623" i="4" s="1"/>
  <c r="X73" i="2"/>
  <c r="X74" i="2"/>
  <c r="AM76" i="2"/>
  <c r="AE555" i="4" s="1"/>
  <c r="AI95" i="2"/>
  <c r="AE93" i="2"/>
  <c r="AF91" i="2"/>
  <c r="AE94" i="2"/>
  <c r="AE11" i="2"/>
  <c r="AE118" i="2" s="1"/>
  <c r="W598" i="4" s="1"/>
  <c r="AK53" i="2"/>
  <c r="AK54" i="2"/>
  <c r="AE133" i="2"/>
  <c r="AE131" i="2"/>
  <c r="AE134" i="2"/>
  <c r="AE132" i="2"/>
  <c r="W612" i="4" s="1"/>
  <c r="M53" i="2"/>
  <c r="M55" i="2"/>
  <c r="AI52" i="2"/>
  <c r="AJ54" i="2" s="1"/>
  <c r="AM108" i="2"/>
  <c r="AE588" i="4" s="1"/>
  <c r="AM107" i="2"/>
  <c r="AL54" i="2"/>
  <c r="AL53" i="2"/>
  <c r="AA25" i="2"/>
  <c r="AA26" i="2"/>
  <c r="AF124" i="2"/>
  <c r="AG121" i="2"/>
  <c r="AF122" i="2"/>
  <c r="AF130" i="2"/>
  <c r="AF123" i="2"/>
  <c r="K55" i="2"/>
  <c r="K53" i="2"/>
  <c r="Z49" i="2"/>
  <c r="W73" i="2"/>
  <c r="W74" i="2"/>
  <c r="Y48" i="2"/>
  <c r="Q527" i="4" s="1"/>
  <c r="Y49" i="2"/>
  <c r="AC82" i="2"/>
  <c r="AB83" i="2"/>
  <c r="AM54" i="2"/>
  <c r="AE533" i="4" s="1"/>
  <c r="AM53" i="2"/>
  <c r="AE532" i="4" s="1"/>
  <c r="O54" i="2"/>
  <c r="AB22" i="2"/>
  <c r="AM22" i="2" s="1"/>
  <c r="AC28" i="2"/>
  <c r="V73" i="2"/>
  <c r="V74" i="2"/>
  <c r="Y70" i="2"/>
  <c r="Q549" i="4" s="1"/>
  <c r="Y72" i="2"/>
  <c r="Y69" i="2"/>
  <c r="AD8" i="2"/>
  <c r="V487" i="4" s="1"/>
  <c r="AD6" i="2"/>
  <c r="V485" i="4" s="1"/>
  <c r="AD6" i="1"/>
  <c r="AD5" i="2"/>
  <c r="AD7" i="2"/>
  <c r="V486" i="4" s="1"/>
  <c r="AD16" i="2"/>
  <c r="AD19" i="2" s="1"/>
  <c r="AD127" i="2"/>
  <c r="V607" i="4" s="1"/>
  <c r="AD126" i="2"/>
  <c r="V606" i="4" s="1"/>
  <c r="AD150" i="2"/>
  <c r="V630" i="4" s="1"/>
  <c r="AD151" i="2"/>
  <c r="V631" i="4" s="1"/>
  <c r="AD104" i="2"/>
  <c r="V583" i="4" s="1"/>
  <c r="AE154" i="2"/>
  <c r="AE155" i="2"/>
  <c r="W635" i="4" s="1"/>
  <c r="AE157" i="2"/>
  <c r="AE156" i="2"/>
  <c r="AS226" i="1"/>
  <c r="AK445" i="4" s="1"/>
  <c r="AD47" i="1"/>
  <c r="V327" i="4" s="1"/>
  <c r="AE63" i="1"/>
  <c r="AA26" i="1"/>
  <c r="S308" i="4" s="1"/>
  <c r="AA29" i="1"/>
  <c r="S311" i="4" s="1"/>
  <c r="AL24" i="1"/>
  <c r="AL21" i="1"/>
  <c r="AD303" i="4" s="1"/>
  <c r="AL22" i="1"/>
  <c r="AD304" i="4" s="1"/>
  <c r="AA40" i="1"/>
  <c r="S322" i="4" s="1"/>
  <c r="AA43" i="1"/>
  <c r="S325" i="4" s="1"/>
  <c r="AF134" i="1"/>
  <c r="X361" i="4" s="1"/>
  <c r="Z43" i="1"/>
  <c r="R325" i="4" s="1"/>
  <c r="Z40" i="1"/>
  <c r="R322" i="4" s="1"/>
  <c r="AE258" i="1"/>
  <c r="W480" i="4" s="1"/>
  <c r="AF66" i="1"/>
  <c r="AF69" i="1" s="1"/>
  <c r="AF64" i="1" s="1"/>
  <c r="AE48" i="1"/>
  <c r="W328" i="4" s="1"/>
  <c r="AM259" i="1"/>
  <c r="AE481" i="4" s="1"/>
  <c r="AM207" i="1"/>
  <c r="AE434" i="4" s="1"/>
  <c r="AB40" i="1"/>
  <c r="T322" i="4" s="1"/>
  <c r="AB43" i="1"/>
  <c r="T325" i="4" s="1"/>
  <c r="AM234" i="1"/>
  <c r="AM186" i="1"/>
  <c r="AM235" i="1"/>
  <c r="AE454" i="4" s="1"/>
  <c r="AM215" i="1"/>
  <c r="AE782" i="4" s="1"/>
  <c r="AM236" i="1"/>
  <c r="AE455" i="4" s="1"/>
  <c r="AE235" i="1"/>
  <c r="W454" i="4" s="1"/>
  <c r="AE215" i="1"/>
  <c r="W782" i="4" s="1"/>
  <c r="AE240" i="1"/>
  <c r="AE186" i="1"/>
  <c r="Y26" i="1"/>
  <c r="Q308" i="4" s="1"/>
  <c r="W29" i="1"/>
  <c r="O311" i="4" s="1"/>
  <c r="W26" i="1"/>
  <c r="O308" i="4" s="1"/>
  <c r="R40" i="1"/>
  <c r="J322" i="4" s="1"/>
  <c r="AK37" i="1"/>
  <c r="R43" i="1"/>
  <c r="J325" i="4" s="1"/>
  <c r="AG235" i="1"/>
  <c r="Y454" i="4" s="1"/>
  <c r="AG215" i="1"/>
  <c r="Y782" i="4" s="1"/>
  <c r="AG240" i="1"/>
  <c r="AG186" i="1"/>
  <c r="AD56" i="1"/>
  <c r="V336" i="4" s="1"/>
  <c r="AG139" i="1"/>
  <c r="Y366" i="4" s="1"/>
  <c r="AK146" i="1"/>
  <c r="U147" i="1"/>
  <c r="M374" i="4" s="1"/>
  <c r="Z26" i="1"/>
  <c r="R308" i="4" s="1"/>
  <c r="AP259" i="1"/>
  <c r="AH481" i="4" s="1"/>
  <c r="AQ200" i="1"/>
  <c r="AI427" i="4" s="1"/>
  <c r="AP207" i="1"/>
  <c r="AH434" i="4" s="1"/>
  <c r="X29" i="1"/>
  <c r="P311" i="4" s="1"/>
  <c r="AB235" i="1"/>
  <c r="T454" i="4" s="1"/>
  <c r="AB236" i="1"/>
  <c r="T455" i="4" s="1"/>
  <c r="AF233" i="1"/>
  <c r="X452" i="4" s="1"/>
  <c r="AB234" i="1"/>
  <c r="T453" i="4" s="1"/>
  <c r="AB215" i="1"/>
  <c r="T782" i="4" s="1"/>
  <c r="AB241" i="1"/>
  <c r="AK24" i="1"/>
  <c r="AK21" i="1"/>
  <c r="AC303" i="4" s="1"/>
  <c r="S40" i="1"/>
  <c r="K322" i="4" s="1"/>
  <c r="S43" i="1"/>
  <c r="Y40" i="1"/>
  <c r="Q322" i="4" s="1"/>
  <c r="Y43" i="1"/>
  <c r="AA258" i="1"/>
  <c r="S480" i="4" s="1"/>
  <c r="AA63" i="1"/>
  <c r="AA48" i="1"/>
  <c r="S328" i="4" s="1"/>
  <c r="AB66" i="1"/>
  <c r="AB69" i="1" s="1"/>
  <c r="T40" i="1"/>
  <c r="L322" i="4" s="1"/>
  <c r="T43" i="1"/>
  <c r="AB26" i="1"/>
  <c r="T308" i="4" s="1"/>
  <c r="C32" i="20" l="1"/>
  <c r="C15" i="20"/>
  <c r="C33" i="20" s="1"/>
  <c r="E15" i="20"/>
  <c r="E33" i="20" s="1"/>
  <c r="E32" i="20"/>
  <c r="AR125" i="1"/>
  <c r="N34" i="4"/>
  <c r="N528" i="4"/>
  <c r="R528" i="4"/>
  <c r="R34" i="4"/>
  <c r="AB29" i="1"/>
  <c r="T311" i="4" s="1"/>
  <c r="Z29" i="1"/>
  <c r="R311" i="4" s="1"/>
  <c r="U124" i="4"/>
  <c r="AD82" i="3"/>
  <c r="U129" i="4"/>
  <c r="AD61" i="3"/>
  <c r="V131" i="4" s="1"/>
  <c r="AG60" i="3"/>
  <c r="Y130" i="4" s="1"/>
  <c r="AL72" i="2"/>
  <c r="AD551" i="4" s="1"/>
  <c r="AD547" i="4"/>
  <c r="AL65" i="2"/>
  <c r="AL66" i="2" s="1"/>
  <c r="AD545" i="4" s="1"/>
  <c r="AD41" i="4"/>
  <c r="N45" i="4"/>
  <c r="N552" i="4"/>
  <c r="R552" i="4"/>
  <c r="R45" i="4"/>
  <c r="O553" i="4"/>
  <c r="O46" i="4"/>
  <c r="O45" i="4"/>
  <c r="O552" i="4"/>
  <c r="N553" i="4"/>
  <c r="N46" i="4"/>
  <c r="AC551" i="4"/>
  <c r="AC44" i="4"/>
  <c r="M46" i="4"/>
  <c r="M553" i="4"/>
  <c r="AD249" i="3"/>
  <c r="AD251" i="3" s="1"/>
  <c r="AL189" i="4"/>
  <c r="P11" i="6"/>
  <c r="O228" i="4" s="1"/>
  <c r="AT172" i="1"/>
  <c r="AL399" i="4" s="1"/>
  <c r="AU162" i="3"/>
  <c r="AT57" i="1"/>
  <c r="AL337" i="4" s="1"/>
  <c r="AG154" i="4"/>
  <c r="W211" i="4"/>
  <c r="AE197" i="3"/>
  <c r="W212" i="4" s="1"/>
  <c r="AG189" i="3"/>
  <c r="X203" i="4"/>
  <c r="V613" i="4"/>
  <c r="AE56" i="1"/>
  <c r="W336" i="4" s="1"/>
  <c r="W459" i="4"/>
  <c r="AK147" i="1"/>
  <c r="AC374" i="4" s="1"/>
  <c r="AC373" i="4"/>
  <c r="AG56" i="1"/>
  <c r="Y336" i="4" s="1"/>
  <c r="Y459" i="4"/>
  <c r="AS194" i="1"/>
  <c r="AJ421" i="4"/>
  <c r="AR203" i="1"/>
  <c r="AI430" i="4"/>
  <c r="AC181" i="1"/>
  <c r="AG197" i="1"/>
  <c r="Y424" i="4" s="1"/>
  <c r="Y413" i="4"/>
  <c r="AR201" i="1"/>
  <c r="AI428" i="4"/>
  <c r="AI418" i="4"/>
  <c r="AR191" i="1"/>
  <c r="AS188" i="1"/>
  <c r="AJ415" i="4"/>
  <c r="X27" i="1"/>
  <c r="P309" i="4" s="1"/>
  <c r="AM197" i="1"/>
  <c r="AE424" i="4" s="1"/>
  <c r="AE413" i="4"/>
  <c r="I10" i="6"/>
  <c r="H227" i="4" s="1"/>
  <c r="W40" i="1"/>
  <c r="O322" i="4" s="1"/>
  <c r="AS192" i="1"/>
  <c r="AJ419" i="4"/>
  <c r="AR189" i="1"/>
  <c r="AI416" i="4"/>
  <c r="AR195" i="1"/>
  <c r="AI422" i="4"/>
  <c r="AI417" i="4"/>
  <c r="AR190" i="1"/>
  <c r="T460" i="4"/>
  <c r="AE197" i="1"/>
  <c r="W424" i="4" s="1"/>
  <c r="W413" i="4"/>
  <c r="AR196" i="1"/>
  <c r="AI423" i="4"/>
  <c r="AG285" i="4"/>
  <c r="AO113" i="1"/>
  <c r="AG340" i="4" s="1"/>
  <c r="AO168" i="1"/>
  <c r="AG395" i="4" s="1"/>
  <c r="AP3" i="1"/>
  <c r="AR204" i="1"/>
  <c r="AI431" i="4"/>
  <c r="AR187" i="1"/>
  <c r="AI414" i="4"/>
  <c r="AK40" i="1"/>
  <c r="AC322" i="4" s="1"/>
  <c r="AC319" i="4"/>
  <c r="G69" i="6"/>
  <c r="AS174" i="1"/>
  <c r="AJ401" i="4"/>
  <c r="W43" i="1"/>
  <c r="AL43" i="1" s="1"/>
  <c r="AL59" i="1" s="1"/>
  <c r="AL60" i="1" s="1"/>
  <c r="T306" i="4"/>
  <c r="N319" i="4"/>
  <c r="V43" i="1"/>
  <c r="V40" i="1"/>
  <c r="N322" i="4" s="1"/>
  <c r="R306" i="4"/>
  <c r="T59" i="1"/>
  <c r="T60" i="1" s="1"/>
  <c r="L325" i="4"/>
  <c r="AK26" i="1"/>
  <c r="AC308" i="4" s="1"/>
  <c r="AC306" i="4"/>
  <c r="G7" i="6"/>
  <c r="N306" i="4"/>
  <c r="V29" i="1"/>
  <c r="N311" i="4" s="1"/>
  <c r="V26" i="1"/>
  <c r="AS173" i="1"/>
  <c r="AJ400" i="4"/>
  <c r="AL37" i="1"/>
  <c r="AD319" i="4" s="1"/>
  <c r="S59" i="1"/>
  <c r="S60" i="1" s="1"/>
  <c r="K325" i="4"/>
  <c r="U26" i="1"/>
  <c r="M306" i="4"/>
  <c r="T28" i="1"/>
  <c r="L310" i="4" s="1"/>
  <c r="M319" i="4"/>
  <c r="U43" i="1"/>
  <c r="U40" i="1"/>
  <c r="M322" i="4" s="1"/>
  <c r="S28" i="1"/>
  <c r="K310" i="4" s="1"/>
  <c r="K308" i="4"/>
  <c r="AG124" i="1"/>
  <c r="X351" i="4"/>
  <c r="AN140" i="1"/>
  <c r="Y367" i="4"/>
  <c r="AN123" i="1"/>
  <c r="Y350" i="4"/>
  <c r="AG142" i="1"/>
  <c r="X369" i="4"/>
  <c r="X352" i="4"/>
  <c r="AR3" i="2"/>
  <c r="AI2" i="4"/>
  <c r="AG141" i="1"/>
  <c r="X368" i="4"/>
  <c r="AO160" i="3"/>
  <c r="AF187" i="4"/>
  <c r="AN234" i="3"/>
  <c r="Y187" i="4"/>
  <c r="AG234" i="3"/>
  <c r="AO159" i="3"/>
  <c r="AO224" i="3" s="1"/>
  <c r="AF186" i="4"/>
  <c r="AN224" i="3"/>
  <c r="AF218" i="4" s="1"/>
  <c r="W207" i="4"/>
  <c r="W162" i="4"/>
  <c r="AG224" i="3"/>
  <c r="Y218" i="4" s="1"/>
  <c r="Y186" i="4"/>
  <c r="AO158" i="3"/>
  <c r="AF185" i="4"/>
  <c r="V207" i="4"/>
  <c r="V162" i="4"/>
  <c r="AD197" i="3"/>
  <c r="V212" i="4" s="1"/>
  <c r="V211" i="4"/>
  <c r="AC207" i="3"/>
  <c r="U792" i="4" s="1"/>
  <c r="U791" i="4"/>
  <c r="X628" i="4"/>
  <c r="X94" i="4"/>
  <c r="X626" i="4"/>
  <c r="X92" i="4"/>
  <c r="AN145" i="2"/>
  <c r="AN146" i="2" s="1"/>
  <c r="Y625" i="4"/>
  <c r="Y91" i="4"/>
  <c r="X627" i="4"/>
  <c r="X93" i="4"/>
  <c r="V288" i="4"/>
  <c r="W634" i="4"/>
  <c r="W98" i="4"/>
  <c r="X620" i="4"/>
  <c r="X88" i="4"/>
  <c r="W637" i="4"/>
  <c r="W100" i="4"/>
  <c r="Y86" i="4"/>
  <c r="Y618" i="4"/>
  <c r="W636" i="4"/>
  <c r="W99" i="4"/>
  <c r="X621" i="4"/>
  <c r="X89" i="4"/>
  <c r="X633" i="4"/>
  <c r="X97" i="4"/>
  <c r="X594" i="4"/>
  <c r="X68" i="4"/>
  <c r="W597" i="4"/>
  <c r="W71" i="4"/>
  <c r="W596" i="4"/>
  <c r="W70" i="4"/>
  <c r="AC42" i="3"/>
  <c r="Y571" i="4"/>
  <c r="Y51" i="4"/>
  <c r="X570" i="4"/>
  <c r="X50" i="4"/>
  <c r="V493" i="4"/>
  <c r="V9" i="4"/>
  <c r="W572" i="4"/>
  <c r="W52" i="4"/>
  <c r="V491" i="4"/>
  <c r="V7" i="4"/>
  <c r="I79" i="10"/>
  <c r="I86" i="10"/>
  <c r="I78" i="10"/>
  <c r="W573" i="4"/>
  <c r="W53" i="4"/>
  <c r="V492" i="4"/>
  <c r="V8" i="4"/>
  <c r="AE119" i="2"/>
  <c r="W599" i="4" s="1"/>
  <c r="W490" i="4"/>
  <c r="W6" i="4"/>
  <c r="AE32" i="3"/>
  <c r="AE96" i="2"/>
  <c r="W575" i="4" s="1"/>
  <c r="V36" i="4"/>
  <c r="V531" i="4"/>
  <c r="J19" i="12"/>
  <c r="I729" i="4" s="1"/>
  <c r="I712" i="4"/>
  <c r="I640" i="4"/>
  <c r="J19" i="10"/>
  <c r="I657" i="4" s="1"/>
  <c r="J219" i="4"/>
  <c r="K2" i="10"/>
  <c r="P45" i="4"/>
  <c r="P552" i="4"/>
  <c r="P553" i="4"/>
  <c r="P46" i="4"/>
  <c r="Q518" i="4"/>
  <c r="Q33" i="4"/>
  <c r="Y59" i="1"/>
  <c r="Y60" i="1" s="1"/>
  <c r="Q325" i="4"/>
  <c r="AD306" i="4"/>
  <c r="H7" i="6"/>
  <c r="AD44" i="4"/>
  <c r="AM118" i="1"/>
  <c r="U345" i="4"/>
  <c r="H72" i="10"/>
  <c r="G711" i="4" s="1"/>
  <c r="Q44" i="4"/>
  <c r="Q551" i="4"/>
  <c r="AD148" i="4"/>
  <c r="AL123" i="3"/>
  <c r="AD149" i="4" s="1"/>
  <c r="Q548" i="4"/>
  <c r="Q42" i="4"/>
  <c r="Q528" i="4"/>
  <c r="Q34" i="4"/>
  <c r="AD548" i="4"/>
  <c r="AD42" i="4"/>
  <c r="H69" i="10"/>
  <c r="G708" i="4" s="1"/>
  <c r="AK432" i="4"/>
  <c r="AT202" i="1"/>
  <c r="AK429" i="4"/>
  <c r="AI420" i="4"/>
  <c r="AN117" i="1"/>
  <c r="Y344" i="4"/>
  <c r="AM204" i="4"/>
  <c r="AL204" i="4"/>
  <c r="U170" i="4"/>
  <c r="AC145" i="3"/>
  <c r="U172" i="4" s="1"/>
  <c r="AC144" i="3"/>
  <c r="U171" i="4" s="1"/>
  <c r="U159" i="4"/>
  <c r="AC134" i="3"/>
  <c r="U161" i="4" s="1"/>
  <c r="AC133" i="3"/>
  <c r="U160" i="4" s="1"/>
  <c r="I81" i="10"/>
  <c r="I82" i="10" s="1"/>
  <c r="AE495" i="4"/>
  <c r="AE11" i="4"/>
  <c r="AM17" i="2"/>
  <c r="U128" i="4"/>
  <c r="AC63" i="3"/>
  <c r="U133" i="4" s="1"/>
  <c r="AM58" i="3"/>
  <c r="AC76" i="3"/>
  <c r="AC64" i="3"/>
  <c r="U134" i="4" s="1"/>
  <c r="AC62" i="3"/>
  <c r="U132" i="4" s="1"/>
  <c r="U122" i="4"/>
  <c r="AC55" i="3"/>
  <c r="AM79" i="3"/>
  <c r="AM143" i="3"/>
  <c r="AM193" i="3"/>
  <c r="AE103" i="4"/>
  <c r="AM165" i="3"/>
  <c r="AM239" i="3"/>
  <c r="AM240" i="3" s="1"/>
  <c r="AM132" i="3"/>
  <c r="AM229" i="3"/>
  <c r="AM230" i="3" s="1"/>
  <c r="AM153" i="3"/>
  <c r="I5" i="6"/>
  <c r="I5" i="10" s="1"/>
  <c r="I3" i="6"/>
  <c r="H220" i="4" s="1"/>
  <c r="H221" i="4"/>
  <c r="U180" i="4"/>
  <c r="AC154" i="3"/>
  <c r="U181" i="4" s="1"/>
  <c r="AC155" i="3"/>
  <c r="U182" i="4" s="1"/>
  <c r="U210" i="4"/>
  <c r="AC194" i="3"/>
  <c r="AE4" i="4"/>
  <c r="AE484" i="4"/>
  <c r="AC240" i="3"/>
  <c r="AC241" i="3"/>
  <c r="U192" i="4"/>
  <c r="AC166" i="3"/>
  <c r="U193" i="4" s="1"/>
  <c r="AC167" i="3"/>
  <c r="U194" i="4" s="1"/>
  <c r="X602" i="4"/>
  <c r="X74" i="4"/>
  <c r="Y73" i="4"/>
  <c r="Y601" i="4"/>
  <c r="W611" i="4"/>
  <c r="W80" i="4"/>
  <c r="X603" i="4"/>
  <c r="X75" i="4"/>
  <c r="X76" i="4"/>
  <c r="X604" i="4"/>
  <c r="W613" i="4"/>
  <c r="W81" i="4"/>
  <c r="X610" i="4"/>
  <c r="X79" i="4"/>
  <c r="AE611" i="4"/>
  <c r="AE80" i="4"/>
  <c r="W614" i="4"/>
  <c r="W82" i="4"/>
  <c r="V587" i="4"/>
  <c r="V62" i="4"/>
  <c r="V484" i="4"/>
  <c r="V4" i="4"/>
  <c r="X577" i="4"/>
  <c r="X55" i="4"/>
  <c r="W580" i="4"/>
  <c r="W58" i="4"/>
  <c r="V590" i="4"/>
  <c r="V64" i="4"/>
  <c r="AM180" i="1"/>
  <c r="AE407" i="4" s="1"/>
  <c r="U407" i="4"/>
  <c r="W579" i="4"/>
  <c r="W57" i="4"/>
  <c r="AE587" i="4"/>
  <c r="AE62" i="4"/>
  <c r="W586" i="4"/>
  <c r="W61" i="4"/>
  <c r="AD58" i="3"/>
  <c r="V103" i="4"/>
  <c r="AD79" i="3"/>
  <c r="AD143" i="3"/>
  <c r="AD165" i="3"/>
  <c r="AD193" i="3"/>
  <c r="AD239" i="3"/>
  <c r="AD153" i="3"/>
  <c r="AD132" i="3"/>
  <c r="AE453" i="4"/>
  <c r="I70" i="10"/>
  <c r="G709" i="4" s="1"/>
  <c r="I70" i="12"/>
  <c r="AE104" i="2"/>
  <c r="W583" i="4" s="1"/>
  <c r="W483" i="4"/>
  <c r="W3" i="4"/>
  <c r="AE5" i="3"/>
  <c r="AE249" i="3" s="1"/>
  <c r="V495" i="4"/>
  <c r="V11" i="4"/>
  <c r="W578" i="4"/>
  <c r="W56" i="4"/>
  <c r="V589" i="4"/>
  <c r="V63" i="4"/>
  <c r="L2" i="6"/>
  <c r="K19" i="6"/>
  <c r="J236" i="4" s="1"/>
  <c r="K2" i="12"/>
  <c r="AU49" i="3"/>
  <c r="AU50" i="3"/>
  <c r="AE184" i="3"/>
  <c r="W804" i="4" s="1"/>
  <c r="AE185" i="3"/>
  <c r="W805" i="4" s="1"/>
  <c r="AE186" i="3"/>
  <c r="W806" i="4" s="1"/>
  <c r="AE183" i="3"/>
  <c r="W803" i="4" s="1"/>
  <c r="AE206" i="3"/>
  <c r="AP127" i="3"/>
  <c r="AH154" i="4" s="1"/>
  <c r="AO15" i="1"/>
  <c r="AG297" i="4" s="1"/>
  <c r="AO130" i="3"/>
  <c r="AG157" i="4" s="1"/>
  <c r="AU82" i="3"/>
  <c r="AM124" i="4" s="1"/>
  <c r="AM184" i="3"/>
  <c r="AE804" i="4" s="1"/>
  <c r="AM183" i="3"/>
  <c r="AE803" i="4" s="1"/>
  <c r="AM206" i="3"/>
  <c r="AD35" i="3"/>
  <c r="AD34" i="3"/>
  <c r="AE33" i="3"/>
  <c r="AD231" i="3"/>
  <c r="AD230" i="3"/>
  <c r="AD206" i="3"/>
  <c r="AD185" i="3"/>
  <c r="V805" i="4" s="1"/>
  <c r="AD183" i="3"/>
  <c r="V803" i="4" s="1"/>
  <c r="AD186" i="3"/>
  <c r="V806" i="4" s="1"/>
  <c r="AD184" i="3"/>
  <c r="V804" i="4" s="1"/>
  <c r="AF227" i="3"/>
  <c r="AF226" i="3"/>
  <c r="AF225" i="3"/>
  <c r="AF135" i="3" s="1"/>
  <c r="AF228" i="3"/>
  <c r="AT50" i="3"/>
  <c r="AT49" i="3"/>
  <c r="AP141" i="3"/>
  <c r="AH168" i="4" s="1"/>
  <c r="AP16" i="1"/>
  <c r="AQ138" i="3"/>
  <c r="AI165" i="4" s="1"/>
  <c r="AE248" i="3"/>
  <c r="AE246" i="3"/>
  <c r="AE245" i="3"/>
  <c r="AE247" i="3"/>
  <c r="AG161" i="3"/>
  <c r="Y188" i="4" s="1"/>
  <c r="AF148" i="3"/>
  <c r="X175" i="4" s="1"/>
  <c r="AM24" i="2"/>
  <c r="AM23" i="2"/>
  <c r="AN147" i="2"/>
  <c r="AF93" i="2"/>
  <c r="AG91" i="2"/>
  <c r="AF11" i="2"/>
  <c r="AF94" i="2"/>
  <c r="Z77" i="2"/>
  <c r="V79" i="2"/>
  <c r="AL79" i="2" s="1"/>
  <c r="AF155" i="2"/>
  <c r="X635" i="4" s="1"/>
  <c r="AF157" i="2"/>
  <c r="AF156" i="2"/>
  <c r="AF154" i="2"/>
  <c r="AN138" i="2"/>
  <c r="AN153" i="2" s="1"/>
  <c r="AG141" i="2"/>
  <c r="AG140" i="2"/>
  <c r="AE108" i="2"/>
  <c r="W588" i="4" s="1"/>
  <c r="AE110" i="2"/>
  <c r="AE107" i="2"/>
  <c r="AE109" i="2"/>
  <c r="AD18" i="2"/>
  <c r="AD17" i="2"/>
  <c r="AG122" i="2"/>
  <c r="AG124" i="2"/>
  <c r="AG123" i="2"/>
  <c r="AN121" i="2"/>
  <c r="AF116" i="2"/>
  <c r="AG114" i="2"/>
  <c r="AF117" i="2"/>
  <c r="AF134" i="2"/>
  <c r="AF133" i="2"/>
  <c r="AF131" i="2"/>
  <c r="AF132" i="2"/>
  <c r="X612" i="4" s="1"/>
  <c r="AE14" i="2"/>
  <c r="AE52" i="2"/>
  <c r="AE13" i="2"/>
  <c r="AE12" i="2"/>
  <c r="AE143" i="2"/>
  <c r="W623" i="4" s="1"/>
  <c r="AE142" i="2"/>
  <c r="W622" i="4" s="1"/>
  <c r="AM83" i="2"/>
  <c r="AE562" i="4" s="1"/>
  <c r="AE103" i="2"/>
  <c r="W582" i="4" s="1"/>
  <c r="AD28" i="2"/>
  <c r="AC29" i="2"/>
  <c r="AE23" i="2"/>
  <c r="AE25" i="2"/>
  <c r="AE26" i="2"/>
  <c r="AE24" i="2"/>
  <c r="AF106" i="2"/>
  <c r="AF101" i="2"/>
  <c r="AG98" i="2"/>
  <c r="AF4" i="2"/>
  <c r="AF103" i="2" s="1"/>
  <c r="X582" i="4" s="1"/>
  <c r="AF99" i="2"/>
  <c r="AF100" i="2"/>
  <c r="Y85" i="2"/>
  <c r="Q564" i="4" s="1"/>
  <c r="Y74" i="2"/>
  <c r="Y73" i="2"/>
  <c r="AG148" i="2"/>
  <c r="AG146" i="2"/>
  <c r="AG153" i="2"/>
  <c r="AG147" i="2"/>
  <c r="AC83" i="2"/>
  <c r="U562" i="4" s="1"/>
  <c r="AD82" i="2"/>
  <c r="AE95" i="2"/>
  <c r="W574" i="4" s="1"/>
  <c r="AL49" i="2"/>
  <c r="AL48" i="2"/>
  <c r="AD527" i="4" s="1"/>
  <c r="AJ53" i="2"/>
  <c r="AC26" i="2"/>
  <c r="AB25" i="2"/>
  <c r="AC25" i="2"/>
  <c r="AB26" i="2"/>
  <c r="Z74" i="2"/>
  <c r="AD131" i="1"/>
  <c r="AD119" i="1"/>
  <c r="V346" i="4" s="1"/>
  <c r="AD7" i="1"/>
  <c r="V289" i="4" s="1"/>
  <c r="AD118" i="1"/>
  <c r="V345" i="4" s="1"/>
  <c r="AD234" i="1"/>
  <c r="V453" i="4" s="1"/>
  <c r="AD54" i="2"/>
  <c r="V533" i="4" s="1"/>
  <c r="AD53" i="2"/>
  <c r="V532" i="4" s="1"/>
  <c r="AD55" i="2"/>
  <c r="V534" i="4" s="1"/>
  <c r="AD79" i="2"/>
  <c r="AE16" i="2"/>
  <c r="AE5" i="2"/>
  <c r="AE8" i="2"/>
  <c r="W487" i="4" s="1"/>
  <c r="AE6" i="1"/>
  <c r="AE7" i="2"/>
  <c r="W486" i="4" s="1"/>
  <c r="AE6" i="2"/>
  <c r="W485" i="4" s="1"/>
  <c r="AE151" i="2"/>
  <c r="W631" i="4" s="1"/>
  <c r="AE150" i="2"/>
  <c r="W630" i="4" s="1"/>
  <c r="AE127" i="2"/>
  <c r="W607" i="4" s="1"/>
  <c r="AE126" i="2"/>
  <c r="W606" i="4" s="1"/>
  <c r="R59" i="1"/>
  <c r="R60" i="1" s="1"/>
  <c r="AQ259" i="1"/>
  <c r="AI481" i="4" s="1"/>
  <c r="AQ207" i="1"/>
  <c r="AI434" i="4" s="1"/>
  <c r="AR200" i="1"/>
  <c r="AJ427" i="4" s="1"/>
  <c r="AG171" i="1"/>
  <c r="Y398" i="4" s="1"/>
  <c r="AA170" i="1"/>
  <c r="AA59" i="1"/>
  <c r="AA60" i="1" s="1"/>
  <c r="AA27" i="1"/>
  <c r="S309" i="4" s="1"/>
  <c r="AA28" i="1"/>
  <c r="S310" i="4" s="1"/>
  <c r="AF186" i="1"/>
  <c r="AF240" i="1"/>
  <c r="AF235" i="1"/>
  <c r="X454" i="4" s="1"/>
  <c r="AF215" i="1"/>
  <c r="X782" i="4" s="1"/>
  <c r="W28" i="1"/>
  <c r="O310" i="4" s="1"/>
  <c r="W27" i="1"/>
  <c r="O309" i="4" s="1"/>
  <c r="AE171" i="1"/>
  <c r="W398" i="4" s="1"/>
  <c r="Z170" i="1"/>
  <c r="Z59" i="1"/>
  <c r="Z60" i="1" s="1"/>
  <c r="Z45" i="1"/>
  <c r="C16" i="20" s="1"/>
  <c r="C34" i="20" s="1"/>
  <c r="AL29" i="1"/>
  <c r="AD311" i="4" s="1"/>
  <c r="AL26" i="1"/>
  <c r="AT226" i="1"/>
  <c r="AL445" i="4" s="1"/>
  <c r="AG134" i="1"/>
  <c r="Y361" i="4" s="1"/>
  <c r="AA47" i="1"/>
  <c r="AE47" i="1"/>
  <c r="W327" i="4" s="1"/>
  <c r="AF63" i="1"/>
  <c r="AM48" i="1"/>
  <c r="AE328" i="4" s="1"/>
  <c r="AD171" i="1"/>
  <c r="V398" i="4" s="1"/>
  <c r="AN139" i="1"/>
  <c r="AB170" i="1"/>
  <c r="AB45" i="1"/>
  <c r="E16" i="20" s="1"/>
  <c r="E34" i="20" s="1"/>
  <c r="AB59" i="1"/>
  <c r="AB60" i="1" s="1"/>
  <c r="Z27" i="1"/>
  <c r="R309" i="4" s="1"/>
  <c r="Z28" i="1"/>
  <c r="R310" i="4" s="1"/>
  <c r="AB28" i="1"/>
  <c r="T310" i="4" s="1"/>
  <c r="AB27" i="1"/>
  <c r="T309" i="4" s="1"/>
  <c r="AN233" i="1"/>
  <c r="AF452" i="4" s="1"/>
  <c r="X28" i="1"/>
  <c r="P310" i="4" s="1"/>
  <c r="Y28" i="1"/>
  <c r="Q310" i="4" s="1"/>
  <c r="Y27" i="1"/>
  <c r="Q309" i="4" s="1"/>
  <c r="AF258" i="1"/>
  <c r="X480" i="4" s="1"/>
  <c r="AG66" i="1"/>
  <c r="AG69" i="1" s="1"/>
  <c r="AG64" i="1" s="1"/>
  <c r="E46" i="6" s="1"/>
  <c r="AF48" i="1"/>
  <c r="X328" i="4" s="1"/>
  <c r="AS125" i="1" l="1"/>
  <c r="AL40" i="1"/>
  <c r="AD322" i="4" s="1"/>
  <c r="V124" i="4"/>
  <c r="AE82" i="3"/>
  <c r="W124" i="4" s="1"/>
  <c r="AL73" i="2"/>
  <c r="AD45" i="4" s="1"/>
  <c r="AD250" i="3"/>
  <c r="AD38" i="4"/>
  <c r="AD544" i="4"/>
  <c r="AD39" i="4"/>
  <c r="W503" i="4"/>
  <c r="W19" i="4"/>
  <c r="W502" i="4"/>
  <c r="W18" i="4"/>
  <c r="AM189" i="4"/>
  <c r="Q11" i="6"/>
  <c r="P228" i="4" s="1"/>
  <c r="AU57" i="1"/>
  <c r="AM337" i="4" s="1"/>
  <c r="AU172" i="1"/>
  <c r="AM399" i="4" s="1"/>
  <c r="AG228" i="3"/>
  <c r="AG218" i="4"/>
  <c r="AN225" i="3"/>
  <c r="AG226" i="3"/>
  <c r="AG227" i="3"/>
  <c r="AG225" i="3"/>
  <c r="AG135" i="3" s="1"/>
  <c r="Y207" i="4" s="1"/>
  <c r="AN227" i="3"/>
  <c r="Y203" i="4"/>
  <c r="AN189" i="3"/>
  <c r="W20" i="4"/>
  <c r="W504" i="4"/>
  <c r="W505" i="4"/>
  <c r="W21" i="4"/>
  <c r="AN98" i="2"/>
  <c r="AF55" i="4" s="1"/>
  <c r="AF56" i="1"/>
  <c r="X459" i="4"/>
  <c r="AJ417" i="4"/>
  <c r="AS190" i="1"/>
  <c r="AF197" i="1"/>
  <c r="X424" i="4" s="1"/>
  <c r="X413" i="4"/>
  <c r="AJ431" i="4"/>
  <c r="AS204" i="1"/>
  <c r="AS189" i="1"/>
  <c r="AJ416" i="4"/>
  <c r="AT194" i="1"/>
  <c r="AK421" i="4"/>
  <c r="AN240" i="1"/>
  <c r="AF459" i="4" s="1"/>
  <c r="AH285" i="4"/>
  <c r="AP113" i="1"/>
  <c r="AH340" i="4" s="1"/>
  <c r="AQ3" i="1"/>
  <c r="AP168" i="1"/>
  <c r="AH395" i="4" s="1"/>
  <c r="AT188" i="1"/>
  <c r="AK415" i="4"/>
  <c r="AS201" i="1"/>
  <c r="AJ428" i="4"/>
  <c r="AM47" i="1"/>
  <c r="AE327" i="4" s="1"/>
  <c r="S327" i="4"/>
  <c r="AS187" i="1"/>
  <c r="AJ414" i="4"/>
  <c r="AJ423" i="4"/>
  <c r="AS196" i="1"/>
  <c r="U460" i="4"/>
  <c r="AJ422" i="4"/>
  <c r="AS195" i="1"/>
  <c r="AT192" i="1"/>
  <c r="AK419" i="4"/>
  <c r="AJ418" i="4"/>
  <c r="AS191" i="1"/>
  <c r="AS203" i="1"/>
  <c r="AJ430" i="4"/>
  <c r="W59" i="1"/>
  <c r="W60" i="1" s="1"/>
  <c r="O325" i="4"/>
  <c r="AD325" i="4"/>
  <c r="M308" i="4"/>
  <c r="U28" i="1"/>
  <c r="M310" i="4" s="1"/>
  <c r="AA183" i="1"/>
  <c r="S410" i="4" s="1"/>
  <c r="S397" i="4"/>
  <c r="N308" i="4"/>
  <c r="V28" i="1"/>
  <c r="N310" i="4" s="1"/>
  <c r="V27" i="1"/>
  <c r="N309" i="4" s="1"/>
  <c r="AT174" i="1"/>
  <c r="AK401" i="4"/>
  <c r="AT173" i="1"/>
  <c r="AK400" i="4"/>
  <c r="R808" i="4"/>
  <c r="F274" i="4"/>
  <c r="G71" i="6"/>
  <c r="H69" i="6"/>
  <c r="U59" i="1"/>
  <c r="U60" i="1" s="1"/>
  <c r="M325" i="4"/>
  <c r="Z183" i="1"/>
  <c r="R410" i="4" s="1"/>
  <c r="R397" i="4"/>
  <c r="AK43" i="1"/>
  <c r="AC325" i="4" s="1"/>
  <c r="G15" i="6"/>
  <c r="F232" i="4" s="1"/>
  <c r="F224" i="4"/>
  <c r="G7" i="10"/>
  <c r="G12" i="6"/>
  <c r="G7" i="12"/>
  <c r="N325" i="4"/>
  <c r="V59" i="1"/>
  <c r="V60" i="1" s="1"/>
  <c r="AN142" i="1"/>
  <c r="Y369" i="4"/>
  <c r="AO123" i="1"/>
  <c r="AF350" i="4"/>
  <c r="AF367" i="4"/>
  <c r="AO140" i="1"/>
  <c r="AO139" i="1"/>
  <c r="AG366" i="4" s="1"/>
  <c r="AF366" i="4"/>
  <c r="Y352" i="4"/>
  <c r="AN124" i="1"/>
  <c r="Y351" i="4"/>
  <c r="AM63" i="1"/>
  <c r="D800" i="4"/>
  <c r="E46" i="10"/>
  <c r="E46" i="12"/>
  <c r="AS3" i="2"/>
  <c r="AJ2" i="4"/>
  <c r="AN141" i="1"/>
  <c r="Y368" i="4"/>
  <c r="AN237" i="3"/>
  <c r="AN235" i="3"/>
  <c r="AG237" i="3"/>
  <c r="AG235" i="3"/>
  <c r="AG238" i="3"/>
  <c r="AG236" i="3"/>
  <c r="AP160" i="3"/>
  <c r="AG187" i="4"/>
  <c r="AO234" i="3"/>
  <c r="X162" i="4"/>
  <c r="X207" i="4"/>
  <c r="AE207" i="3"/>
  <c r="W791" i="4"/>
  <c r="AP159" i="3"/>
  <c r="AP224" i="3" s="1"/>
  <c r="AH218" i="4" s="1"/>
  <c r="AG186" i="4"/>
  <c r="AP158" i="3"/>
  <c r="AG185" i="4"/>
  <c r="AM207" i="3"/>
  <c r="AE792" i="4" s="1"/>
  <c r="AE791" i="4"/>
  <c r="AD207" i="3"/>
  <c r="V791" i="4"/>
  <c r="Y626" i="4"/>
  <c r="Y92" i="4"/>
  <c r="AO145" i="2"/>
  <c r="AF92" i="4"/>
  <c r="AF626" i="4"/>
  <c r="Y628" i="4"/>
  <c r="Y94" i="4"/>
  <c r="AF627" i="4"/>
  <c r="AF93" i="4"/>
  <c r="Y93" i="4"/>
  <c r="Y627" i="4"/>
  <c r="AF91" i="4"/>
  <c r="AF625" i="4"/>
  <c r="W288" i="4"/>
  <c r="AF633" i="4"/>
  <c r="AF97" i="4"/>
  <c r="Y633" i="4"/>
  <c r="Y97" i="4"/>
  <c r="X636" i="4"/>
  <c r="X99" i="4"/>
  <c r="Y621" i="4"/>
  <c r="Y89" i="4"/>
  <c r="X637" i="4"/>
  <c r="X100" i="4"/>
  <c r="AF86" i="4"/>
  <c r="AF618" i="4"/>
  <c r="Y620" i="4"/>
  <c r="Y88" i="4"/>
  <c r="X634" i="4"/>
  <c r="X98" i="4"/>
  <c r="X597" i="4"/>
  <c r="X71" i="4"/>
  <c r="Y594" i="4"/>
  <c r="Y68" i="4"/>
  <c r="X70" i="4"/>
  <c r="X596" i="4"/>
  <c r="AG130" i="2"/>
  <c r="AG134" i="2" s="1"/>
  <c r="Y50" i="4"/>
  <c r="Y570" i="4"/>
  <c r="W492" i="4"/>
  <c r="W8" i="4"/>
  <c r="X53" i="4"/>
  <c r="X573" i="4"/>
  <c r="X52" i="4"/>
  <c r="X572" i="4"/>
  <c r="V558" i="4"/>
  <c r="AD41" i="3"/>
  <c r="W531" i="4"/>
  <c r="W36" i="4"/>
  <c r="X490" i="4"/>
  <c r="X6" i="4"/>
  <c r="AF32" i="3"/>
  <c r="AF95" i="2"/>
  <c r="X574" i="4" s="1"/>
  <c r="W117" i="4"/>
  <c r="I88" i="10"/>
  <c r="I87" i="10"/>
  <c r="W493" i="4"/>
  <c r="W9" i="4"/>
  <c r="W491" i="4"/>
  <c r="W7" i="4"/>
  <c r="AF119" i="2"/>
  <c r="X599" i="4" s="1"/>
  <c r="AF118" i="2"/>
  <c r="X598" i="4" s="1"/>
  <c r="AF96" i="2"/>
  <c r="X575" i="4" s="1"/>
  <c r="K219" i="4"/>
  <c r="L2" i="10"/>
  <c r="K19" i="10"/>
  <c r="J657" i="4" s="1"/>
  <c r="J640" i="4"/>
  <c r="K19" i="12"/>
  <c r="J729" i="4" s="1"/>
  <c r="J712" i="4"/>
  <c r="AD528" i="4"/>
  <c r="AD34" i="4"/>
  <c r="Q552" i="4"/>
  <c r="Q45" i="4"/>
  <c r="G274" i="4"/>
  <c r="AM150" i="1"/>
  <c r="AE377" i="4" s="1"/>
  <c r="AE345" i="4"/>
  <c r="H15" i="6"/>
  <c r="G232" i="4" s="1"/>
  <c r="G224" i="4"/>
  <c r="H16" i="6"/>
  <c r="G233" i="4" s="1"/>
  <c r="H7" i="10"/>
  <c r="H7" i="12"/>
  <c r="H12" i="6"/>
  <c r="AD552" i="4"/>
  <c r="Q553" i="4"/>
  <c r="Q46" i="4"/>
  <c r="U404" i="4"/>
  <c r="AM177" i="1"/>
  <c r="AE404" i="4" s="1"/>
  <c r="R553" i="4"/>
  <c r="R46" i="4"/>
  <c r="AL27" i="1"/>
  <c r="AD309" i="4" s="1"/>
  <c r="AD308" i="4"/>
  <c r="AW16" i="1"/>
  <c r="AO298" i="4" s="1"/>
  <c r="AH298" i="4"/>
  <c r="AM432" i="4"/>
  <c r="AL432" i="4"/>
  <c r="AU202" i="1"/>
  <c r="AM429" i="4" s="1"/>
  <c r="AL429" i="4"/>
  <c r="AS193" i="1"/>
  <c r="AJ420" i="4"/>
  <c r="AO117" i="1"/>
  <c r="AF344" i="4"/>
  <c r="T808" i="4"/>
  <c r="AB183" i="1"/>
  <c r="T410" i="4" s="1"/>
  <c r="T397" i="4"/>
  <c r="AE192" i="4"/>
  <c r="I73" i="10"/>
  <c r="I73" i="12" s="1"/>
  <c r="AM166" i="3"/>
  <c r="AE193" i="4" s="1"/>
  <c r="AC57" i="3"/>
  <c r="AM55" i="3"/>
  <c r="AM73" i="3" s="1"/>
  <c r="AC73" i="3"/>
  <c r="AC67" i="3"/>
  <c r="U108" i="4"/>
  <c r="AC115" i="3"/>
  <c r="AC11" i="3"/>
  <c r="U110" i="4" s="1"/>
  <c r="AC10" i="3"/>
  <c r="U109" i="4" s="1"/>
  <c r="AC12" i="3"/>
  <c r="U111" i="4" s="1"/>
  <c r="AM9" i="3"/>
  <c r="AM81" i="3" s="1"/>
  <c r="AE123" i="4" s="1"/>
  <c r="AC170" i="3"/>
  <c r="AC18" i="3"/>
  <c r="AC22" i="3"/>
  <c r="AC13" i="3"/>
  <c r="U112" i="4" s="1"/>
  <c r="AC121" i="3"/>
  <c r="AC214" i="3"/>
  <c r="AC14" i="3"/>
  <c r="AM133" i="3"/>
  <c r="AE160" i="4" s="1"/>
  <c r="AE159" i="4"/>
  <c r="AE210" i="4"/>
  <c r="AM194" i="3"/>
  <c r="AE496" i="4"/>
  <c r="AE12" i="4"/>
  <c r="AE180" i="4"/>
  <c r="AM154" i="3"/>
  <c r="AE181" i="4" s="1"/>
  <c r="AE122" i="4"/>
  <c r="AM92" i="3"/>
  <c r="AM82" i="3"/>
  <c r="AE124" i="4" s="1"/>
  <c r="AM80" i="3"/>
  <c r="H222" i="4"/>
  <c r="I5" i="12"/>
  <c r="AM144" i="3"/>
  <c r="AE171" i="4" s="1"/>
  <c r="AE170" i="4"/>
  <c r="AM70" i="3"/>
  <c r="AM59" i="3"/>
  <c r="AE128" i="4"/>
  <c r="AM76" i="3"/>
  <c r="AM62" i="3"/>
  <c r="AE132" i="4" s="1"/>
  <c r="X611" i="4"/>
  <c r="X80" i="4"/>
  <c r="AF601" i="4"/>
  <c r="AF73" i="4"/>
  <c r="Y602" i="4"/>
  <c r="Y74" i="4"/>
  <c r="X613" i="4"/>
  <c r="X81" i="4"/>
  <c r="Y603" i="4"/>
  <c r="Y75" i="4"/>
  <c r="X614" i="4"/>
  <c r="X82" i="4"/>
  <c r="Y76" i="4"/>
  <c r="Y604" i="4"/>
  <c r="V496" i="4"/>
  <c r="V12" i="4"/>
  <c r="AD241" i="3"/>
  <c r="AD240" i="3"/>
  <c r="V122" i="4"/>
  <c r="AD55" i="3"/>
  <c r="AD57" i="3" s="1"/>
  <c r="W495" i="4"/>
  <c r="W11" i="4"/>
  <c r="X578" i="4"/>
  <c r="X56" i="4"/>
  <c r="X580" i="4"/>
  <c r="X58" i="4"/>
  <c r="W587" i="4"/>
  <c r="W62" i="4"/>
  <c r="AD180" i="1"/>
  <c r="V407" i="4" s="1"/>
  <c r="V358" i="4"/>
  <c r="AF104" i="2"/>
  <c r="X583" i="4" s="1"/>
  <c r="V497" i="4"/>
  <c r="V13" i="4"/>
  <c r="W590" i="4"/>
  <c r="W64" i="4"/>
  <c r="V210" i="4"/>
  <c r="AD194" i="3"/>
  <c r="X483" i="4"/>
  <c r="X3" i="4"/>
  <c r="AF5" i="3"/>
  <c r="AF153" i="3" s="1"/>
  <c r="X180" i="4" s="1"/>
  <c r="X586" i="4"/>
  <c r="X61" i="4"/>
  <c r="V498" i="4"/>
  <c r="V14" i="4"/>
  <c r="W103" i="4"/>
  <c r="AE143" i="3"/>
  <c r="AE153" i="3"/>
  <c r="AE165" i="3"/>
  <c r="AE58" i="3"/>
  <c r="AE9" i="3" s="1"/>
  <c r="AE193" i="3"/>
  <c r="AE132" i="3"/>
  <c r="AE239" i="3"/>
  <c r="AE229" i="3"/>
  <c r="V159" i="4"/>
  <c r="AD134" i="3"/>
  <c r="V161" i="4" s="1"/>
  <c r="AD133" i="3"/>
  <c r="V160" i="4" s="1"/>
  <c r="V192" i="4"/>
  <c r="AD167" i="3"/>
  <c r="V194" i="4" s="1"/>
  <c r="AD166" i="3"/>
  <c r="V193" i="4" s="1"/>
  <c r="V128" i="4"/>
  <c r="AD76" i="3"/>
  <c r="AD62" i="3"/>
  <c r="V132" i="4" s="1"/>
  <c r="AD63" i="3"/>
  <c r="V133" i="4" s="1"/>
  <c r="AD9" i="3"/>
  <c r="W484" i="4"/>
  <c r="W4" i="4"/>
  <c r="X579" i="4"/>
  <c r="X57" i="4"/>
  <c r="Y577" i="4"/>
  <c r="Y55" i="4"/>
  <c r="W589" i="4"/>
  <c r="W63" i="4"/>
  <c r="V180" i="4"/>
  <c r="AD154" i="3"/>
  <c r="V181" i="4" s="1"/>
  <c r="AD155" i="3"/>
  <c r="V182" i="4" s="1"/>
  <c r="V170" i="4"/>
  <c r="AD144" i="3"/>
  <c r="V171" i="4" s="1"/>
  <c r="AD145" i="3"/>
  <c r="V172" i="4" s="1"/>
  <c r="L2" i="12"/>
  <c r="L19" i="6"/>
  <c r="K236" i="4" s="1"/>
  <c r="M2" i="6"/>
  <c r="AE34" i="3"/>
  <c r="AF33" i="3"/>
  <c r="AE35" i="3"/>
  <c r="AQ127" i="3"/>
  <c r="AI154" i="4" s="1"/>
  <c r="AP130" i="3"/>
  <c r="AH157" i="4" s="1"/>
  <c r="AP15" i="1"/>
  <c r="AQ141" i="3"/>
  <c r="AI168" i="4" s="1"/>
  <c r="AQ16" i="1"/>
  <c r="AI298" i="4" s="1"/>
  <c r="AR138" i="3"/>
  <c r="AJ165" i="4" s="1"/>
  <c r="AF244" i="3"/>
  <c r="AF150" i="3"/>
  <c r="X177" i="4" s="1"/>
  <c r="AF151" i="3"/>
  <c r="X178" i="4" s="1"/>
  <c r="AF152" i="3"/>
  <c r="X179" i="4" s="1"/>
  <c r="AF17" i="1"/>
  <c r="X299" i="4" s="1"/>
  <c r="AF176" i="3"/>
  <c r="X785" i="4" s="1"/>
  <c r="AG148" i="3"/>
  <c r="Y175" i="4" s="1"/>
  <c r="AN161" i="3"/>
  <c r="AE250" i="3"/>
  <c r="AE251" i="3"/>
  <c r="AO225" i="3"/>
  <c r="AO227" i="3"/>
  <c r="AL76" i="2"/>
  <c r="AM80" i="2"/>
  <c r="AE559" i="4" s="1"/>
  <c r="AD177" i="1"/>
  <c r="V404" i="4" s="1"/>
  <c r="AF6" i="2"/>
  <c r="X485" i="4" s="1"/>
  <c r="AF5" i="2"/>
  <c r="AF8" i="2"/>
  <c r="X487" i="4" s="1"/>
  <c r="AF7" i="2"/>
  <c r="X486" i="4" s="1"/>
  <c r="AF6" i="1"/>
  <c r="AF16" i="2"/>
  <c r="AF126" i="2"/>
  <c r="X606" i="4" s="1"/>
  <c r="AF150" i="2"/>
  <c r="X630" i="4" s="1"/>
  <c r="AF151" i="2"/>
  <c r="X631" i="4" s="1"/>
  <c r="AF127" i="2"/>
  <c r="X607" i="4" s="1"/>
  <c r="AN155" i="2"/>
  <c r="AF635" i="4" s="1"/>
  <c r="AN154" i="2"/>
  <c r="AF26" i="2"/>
  <c r="AF25" i="2"/>
  <c r="AF24" i="2"/>
  <c r="AF23" i="2"/>
  <c r="AG25" i="2"/>
  <c r="AG26" i="2"/>
  <c r="AE82" i="2"/>
  <c r="AD83" i="2"/>
  <c r="AG106" i="2"/>
  <c r="AG101" i="2"/>
  <c r="AG100" i="2"/>
  <c r="AG4" i="2"/>
  <c r="AG104" i="2" s="1"/>
  <c r="Y583" i="4" s="1"/>
  <c r="AG99" i="2"/>
  <c r="AN22" i="2"/>
  <c r="AE18" i="2"/>
  <c r="AE19" i="2"/>
  <c r="AE17" i="2"/>
  <c r="AN140" i="2"/>
  <c r="AN139" i="2"/>
  <c r="AF52" i="2"/>
  <c r="AF13" i="2"/>
  <c r="AF14" i="2"/>
  <c r="AF12" i="2"/>
  <c r="AF142" i="2"/>
  <c r="X622" i="4" s="1"/>
  <c r="AF143" i="2"/>
  <c r="X623" i="4" s="1"/>
  <c r="AD178" i="1"/>
  <c r="V405" i="4" s="1"/>
  <c r="AN91" i="2"/>
  <c r="AG93" i="2"/>
  <c r="AG94" i="2"/>
  <c r="AG11" i="2"/>
  <c r="AG96" i="2" s="1"/>
  <c r="Y575" i="4" s="1"/>
  <c r="AF109" i="2"/>
  <c r="AF108" i="2"/>
  <c r="X588" i="4" s="1"/>
  <c r="AF110" i="2"/>
  <c r="AF107" i="2"/>
  <c r="AD31" i="2"/>
  <c r="AD29" i="2"/>
  <c r="AE28" i="2"/>
  <c r="AE53" i="2"/>
  <c r="W532" i="4" s="1"/>
  <c r="AE55" i="2"/>
  <c r="W534" i="4" s="1"/>
  <c r="AE79" i="2"/>
  <c r="AE54" i="2"/>
  <c r="W533" i="4" s="1"/>
  <c r="AG117" i="2"/>
  <c r="AG116" i="2"/>
  <c r="AN114" i="2"/>
  <c r="AN122" i="2"/>
  <c r="AP122" i="2" s="1"/>
  <c r="AN123" i="2"/>
  <c r="AC32" i="2"/>
  <c r="AM31" i="2"/>
  <c r="AC34" i="2"/>
  <c r="AG157" i="2"/>
  <c r="AG156" i="2"/>
  <c r="AG154" i="2"/>
  <c r="AG155" i="2"/>
  <c r="Y635" i="4" s="1"/>
  <c r="AD80" i="2"/>
  <c r="V559" i="4" s="1"/>
  <c r="AE131" i="1"/>
  <c r="AE119" i="1"/>
  <c r="W346" i="4" s="1"/>
  <c r="AE7" i="1"/>
  <c r="W289" i="4" s="1"/>
  <c r="AE118" i="1"/>
  <c r="W345" i="4" s="1"/>
  <c r="AE234" i="1"/>
  <c r="W453" i="4" s="1"/>
  <c r="AD122" i="1"/>
  <c r="AM122" i="1"/>
  <c r="AE349" i="4" s="1"/>
  <c r="AK170" i="1"/>
  <c r="AC397" i="4" s="1"/>
  <c r="AK59" i="1"/>
  <c r="AK60" i="1" s="1"/>
  <c r="AB210" i="1"/>
  <c r="T437" i="4" s="1"/>
  <c r="AR259" i="1"/>
  <c r="AJ481" i="4" s="1"/>
  <c r="AS200" i="1"/>
  <c r="AK427" i="4" s="1"/>
  <c r="AR207" i="1"/>
  <c r="AJ434" i="4" s="1"/>
  <c r="U398" i="4"/>
  <c r="AM56" i="1"/>
  <c r="AE336" i="4" s="1"/>
  <c r="AG258" i="1"/>
  <c r="Y480" i="4" s="1"/>
  <c r="AG48" i="1"/>
  <c r="Y328" i="4" s="1"/>
  <c r="AF47" i="1"/>
  <c r="X327" i="4" s="1"/>
  <c r="AG63" i="1"/>
  <c r="AG47" i="1" s="1"/>
  <c r="Y327" i="4" s="1"/>
  <c r="AA45" i="1"/>
  <c r="D16" i="20" s="1"/>
  <c r="D34" i="20" s="1"/>
  <c r="AN241" i="1"/>
  <c r="AN171" i="1"/>
  <c r="AF398" i="4" s="1"/>
  <c r="AN247" i="1"/>
  <c r="AN66" i="1"/>
  <c r="AM64" i="1"/>
  <c r="AM258" i="1" s="1"/>
  <c r="AE480" i="4" s="1"/>
  <c r="AN134" i="1"/>
  <c r="AF361" i="4" s="1"/>
  <c r="AF171" i="1"/>
  <c r="X398" i="4" s="1"/>
  <c r="AA210" i="1"/>
  <c r="S437" i="4" s="1"/>
  <c r="AN186" i="1"/>
  <c r="AN215" i="1"/>
  <c r="AF782" i="4" s="1"/>
  <c r="AO233" i="1"/>
  <c r="AG452" i="4" s="1"/>
  <c r="AN235" i="1"/>
  <c r="AF454" i="4" s="1"/>
  <c r="AN236" i="1"/>
  <c r="AF455" i="4" s="1"/>
  <c r="AU226" i="1"/>
  <c r="AM445" i="4" s="1"/>
  <c r="AN48" i="1"/>
  <c r="AF328" i="4" s="1"/>
  <c r="AT125" i="1" l="1"/>
  <c r="AE79" i="3"/>
  <c r="AE55" i="3" s="1"/>
  <c r="AE57" i="3" s="1"/>
  <c r="X18" i="4"/>
  <c r="X502" i="4"/>
  <c r="X503" i="4"/>
  <c r="X19" i="4"/>
  <c r="Y505" i="4"/>
  <c r="Y21" i="4"/>
  <c r="Y504" i="4"/>
  <c r="Y20" i="4"/>
  <c r="X505" i="4"/>
  <c r="X21" i="4"/>
  <c r="X20" i="4"/>
  <c r="X504" i="4"/>
  <c r="AQ122" i="2"/>
  <c r="AR122" i="2" s="1"/>
  <c r="AS122" i="2" s="1"/>
  <c r="AN99" i="2"/>
  <c r="AO99" i="2" s="1"/>
  <c r="AP99" i="2" s="1"/>
  <c r="AQ99" i="2" s="1"/>
  <c r="AF577" i="4"/>
  <c r="AN100" i="2"/>
  <c r="AF57" i="4" s="1"/>
  <c r="Y162" i="4"/>
  <c r="V792" i="4"/>
  <c r="W792" i="4"/>
  <c r="AO189" i="3"/>
  <c r="AO191" i="3" s="1"/>
  <c r="AG205" i="4" s="1"/>
  <c r="AF203" i="4"/>
  <c r="AF501" i="4"/>
  <c r="AF17" i="4"/>
  <c r="V26" i="4"/>
  <c r="V510" i="4"/>
  <c r="AG133" i="2"/>
  <c r="Y613" i="4" s="1"/>
  <c r="AG132" i="2"/>
  <c r="Y612" i="4" s="1"/>
  <c r="AG131" i="2"/>
  <c r="Y611" i="4" s="1"/>
  <c r="AE26" i="4"/>
  <c r="AE510" i="4"/>
  <c r="U511" i="4"/>
  <c r="U27" i="4"/>
  <c r="U459" i="4"/>
  <c r="AM240" i="1"/>
  <c r="AI285" i="4"/>
  <c r="AQ168" i="1"/>
  <c r="AI395" i="4" s="1"/>
  <c r="AQ113" i="1"/>
  <c r="AI340" i="4" s="1"/>
  <c r="AR3" i="1"/>
  <c r="AT204" i="1"/>
  <c r="AK431" i="4"/>
  <c r="AK418" i="4"/>
  <c r="AT191" i="1"/>
  <c r="AT195" i="1"/>
  <c r="AK422" i="4"/>
  <c r="AK423" i="4"/>
  <c r="AT196" i="1"/>
  <c r="AU194" i="1"/>
  <c r="AM421" i="4" s="1"/>
  <c r="AL421" i="4"/>
  <c r="AT203" i="1"/>
  <c r="AK430" i="4"/>
  <c r="AT187" i="1"/>
  <c r="AK414" i="4"/>
  <c r="AK417" i="4"/>
  <c r="AT190" i="1"/>
  <c r="AU188" i="1"/>
  <c r="AM415" i="4" s="1"/>
  <c r="AL415" i="4"/>
  <c r="AU192" i="1"/>
  <c r="AM419" i="4" s="1"/>
  <c r="AL419" i="4"/>
  <c r="AT201" i="1"/>
  <c r="AK428" i="4"/>
  <c r="AN248" i="1"/>
  <c r="AF470" i="4" s="1"/>
  <c r="AF469" i="4"/>
  <c r="AN197" i="1"/>
  <c r="AF424" i="4" s="1"/>
  <c r="AF413" i="4"/>
  <c r="J10" i="6"/>
  <c r="I227" i="4" s="1"/>
  <c r="AO241" i="1"/>
  <c r="AG460" i="4" s="1"/>
  <c r="AF460" i="4"/>
  <c r="AT189" i="1"/>
  <c r="AK416" i="4"/>
  <c r="X336" i="4"/>
  <c r="AN56" i="1"/>
  <c r="AF336" i="4" s="1"/>
  <c r="G17" i="6"/>
  <c r="F229" i="4"/>
  <c r="F645" i="4"/>
  <c r="G15" i="10"/>
  <c r="F653" i="4" s="1"/>
  <c r="G12" i="10"/>
  <c r="F650" i="4" s="1"/>
  <c r="Z214" i="1"/>
  <c r="G72" i="6"/>
  <c r="F276" i="4"/>
  <c r="AU173" i="1"/>
  <c r="AM400" i="4" s="1"/>
  <c r="AL400" i="4"/>
  <c r="G12" i="12"/>
  <c r="F722" i="4" s="1"/>
  <c r="F717" i="4"/>
  <c r="G15" i="12"/>
  <c r="F725" i="4" s="1"/>
  <c r="Z210" i="1"/>
  <c r="AA214" i="1"/>
  <c r="S808" i="4"/>
  <c r="G74" i="6"/>
  <c r="F279" i="4" s="1"/>
  <c r="AU174" i="1"/>
  <c r="AM401" i="4" s="1"/>
  <c r="AL401" i="4"/>
  <c r="AE122" i="1"/>
  <c r="V349" i="4"/>
  <c r="AP140" i="1"/>
  <c r="AG367" i="4"/>
  <c r="AP139" i="1"/>
  <c r="AH366" i="4" s="1"/>
  <c r="AO124" i="1"/>
  <c r="AF351" i="4"/>
  <c r="AP123" i="1"/>
  <c r="AG350" i="4"/>
  <c r="AF352" i="4"/>
  <c r="AO142" i="1"/>
  <c r="AF369" i="4"/>
  <c r="D689" i="4"/>
  <c r="H800" i="4"/>
  <c r="D761" i="4"/>
  <c r="L800" i="4"/>
  <c r="AT3" i="2"/>
  <c r="AK2" i="4"/>
  <c r="AO141" i="1"/>
  <c r="AF368" i="4"/>
  <c r="AO161" i="3"/>
  <c r="AF188" i="4"/>
  <c r="AQ160" i="3"/>
  <c r="AH187" i="4"/>
  <c r="AP234" i="3"/>
  <c r="AO235" i="3"/>
  <c r="AO237" i="3"/>
  <c r="AQ159" i="3"/>
  <c r="AQ224" i="3" s="1"/>
  <c r="AI218" i="4" s="1"/>
  <c r="AH186" i="4"/>
  <c r="AQ158" i="3"/>
  <c r="AH185" i="4"/>
  <c r="AN148" i="3"/>
  <c r="AF175" i="4" s="1"/>
  <c r="AP145" i="2"/>
  <c r="AG626" i="4"/>
  <c r="AG92" i="4"/>
  <c r="AG625" i="4"/>
  <c r="AG91" i="4"/>
  <c r="Y79" i="4"/>
  <c r="X288" i="4"/>
  <c r="Y637" i="4"/>
  <c r="Y100" i="4"/>
  <c r="AF620" i="4"/>
  <c r="AF88" i="4"/>
  <c r="Y99" i="4"/>
  <c r="Y636" i="4"/>
  <c r="AF634" i="4"/>
  <c r="AF98" i="4"/>
  <c r="AO139" i="2"/>
  <c r="AO138" i="2" s="1"/>
  <c r="AF619" i="4"/>
  <c r="AF87" i="4"/>
  <c r="Y634" i="4"/>
  <c r="Y98" i="4"/>
  <c r="Y610" i="4"/>
  <c r="AG119" i="2"/>
  <c r="Y599" i="4" s="1"/>
  <c r="Y70" i="4"/>
  <c r="Y596" i="4"/>
  <c r="Y71" i="4"/>
  <c r="Y597" i="4"/>
  <c r="AF594" i="4"/>
  <c r="AF68" i="4"/>
  <c r="AF570" i="4"/>
  <c r="AF50" i="4"/>
  <c r="Y490" i="4"/>
  <c r="Y6" i="4"/>
  <c r="AG32" i="3"/>
  <c r="X491" i="4"/>
  <c r="X7" i="4"/>
  <c r="X117" i="4"/>
  <c r="X531" i="4"/>
  <c r="X36" i="4"/>
  <c r="AE80" i="2"/>
  <c r="W559" i="4" s="1"/>
  <c r="W558" i="4"/>
  <c r="Y53" i="4"/>
  <c r="Y573" i="4"/>
  <c r="X9" i="4"/>
  <c r="X493" i="4"/>
  <c r="AE41" i="3"/>
  <c r="AD42" i="3"/>
  <c r="AD43" i="3"/>
  <c r="Y52" i="4"/>
  <c r="Y572" i="4"/>
  <c r="X492" i="4"/>
  <c r="X8" i="4"/>
  <c r="AN106" i="2"/>
  <c r="AF586" i="4" s="1"/>
  <c r="L19" i="12"/>
  <c r="K729" i="4" s="1"/>
  <c r="K712" i="4"/>
  <c r="K640" i="4"/>
  <c r="L19" i="10"/>
  <c r="K657" i="4" s="1"/>
  <c r="L219" i="4"/>
  <c r="M2" i="10"/>
  <c r="G645" i="4"/>
  <c r="H16" i="10"/>
  <c r="G654" i="4" s="1"/>
  <c r="H15" i="10"/>
  <c r="G653" i="4" s="1"/>
  <c r="G717" i="4"/>
  <c r="H15" i="12"/>
  <c r="G725" i="4" s="1"/>
  <c r="H16" i="12"/>
  <c r="G726" i="4" s="1"/>
  <c r="H17" i="6"/>
  <c r="G229" i="4"/>
  <c r="AT193" i="1"/>
  <c r="AK420" i="4"/>
  <c r="AP117" i="1"/>
  <c r="AG344" i="4"/>
  <c r="AB214" i="1"/>
  <c r="T781" i="4" s="1"/>
  <c r="AB216" i="1"/>
  <c r="AW15" i="1"/>
  <c r="AO297" i="4" s="1"/>
  <c r="AH297" i="4"/>
  <c r="AE121" i="4"/>
  <c r="AM93" i="3"/>
  <c r="U147" i="4"/>
  <c r="AC122" i="3"/>
  <c r="U197" i="4"/>
  <c r="AC199" i="3"/>
  <c r="U214" i="4" s="1"/>
  <c r="AC172" i="3"/>
  <c r="U199" i="4" s="1"/>
  <c r="AC174" i="3"/>
  <c r="U201" i="4" s="1"/>
  <c r="AC173" i="3"/>
  <c r="U200" i="4" s="1"/>
  <c r="AC171" i="3"/>
  <c r="U198" i="4" s="1"/>
  <c r="AE129" i="4"/>
  <c r="AM60" i="3"/>
  <c r="AE130" i="4" s="1"/>
  <c r="H643" i="4"/>
  <c r="I4" i="10"/>
  <c r="U113" i="4"/>
  <c r="AC15" i="3"/>
  <c r="U114" i="4" s="1"/>
  <c r="AC16" i="3"/>
  <c r="U115" i="4" s="1"/>
  <c r="AC23" i="3"/>
  <c r="AC24" i="3"/>
  <c r="AC75" i="3"/>
  <c r="AM57" i="3"/>
  <c r="AM75" i="3" s="1"/>
  <c r="AC69" i="3"/>
  <c r="I4" i="12"/>
  <c r="H715" i="4"/>
  <c r="AC215" i="3"/>
  <c r="AC218" i="3"/>
  <c r="AC216" i="3"/>
  <c r="AC217" i="3"/>
  <c r="AC219" i="3"/>
  <c r="AC253" i="3"/>
  <c r="U137" i="4"/>
  <c r="AC19" i="3"/>
  <c r="U138" i="4" s="1"/>
  <c r="AC20" i="3"/>
  <c r="U139" i="4" s="1"/>
  <c r="AE108" i="4"/>
  <c r="AM28" i="3"/>
  <c r="AM26" i="3" s="1"/>
  <c r="AM27" i="3" s="1"/>
  <c r="AM18" i="3"/>
  <c r="AM64" i="3"/>
  <c r="AE134" i="4" s="1"/>
  <c r="AM214" i="3"/>
  <c r="AM12" i="3"/>
  <c r="AE111" i="4" s="1"/>
  <c r="AM10" i="3"/>
  <c r="AE109" i="4" s="1"/>
  <c r="AM14" i="3"/>
  <c r="AM121" i="3"/>
  <c r="AM33" i="3"/>
  <c r="AM170" i="3"/>
  <c r="AM22" i="3"/>
  <c r="AM23" i="3" s="1"/>
  <c r="U141" i="4"/>
  <c r="AC116" i="3"/>
  <c r="U142" i="4" s="1"/>
  <c r="AC117" i="3"/>
  <c r="U143" i="4" s="1"/>
  <c r="Y81" i="4"/>
  <c r="AO121" i="2"/>
  <c r="AF602" i="4"/>
  <c r="AF74" i="4"/>
  <c r="Y614" i="4"/>
  <c r="Y82" i="4"/>
  <c r="Y80" i="4"/>
  <c r="AF603" i="4"/>
  <c r="AF75" i="4"/>
  <c r="Y586" i="4"/>
  <c r="Y61" i="4"/>
  <c r="AE180" i="1"/>
  <c r="W407" i="4" s="1"/>
  <c r="W358" i="4"/>
  <c r="Y579" i="4"/>
  <c r="Y57" i="4"/>
  <c r="X589" i="4"/>
  <c r="X63" i="4"/>
  <c r="W496" i="4"/>
  <c r="W12" i="4"/>
  <c r="Y578" i="4"/>
  <c r="Y56" i="4"/>
  <c r="Y580" i="4"/>
  <c r="Y58" i="4"/>
  <c r="X495" i="4"/>
  <c r="X11" i="4"/>
  <c r="X484" i="4"/>
  <c r="X4" i="4"/>
  <c r="W159" i="4"/>
  <c r="AE133" i="3"/>
  <c r="W160" i="4" s="1"/>
  <c r="AE134" i="3"/>
  <c r="W161" i="4" s="1"/>
  <c r="W122" i="4"/>
  <c r="U513" i="4"/>
  <c r="U29" i="4"/>
  <c r="AC6" i="3"/>
  <c r="W210" i="4"/>
  <c r="AE194" i="3"/>
  <c r="W180" i="4"/>
  <c r="AE155" i="3"/>
  <c r="W182" i="4" s="1"/>
  <c r="AE154" i="3"/>
  <c r="W181" i="4" s="1"/>
  <c r="X587" i="4"/>
  <c r="X62" i="4"/>
  <c r="W498" i="4"/>
  <c r="W14" i="4"/>
  <c r="W497" i="4"/>
  <c r="W13" i="4"/>
  <c r="V108" i="4"/>
  <c r="AD214" i="3"/>
  <c r="AD215" i="3" s="1"/>
  <c r="AD12" i="3"/>
  <c r="V111" i="4" s="1"/>
  <c r="AD10" i="3"/>
  <c r="V109" i="4" s="1"/>
  <c r="AD121" i="3"/>
  <c r="AD170" i="3"/>
  <c r="AD22" i="3"/>
  <c r="AD13" i="3"/>
  <c r="V112" i="4" s="1"/>
  <c r="AD115" i="3"/>
  <c r="AD14" i="3"/>
  <c r="AD18" i="3"/>
  <c r="AD11" i="3"/>
  <c r="V110" i="4" s="1"/>
  <c r="AD64" i="3"/>
  <c r="V134" i="4" s="1"/>
  <c r="AE231" i="3"/>
  <c r="AE230" i="3"/>
  <c r="W128" i="4"/>
  <c r="AE63" i="3"/>
  <c r="W133" i="4" s="1"/>
  <c r="AE76" i="3"/>
  <c r="AE62" i="3"/>
  <c r="W132" i="4" s="1"/>
  <c r="W170" i="4"/>
  <c r="AE144" i="3"/>
  <c r="W171" i="4" s="1"/>
  <c r="AE145" i="3"/>
  <c r="W172" i="4" s="1"/>
  <c r="X103" i="4"/>
  <c r="AF79" i="3"/>
  <c r="AF58" i="3"/>
  <c r="AF9" i="3" s="1"/>
  <c r="AF214" i="3" s="1"/>
  <c r="AF215" i="3" s="1"/>
  <c r="AF132" i="3"/>
  <c r="AF193" i="3"/>
  <c r="AF165" i="3"/>
  <c r="AF143" i="3"/>
  <c r="AF239" i="3"/>
  <c r="AF229" i="3"/>
  <c r="AD73" i="3"/>
  <c r="AD67" i="3"/>
  <c r="X590" i="4"/>
  <c r="X64" i="4"/>
  <c r="Y483" i="4"/>
  <c r="Y3" i="4"/>
  <c r="AG5" i="3"/>
  <c r="AG153" i="3" s="1"/>
  <c r="Y180" i="4" s="1"/>
  <c r="AD75" i="3"/>
  <c r="AD69" i="3"/>
  <c r="AE241" i="3"/>
  <c r="AE240" i="3"/>
  <c r="W192" i="4"/>
  <c r="AE167" i="3"/>
  <c r="W194" i="4" s="1"/>
  <c r="AE166" i="3"/>
  <c r="W193" i="4" s="1"/>
  <c r="M2" i="12"/>
  <c r="M19" i="6"/>
  <c r="L236" i="4" s="1"/>
  <c r="N2" i="6"/>
  <c r="AF196" i="3"/>
  <c r="AF177" i="3"/>
  <c r="X786" i="4" s="1"/>
  <c r="AF180" i="3"/>
  <c r="X789" i="4" s="1"/>
  <c r="AF179" i="3"/>
  <c r="X788" i="4" s="1"/>
  <c r="AF178" i="3"/>
  <c r="X787" i="4" s="1"/>
  <c r="AS138" i="3"/>
  <c r="AK165" i="4" s="1"/>
  <c r="AR141" i="3"/>
  <c r="AJ168" i="4" s="1"/>
  <c r="AR16" i="1"/>
  <c r="AJ298" i="4" s="1"/>
  <c r="AF35" i="3"/>
  <c r="AG33" i="3"/>
  <c r="AF34" i="3"/>
  <c r="AQ130" i="3"/>
  <c r="AI157" i="4" s="1"/>
  <c r="AR127" i="3"/>
  <c r="AJ154" i="4" s="1"/>
  <c r="AQ15" i="1"/>
  <c r="AI297" i="4" s="1"/>
  <c r="AF245" i="3"/>
  <c r="AF248" i="3"/>
  <c r="AF247" i="3"/>
  <c r="AF249" i="3"/>
  <c r="AF246" i="3"/>
  <c r="AF182" i="3"/>
  <c r="X802" i="4" s="1"/>
  <c r="AG244" i="3"/>
  <c r="AG151" i="3"/>
  <c r="Y178" i="4" s="1"/>
  <c r="AG150" i="3"/>
  <c r="Y177" i="4" s="1"/>
  <c r="AG152" i="3"/>
  <c r="Y179" i="4" s="1"/>
  <c r="AG17" i="1"/>
  <c r="AG176" i="3"/>
  <c r="Y785" i="4" s="1"/>
  <c r="AF154" i="3"/>
  <c r="X181" i="4" s="1"/>
  <c r="AF155" i="3"/>
  <c r="X182" i="4" s="1"/>
  <c r="AP225" i="3"/>
  <c r="AP227" i="3"/>
  <c r="AM32" i="2"/>
  <c r="AM28" i="2"/>
  <c r="AM34" i="2"/>
  <c r="AG52" i="2"/>
  <c r="AG14" i="2"/>
  <c r="AN11" i="2"/>
  <c r="AG13" i="2"/>
  <c r="AG12" i="2"/>
  <c r="AG142" i="2"/>
  <c r="Y622" i="4" s="1"/>
  <c r="AG143" i="2"/>
  <c r="Y623" i="4" s="1"/>
  <c r="AD32" i="2"/>
  <c r="AD34" i="2"/>
  <c r="V624" i="4" s="1"/>
  <c r="AG95" i="2"/>
  <c r="Y574" i="4" s="1"/>
  <c r="AF55" i="2"/>
  <c r="X534" i="4" s="1"/>
  <c r="AF79" i="2"/>
  <c r="X558" i="4" s="1"/>
  <c r="AF53" i="2"/>
  <c r="X532" i="4" s="1"/>
  <c r="AF54" i="2"/>
  <c r="X533" i="4" s="1"/>
  <c r="AG8" i="2"/>
  <c r="Y487" i="4" s="1"/>
  <c r="AG7" i="2"/>
  <c r="Y486" i="4" s="1"/>
  <c r="AG6" i="1"/>
  <c r="AG16" i="2"/>
  <c r="AG6" i="2"/>
  <c r="Y485" i="4" s="1"/>
  <c r="AG5" i="2"/>
  <c r="AG150" i="2"/>
  <c r="Y630" i="4" s="1"/>
  <c r="AG127" i="2"/>
  <c r="Y607" i="4" s="1"/>
  <c r="AG151" i="2"/>
  <c r="Y631" i="4" s="1"/>
  <c r="AG126" i="2"/>
  <c r="Y606" i="4" s="1"/>
  <c r="AN4" i="2"/>
  <c r="AE31" i="2"/>
  <c r="AF28" i="2"/>
  <c r="AE29" i="2"/>
  <c r="AG118" i="2"/>
  <c r="Y598" i="4" s="1"/>
  <c r="AE177" i="1"/>
  <c r="W404" i="4" s="1"/>
  <c r="AO147" i="2"/>
  <c r="AG103" i="2"/>
  <c r="Y582" i="4" s="1"/>
  <c r="AN115" i="2"/>
  <c r="AN116" i="2"/>
  <c r="AN93" i="2"/>
  <c r="AN92" i="2"/>
  <c r="AF17" i="2"/>
  <c r="AF18" i="2"/>
  <c r="AF19" i="2"/>
  <c r="AN24" i="2"/>
  <c r="AN23" i="2"/>
  <c r="AN130" i="2"/>
  <c r="AE178" i="1"/>
  <c r="W405" i="4" s="1"/>
  <c r="AC35" i="2"/>
  <c r="AC38" i="2"/>
  <c r="U521" i="4"/>
  <c r="AC36" i="2"/>
  <c r="AG110" i="2"/>
  <c r="AG107" i="2"/>
  <c r="AG108" i="2"/>
  <c r="Y588" i="4" s="1"/>
  <c r="AG109" i="2"/>
  <c r="AF82" i="2"/>
  <c r="AE83" i="2"/>
  <c r="AF7" i="1"/>
  <c r="X289" i="4" s="1"/>
  <c r="AF131" i="1"/>
  <c r="AF119" i="1"/>
  <c r="AF118" i="1"/>
  <c r="X345" i="4" s="1"/>
  <c r="AF234" i="1"/>
  <c r="X453" i="4" s="1"/>
  <c r="AL83" i="2"/>
  <c r="AL85" i="2" s="1"/>
  <c r="AD564" i="4" s="1"/>
  <c r="AM78" i="2"/>
  <c r="AE557" i="4" s="1"/>
  <c r="AO186" i="1"/>
  <c r="AP233" i="1"/>
  <c r="AH452" i="4" s="1"/>
  <c r="AO215" i="1"/>
  <c r="AG782" i="4" s="1"/>
  <c r="AO235" i="1"/>
  <c r="AG454" i="4" s="1"/>
  <c r="AO134" i="1"/>
  <c r="AP241" i="1"/>
  <c r="AH460" i="4" s="1"/>
  <c r="AO240" i="1"/>
  <c r="AG459" i="4" s="1"/>
  <c r="AN64" i="1"/>
  <c r="AN258" i="1" s="1"/>
  <c r="AF480" i="4" s="1"/>
  <c r="AO66" i="1"/>
  <c r="AO69" i="1" s="1"/>
  <c r="AN69" i="1"/>
  <c r="AN67" i="1" s="1"/>
  <c r="AS259" i="1"/>
  <c r="AK481" i="4" s="1"/>
  <c r="AT200" i="1"/>
  <c r="AL427" i="4" s="1"/>
  <c r="AS207" i="1"/>
  <c r="AK434" i="4" s="1"/>
  <c r="AN47" i="1"/>
  <c r="AF327" i="4" s="1"/>
  <c r="AU125" i="1" l="1"/>
  <c r="AF578" i="4"/>
  <c r="W510" i="4"/>
  <c r="W26" i="4"/>
  <c r="AF579" i="4"/>
  <c r="AF56" i="4"/>
  <c r="AO148" i="3"/>
  <c r="AG175" i="4" s="1"/>
  <c r="AP189" i="3"/>
  <c r="AP191" i="3" s="1"/>
  <c r="AH205" i="4" s="1"/>
  <c r="AG203" i="4"/>
  <c r="AF502" i="4"/>
  <c r="AF18" i="4"/>
  <c r="AO24" i="2"/>
  <c r="AF503" i="4"/>
  <c r="AF19" i="4"/>
  <c r="V511" i="4"/>
  <c r="V27" i="4"/>
  <c r="V54" i="4"/>
  <c r="AN108" i="2"/>
  <c r="AF588" i="4" s="1"/>
  <c r="AN107" i="2"/>
  <c r="AF587" i="4" s="1"/>
  <c r="AF61" i="4"/>
  <c r="AM29" i="2"/>
  <c r="AE23" i="4"/>
  <c r="AE507" i="4"/>
  <c r="AM85" i="3"/>
  <c r="AE27" i="4"/>
  <c r="AE511" i="4"/>
  <c r="AQ139" i="1"/>
  <c r="AI366" i="4" s="1"/>
  <c r="AU201" i="1"/>
  <c r="AM428" i="4" s="1"/>
  <c r="AL428" i="4"/>
  <c r="AU187" i="1"/>
  <c r="AM414" i="4" s="1"/>
  <c r="AL414" i="4"/>
  <c r="AL422" i="4"/>
  <c r="AU195" i="1"/>
  <c r="AM422" i="4" s="1"/>
  <c r="AU204" i="1"/>
  <c r="AM431" i="4" s="1"/>
  <c r="AL431" i="4"/>
  <c r="AU189" i="1"/>
  <c r="AM416" i="4" s="1"/>
  <c r="AL416" i="4"/>
  <c r="AU190" i="1"/>
  <c r="AM417" i="4" s="1"/>
  <c r="AL417" i="4"/>
  <c r="AU196" i="1"/>
  <c r="AM423" i="4" s="1"/>
  <c r="AL423" i="4"/>
  <c r="AU191" i="1"/>
  <c r="AM418" i="4" s="1"/>
  <c r="AL418" i="4"/>
  <c r="AJ285" i="4"/>
  <c r="AS3" i="1"/>
  <c r="AR168" i="1"/>
  <c r="AJ395" i="4" s="1"/>
  <c r="AR113" i="1"/>
  <c r="AJ340" i="4" s="1"/>
  <c r="AE459" i="4"/>
  <c r="AM247" i="1"/>
  <c r="AM241" i="1"/>
  <c r="AE460" i="4" s="1"/>
  <c r="AM171" i="1"/>
  <c r="AE398" i="4" s="1"/>
  <c r="AU203" i="1"/>
  <c r="AM430" i="4" s="1"/>
  <c r="AL430" i="4"/>
  <c r="AA216" i="1"/>
  <c r="S781" i="4"/>
  <c r="Z216" i="1"/>
  <c r="R781" i="4"/>
  <c r="H70" i="6"/>
  <c r="F277" i="4"/>
  <c r="Z211" i="1"/>
  <c r="R437" i="4"/>
  <c r="G17" i="12"/>
  <c r="F727" i="4" s="1"/>
  <c r="F234" i="4"/>
  <c r="G17" i="10"/>
  <c r="F655" i="4" s="1"/>
  <c r="AQ123" i="1"/>
  <c r="AH350" i="4"/>
  <c r="AP124" i="1"/>
  <c r="AG351" i="4"/>
  <c r="AO225" i="1"/>
  <c r="AG444" i="4" s="1"/>
  <c r="AG361" i="4"/>
  <c r="AP142" i="1"/>
  <c r="AG369" i="4"/>
  <c r="AQ140" i="1"/>
  <c r="AH367" i="4"/>
  <c r="AG352" i="4"/>
  <c r="AF122" i="1"/>
  <c r="W349" i="4"/>
  <c r="AU3" i="2"/>
  <c r="AM2" i="4" s="1"/>
  <c r="AL2" i="4"/>
  <c r="AP141" i="1"/>
  <c r="AG368" i="4"/>
  <c r="AF197" i="3"/>
  <c r="X212" i="4" s="1"/>
  <c r="X211" i="4"/>
  <c r="AP161" i="3"/>
  <c r="AG188" i="4"/>
  <c r="AP237" i="3"/>
  <c r="AP235" i="3"/>
  <c r="AR160" i="3"/>
  <c r="AI187" i="4"/>
  <c r="AQ234" i="3"/>
  <c r="AR159" i="3"/>
  <c r="AR224" i="3" s="1"/>
  <c r="AJ218" i="4" s="1"/>
  <c r="AI186" i="4"/>
  <c r="AR158" i="3"/>
  <c r="AI185" i="4"/>
  <c r="AN176" i="3"/>
  <c r="AF785" i="4" s="1"/>
  <c r="AN244" i="3"/>
  <c r="AN182" i="3" s="1"/>
  <c r="AF802" i="4" s="1"/>
  <c r="AN149" i="3"/>
  <c r="AF176" i="4" s="1"/>
  <c r="AN151" i="3"/>
  <c r="AF178" i="4" s="1"/>
  <c r="AN17" i="1"/>
  <c r="AF299" i="4" s="1"/>
  <c r="Y299" i="4"/>
  <c r="AH625" i="4"/>
  <c r="AH91" i="4"/>
  <c r="AG93" i="4"/>
  <c r="AG627" i="4"/>
  <c r="AQ145" i="2"/>
  <c r="AH626" i="4"/>
  <c r="AH92" i="4"/>
  <c r="Y288" i="4"/>
  <c r="AG86" i="4"/>
  <c r="AG618" i="4"/>
  <c r="AP139" i="2"/>
  <c r="AP138" i="2" s="1"/>
  <c r="AP153" i="2" s="1"/>
  <c r="AG87" i="4"/>
  <c r="AG619" i="4"/>
  <c r="AF70" i="4"/>
  <c r="AF596" i="4"/>
  <c r="AO115" i="2"/>
  <c r="AF595" i="4"/>
  <c r="AF69" i="4"/>
  <c r="AF52" i="4"/>
  <c r="AF572" i="4"/>
  <c r="Y531" i="4"/>
  <c r="Y36" i="4"/>
  <c r="Y492" i="4"/>
  <c r="Y8" i="4"/>
  <c r="AN118" i="2"/>
  <c r="AF598" i="4" s="1"/>
  <c r="AF490" i="4"/>
  <c r="AF6" i="4"/>
  <c r="AO92" i="2"/>
  <c r="AF571" i="4"/>
  <c r="AF51" i="4"/>
  <c r="Y493" i="4"/>
  <c r="Y9" i="4"/>
  <c r="AE42" i="3"/>
  <c r="AE43" i="3"/>
  <c r="Y491" i="4"/>
  <c r="Y7" i="4"/>
  <c r="AF41" i="3"/>
  <c r="Y117" i="4"/>
  <c r="AN32" i="3"/>
  <c r="M19" i="10"/>
  <c r="L657" i="4" s="1"/>
  <c r="L640" i="4"/>
  <c r="M219" i="4"/>
  <c r="N2" i="10"/>
  <c r="M19" i="12"/>
  <c r="L729" i="4" s="1"/>
  <c r="L712" i="4"/>
  <c r="H17" i="12"/>
  <c r="G234" i="4"/>
  <c r="H17" i="10"/>
  <c r="AO197" i="1"/>
  <c r="AG424" i="4" s="1"/>
  <c r="AG413" i="4"/>
  <c r="K10" i="6"/>
  <c r="J227" i="4" s="1"/>
  <c r="AL420" i="4"/>
  <c r="AU193" i="1"/>
  <c r="AM420" i="4" s="1"/>
  <c r="AQ117" i="1"/>
  <c r="AH344" i="4"/>
  <c r="AB218" i="1"/>
  <c r="T783" i="4"/>
  <c r="AE118" i="4"/>
  <c r="AM34" i="3"/>
  <c r="AE119" i="4" s="1"/>
  <c r="I69" i="10"/>
  <c r="I3" i="10"/>
  <c r="H641" i="4" s="1"/>
  <c r="I90" i="10"/>
  <c r="H642" i="4"/>
  <c r="I72" i="10"/>
  <c r="H711" i="4" s="1"/>
  <c r="AE197" i="4"/>
  <c r="AM199" i="3"/>
  <c r="AE214" i="4" s="1"/>
  <c r="AM172" i="3"/>
  <c r="AE199" i="4" s="1"/>
  <c r="AM171" i="3"/>
  <c r="AE198" i="4" s="1"/>
  <c r="AM19" i="3"/>
  <c r="AE138" i="4" s="1"/>
  <c r="AE137" i="4"/>
  <c r="U148" i="4"/>
  <c r="AC123" i="3"/>
  <c r="U149" i="4" s="1"/>
  <c r="AC124" i="3"/>
  <c r="U150" i="4" s="1"/>
  <c r="I72" i="12"/>
  <c r="I69" i="12"/>
  <c r="H714" i="4"/>
  <c r="AE147" i="4"/>
  <c r="AM122" i="3"/>
  <c r="AM253" i="3"/>
  <c r="AM217" i="3"/>
  <c r="AM219" i="3"/>
  <c r="AM220" i="3" s="1"/>
  <c r="AM215" i="3"/>
  <c r="AC256" i="3"/>
  <c r="AC255" i="3"/>
  <c r="AC254" i="3"/>
  <c r="AC257" i="3"/>
  <c r="AE113" i="4"/>
  <c r="AM15" i="3"/>
  <c r="AE114" i="4" s="1"/>
  <c r="AC220" i="3"/>
  <c r="AC221" i="3"/>
  <c r="AG73" i="4"/>
  <c r="AG601" i="4"/>
  <c r="AG602" i="4"/>
  <c r="AG74" i="4"/>
  <c r="AF610" i="4"/>
  <c r="AF79" i="4"/>
  <c r="AE69" i="3"/>
  <c r="AE75" i="3"/>
  <c r="Y589" i="4"/>
  <c r="Y63" i="4"/>
  <c r="X496" i="4"/>
  <c r="X12" i="4"/>
  <c r="AF483" i="4"/>
  <c r="AF3" i="4"/>
  <c r="J4" i="6"/>
  <c r="AN5" i="3"/>
  <c r="V513" i="4"/>
  <c r="V29" i="4"/>
  <c r="AD6" i="3"/>
  <c r="Y587" i="4"/>
  <c r="Y62" i="4"/>
  <c r="AF177" i="1"/>
  <c r="X404" i="4" s="1"/>
  <c r="AF178" i="1"/>
  <c r="X405" i="4" s="1"/>
  <c r="X346" i="4"/>
  <c r="Y590" i="4"/>
  <c r="Y64" i="4"/>
  <c r="AC39" i="2"/>
  <c r="U517" i="4"/>
  <c r="U32" i="4"/>
  <c r="X498" i="4"/>
  <c r="X14" i="4"/>
  <c r="X170" i="4"/>
  <c r="AF144" i="3"/>
  <c r="X171" i="4" s="1"/>
  <c r="AF145" i="3"/>
  <c r="X172" i="4" s="1"/>
  <c r="X128" i="4"/>
  <c r="AF62" i="3"/>
  <c r="X132" i="4" s="1"/>
  <c r="AF76" i="3"/>
  <c r="AF63" i="3"/>
  <c r="X133" i="4" s="1"/>
  <c r="AE64" i="3"/>
  <c r="W134" i="4" s="1"/>
  <c r="AF180" i="1"/>
  <c r="X407" i="4" s="1"/>
  <c r="X358" i="4"/>
  <c r="Y495" i="4"/>
  <c r="Y11" i="4"/>
  <c r="AF231" i="3"/>
  <c r="AF230" i="3"/>
  <c r="X192" i="4"/>
  <c r="AF166" i="3"/>
  <c r="X193" i="4" s="1"/>
  <c r="AF167" i="3"/>
  <c r="X194" i="4" s="1"/>
  <c r="AF55" i="3"/>
  <c r="AF57" i="3" s="1"/>
  <c r="X122" i="4"/>
  <c r="W108" i="4"/>
  <c r="AE13" i="3"/>
  <c r="W112" i="4" s="1"/>
  <c r="AE115" i="3"/>
  <c r="AE121" i="3"/>
  <c r="AE22" i="3"/>
  <c r="AE18" i="3"/>
  <c r="AE214" i="3"/>
  <c r="AE215" i="3" s="1"/>
  <c r="AE14" i="3"/>
  <c r="AE10" i="3"/>
  <c r="W109" i="4" s="1"/>
  <c r="AE170" i="3"/>
  <c r="AE11" i="3"/>
  <c r="W110" i="4" s="1"/>
  <c r="AE12" i="3"/>
  <c r="W111" i="4" s="1"/>
  <c r="V137" i="4"/>
  <c r="AD20" i="3"/>
  <c r="V139" i="4" s="1"/>
  <c r="AD19" i="3"/>
  <c r="V138" i="4" s="1"/>
  <c r="AD24" i="3"/>
  <c r="AD23" i="3"/>
  <c r="AG578" i="4"/>
  <c r="AG56" i="4"/>
  <c r="AO98" i="2"/>
  <c r="U514" i="4"/>
  <c r="U30" i="4"/>
  <c r="AF240" i="3"/>
  <c r="AF241" i="3"/>
  <c r="X210" i="4"/>
  <c r="AF194" i="3"/>
  <c r="V113" i="4"/>
  <c r="AD16" i="3"/>
  <c r="V115" i="4" s="1"/>
  <c r="AD15" i="3"/>
  <c r="V114" i="4" s="1"/>
  <c r="V197" i="4"/>
  <c r="AD173" i="3"/>
  <c r="V200" i="4" s="1"/>
  <c r="AD199" i="3"/>
  <c r="V214" i="4" s="1"/>
  <c r="AD172" i="3"/>
  <c r="V199" i="4" s="1"/>
  <c r="AD174" i="3"/>
  <c r="V201" i="4" s="1"/>
  <c r="AD171" i="3"/>
  <c r="V198" i="4" s="1"/>
  <c r="AD217" i="3"/>
  <c r="AD218" i="3"/>
  <c r="AD253" i="3"/>
  <c r="AD219" i="3"/>
  <c r="AD216" i="3"/>
  <c r="U547" i="4"/>
  <c r="U41" i="4"/>
  <c r="X497" i="4"/>
  <c r="X13" i="4"/>
  <c r="U515" i="4"/>
  <c r="U31" i="4"/>
  <c r="Y484" i="4"/>
  <c r="Y4" i="4"/>
  <c r="AE513" i="4"/>
  <c r="AE29" i="4"/>
  <c r="AM6" i="3"/>
  <c r="AM97" i="3"/>
  <c r="AM95" i="3"/>
  <c r="AM94" i="3"/>
  <c r="Y103" i="4"/>
  <c r="AG143" i="3"/>
  <c r="AG58" i="3"/>
  <c r="AG193" i="3"/>
  <c r="AG132" i="3"/>
  <c r="AG165" i="3"/>
  <c r="AG79" i="3"/>
  <c r="AN79" i="3" s="1"/>
  <c r="AG239" i="3"/>
  <c r="AG229" i="3"/>
  <c r="X159" i="4"/>
  <c r="AF133" i="3"/>
  <c r="X160" i="4" s="1"/>
  <c r="AF134" i="3"/>
  <c r="X161" i="4" s="1"/>
  <c r="V141" i="4"/>
  <c r="AD116" i="3"/>
  <c r="V142" i="4" s="1"/>
  <c r="AD117" i="3"/>
  <c r="V143" i="4" s="1"/>
  <c r="AD122" i="3"/>
  <c r="V147" i="4"/>
  <c r="AE73" i="3"/>
  <c r="AE67" i="3"/>
  <c r="O2" i="6"/>
  <c r="N2" i="12"/>
  <c r="N19" i="6"/>
  <c r="M236" i="4" s="1"/>
  <c r="AG155" i="3"/>
  <c r="Y182" i="4" s="1"/>
  <c r="AG154" i="3"/>
  <c r="Y181" i="4" s="1"/>
  <c r="AF251" i="3"/>
  <c r="AF250" i="3"/>
  <c r="AR130" i="3"/>
  <c r="AJ157" i="4" s="1"/>
  <c r="AR15" i="1"/>
  <c r="AJ297" i="4" s="1"/>
  <c r="AS127" i="3"/>
  <c r="AK154" i="4" s="1"/>
  <c r="AG179" i="3"/>
  <c r="Y788" i="4" s="1"/>
  <c r="AG178" i="3"/>
  <c r="Y787" i="4" s="1"/>
  <c r="AG196" i="3"/>
  <c r="AG180" i="3"/>
  <c r="Y789" i="4" s="1"/>
  <c r="AG177" i="3"/>
  <c r="Y786" i="4" s="1"/>
  <c r="AG245" i="3"/>
  <c r="AG248" i="3"/>
  <c r="AG249" i="3"/>
  <c r="AG246" i="3"/>
  <c r="AG247" i="3"/>
  <c r="AG182" i="3"/>
  <c r="Y802" i="4" s="1"/>
  <c r="AG34" i="3"/>
  <c r="AG35" i="3"/>
  <c r="AS141" i="3"/>
  <c r="AK168" i="4" s="1"/>
  <c r="AT138" i="3"/>
  <c r="AL165" i="4" s="1"/>
  <c r="AS16" i="1"/>
  <c r="AK298" i="4" s="1"/>
  <c r="AQ225" i="3"/>
  <c r="AQ227" i="3"/>
  <c r="AF185" i="3"/>
  <c r="X805" i="4" s="1"/>
  <c r="AF184" i="3"/>
  <c r="X804" i="4" s="1"/>
  <c r="AF206" i="3"/>
  <c r="AF186" i="3"/>
  <c r="X806" i="4" s="1"/>
  <c r="AF183" i="3"/>
  <c r="X803" i="4" s="1"/>
  <c r="AD35" i="2"/>
  <c r="AD68" i="2"/>
  <c r="AD42" i="2"/>
  <c r="V521" i="4" s="1"/>
  <c r="AD36" i="2"/>
  <c r="AD38" i="2"/>
  <c r="AC72" i="2"/>
  <c r="AP121" i="2"/>
  <c r="AO123" i="2"/>
  <c r="AC44" i="2"/>
  <c r="U523" i="4" s="1"/>
  <c r="AE521" i="4"/>
  <c r="AN95" i="2"/>
  <c r="AF574" i="4" s="1"/>
  <c r="AO140" i="2"/>
  <c r="AG82" i="2"/>
  <c r="AG83" i="2" s="1"/>
  <c r="Y562" i="4" s="1"/>
  <c r="AF83" i="2"/>
  <c r="AN132" i="2"/>
  <c r="AF612" i="4" s="1"/>
  <c r="AN131" i="2"/>
  <c r="AN119" i="2"/>
  <c r="AF599" i="4" s="1"/>
  <c r="AG53" i="2"/>
  <c r="Y532" i="4" s="1"/>
  <c r="AG55" i="2"/>
  <c r="Y534" i="4" s="1"/>
  <c r="AN52" i="2"/>
  <c r="AG54" i="2"/>
  <c r="Y533" i="4" s="1"/>
  <c r="AG79" i="2"/>
  <c r="AN79" i="2" s="1"/>
  <c r="AF558" i="4" s="1"/>
  <c r="AC47" i="2"/>
  <c r="U526" i="4" s="1"/>
  <c r="AN96" i="2"/>
  <c r="AF575" i="4" s="1"/>
  <c r="AO114" i="2"/>
  <c r="AF31" i="2"/>
  <c r="AG28" i="2"/>
  <c r="AF29" i="2"/>
  <c r="AF80" i="2"/>
  <c r="X559" i="4" s="1"/>
  <c r="AM38" i="2"/>
  <c r="AM35" i="2"/>
  <c r="AO153" i="2"/>
  <c r="AE32" i="2"/>
  <c r="AE34" i="2"/>
  <c r="W624" i="4" s="1"/>
  <c r="AG17" i="2"/>
  <c r="AG18" i="2"/>
  <c r="AG19" i="2"/>
  <c r="AN13" i="2"/>
  <c r="AN12" i="2"/>
  <c r="AN143" i="2"/>
  <c r="AF623" i="4" s="1"/>
  <c r="AN142" i="2"/>
  <c r="AF622" i="4" s="1"/>
  <c r="AP147" i="2"/>
  <c r="AN16" i="2"/>
  <c r="AN5" i="2"/>
  <c r="AN7" i="2"/>
  <c r="AN150" i="2"/>
  <c r="AF630" i="4" s="1"/>
  <c r="AN151" i="2"/>
  <c r="AF631" i="4" s="1"/>
  <c r="AN104" i="2"/>
  <c r="AF583" i="4" s="1"/>
  <c r="AN103" i="2"/>
  <c r="AF582" i="4" s="1"/>
  <c r="AN127" i="2"/>
  <c r="AF607" i="4" s="1"/>
  <c r="AN126" i="2"/>
  <c r="AF606" i="4" s="1"/>
  <c r="AG7" i="1"/>
  <c r="Y289" i="4" s="1"/>
  <c r="AG119" i="1"/>
  <c r="AG131" i="1"/>
  <c r="Y358" i="4" s="1"/>
  <c r="AG118" i="1"/>
  <c r="AG234" i="1"/>
  <c r="Y453" i="4" s="1"/>
  <c r="AN6" i="1"/>
  <c r="AP215" i="1"/>
  <c r="AH782" i="4" s="1"/>
  <c r="AP186" i="1"/>
  <c r="AP235" i="1"/>
  <c r="AH454" i="4" s="1"/>
  <c r="AQ233" i="1"/>
  <c r="AI452" i="4" s="1"/>
  <c r="AO247" i="1"/>
  <c r="AO56" i="1"/>
  <c r="AG336" i="4" s="1"/>
  <c r="AO171" i="1"/>
  <c r="AG398" i="4" s="1"/>
  <c r="AR139" i="1"/>
  <c r="AJ366" i="4" s="1"/>
  <c r="AN63" i="1"/>
  <c r="AQ241" i="1"/>
  <c r="AI460" i="4" s="1"/>
  <c r="AP240" i="1"/>
  <c r="AH459" i="4" s="1"/>
  <c r="AO64" i="1"/>
  <c r="AO258" i="1" s="1"/>
  <c r="AG480" i="4" s="1"/>
  <c r="AO48" i="1"/>
  <c r="AT259" i="1"/>
  <c r="AL481" i="4" s="1"/>
  <c r="AU200" i="1"/>
  <c r="AM427" i="4" s="1"/>
  <c r="AT207" i="1"/>
  <c r="AL434" i="4" s="1"/>
  <c r="AP134" i="1"/>
  <c r="AH361" i="4" s="1"/>
  <c r="AO244" i="3" l="1"/>
  <c r="AO247" i="3" s="1"/>
  <c r="AN245" i="3"/>
  <c r="X510" i="4"/>
  <c r="X26" i="4"/>
  <c r="W511" i="4"/>
  <c r="W27" i="4"/>
  <c r="AO4" i="2"/>
  <c r="K4" i="6" s="1"/>
  <c r="AO176" i="3"/>
  <c r="AG785" i="4" s="1"/>
  <c r="AO17" i="1"/>
  <c r="AG299" i="4" s="1"/>
  <c r="AP148" i="3"/>
  <c r="AH175" i="4" s="1"/>
  <c r="AO151" i="3"/>
  <c r="AG178" i="4" s="1"/>
  <c r="AN247" i="3"/>
  <c r="AN178" i="3"/>
  <c r="AF787" i="4" s="1"/>
  <c r="AH203" i="4"/>
  <c r="AQ189" i="3"/>
  <c r="AQ191" i="3" s="1"/>
  <c r="AI205" i="4" s="1"/>
  <c r="AO22" i="2"/>
  <c r="AG503" i="4"/>
  <c r="AG19" i="4"/>
  <c r="V576" i="4"/>
  <c r="W54" i="4"/>
  <c r="V72" i="4"/>
  <c r="V600" i="4"/>
  <c r="W576" i="4"/>
  <c r="AF62" i="4"/>
  <c r="AE24" i="4"/>
  <c r="AE508" i="4"/>
  <c r="AM248" i="1"/>
  <c r="AE470" i="4" s="1"/>
  <c r="AE469" i="4"/>
  <c r="AK285" i="4"/>
  <c r="AS113" i="1"/>
  <c r="AK340" i="4" s="1"/>
  <c r="AT3" i="1"/>
  <c r="AS168" i="1"/>
  <c r="AK395" i="4" s="1"/>
  <c r="AA209" i="1"/>
  <c r="R438" i="4"/>
  <c r="G275" i="4"/>
  <c r="H71" i="6"/>
  <c r="H72" i="6" s="1"/>
  <c r="Z218" i="1"/>
  <c r="R783" i="4"/>
  <c r="AA218" i="1"/>
  <c r="S783" i="4"/>
  <c r="AQ142" i="1"/>
  <c r="AH369" i="4"/>
  <c r="AG122" i="1"/>
  <c r="X349" i="4"/>
  <c r="AQ124" i="1"/>
  <c r="AH351" i="4"/>
  <c r="AH352" i="4"/>
  <c r="AR140" i="1"/>
  <c r="AI367" i="4"/>
  <c r="AR123" i="1"/>
  <c r="AI350" i="4"/>
  <c r="AP66" i="1"/>
  <c r="AP69" i="1" s="1"/>
  <c r="AG328" i="4"/>
  <c r="AH368" i="4"/>
  <c r="AQ141" i="1"/>
  <c r="AN249" i="3"/>
  <c r="AN250" i="3" s="1"/>
  <c r="AQ161" i="3"/>
  <c r="AH188" i="4"/>
  <c r="AS160" i="3"/>
  <c r="AJ187" i="4"/>
  <c r="AR234" i="3"/>
  <c r="AQ237" i="3"/>
  <c r="AQ235" i="3"/>
  <c r="AF207" i="3"/>
  <c r="X791" i="4"/>
  <c r="AS159" i="3"/>
  <c r="AS224" i="3" s="1"/>
  <c r="AK218" i="4" s="1"/>
  <c r="AJ186" i="4"/>
  <c r="AS158" i="3"/>
  <c r="AJ185" i="4"/>
  <c r="AN177" i="3"/>
  <c r="AF786" i="4" s="1"/>
  <c r="AN196" i="3"/>
  <c r="AN197" i="3" s="1"/>
  <c r="AF212" i="4" s="1"/>
  <c r="AG197" i="3"/>
  <c r="Y212" i="4" s="1"/>
  <c r="Y211" i="4"/>
  <c r="AI91" i="4"/>
  <c r="AI625" i="4"/>
  <c r="AH93" i="4"/>
  <c r="AH627" i="4"/>
  <c r="AR146" i="2"/>
  <c r="AI626" i="4"/>
  <c r="AI92" i="4"/>
  <c r="AH97" i="4"/>
  <c r="AH633" i="4"/>
  <c r="AQ139" i="2"/>
  <c r="AH87" i="4"/>
  <c r="AH619" i="4"/>
  <c r="AG620" i="4"/>
  <c r="AG88" i="4"/>
  <c r="AG633" i="4"/>
  <c r="AG97" i="4"/>
  <c r="AH86" i="4"/>
  <c r="AH618" i="4"/>
  <c r="AG594" i="4"/>
  <c r="AG68" i="4"/>
  <c r="AP115" i="2"/>
  <c r="AP114" i="2" s="1"/>
  <c r="AG595" i="4"/>
  <c r="AG69" i="4"/>
  <c r="AG80" i="2"/>
  <c r="Y559" i="4" s="1"/>
  <c r="Y558" i="4"/>
  <c r="AF42" i="3"/>
  <c r="AF43" i="3"/>
  <c r="AF491" i="4"/>
  <c r="AF7" i="4"/>
  <c r="AF531" i="4"/>
  <c r="AF36" i="4"/>
  <c r="J77" i="10"/>
  <c r="AF117" i="4"/>
  <c r="AN37" i="3"/>
  <c r="AN51" i="3"/>
  <c r="AN41" i="3"/>
  <c r="AN42" i="3" s="1"/>
  <c r="AP92" i="2"/>
  <c r="AG571" i="4"/>
  <c r="AG51" i="4"/>
  <c r="AO91" i="2"/>
  <c r="AO11" i="2" s="1"/>
  <c r="AF492" i="4"/>
  <c r="AF8" i="4"/>
  <c r="AG41" i="3"/>
  <c r="N19" i="10"/>
  <c r="M657" i="4" s="1"/>
  <c r="M640" i="4"/>
  <c r="N19" i="12"/>
  <c r="M729" i="4" s="1"/>
  <c r="M712" i="4"/>
  <c r="N219" i="4"/>
  <c r="O2" i="10"/>
  <c r="H12" i="10"/>
  <c r="G650" i="4" s="1"/>
  <c r="G655" i="4"/>
  <c r="G727" i="4"/>
  <c r="H12" i="12"/>
  <c r="G722" i="4" s="1"/>
  <c r="AO248" i="1"/>
  <c r="AG470" i="4" s="1"/>
  <c r="AG469" i="4"/>
  <c r="AP197" i="1"/>
  <c r="AH424" i="4" s="1"/>
  <c r="AH413" i="4"/>
  <c r="L10" i="6"/>
  <c r="K227" i="4" s="1"/>
  <c r="AR117" i="1"/>
  <c r="AI344" i="4"/>
  <c r="H708" i="4"/>
  <c r="I10" i="10"/>
  <c r="H648" i="4" s="1"/>
  <c r="AM47" i="2"/>
  <c r="AE526" i="4" s="1"/>
  <c r="AM254" i="3"/>
  <c r="AM255" i="3"/>
  <c r="I10" i="12"/>
  <c r="H720" i="4" s="1"/>
  <c r="H780" i="4"/>
  <c r="AM123" i="3"/>
  <c r="AE149" i="4" s="1"/>
  <c r="AE148" i="4"/>
  <c r="I94" i="10"/>
  <c r="I91" i="10"/>
  <c r="AF611" i="4"/>
  <c r="AF80" i="4"/>
  <c r="AH74" i="4"/>
  <c r="AH602" i="4"/>
  <c r="AF288" i="4"/>
  <c r="AG603" i="4"/>
  <c r="AG75" i="4"/>
  <c r="AH73" i="4"/>
  <c r="AH601" i="4"/>
  <c r="AF122" i="4"/>
  <c r="AN92" i="3"/>
  <c r="AN82" i="3"/>
  <c r="AF124" i="4" s="1"/>
  <c r="AN80" i="3"/>
  <c r="W513" i="4"/>
  <c r="W29" i="4"/>
  <c r="AE6" i="3"/>
  <c r="AN17" i="2"/>
  <c r="AF495" i="4"/>
  <c r="AF11" i="4"/>
  <c r="J81" i="10"/>
  <c r="J82" i="10" s="1"/>
  <c r="Y497" i="4"/>
  <c r="Y13" i="4"/>
  <c r="AE514" i="4"/>
  <c r="AE30" i="4"/>
  <c r="V547" i="4"/>
  <c r="V41" i="4"/>
  <c r="AN119" i="1"/>
  <c r="AF346" i="4" s="1"/>
  <c r="Y346" i="4"/>
  <c r="AF486" i="4"/>
  <c r="Y496" i="4"/>
  <c r="Y12" i="4"/>
  <c r="AG178" i="1"/>
  <c r="AM39" i="2"/>
  <c r="AE517" i="4"/>
  <c r="AE32" i="4"/>
  <c r="AD39" i="2"/>
  <c r="V517" i="4"/>
  <c r="V32" i="4"/>
  <c r="V514" i="4"/>
  <c r="V30" i="4"/>
  <c r="AG240" i="3"/>
  <c r="AG241" i="3"/>
  <c r="Y210" i="4"/>
  <c r="AG194" i="3"/>
  <c r="AD220" i="3"/>
  <c r="AD221" i="3"/>
  <c r="W113" i="4"/>
  <c r="AE16" i="3"/>
  <c r="W115" i="4" s="1"/>
  <c r="AE15" i="3"/>
  <c r="W114" i="4" s="1"/>
  <c r="AE122" i="3"/>
  <c r="W147" i="4"/>
  <c r="AF64" i="3"/>
  <c r="X134" i="4" s="1"/>
  <c r="AF103" i="4"/>
  <c r="AN193" i="3"/>
  <c r="AN165" i="3"/>
  <c r="AN143" i="3"/>
  <c r="AN132" i="3"/>
  <c r="AN239" i="3"/>
  <c r="AN240" i="3" s="1"/>
  <c r="AN229" i="3"/>
  <c r="AN230" i="3" s="1"/>
  <c r="AN153" i="3"/>
  <c r="AF484" i="4"/>
  <c r="AF4" i="4"/>
  <c r="U548" i="4"/>
  <c r="U42" i="4"/>
  <c r="V515" i="4"/>
  <c r="V31" i="4"/>
  <c r="AG55" i="3"/>
  <c r="AN55" i="3" s="1"/>
  <c r="Y122" i="4"/>
  <c r="Y128" i="4"/>
  <c r="AG76" i="3"/>
  <c r="AG62" i="3"/>
  <c r="Y132" i="4" s="1"/>
  <c r="AG63" i="3"/>
  <c r="Y133" i="4" s="1"/>
  <c r="AG9" i="3"/>
  <c r="AG64" i="3" s="1"/>
  <c r="Y134" i="4" s="1"/>
  <c r="AN58" i="3"/>
  <c r="AD255" i="3"/>
  <c r="AD257" i="3"/>
  <c r="AD254" i="3"/>
  <c r="AD256" i="3"/>
  <c r="AE218" i="3"/>
  <c r="AE253" i="3"/>
  <c r="AE217" i="3"/>
  <c r="AE219" i="3"/>
  <c r="AE216" i="3"/>
  <c r="W141" i="4"/>
  <c r="AE117" i="3"/>
  <c r="W143" i="4" s="1"/>
  <c r="AE116" i="3"/>
  <c r="W142" i="4" s="1"/>
  <c r="X108" i="4"/>
  <c r="AF18" i="3"/>
  <c r="AF20" i="3" s="1"/>
  <c r="X139" i="4" s="1"/>
  <c r="AF10" i="3"/>
  <c r="X109" i="4" s="1"/>
  <c r="AF13" i="3"/>
  <c r="X112" i="4" s="1"/>
  <c r="AF12" i="3"/>
  <c r="X111" i="4" s="1"/>
  <c r="AF22" i="3"/>
  <c r="AF11" i="3"/>
  <c r="X110" i="4" s="1"/>
  <c r="AF115" i="3"/>
  <c r="AF14" i="3"/>
  <c r="AF170" i="3"/>
  <c r="AF121" i="3"/>
  <c r="AF69" i="3"/>
  <c r="AF75" i="3"/>
  <c r="I221" i="4"/>
  <c r="J5" i="6"/>
  <c r="J5" i="10" s="1"/>
  <c r="J3" i="6"/>
  <c r="I220" i="4" s="1"/>
  <c r="U551" i="4"/>
  <c r="U44" i="4"/>
  <c r="Y192" i="4"/>
  <c r="AG167" i="3"/>
  <c r="Y194" i="4" s="1"/>
  <c r="AG166" i="3"/>
  <c r="Y193" i="4" s="1"/>
  <c r="Y170" i="4"/>
  <c r="AG144" i="3"/>
  <c r="Y171" i="4" s="1"/>
  <c r="AG145" i="3"/>
  <c r="Y172" i="4" s="1"/>
  <c r="AM99" i="3"/>
  <c r="AM98" i="3"/>
  <c r="AM100" i="3"/>
  <c r="AH578" i="4"/>
  <c r="AH56" i="4"/>
  <c r="W197" i="4"/>
  <c r="AE172" i="3"/>
  <c r="W199" i="4" s="1"/>
  <c r="AE199" i="3"/>
  <c r="W214" i="4" s="1"/>
  <c r="AE171" i="3"/>
  <c r="W198" i="4" s="1"/>
  <c r="AE173" i="3"/>
  <c r="W200" i="4" s="1"/>
  <c r="AE174" i="3"/>
  <c r="W201" i="4" s="1"/>
  <c r="W137" i="4"/>
  <c r="AE19" i="3"/>
  <c r="W138" i="4" s="1"/>
  <c r="AE20" i="3"/>
  <c r="W139" i="4" s="1"/>
  <c r="AF73" i="3"/>
  <c r="AF67" i="3"/>
  <c r="AN118" i="1"/>
  <c r="Y345" i="4"/>
  <c r="Y498" i="4"/>
  <c r="Y14" i="4"/>
  <c r="V148" i="4"/>
  <c r="AD123" i="3"/>
  <c r="V149" i="4" s="1"/>
  <c r="AD124" i="3"/>
  <c r="V150" i="4" s="1"/>
  <c r="AG230" i="3"/>
  <c r="AG231" i="3"/>
  <c r="Y159" i="4"/>
  <c r="AG134" i="3"/>
  <c r="Y161" i="4" s="1"/>
  <c r="AG133" i="3"/>
  <c r="Y160" i="4" s="1"/>
  <c r="AG577" i="4"/>
  <c r="AG55" i="4"/>
  <c r="AP98" i="2"/>
  <c r="AO100" i="2"/>
  <c r="AO106" i="2"/>
  <c r="AE23" i="3"/>
  <c r="AE24" i="3"/>
  <c r="U518" i="4"/>
  <c r="U33" i="4"/>
  <c r="P2" i="6"/>
  <c r="O2" i="12"/>
  <c r="O19" i="6"/>
  <c r="N236" i="4" s="1"/>
  <c r="AG251" i="3"/>
  <c r="AG250" i="3"/>
  <c r="AS130" i="3"/>
  <c r="AK157" i="4" s="1"/>
  <c r="AT127" i="3"/>
  <c r="AL154" i="4" s="1"/>
  <c r="AS15" i="1"/>
  <c r="AK297" i="4" s="1"/>
  <c r="AT141" i="3"/>
  <c r="AL168" i="4" s="1"/>
  <c r="AT16" i="1"/>
  <c r="AL298" i="4" s="1"/>
  <c r="AU138" i="3"/>
  <c r="AM165" i="4" s="1"/>
  <c r="AN183" i="3"/>
  <c r="AF803" i="4" s="1"/>
  <c r="AN184" i="3"/>
  <c r="AF804" i="4" s="1"/>
  <c r="AN206" i="3"/>
  <c r="AR227" i="3"/>
  <c r="AR225" i="3"/>
  <c r="AG206" i="3"/>
  <c r="AG185" i="3"/>
  <c r="Y805" i="4" s="1"/>
  <c r="AG184" i="3"/>
  <c r="Y804" i="4" s="1"/>
  <c r="AG186" i="3"/>
  <c r="Y806" i="4" s="1"/>
  <c r="AG183" i="3"/>
  <c r="Y803" i="4" s="1"/>
  <c r="AN131" i="1"/>
  <c r="AG180" i="1"/>
  <c r="AF32" i="2"/>
  <c r="AF34" i="2"/>
  <c r="X624" i="4" s="1"/>
  <c r="AD44" i="2"/>
  <c r="V523" i="4" s="1"/>
  <c r="AP154" i="2"/>
  <c r="AP155" i="2"/>
  <c r="AH635" i="4" s="1"/>
  <c r="AO116" i="2"/>
  <c r="AD72" i="2"/>
  <c r="AD69" i="2"/>
  <c r="AD70" i="2"/>
  <c r="V549" i="4" s="1"/>
  <c r="AG177" i="1"/>
  <c r="Y404" i="4" s="1"/>
  <c r="AM43" i="2"/>
  <c r="AE522" i="4" s="1"/>
  <c r="AM44" i="2"/>
  <c r="AE523" i="4" s="1"/>
  <c r="AN7" i="1"/>
  <c r="AF289" i="4" s="1"/>
  <c r="AN234" i="1"/>
  <c r="AE38" i="2"/>
  <c r="AE36" i="2"/>
  <c r="AE35" i="2"/>
  <c r="AE42" i="2"/>
  <c r="AN76" i="2"/>
  <c r="AF555" i="4" s="1"/>
  <c r="AN80" i="2"/>
  <c r="AF559" i="4" s="1"/>
  <c r="AC48" i="2"/>
  <c r="U527" i="4" s="1"/>
  <c r="AC49" i="2"/>
  <c r="AO130" i="2"/>
  <c r="AG29" i="2"/>
  <c r="AG31" i="2"/>
  <c r="AN31" i="2" s="1"/>
  <c r="AP123" i="2"/>
  <c r="AQ121" i="2"/>
  <c r="AQ147" i="2"/>
  <c r="AQ138" i="2"/>
  <c r="AQ153" i="2" s="1"/>
  <c r="AP140" i="2"/>
  <c r="AO103" i="2"/>
  <c r="AG582" i="4" s="1"/>
  <c r="AC73" i="2"/>
  <c r="AC85" i="2"/>
  <c r="AO155" i="2"/>
  <c r="AG635" i="4" s="1"/>
  <c r="AO154" i="2"/>
  <c r="AN54" i="2"/>
  <c r="AF533" i="4" s="1"/>
  <c r="AN53" i="2"/>
  <c r="AF532" i="4" s="1"/>
  <c r="AD47" i="2"/>
  <c r="V526" i="4" s="1"/>
  <c r="AP64" i="1"/>
  <c r="AP258" i="1" s="1"/>
  <c r="AH480" i="4" s="1"/>
  <c r="AP48" i="1"/>
  <c r="AR233" i="1"/>
  <c r="AJ452" i="4" s="1"/>
  <c r="AQ215" i="1"/>
  <c r="AI782" i="4" s="1"/>
  <c r="AQ235" i="1"/>
  <c r="AI454" i="4" s="1"/>
  <c r="AQ186" i="1"/>
  <c r="AQ134" i="1"/>
  <c r="AI361" i="4" s="1"/>
  <c r="AP225" i="1"/>
  <c r="AH444" i="4" s="1"/>
  <c r="AP56" i="1"/>
  <c r="AH336" i="4" s="1"/>
  <c r="AP247" i="1"/>
  <c r="AP171" i="1"/>
  <c r="AH398" i="4" s="1"/>
  <c r="AO63" i="1"/>
  <c r="AR241" i="1"/>
  <c r="AJ460" i="4" s="1"/>
  <c r="AQ240" i="1"/>
  <c r="AI459" i="4" s="1"/>
  <c r="AO47" i="1"/>
  <c r="AG327" i="4" s="1"/>
  <c r="AS139" i="1"/>
  <c r="AK366" i="4" s="1"/>
  <c r="AO32" i="1"/>
  <c r="AG314" i="4" s="1"/>
  <c r="AU259" i="1"/>
  <c r="AM481" i="4" s="1"/>
  <c r="AU207" i="1"/>
  <c r="AM434" i="4" s="1"/>
  <c r="AO182" i="3" l="1"/>
  <c r="AG802" i="4" s="1"/>
  <c r="AO245" i="3"/>
  <c r="Y26" i="4"/>
  <c r="Y510" i="4"/>
  <c r="X511" i="4"/>
  <c r="X27" i="4"/>
  <c r="AO150" i="2"/>
  <c r="AG630" i="4" s="1"/>
  <c r="AO126" i="2"/>
  <c r="AG606" i="4" s="1"/>
  <c r="AO104" i="2"/>
  <c r="AG583" i="4" s="1"/>
  <c r="AO7" i="2"/>
  <c r="AG486" i="4" s="1"/>
  <c r="AR145" i="2"/>
  <c r="AJ91" i="4" s="1"/>
  <c r="AS146" i="2"/>
  <c r="AT146" i="2" s="1"/>
  <c r="AU146" i="2" s="1"/>
  <c r="AG580" i="4"/>
  <c r="AG58" i="4"/>
  <c r="AO16" i="2"/>
  <c r="AG11" i="4" s="1"/>
  <c r="AG3" i="4"/>
  <c r="AG483" i="4"/>
  <c r="AO6" i="1"/>
  <c r="AO151" i="2"/>
  <c r="AG631" i="4" s="1"/>
  <c r="AO5" i="2"/>
  <c r="AG484" i="4" s="1"/>
  <c r="AO5" i="3"/>
  <c r="AO249" i="3" s="1"/>
  <c r="AO250" i="3" s="1"/>
  <c r="AO127" i="2"/>
  <c r="AG607" i="4" s="1"/>
  <c r="AP244" i="3"/>
  <c r="AP245" i="3" s="1"/>
  <c r="AP176" i="3"/>
  <c r="AH785" i="4" s="1"/>
  <c r="AO178" i="3"/>
  <c r="AG787" i="4" s="1"/>
  <c r="AO196" i="3"/>
  <c r="AO197" i="3" s="1"/>
  <c r="AG212" i="4" s="1"/>
  <c r="AO177" i="3"/>
  <c r="AG786" i="4" s="1"/>
  <c r="X792" i="4"/>
  <c r="AP151" i="3"/>
  <c r="AH178" i="4" s="1"/>
  <c r="AP17" i="1"/>
  <c r="AW17" i="1" s="1"/>
  <c r="AO299" i="4" s="1"/>
  <c r="AQ148" i="3"/>
  <c r="AI175" i="4" s="1"/>
  <c r="AR189" i="3"/>
  <c r="AR191" i="3" s="1"/>
  <c r="AJ205" i="4" s="1"/>
  <c r="AI203" i="4"/>
  <c r="AF510" i="4"/>
  <c r="AF26" i="4"/>
  <c r="AG501" i="4"/>
  <c r="AG17" i="4"/>
  <c r="AP22" i="2"/>
  <c r="AO23" i="2"/>
  <c r="X54" i="4"/>
  <c r="W600" i="4"/>
  <c r="W72" i="4"/>
  <c r="X576" i="4"/>
  <c r="AL285" i="4"/>
  <c r="AU3" i="1"/>
  <c r="AT168" i="1"/>
  <c r="AL395" i="4" s="1"/>
  <c r="AT113" i="1"/>
  <c r="AL340" i="4" s="1"/>
  <c r="I70" i="6"/>
  <c r="H275" i="4" s="1"/>
  <c r="G277" i="4"/>
  <c r="H74" i="6"/>
  <c r="G279" i="4" s="1"/>
  <c r="G276" i="4"/>
  <c r="AA211" i="1"/>
  <c r="S436" i="4"/>
  <c r="AR124" i="1"/>
  <c r="AI351" i="4"/>
  <c r="AS123" i="1"/>
  <c r="AJ350" i="4"/>
  <c r="AN122" i="1"/>
  <c r="Y349" i="4"/>
  <c r="AI352" i="4"/>
  <c r="AS140" i="1"/>
  <c r="AJ367" i="4"/>
  <c r="AR142" i="1"/>
  <c r="AI369" i="4"/>
  <c r="AQ66" i="1"/>
  <c r="AQ69" i="1" s="1"/>
  <c r="AQ48" i="1" s="1"/>
  <c r="AH328" i="4"/>
  <c r="AF211" i="4"/>
  <c r="AI368" i="4"/>
  <c r="AR141" i="1"/>
  <c r="AR161" i="3"/>
  <c r="AI188" i="4"/>
  <c r="AR235" i="3"/>
  <c r="AR237" i="3"/>
  <c r="AT160" i="3"/>
  <c r="AK187" i="4"/>
  <c r="AS234" i="3"/>
  <c r="AT159" i="3"/>
  <c r="AT224" i="3" s="1"/>
  <c r="AL218" i="4" s="1"/>
  <c r="AK186" i="4"/>
  <c r="AT158" i="3"/>
  <c r="AK185" i="4"/>
  <c r="AG207" i="3"/>
  <c r="Y791" i="4"/>
  <c r="AN207" i="3"/>
  <c r="AN1" i="3" s="1"/>
  <c r="AF791" i="4"/>
  <c r="AI93" i="4"/>
  <c r="AI627" i="4"/>
  <c r="AJ626" i="4"/>
  <c r="AJ92" i="4"/>
  <c r="AN151" i="1"/>
  <c r="AO151" i="1" s="1"/>
  <c r="AG378" i="4" s="1"/>
  <c r="AG634" i="4"/>
  <c r="AG98" i="4"/>
  <c r="AH88" i="4"/>
  <c r="AH620" i="4"/>
  <c r="AI633" i="4"/>
  <c r="AI97" i="4"/>
  <c r="AI618" i="4"/>
  <c r="AI86" i="4"/>
  <c r="AR139" i="2"/>
  <c r="AR138" i="2" s="1"/>
  <c r="AI619" i="4"/>
  <c r="AI87" i="4"/>
  <c r="AH634" i="4"/>
  <c r="AH98" i="4"/>
  <c r="AG70" i="4"/>
  <c r="AG596" i="4"/>
  <c r="AH68" i="4"/>
  <c r="AH594" i="4"/>
  <c r="AQ115" i="2"/>
  <c r="AQ114" i="2" s="1"/>
  <c r="AH595" i="4"/>
  <c r="AH69" i="4"/>
  <c r="AG43" i="3"/>
  <c r="AG42" i="3"/>
  <c r="AN38" i="3"/>
  <c r="AO37" i="3"/>
  <c r="AQ92" i="2"/>
  <c r="AH571" i="4"/>
  <c r="AH51" i="4"/>
  <c r="AG6" i="4"/>
  <c r="AG490" i="4"/>
  <c r="AG50" i="4"/>
  <c r="AG570" i="4"/>
  <c r="AO93" i="2"/>
  <c r="AP91" i="2"/>
  <c r="AP106" i="2" s="1"/>
  <c r="J78" i="10"/>
  <c r="J86" i="10"/>
  <c r="J79" i="10"/>
  <c r="O19" i="12"/>
  <c r="N729" i="4" s="1"/>
  <c r="N712" i="4"/>
  <c r="O219" i="4"/>
  <c r="P2" i="10"/>
  <c r="N640" i="4"/>
  <c r="O19" i="10"/>
  <c r="N657" i="4" s="1"/>
  <c r="AM49" i="2"/>
  <c r="AE34" i="4" s="1"/>
  <c r="AF358" i="4"/>
  <c r="AF345" i="4"/>
  <c r="AP248" i="1"/>
  <c r="AH470" i="4" s="1"/>
  <c r="AH469" i="4"/>
  <c r="AQ197" i="1"/>
  <c r="AI424" i="4" s="1"/>
  <c r="AI413" i="4"/>
  <c r="M10" i="6"/>
  <c r="L227" i="4" s="1"/>
  <c r="AS117" i="1"/>
  <c r="AJ344" i="4"/>
  <c r="AP4" i="2"/>
  <c r="AP127" i="2" s="1"/>
  <c r="AH607" i="4" s="1"/>
  <c r="AN150" i="1"/>
  <c r="AO150" i="1" s="1"/>
  <c r="AM48" i="2"/>
  <c r="AE527" i="4" s="1"/>
  <c r="AI601" i="4"/>
  <c r="AI73" i="4"/>
  <c r="AG610" i="4"/>
  <c r="AG79" i="4"/>
  <c r="AR121" i="2"/>
  <c r="AI602" i="4"/>
  <c r="AI74" i="4"/>
  <c r="AH603" i="4"/>
  <c r="AH75" i="4"/>
  <c r="U528" i="4"/>
  <c r="U34" i="4"/>
  <c r="V548" i="4"/>
  <c r="V42" i="4"/>
  <c r="AG579" i="4"/>
  <c r="AG57" i="4"/>
  <c r="AN180" i="1"/>
  <c r="AF407" i="4" s="1"/>
  <c r="Y407" i="4"/>
  <c r="AC86" i="2"/>
  <c r="U565" i="4" s="1"/>
  <c r="U564" i="4"/>
  <c r="W515" i="4"/>
  <c r="W31" i="4"/>
  <c r="AG586" i="4"/>
  <c r="AG61" i="4"/>
  <c r="AO107" i="2"/>
  <c r="AO108" i="2"/>
  <c r="AG588" i="4" s="1"/>
  <c r="AI578" i="4"/>
  <c r="AI56" i="4"/>
  <c r="X113" i="4"/>
  <c r="AF15" i="3"/>
  <c r="X114" i="4" s="1"/>
  <c r="AF16" i="3"/>
  <c r="X115" i="4" s="1"/>
  <c r="X137" i="4"/>
  <c r="AF19" i="3"/>
  <c r="X138" i="4" s="1"/>
  <c r="AF192" i="4"/>
  <c r="J73" i="10"/>
  <c r="J73" i="12" s="1"/>
  <c r="AN166" i="3"/>
  <c r="AF193" i="4" s="1"/>
  <c r="AE518" i="4"/>
  <c r="AE33" i="4"/>
  <c r="AE39" i="2"/>
  <c r="W517" i="4"/>
  <c r="W32" i="4"/>
  <c r="AN73" i="3"/>
  <c r="AN67" i="3"/>
  <c r="X141" i="4"/>
  <c r="AF117" i="3"/>
  <c r="X143" i="4" s="1"/>
  <c r="AF116" i="3"/>
  <c r="X142" i="4" s="1"/>
  <c r="AE255" i="3"/>
  <c r="AE256" i="3"/>
  <c r="AE257" i="3"/>
  <c r="AE254" i="3"/>
  <c r="Y108" i="4"/>
  <c r="AG22" i="3"/>
  <c r="AG13" i="3"/>
  <c r="Y112" i="4" s="1"/>
  <c r="AG214" i="3"/>
  <c r="AG215" i="3" s="1"/>
  <c r="AG11" i="3"/>
  <c r="Y110" i="4" s="1"/>
  <c r="AG18" i="3"/>
  <c r="AG10" i="3"/>
  <c r="Y109" i="4" s="1"/>
  <c r="AG12" i="3"/>
  <c r="Y111" i="4" s="1"/>
  <c r="AG115" i="3"/>
  <c r="AG14" i="3"/>
  <c r="AG170" i="3"/>
  <c r="AG121" i="3"/>
  <c r="AF210" i="4"/>
  <c r="AN194" i="3"/>
  <c r="W148" i="4"/>
  <c r="AE124" i="3"/>
  <c r="W150" i="4" s="1"/>
  <c r="AE123" i="3"/>
  <c r="W149" i="4" s="1"/>
  <c r="AN178" i="1"/>
  <c r="AF405" i="4" s="1"/>
  <c r="Y405" i="4"/>
  <c r="AF121" i="4"/>
  <c r="AN93" i="3"/>
  <c r="U552" i="4"/>
  <c r="U45" i="4"/>
  <c r="AE44" i="2"/>
  <c r="W523" i="4" s="1"/>
  <c r="W521" i="4"/>
  <c r="W514" i="4"/>
  <c r="W30" i="4"/>
  <c r="AF453" i="4"/>
  <c r="J70" i="10"/>
  <c r="I709" i="4" s="1"/>
  <c r="J70" i="12"/>
  <c r="V551" i="4"/>
  <c r="V44" i="4"/>
  <c r="AH577" i="4"/>
  <c r="AH55" i="4"/>
  <c r="AP100" i="2"/>
  <c r="AQ98" i="2"/>
  <c r="J5" i="12"/>
  <c r="I222" i="4"/>
  <c r="AF122" i="3"/>
  <c r="X147" i="4"/>
  <c r="AF216" i="3"/>
  <c r="AF219" i="3"/>
  <c r="AF217" i="3"/>
  <c r="AF218" i="3"/>
  <c r="AF253" i="3"/>
  <c r="AN154" i="3"/>
  <c r="AF181" i="4" s="1"/>
  <c r="AF180" i="4"/>
  <c r="AN133" i="3"/>
  <c r="AF160" i="4" s="1"/>
  <c r="AF159" i="4"/>
  <c r="AF496" i="4"/>
  <c r="AF12" i="4"/>
  <c r="X513" i="4"/>
  <c r="X29" i="4"/>
  <c r="AF6" i="3"/>
  <c r="X197" i="4"/>
  <c r="AF173" i="3"/>
  <c r="X200" i="4" s="1"/>
  <c r="AF171" i="3"/>
  <c r="X198" i="4" s="1"/>
  <c r="AF174" i="3"/>
  <c r="X201" i="4" s="1"/>
  <c r="AF199" i="3"/>
  <c r="X214" i="4" s="1"/>
  <c r="AF172" i="3"/>
  <c r="X199" i="4" s="1"/>
  <c r="AF23" i="3"/>
  <c r="AF24" i="3"/>
  <c r="AE220" i="3"/>
  <c r="AE221" i="3"/>
  <c r="AF128" i="4"/>
  <c r="AN59" i="3"/>
  <c r="AN62" i="3"/>
  <c r="AF132" i="4" s="1"/>
  <c r="AN76" i="3"/>
  <c r="AN70" i="3"/>
  <c r="AG57" i="3"/>
  <c r="AG67" i="3"/>
  <c r="AG73" i="3"/>
  <c r="AN144" i="3"/>
  <c r="AF171" i="4" s="1"/>
  <c r="AF170" i="4"/>
  <c r="V518" i="4"/>
  <c r="V33" i="4"/>
  <c r="J221" i="4"/>
  <c r="K5" i="6"/>
  <c r="K5" i="10" s="1"/>
  <c r="K3" i="6"/>
  <c r="J220" i="4" s="1"/>
  <c r="AN9" i="3"/>
  <c r="AN64" i="3" s="1"/>
  <c r="AF134" i="4" s="1"/>
  <c r="Q2" i="6"/>
  <c r="P19" i="6"/>
  <c r="O236" i="4" s="1"/>
  <c r="P2" i="12"/>
  <c r="AU127" i="3"/>
  <c r="AM154" i="4" s="1"/>
  <c r="AT130" i="3"/>
  <c r="AL157" i="4" s="1"/>
  <c r="AT15" i="1"/>
  <c r="AL297" i="4" s="1"/>
  <c r="AU16" i="1"/>
  <c r="AM298" i="4" s="1"/>
  <c r="AU141" i="3"/>
  <c r="AM168" i="4" s="1"/>
  <c r="AS227" i="3"/>
  <c r="AS225" i="3"/>
  <c r="AD85" i="2"/>
  <c r="AD73" i="2"/>
  <c r="AD74" i="2"/>
  <c r="AQ140" i="2"/>
  <c r="AQ123" i="2"/>
  <c r="AO131" i="2"/>
  <c r="AO132" i="2"/>
  <c r="AG612" i="4" s="1"/>
  <c r="AN32" i="2"/>
  <c r="AN28" i="2"/>
  <c r="AN34" i="2"/>
  <c r="AN94" i="3" s="1"/>
  <c r="AP116" i="2"/>
  <c r="AP11" i="2"/>
  <c r="AP118" i="2" s="1"/>
  <c r="AH598" i="4" s="1"/>
  <c r="AG32" i="2"/>
  <c r="AG34" i="2"/>
  <c r="Y624" i="4" s="1"/>
  <c r="AO12" i="2"/>
  <c r="AO13" i="2"/>
  <c r="AO52" i="2"/>
  <c r="AO142" i="2"/>
  <c r="AG622" i="4" s="1"/>
  <c r="AO95" i="2"/>
  <c r="AG574" i="4" s="1"/>
  <c r="AO143" i="2"/>
  <c r="AG623" i="4" s="1"/>
  <c r="AO96" i="2"/>
  <c r="AG575" i="4" s="1"/>
  <c r="AO118" i="2"/>
  <c r="AG598" i="4" s="1"/>
  <c r="AF42" i="2"/>
  <c r="AF47" i="2" s="1"/>
  <c r="X526" i="4" s="1"/>
  <c r="AF36" i="2"/>
  <c r="AF35" i="2"/>
  <c r="AF38" i="2"/>
  <c r="AP130" i="2"/>
  <c r="AN83" i="2"/>
  <c r="AF562" i="4" s="1"/>
  <c r="AO76" i="2"/>
  <c r="AG555" i="4" s="1"/>
  <c r="AN78" i="2"/>
  <c r="AF557" i="4" s="1"/>
  <c r="AN77" i="2"/>
  <c r="AF556" i="4" s="1"/>
  <c r="AN177" i="1"/>
  <c r="AF404" i="4" s="1"/>
  <c r="AD49" i="2"/>
  <c r="AD48" i="2"/>
  <c r="V527" i="4" s="1"/>
  <c r="AQ155" i="2"/>
  <c r="AI635" i="4" s="1"/>
  <c r="AQ154" i="2"/>
  <c r="AE47" i="2"/>
  <c r="W526" i="4" s="1"/>
  <c r="AO119" i="2"/>
  <c r="AG599" i="4" s="1"/>
  <c r="AQ64" i="1"/>
  <c r="AQ258" i="1" s="1"/>
  <c r="AI480" i="4" s="1"/>
  <c r="AR235" i="1"/>
  <c r="AJ454" i="4" s="1"/>
  <c r="AR215" i="1"/>
  <c r="AJ782" i="4" s="1"/>
  <c r="AR186" i="1"/>
  <c r="AS233" i="1"/>
  <c r="AK452" i="4" s="1"/>
  <c r="AT139" i="1"/>
  <c r="AL366" i="4" s="1"/>
  <c r="AP47" i="1"/>
  <c r="AQ247" i="1"/>
  <c r="AQ171" i="1"/>
  <c r="AI398" i="4" s="1"/>
  <c r="AQ56" i="1"/>
  <c r="AI336" i="4" s="1"/>
  <c r="AP32" i="1"/>
  <c r="AH314" i="4" s="1"/>
  <c r="AO53" i="1"/>
  <c r="AG333" i="4" s="1"/>
  <c r="AS241" i="1"/>
  <c r="AK460" i="4" s="1"/>
  <c r="AR240" i="1"/>
  <c r="AJ459" i="4" s="1"/>
  <c r="AP63" i="1"/>
  <c r="AR134" i="1"/>
  <c r="AJ361" i="4" s="1"/>
  <c r="AQ225" i="1"/>
  <c r="AI444" i="4" s="1"/>
  <c r="AO206" i="3" l="1"/>
  <c r="AG791" i="4" s="1"/>
  <c r="AO184" i="3"/>
  <c r="AG804" i="4" s="1"/>
  <c r="AO183" i="3"/>
  <c r="AG803" i="4" s="1"/>
  <c r="AP196" i="3"/>
  <c r="AP197" i="3" s="1"/>
  <c r="AH212" i="4" s="1"/>
  <c r="AF792" i="4"/>
  <c r="AP247" i="3"/>
  <c r="AQ17" i="1"/>
  <c r="AI299" i="4" s="1"/>
  <c r="AP182" i="3"/>
  <c r="AH802" i="4" s="1"/>
  <c r="AR147" i="2"/>
  <c r="AJ627" i="4" s="1"/>
  <c r="AO79" i="3"/>
  <c r="AG103" i="4"/>
  <c r="AO153" i="3"/>
  <c r="AO154" i="3" s="1"/>
  <c r="AG181" i="4" s="1"/>
  <c r="AO229" i="3"/>
  <c r="AO230" i="3" s="1"/>
  <c r="AS145" i="2"/>
  <c r="AO239" i="3"/>
  <c r="AO240" i="3" s="1"/>
  <c r="AO143" i="3"/>
  <c r="AO144" i="3" s="1"/>
  <c r="AG171" i="4" s="1"/>
  <c r="AJ625" i="4"/>
  <c r="AO131" i="1"/>
  <c r="AO180" i="1" s="1"/>
  <c r="AO7" i="1"/>
  <c r="AG289" i="4" s="1"/>
  <c r="AO132" i="3"/>
  <c r="AG159" i="4" s="1"/>
  <c r="AO193" i="3"/>
  <c r="AO194" i="3" s="1"/>
  <c r="AO165" i="3"/>
  <c r="AO166" i="3" s="1"/>
  <c r="AG193" i="4" s="1"/>
  <c r="AH580" i="4"/>
  <c r="AH58" i="4"/>
  <c r="AO234" i="1"/>
  <c r="AG453" i="4" s="1"/>
  <c r="AG4" i="4"/>
  <c r="AG288" i="4"/>
  <c r="AG495" i="4"/>
  <c r="AO17" i="2"/>
  <c r="AG496" i="4" s="1"/>
  <c r="K81" i="10"/>
  <c r="K82" i="10" s="1"/>
  <c r="AP177" i="3"/>
  <c r="AH786" i="4" s="1"/>
  <c r="AP178" i="3"/>
  <c r="AH787" i="4" s="1"/>
  <c r="AQ176" i="3"/>
  <c r="AI785" i="4" s="1"/>
  <c r="AQ151" i="3"/>
  <c r="AI178" i="4" s="1"/>
  <c r="AR148" i="3"/>
  <c r="AJ175" i="4" s="1"/>
  <c r="AQ244" i="3"/>
  <c r="AQ247" i="3" s="1"/>
  <c r="AG211" i="4"/>
  <c r="AH299" i="4"/>
  <c r="Y792" i="4"/>
  <c r="AJ203" i="4"/>
  <c r="AS189" i="3"/>
  <c r="AS191" i="3" s="1"/>
  <c r="AK205" i="4" s="1"/>
  <c r="AF23" i="4"/>
  <c r="AF507" i="4"/>
  <c r="AN85" i="3"/>
  <c r="AG18" i="4"/>
  <c r="AG502" i="4"/>
  <c r="AH501" i="4"/>
  <c r="AH17" i="4"/>
  <c r="AP23" i="2"/>
  <c r="AQ22" i="2"/>
  <c r="AW22" i="2"/>
  <c r="Y54" i="4"/>
  <c r="X600" i="4"/>
  <c r="X72" i="4"/>
  <c r="Y576" i="4"/>
  <c r="AF378" i="4"/>
  <c r="AP7" i="2"/>
  <c r="AH486" i="4" s="1"/>
  <c r="AP5" i="2"/>
  <c r="AH4" i="4" s="1"/>
  <c r="AP150" i="2"/>
  <c r="AH630" i="4" s="1"/>
  <c r="AH586" i="4"/>
  <c r="AH61" i="4"/>
  <c r="AP107" i="2"/>
  <c r="AH62" i="4" s="1"/>
  <c r="AE528" i="4"/>
  <c r="Y511" i="4"/>
  <c r="Y27" i="4"/>
  <c r="AF511" i="4"/>
  <c r="AF27" i="4"/>
  <c r="AM285" i="4"/>
  <c r="AU168" i="1"/>
  <c r="AM395" i="4" s="1"/>
  <c r="AU113" i="1"/>
  <c r="AM340" i="4" s="1"/>
  <c r="AB209" i="1"/>
  <c r="S438" i="4"/>
  <c r="AJ352" i="4"/>
  <c r="AF349" i="4"/>
  <c r="AO122" i="1"/>
  <c r="AS142" i="1"/>
  <c r="AJ369" i="4"/>
  <c r="AT123" i="1"/>
  <c r="AK350" i="4"/>
  <c r="AK367" i="4"/>
  <c r="AT140" i="1"/>
  <c r="AS124" i="1"/>
  <c r="AJ351" i="4"/>
  <c r="AQ63" i="1"/>
  <c r="AQ47" i="1"/>
  <c r="AI327" i="4" s="1"/>
  <c r="AH327" i="4"/>
  <c r="AR66" i="1"/>
  <c r="AR69" i="1" s="1"/>
  <c r="AI328" i="4"/>
  <c r="AS141" i="1"/>
  <c r="AJ368" i="4"/>
  <c r="AS161" i="3"/>
  <c r="AJ188" i="4"/>
  <c r="AL187" i="4"/>
  <c r="AU160" i="3"/>
  <c r="AT234" i="3"/>
  <c r="AS235" i="3"/>
  <c r="AS237" i="3"/>
  <c r="AU159" i="3"/>
  <c r="AM186" i="4" s="1"/>
  <c r="AL186" i="4"/>
  <c r="AL185" i="4"/>
  <c r="AU158" i="3"/>
  <c r="AM185" i="4" s="1"/>
  <c r="AK625" i="4"/>
  <c r="AK91" i="4"/>
  <c r="AJ93" i="4"/>
  <c r="AK626" i="4"/>
  <c r="AK92" i="4"/>
  <c r="AF377" i="4"/>
  <c r="AI620" i="4"/>
  <c r="AI88" i="4"/>
  <c r="AI634" i="4"/>
  <c r="AI98" i="4"/>
  <c r="AJ86" i="4"/>
  <c r="AJ618" i="4"/>
  <c r="AS139" i="2"/>
  <c r="AS138" i="2" s="1"/>
  <c r="AJ619" i="4"/>
  <c r="AJ87" i="4"/>
  <c r="AH70" i="4"/>
  <c r="AH596" i="4"/>
  <c r="AI594" i="4"/>
  <c r="AI68" i="4"/>
  <c r="AR115" i="2"/>
  <c r="AR114" i="2" s="1"/>
  <c r="AI595" i="4"/>
  <c r="AI69" i="4"/>
  <c r="AP108" i="2"/>
  <c r="AH588" i="4" s="1"/>
  <c r="J88" i="10"/>
  <c r="J87" i="10"/>
  <c r="AG531" i="4"/>
  <c r="AG36" i="4"/>
  <c r="K77" i="10"/>
  <c r="AG492" i="4"/>
  <c r="AG8" i="4"/>
  <c r="AH490" i="4"/>
  <c r="AH6" i="4"/>
  <c r="AH570" i="4"/>
  <c r="AH50" i="4"/>
  <c r="AP93" i="2"/>
  <c r="AQ91" i="2"/>
  <c r="AQ106" i="2" s="1"/>
  <c r="AR92" i="2"/>
  <c r="AI571" i="4"/>
  <c r="AI51" i="4"/>
  <c r="AG491" i="4"/>
  <c r="AG7" i="4"/>
  <c r="AG52" i="4"/>
  <c r="AG572" i="4"/>
  <c r="AO32" i="3"/>
  <c r="AP37" i="3"/>
  <c r="P219" i="4"/>
  <c r="Q2" i="10"/>
  <c r="O640" i="4"/>
  <c r="P19" i="10"/>
  <c r="O657" i="4" s="1"/>
  <c r="P19" i="12"/>
  <c r="O729" i="4" s="1"/>
  <c r="O712" i="4"/>
  <c r="AO118" i="1"/>
  <c r="AO177" i="1" s="1"/>
  <c r="AP150" i="1"/>
  <c r="AQ150" i="1" s="1"/>
  <c r="AR150" i="1" s="1"/>
  <c r="AS150" i="1" s="1"/>
  <c r="AT150" i="1" s="1"/>
  <c r="AU150" i="1" s="1"/>
  <c r="AQ248" i="1"/>
  <c r="AI470" i="4" s="1"/>
  <c r="AI469" i="4"/>
  <c r="AR197" i="1"/>
  <c r="AJ424" i="4" s="1"/>
  <c r="AJ413" i="4"/>
  <c r="N10" i="6"/>
  <c r="M227" i="4" s="1"/>
  <c r="AT117" i="1"/>
  <c r="AK344" i="4"/>
  <c r="AP126" i="2"/>
  <c r="AH606" i="4" s="1"/>
  <c r="AP103" i="2"/>
  <c r="AH582" i="4" s="1"/>
  <c r="AH483" i="4"/>
  <c r="AO207" i="3"/>
  <c r="AG377" i="4"/>
  <c r="AH377" i="4"/>
  <c r="AP104" i="2"/>
  <c r="AH583" i="4" s="1"/>
  <c r="AW4" i="2"/>
  <c r="L4" i="6"/>
  <c r="L3" i="6" s="1"/>
  <c r="K220" i="4" s="1"/>
  <c r="AP151" i="2"/>
  <c r="AH631" i="4" s="1"/>
  <c r="AP6" i="1"/>
  <c r="AH3" i="4"/>
  <c r="AP5" i="3"/>
  <c r="AP249" i="3" s="1"/>
  <c r="AP250" i="3" s="1"/>
  <c r="AO119" i="1"/>
  <c r="AG346" i="4" s="1"/>
  <c r="AP151" i="1"/>
  <c r="AH378" i="4" s="1"/>
  <c r="AI603" i="4"/>
  <c r="AI75" i="4"/>
  <c r="AH79" i="4"/>
  <c r="AH610" i="4"/>
  <c r="AJ601" i="4"/>
  <c r="AJ73" i="4"/>
  <c r="AG611" i="4"/>
  <c r="AG80" i="4"/>
  <c r="AJ602" i="4"/>
  <c r="AJ74" i="4"/>
  <c r="V528" i="4"/>
  <c r="V34" i="4"/>
  <c r="I715" i="4"/>
  <c r="J4" i="12"/>
  <c r="J72" i="12" s="1"/>
  <c r="J11" i="12" s="1"/>
  <c r="I721" i="4" s="1"/>
  <c r="Y113" i="4"/>
  <c r="AG15" i="3"/>
  <c r="Y114" i="4" s="1"/>
  <c r="AG16" i="3"/>
  <c r="Y115" i="4" s="1"/>
  <c r="AG24" i="3"/>
  <c r="AG23" i="3"/>
  <c r="AG587" i="4"/>
  <c r="AG62" i="4"/>
  <c r="V553" i="4"/>
  <c r="V46" i="4"/>
  <c r="AF108" i="4"/>
  <c r="AN33" i="3"/>
  <c r="AN10" i="3"/>
  <c r="AF109" i="4" s="1"/>
  <c r="AN18" i="3"/>
  <c r="AN14" i="3"/>
  <c r="AN28" i="3"/>
  <c r="AN26" i="3" s="1"/>
  <c r="AN27" i="3" s="1"/>
  <c r="AN12" i="3"/>
  <c r="AF111" i="4" s="1"/>
  <c r="AN22" i="3"/>
  <c r="AN23" i="3" s="1"/>
  <c r="AN214" i="3"/>
  <c r="AN170" i="3"/>
  <c r="AN121" i="3"/>
  <c r="AN81" i="3"/>
  <c r="AF123" i="4" s="1"/>
  <c r="AF220" i="3"/>
  <c r="AF221" i="3"/>
  <c r="X148" i="4"/>
  <c r="AF123" i="3"/>
  <c r="X149" i="4" s="1"/>
  <c r="AF124" i="3"/>
  <c r="X150" i="4" s="1"/>
  <c r="AI577" i="4"/>
  <c r="AI55" i="4"/>
  <c r="AQ4" i="2"/>
  <c r="AQ100" i="2"/>
  <c r="AR98" i="2"/>
  <c r="Y141" i="4"/>
  <c r="AG117" i="3"/>
  <c r="Y143" i="4" s="1"/>
  <c r="AG116" i="3"/>
  <c r="Y142" i="4" s="1"/>
  <c r="W518" i="4"/>
  <c r="W33" i="4"/>
  <c r="AF44" i="2"/>
  <c r="X523" i="4" s="1"/>
  <c r="X521" i="4"/>
  <c r="X514" i="4"/>
  <c r="X30" i="4"/>
  <c r="AF129" i="4"/>
  <c r="AN60" i="3"/>
  <c r="AF130" i="4" s="1"/>
  <c r="Y137" i="4"/>
  <c r="AG20" i="3"/>
  <c r="Y139" i="4" s="1"/>
  <c r="AG19" i="3"/>
  <c r="Y138" i="4" s="1"/>
  <c r="AF39" i="2"/>
  <c r="X517" i="4"/>
  <c r="X32" i="4"/>
  <c r="X515" i="4"/>
  <c r="X31" i="4"/>
  <c r="Y513" i="4"/>
  <c r="Y29" i="4"/>
  <c r="AG6" i="3"/>
  <c r="V552" i="4"/>
  <c r="V45" i="4"/>
  <c r="AF257" i="3"/>
  <c r="AF254" i="3"/>
  <c r="AF255" i="3"/>
  <c r="AF256" i="3"/>
  <c r="I643" i="4"/>
  <c r="J4" i="10"/>
  <c r="AH579" i="4"/>
  <c r="AH57" i="4"/>
  <c r="AG122" i="3"/>
  <c r="Y147" i="4"/>
  <c r="AG217" i="3"/>
  <c r="AG216" i="3"/>
  <c r="AG219" i="3"/>
  <c r="AG218" i="3"/>
  <c r="AG253" i="3"/>
  <c r="AJ578" i="4"/>
  <c r="AJ56" i="4"/>
  <c r="AF513" i="4"/>
  <c r="AF29" i="4"/>
  <c r="AN6" i="3"/>
  <c r="AN97" i="3"/>
  <c r="AD86" i="2"/>
  <c r="V565" i="4" s="1"/>
  <c r="V564" i="4"/>
  <c r="K5" i="12"/>
  <c r="J715" i="4" s="1"/>
  <c r="J222" i="4"/>
  <c r="J643" i="4"/>
  <c r="AG69" i="3"/>
  <c r="AG75" i="3"/>
  <c r="AN57" i="3"/>
  <c r="AO57" i="3" s="1"/>
  <c r="AP57" i="3" s="1"/>
  <c r="AQ57" i="3" s="1"/>
  <c r="AR57" i="3" s="1"/>
  <c r="AS57" i="3" s="1"/>
  <c r="AT57" i="3" s="1"/>
  <c r="AU57" i="3" s="1"/>
  <c r="AG122" i="4"/>
  <c r="AO80" i="3"/>
  <c r="AO55" i="3"/>
  <c r="AO92" i="3"/>
  <c r="AN95" i="3"/>
  <c r="Y197" i="4"/>
  <c r="AG173" i="3"/>
  <c r="Y200" i="4" s="1"/>
  <c r="AG174" i="3"/>
  <c r="Y201" i="4" s="1"/>
  <c r="AG172" i="3"/>
  <c r="Y199" i="4" s="1"/>
  <c r="AG171" i="3"/>
  <c r="Y198" i="4" s="1"/>
  <c r="AG199" i="3"/>
  <c r="Y214" i="4" s="1"/>
  <c r="Q19" i="6"/>
  <c r="P236" i="4" s="1"/>
  <c r="Q2" i="12"/>
  <c r="AU130" i="3"/>
  <c r="AM157" i="4" s="1"/>
  <c r="AU15" i="1"/>
  <c r="AM297" i="4" s="1"/>
  <c r="AR17" i="1"/>
  <c r="AJ299" i="4" s="1"/>
  <c r="AT227" i="3"/>
  <c r="AT225" i="3"/>
  <c r="AP12" i="2"/>
  <c r="AP13" i="2"/>
  <c r="AP52" i="2"/>
  <c r="AW11" i="2"/>
  <c r="AP96" i="2"/>
  <c r="AH575" i="4" s="1"/>
  <c r="AP143" i="2"/>
  <c r="AH623" i="4" s="1"/>
  <c r="AP95" i="2"/>
  <c r="AH574" i="4" s="1"/>
  <c r="AP142" i="2"/>
  <c r="AH622" i="4" s="1"/>
  <c r="AN38" i="2"/>
  <c r="AN35" i="2"/>
  <c r="AR140" i="2"/>
  <c r="AQ116" i="2"/>
  <c r="AR153" i="2"/>
  <c r="AQ130" i="2"/>
  <c r="AP16" i="2"/>
  <c r="AO28" i="2"/>
  <c r="AN29" i="2"/>
  <c r="AT145" i="2"/>
  <c r="AS147" i="2"/>
  <c r="AF48" i="2"/>
  <c r="X527" i="4" s="1"/>
  <c r="AF49" i="2"/>
  <c r="AO53" i="2"/>
  <c r="AG532" i="4" s="1"/>
  <c r="AO54" i="2"/>
  <c r="AG533" i="4" s="1"/>
  <c r="AP131" i="2"/>
  <c r="AP132" i="2"/>
  <c r="AH612" i="4" s="1"/>
  <c r="AO78" i="2"/>
  <c r="AG557" i="4" s="1"/>
  <c r="AP76" i="2"/>
  <c r="AH555" i="4" s="1"/>
  <c r="AO79" i="2"/>
  <c r="AO83" i="2"/>
  <c r="AG562" i="4" s="1"/>
  <c r="AE48" i="2"/>
  <c r="W527" i="4" s="1"/>
  <c r="AE49" i="2"/>
  <c r="AG42" i="2"/>
  <c r="AG35" i="2"/>
  <c r="AG68" i="2"/>
  <c r="AG36" i="2"/>
  <c r="AG38" i="2"/>
  <c r="AP119" i="2"/>
  <c r="AH599" i="4" s="1"/>
  <c r="AR123" i="2"/>
  <c r="AS240" i="1"/>
  <c r="AK459" i="4" s="1"/>
  <c r="AT241" i="1"/>
  <c r="AL460" i="4" s="1"/>
  <c r="AQ32" i="1"/>
  <c r="AI314" i="4" s="1"/>
  <c r="AP53" i="1"/>
  <c r="AH333" i="4" s="1"/>
  <c r="AS186" i="1"/>
  <c r="AS235" i="1"/>
  <c r="AK454" i="4" s="1"/>
  <c r="AT233" i="1"/>
  <c r="AL452" i="4" s="1"/>
  <c r="AS215" i="1"/>
  <c r="AK782" i="4" s="1"/>
  <c r="AS134" i="1"/>
  <c r="AK361" i="4" s="1"/>
  <c r="AR225" i="1"/>
  <c r="AJ444" i="4" s="1"/>
  <c r="AR64" i="1"/>
  <c r="AR258" i="1" s="1"/>
  <c r="AJ480" i="4" s="1"/>
  <c r="AR48" i="1"/>
  <c r="AR247" i="1"/>
  <c r="AR171" i="1"/>
  <c r="AJ398" i="4" s="1"/>
  <c r="AR56" i="1"/>
  <c r="AJ336" i="4" s="1"/>
  <c r="AU139" i="1"/>
  <c r="AM366" i="4" s="1"/>
  <c r="AG170" i="4" l="1"/>
  <c r="AG792" i="4"/>
  <c r="AO1" i="3"/>
  <c r="AH211" i="4"/>
  <c r="AS148" i="3"/>
  <c r="AK175" i="4" s="1"/>
  <c r="AR151" i="3"/>
  <c r="AJ178" i="4" s="1"/>
  <c r="AO133" i="3"/>
  <c r="AG160" i="4" s="1"/>
  <c r="AP183" i="3"/>
  <c r="AH803" i="4" s="1"/>
  <c r="AP206" i="3"/>
  <c r="AH791" i="4" s="1"/>
  <c r="AP184" i="3"/>
  <c r="AH804" i="4" s="1"/>
  <c r="AG210" i="4"/>
  <c r="AG180" i="4"/>
  <c r="AW6" i="1"/>
  <c r="AO288" i="4" s="1"/>
  <c r="AH484" i="4"/>
  <c r="K70" i="10"/>
  <c r="J709" i="4" s="1"/>
  <c r="K73" i="10"/>
  <c r="K73" i="12" s="1"/>
  <c r="AG192" i="4"/>
  <c r="AI580" i="4"/>
  <c r="AI58" i="4"/>
  <c r="K70" i="12"/>
  <c r="AG12" i="4"/>
  <c r="AQ182" i="3"/>
  <c r="AI802" i="4" s="1"/>
  <c r="AQ245" i="3"/>
  <c r="AR176" i="3"/>
  <c r="AJ785" i="4" s="1"/>
  <c r="AR244" i="3"/>
  <c r="AR247" i="3" s="1"/>
  <c r="AQ177" i="3"/>
  <c r="AI786" i="4" s="1"/>
  <c r="AQ196" i="3"/>
  <c r="AQ197" i="3" s="1"/>
  <c r="AI212" i="4" s="1"/>
  <c r="AQ178" i="3"/>
  <c r="AI787" i="4" s="1"/>
  <c r="AU224" i="3"/>
  <c r="AM218" i="4" s="1"/>
  <c r="AK203" i="4"/>
  <c r="AT189" i="3"/>
  <c r="AT191" i="3" s="1"/>
  <c r="AL205" i="4" s="1"/>
  <c r="AG507" i="4"/>
  <c r="AG23" i="4"/>
  <c r="AO85" i="3"/>
  <c r="AO56" i="3" s="1"/>
  <c r="AH18" i="4"/>
  <c r="AH502" i="4"/>
  <c r="AI501" i="4"/>
  <c r="AI17" i="4"/>
  <c r="AR22" i="2"/>
  <c r="AQ23" i="2"/>
  <c r="Y72" i="4"/>
  <c r="Y600" i="4"/>
  <c r="AQ151" i="1"/>
  <c r="AI378" i="4" s="1"/>
  <c r="AH587" i="4"/>
  <c r="AF508" i="4"/>
  <c r="AF24" i="4"/>
  <c r="T436" i="4"/>
  <c r="AB211" i="1"/>
  <c r="AT142" i="1"/>
  <c r="AK369" i="4"/>
  <c r="AU123" i="1"/>
  <c r="AM350" i="4" s="1"/>
  <c r="AL350" i="4"/>
  <c r="AG349" i="4"/>
  <c r="AP122" i="1"/>
  <c r="AT124" i="1"/>
  <c r="AK351" i="4"/>
  <c r="AU140" i="1"/>
  <c r="AM367" i="4" s="1"/>
  <c r="AL367" i="4"/>
  <c r="AK352" i="4"/>
  <c r="AS66" i="1"/>
  <c r="AS69" i="1" s="1"/>
  <c r="AS64" i="1" s="1"/>
  <c r="AS258" i="1" s="1"/>
  <c r="AK480" i="4" s="1"/>
  <c r="AJ328" i="4"/>
  <c r="AT141" i="1"/>
  <c r="AK368" i="4"/>
  <c r="AT161" i="3"/>
  <c r="AK188" i="4"/>
  <c r="AT235" i="3"/>
  <c r="AT237" i="3"/>
  <c r="AM187" i="4"/>
  <c r="AU234" i="3"/>
  <c r="AK93" i="4"/>
  <c r="AK627" i="4"/>
  <c r="AL625" i="4"/>
  <c r="AL91" i="4"/>
  <c r="AU145" i="2"/>
  <c r="AL626" i="4"/>
  <c r="AL92" i="4"/>
  <c r="AP165" i="3"/>
  <c r="L73" i="10" s="1"/>
  <c r="L73" i="12" s="1"/>
  <c r="K221" i="4"/>
  <c r="T7" i="6"/>
  <c r="S224" i="4" s="1"/>
  <c r="AH288" i="4"/>
  <c r="AS153" i="2"/>
  <c r="AS154" i="2" s="1"/>
  <c r="AK86" i="4"/>
  <c r="AK618" i="4"/>
  <c r="AJ633" i="4"/>
  <c r="AJ97" i="4"/>
  <c r="AJ620" i="4"/>
  <c r="AJ88" i="4"/>
  <c r="AT139" i="2"/>
  <c r="AT138" i="2" s="1"/>
  <c r="AK87" i="4"/>
  <c r="AK619" i="4"/>
  <c r="AI596" i="4"/>
  <c r="AI70" i="4"/>
  <c r="AJ594" i="4"/>
  <c r="AJ68" i="4"/>
  <c r="AS115" i="2"/>
  <c r="AS114" i="2" s="1"/>
  <c r="AJ595" i="4"/>
  <c r="AJ69" i="4"/>
  <c r="AH572" i="4"/>
  <c r="AH52" i="4"/>
  <c r="AO80" i="2"/>
  <c r="AG559" i="4" s="1"/>
  <c r="AG558" i="4"/>
  <c r="AH492" i="4"/>
  <c r="AH8" i="4"/>
  <c r="AH7" i="4"/>
  <c r="AH491" i="4"/>
  <c r="AQ37" i="3"/>
  <c r="AP32" i="3"/>
  <c r="AS92" i="2"/>
  <c r="AJ571" i="4"/>
  <c r="AJ51" i="4"/>
  <c r="AH36" i="4"/>
  <c r="AH531" i="4"/>
  <c r="L77" i="10"/>
  <c r="AG117" i="4"/>
  <c r="AO41" i="3"/>
  <c r="AO42" i="3" s="1"/>
  <c r="AO51" i="3"/>
  <c r="AI570" i="4"/>
  <c r="AI50" i="4"/>
  <c r="AQ11" i="2"/>
  <c r="AQ16" i="2" s="1"/>
  <c r="AQ93" i="2"/>
  <c r="AR91" i="2"/>
  <c r="K79" i="10"/>
  <c r="K86" i="10"/>
  <c r="K78" i="10"/>
  <c r="P640" i="4"/>
  <c r="Q19" i="10"/>
  <c r="P657" i="4" s="1"/>
  <c r="Q19" i="12"/>
  <c r="P729" i="4" s="1"/>
  <c r="P712" i="4"/>
  <c r="AG345" i="4"/>
  <c r="AI377" i="4"/>
  <c r="AO125" i="3"/>
  <c r="AR248" i="1"/>
  <c r="AJ470" i="4" s="1"/>
  <c r="AJ469" i="4"/>
  <c r="AS197" i="1"/>
  <c r="AK424" i="4" s="1"/>
  <c r="AK413" i="4"/>
  <c r="O10" i="6"/>
  <c r="N227" i="4" s="1"/>
  <c r="AU117" i="1"/>
  <c r="AM344" i="4" s="1"/>
  <c r="AL344" i="4"/>
  <c r="AG404" i="4"/>
  <c r="AP234" i="1"/>
  <c r="L70" i="12" s="1"/>
  <c r="AP118" i="1"/>
  <c r="AH345" i="4" s="1"/>
  <c r="AP7" i="1"/>
  <c r="AH289" i="4" s="1"/>
  <c r="AS121" i="2"/>
  <c r="AK73" i="4" s="1"/>
  <c r="AP239" i="3"/>
  <c r="AP240" i="3" s="1"/>
  <c r="L5" i="6"/>
  <c r="AP153" i="3"/>
  <c r="AP154" i="3" s="1"/>
  <c r="AH181" i="4" s="1"/>
  <c r="AP193" i="3"/>
  <c r="AP194" i="3" s="1"/>
  <c r="AP229" i="3"/>
  <c r="AP230" i="3" s="1"/>
  <c r="AH103" i="4"/>
  <c r="AP143" i="3"/>
  <c r="AH170" i="4" s="1"/>
  <c r="AP132" i="3"/>
  <c r="AH159" i="4" s="1"/>
  <c r="AP79" i="3"/>
  <c r="AP80" i="3" s="1"/>
  <c r="AO178" i="1"/>
  <c r="AG405" i="4" s="1"/>
  <c r="AP119" i="1"/>
  <c r="AH346" i="4" s="1"/>
  <c r="AI610" i="4"/>
  <c r="AI79" i="4"/>
  <c r="AJ603" i="4"/>
  <c r="AJ75" i="4"/>
  <c r="AH611" i="4"/>
  <c r="AH80" i="4"/>
  <c r="AK602" i="4"/>
  <c r="AK74" i="4"/>
  <c r="AF514" i="4"/>
  <c r="AF30" i="4"/>
  <c r="AG39" i="2"/>
  <c r="Y517" i="4"/>
  <c r="Y32" i="4"/>
  <c r="AG47" i="2"/>
  <c r="Y526" i="4" s="1"/>
  <c r="Y521" i="4"/>
  <c r="AN39" i="2"/>
  <c r="AF517" i="4"/>
  <c r="AF32" i="4"/>
  <c r="AK578" i="4"/>
  <c r="AK56" i="4"/>
  <c r="Y148" i="4"/>
  <c r="AG124" i="3"/>
  <c r="Y150" i="4" s="1"/>
  <c r="AG123" i="3"/>
  <c r="Y149" i="4" s="1"/>
  <c r="AI586" i="4"/>
  <c r="AI61" i="4"/>
  <c r="AQ107" i="2"/>
  <c r="AQ108" i="2"/>
  <c r="AI588" i="4" s="1"/>
  <c r="AN215" i="3"/>
  <c r="AN219" i="3"/>
  <c r="AN220" i="3" s="1"/>
  <c r="AN253" i="3"/>
  <c r="AN217" i="3"/>
  <c r="AN15" i="3"/>
  <c r="AF114" i="4" s="1"/>
  <c r="AF113" i="4"/>
  <c r="X528" i="4"/>
  <c r="X34" i="4"/>
  <c r="Y515" i="4"/>
  <c r="Y31" i="4"/>
  <c r="AQ104" i="2"/>
  <c r="AI583" i="4" s="1"/>
  <c r="AI483" i="4"/>
  <c r="AI3" i="4"/>
  <c r="AQ5" i="3"/>
  <c r="M4" i="6"/>
  <c r="AQ6" i="1"/>
  <c r="AQ103" i="2"/>
  <c r="AI582" i="4" s="1"/>
  <c r="AQ150" i="2"/>
  <c r="AI630" i="4" s="1"/>
  <c r="AQ127" i="2"/>
  <c r="AI607" i="4" s="1"/>
  <c r="AQ7" i="2"/>
  <c r="AI486" i="4" s="1"/>
  <c r="AQ126" i="2"/>
  <c r="AI606" i="4" s="1"/>
  <c r="AQ5" i="2"/>
  <c r="AQ151" i="2"/>
  <c r="AI631" i="4" s="1"/>
  <c r="AN19" i="3"/>
  <c r="AF138" i="4" s="1"/>
  <c r="AF137" i="4"/>
  <c r="Y514" i="4"/>
  <c r="Y30" i="4"/>
  <c r="W528" i="4"/>
  <c r="W34" i="4"/>
  <c r="AH495" i="4"/>
  <c r="AH11" i="4"/>
  <c r="L81" i="10"/>
  <c r="L82" i="10" s="1"/>
  <c r="AG121" i="4"/>
  <c r="AO93" i="3"/>
  <c r="AN100" i="3"/>
  <c r="AN99" i="3"/>
  <c r="AN98" i="3"/>
  <c r="AG256" i="3"/>
  <c r="AG257" i="3"/>
  <c r="AG255" i="3"/>
  <c r="AG254" i="3"/>
  <c r="Y547" i="4"/>
  <c r="Y41" i="4"/>
  <c r="AO73" i="3"/>
  <c r="AO67" i="3"/>
  <c r="X518" i="4"/>
  <c r="X33" i="4"/>
  <c r="AJ577" i="4"/>
  <c r="AJ55" i="4"/>
  <c r="AR100" i="2"/>
  <c r="AR4" i="2"/>
  <c r="AS98" i="2"/>
  <c r="AN122" i="3"/>
  <c r="AF147" i="4"/>
  <c r="I714" i="4"/>
  <c r="J69" i="12"/>
  <c r="K4" i="12"/>
  <c r="AN69" i="3"/>
  <c r="AO58" i="3"/>
  <c r="AN75" i="3"/>
  <c r="AG221" i="3"/>
  <c r="AG220" i="3"/>
  <c r="I642" i="4"/>
  <c r="K4" i="10"/>
  <c r="J90" i="10"/>
  <c r="J72" i="10"/>
  <c r="J69" i="10"/>
  <c r="J3" i="10"/>
  <c r="I641" i="4" s="1"/>
  <c r="AI579" i="4"/>
  <c r="AI57" i="4"/>
  <c r="AF197" i="4"/>
  <c r="AN199" i="3"/>
  <c r="AF214" i="4" s="1"/>
  <c r="AN172" i="3"/>
  <c r="AF199" i="4" s="1"/>
  <c r="AN171" i="3"/>
  <c r="AF198" i="4" s="1"/>
  <c r="AF118" i="4"/>
  <c r="AN34" i="3"/>
  <c r="AF119" i="4" s="1"/>
  <c r="AS151" i="3"/>
  <c r="AK178" i="4" s="1"/>
  <c r="AS17" i="1"/>
  <c r="AK299" i="4" s="1"/>
  <c r="AT147" i="2"/>
  <c r="AQ131" i="2"/>
  <c r="AQ132" i="2"/>
  <c r="AI612" i="4" s="1"/>
  <c r="AP83" i="2"/>
  <c r="AH562" i="4" s="1"/>
  <c r="AP79" i="2"/>
  <c r="AP78" i="2"/>
  <c r="AH557" i="4" s="1"/>
  <c r="AQ76" i="2"/>
  <c r="AI555" i="4" s="1"/>
  <c r="AR155" i="2"/>
  <c r="AJ635" i="4" s="1"/>
  <c r="AR154" i="2"/>
  <c r="AP53" i="2"/>
  <c r="AH532" i="4" s="1"/>
  <c r="AW52" i="2"/>
  <c r="AP54" i="2"/>
  <c r="AH533" i="4" s="1"/>
  <c r="AG69" i="2"/>
  <c r="AG72" i="2"/>
  <c r="AR116" i="2"/>
  <c r="AR11" i="2"/>
  <c r="AR118" i="2" s="1"/>
  <c r="AJ598" i="4" s="1"/>
  <c r="AR130" i="2"/>
  <c r="AG44" i="2"/>
  <c r="Y523" i="4" s="1"/>
  <c r="AN42" i="2"/>
  <c r="AF521" i="4" s="1"/>
  <c r="AO31" i="2"/>
  <c r="AO29" i="2"/>
  <c r="AP28" i="2"/>
  <c r="AP17" i="2"/>
  <c r="AW16" i="2"/>
  <c r="AS140" i="2"/>
  <c r="AR63" i="1"/>
  <c r="AR32" i="1"/>
  <c r="AJ314" i="4" s="1"/>
  <c r="AT134" i="1"/>
  <c r="AL361" i="4" s="1"/>
  <c r="AS225" i="1"/>
  <c r="AK444" i="4" s="1"/>
  <c r="AT235" i="1"/>
  <c r="AL454" i="4" s="1"/>
  <c r="AU233" i="1"/>
  <c r="AM452" i="4" s="1"/>
  <c r="AT215" i="1"/>
  <c r="AL782" i="4" s="1"/>
  <c r="AT186" i="1"/>
  <c r="AQ53" i="1"/>
  <c r="AI333" i="4" s="1"/>
  <c r="AT240" i="1"/>
  <c r="AL459" i="4" s="1"/>
  <c r="AU241" i="1"/>
  <c r="AR47" i="1"/>
  <c r="AS171" i="1"/>
  <c r="AK398" i="4" s="1"/>
  <c r="AS247" i="1"/>
  <c r="AS56" i="1"/>
  <c r="AK336" i="4" s="1"/>
  <c r="AS176" i="3" l="1"/>
  <c r="AK785" i="4" s="1"/>
  <c r="AS244" i="3"/>
  <c r="AT148" i="3"/>
  <c r="AL175" i="4" s="1"/>
  <c r="AP207" i="3"/>
  <c r="K222" i="4"/>
  <c r="L5" i="10"/>
  <c r="K72" i="12"/>
  <c r="K11" i="12" s="1"/>
  <c r="J721" i="4" s="1"/>
  <c r="AS123" i="2"/>
  <c r="AK603" i="4" s="1"/>
  <c r="AJ580" i="4"/>
  <c r="AJ58" i="4"/>
  <c r="AQ119" i="1"/>
  <c r="AI346" i="4" s="1"/>
  <c r="AR178" i="3"/>
  <c r="AJ787" i="4" s="1"/>
  <c r="AR177" i="3"/>
  <c r="AJ786" i="4" s="1"/>
  <c r="AR196" i="3"/>
  <c r="AR197" i="3" s="1"/>
  <c r="AJ212" i="4" s="1"/>
  <c r="AI211" i="4"/>
  <c r="AQ206" i="3"/>
  <c r="AQ207" i="3" s="1"/>
  <c r="AQ183" i="3"/>
  <c r="AI803" i="4" s="1"/>
  <c r="AQ184" i="3"/>
  <c r="AI804" i="4" s="1"/>
  <c r="AU225" i="3"/>
  <c r="AR182" i="3"/>
  <c r="AJ802" i="4" s="1"/>
  <c r="AR245" i="3"/>
  <c r="AU227" i="3"/>
  <c r="AL203" i="4"/>
  <c r="AU189" i="3"/>
  <c r="AR151" i="1"/>
  <c r="AJ378" i="4" s="1"/>
  <c r="AH507" i="4"/>
  <c r="AH23" i="4"/>
  <c r="AP85" i="3"/>
  <c r="AP56" i="3" s="1"/>
  <c r="AJ501" i="4"/>
  <c r="AJ17" i="4"/>
  <c r="AR23" i="2"/>
  <c r="AS22" i="2"/>
  <c r="AG26" i="4"/>
  <c r="AG510" i="4"/>
  <c r="AG508" i="4"/>
  <c r="AG24" i="4"/>
  <c r="AO74" i="3"/>
  <c r="AO68" i="3"/>
  <c r="AI18" i="4"/>
  <c r="AI502" i="4"/>
  <c r="AP166" i="3"/>
  <c r="AH193" i="4" s="1"/>
  <c r="AG49" i="2"/>
  <c r="Y34" i="4" s="1"/>
  <c r="AH192" i="4"/>
  <c r="AS130" i="2"/>
  <c r="AK610" i="4" s="1"/>
  <c r="L5" i="12"/>
  <c r="K715" i="4" s="1"/>
  <c r="AG48" i="2"/>
  <c r="Y527" i="4" s="1"/>
  <c r="AU240" i="1"/>
  <c r="AM459" i="4" s="1"/>
  <c r="AM460" i="4"/>
  <c r="L70" i="10"/>
  <c r="K709" i="4" s="1"/>
  <c r="AC209" i="1"/>
  <c r="U436" i="4" s="1"/>
  <c r="T438" i="4"/>
  <c r="AU124" i="1"/>
  <c r="AM351" i="4" s="1"/>
  <c r="AL351" i="4"/>
  <c r="AQ122" i="1"/>
  <c r="AH349" i="4"/>
  <c r="AM352" i="4"/>
  <c r="AL352" i="4"/>
  <c r="AU142" i="1"/>
  <c r="AM369" i="4" s="1"/>
  <c r="AL369" i="4"/>
  <c r="AS48" i="1"/>
  <c r="AT66" i="1" s="1"/>
  <c r="AT69" i="1" s="1"/>
  <c r="AJ327" i="4"/>
  <c r="AL368" i="4"/>
  <c r="AU141" i="1"/>
  <c r="AM368" i="4" s="1"/>
  <c r="AU161" i="3"/>
  <c r="AM188" i="4" s="1"/>
  <c r="AL188" i="4"/>
  <c r="AU235" i="3"/>
  <c r="AU237" i="3"/>
  <c r="AL93" i="4"/>
  <c r="AL627" i="4"/>
  <c r="AM91" i="4"/>
  <c r="AM625" i="4"/>
  <c r="AM626" i="4"/>
  <c r="AM92" i="4"/>
  <c r="AK601" i="4"/>
  <c r="AT153" i="2"/>
  <c r="AT154" i="2" s="1"/>
  <c r="AL86" i="4"/>
  <c r="AL618" i="4"/>
  <c r="AK634" i="4"/>
  <c r="AK98" i="4"/>
  <c r="AK633" i="4"/>
  <c r="AK97" i="4"/>
  <c r="AS155" i="2"/>
  <c r="AK635" i="4" s="1"/>
  <c r="AU139" i="2"/>
  <c r="AL87" i="4"/>
  <c r="AL619" i="4"/>
  <c r="AK620" i="4"/>
  <c r="AK88" i="4"/>
  <c r="AJ634" i="4"/>
  <c r="AJ98" i="4"/>
  <c r="AK594" i="4"/>
  <c r="AK68" i="4"/>
  <c r="AJ70" i="4"/>
  <c r="AJ596" i="4"/>
  <c r="AT115" i="2"/>
  <c r="AT114" i="2" s="1"/>
  <c r="AK595" i="4"/>
  <c r="AK69" i="4"/>
  <c r="AJ490" i="4"/>
  <c r="AJ6" i="4"/>
  <c r="AP80" i="2"/>
  <c r="AH559" i="4" s="1"/>
  <c r="AH558" i="4"/>
  <c r="AJ570" i="4"/>
  <c r="AJ50" i="4"/>
  <c r="AS91" i="2"/>
  <c r="AS11" i="2" s="1"/>
  <c r="AR106" i="2"/>
  <c r="AR93" i="2"/>
  <c r="L79" i="10"/>
  <c r="L86" i="10"/>
  <c r="L78" i="10"/>
  <c r="AI52" i="4"/>
  <c r="AI572" i="4"/>
  <c r="AT92" i="2"/>
  <c r="AK571" i="4"/>
  <c r="AK51" i="4"/>
  <c r="K88" i="10"/>
  <c r="K87" i="10"/>
  <c r="AQ142" i="2"/>
  <c r="AI622" i="4" s="1"/>
  <c r="AI490" i="4"/>
  <c r="AI6" i="4"/>
  <c r="AQ118" i="2"/>
  <c r="AI598" i="4" s="1"/>
  <c r="AQ12" i="2"/>
  <c r="AQ52" i="2"/>
  <c r="AQ96" i="2"/>
  <c r="AI575" i="4" s="1"/>
  <c r="AQ119" i="2"/>
  <c r="AI599" i="4" s="1"/>
  <c r="AQ143" i="2"/>
  <c r="AI623" i="4" s="1"/>
  <c r="AQ13" i="2"/>
  <c r="AQ95" i="2"/>
  <c r="AI574" i="4" s="1"/>
  <c r="AH117" i="4"/>
  <c r="AP41" i="3"/>
  <c r="AP42" i="3" s="1"/>
  <c r="AP51" i="3"/>
  <c r="AR119" i="2"/>
  <c r="AJ599" i="4" s="1"/>
  <c r="AR37" i="3"/>
  <c r="AQ32" i="3"/>
  <c r="AJ377" i="4"/>
  <c r="AQ118" i="1"/>
  <c r="AI345" i="4" s="1"/>
  <c r="AP177" i="1"/>
  <c r="AH404" i="4" s="1"/>
  <c r="AS248" i="1"/>
  <c r="AK470" i="4" s="1"/>
  <c r="AK469" i="4"/>
  <c r="AT197" i="1"/>
  <c r="AL424" i="4" s="1"/>
  <c r="AL413" i="4"/>
  <c r="P10" i="6"/>
  <c r="O227" i="4" s="1"/>
  <c r="AH453" i="4"/>
  <c r="K643" i="4"/>
  <c r="AP133" i="3"/>
  <c r="AH160" i="4" s="1"/>
  <c r="AH210" i="4"/>
  <c r="AT121" i="2"/>
  <c r="AL601" i="4" s="1"/>
  <c r="AH180" i="4"/>
  <c r="AP144" i="3"/>
  <c r="AH171" i="4" s="1"/>
  <c r="AP178" i="1"/>
  <c r="AH405" i="4" s="1"/>
  <c r="AP92" i="3"/>
  <c r="AH121" i="4" s="1"/>
  <c r="AP55" i="3"/>
  <c r="AP67" i="3" s="1"/>
  <c r="AH122" i="4"/>
  <c r="AK75" i="4"/>
  <c r="AJ610" i="4"/>
  <c r="AJ79" i="4"/>
  <c r="AL74" i="4"/>
  <c r="AL602" i="4"/>
  <c r="AI611" i="4"/>
  <c r="AI80" i="4"/>
  <c r="AG128" i="4"/>
  <c r="AO59" i="3"/>
  <c r="AO62" i="3"/>
  <c r="AG132" i="4" s="1"/>
  <c r="AO76" i="3"/>
  <c r="AO9" i="3"/>
  <c r="AO70" i="3"/>
  <c r="AH496" i="4"/>
  <c r="AH12" i="4"/>
  <c r="Y551" i="4"/>
  <c r="Y44" i="4"/>
  <c r="J94" i="10"/>
  <c r="J91" i="10"/>
  <c r="AN123" i="3"/>
  <c r="AF149" i="4" s="1"/>
  <c r="AF148" i="4"/>
  <c r="AF518" i="4"/>
  <c r="AF33" i="4"/>
  <c r="J10" i="12"/>
  <c r="I720" i="4" s="1"/>
  <c r="I780" i="4"/>
  <c r="AI495" i="4"/>
  <c r="AI11" i="4"/>
  <c r="M81" i="10"/>
  <c r="M82" i="10" s="1"/>
  <c r="Y518" i="4"/>
  <c r="Y33" i="4"/>
  <c r="Y548" i="4"/>
  <c r="Y42" i="4"/>
  <c r="AO69" i="3"/>
  <c r="AO75" i="3"/>
  <c r="AK577" i="4"/>
  <c r="AK55" i="4"/>
  <c r="AT98" i="2"/>
  <c r="AS100" i="2"/>
  <c r="AS4" i="2"/>
  <c r="AI288" i="4"/>
  <c r="AQ234" i="1"/>
  <c r="AQ7" i="1"/>
  <c r="AI289" i="4" s="1"/>
  <c r="J10" i="10"/>
  <c r="I648" i="4" s="1"/>
  <c r="I708" i="4"/>
  <c r="J642" i="4"/>
  <c r="K69" i="10"/>
  <c r="K72" i="10"/>
  <c r="K3" i="10"/>
  <c r="J641" i="4" s="1"/>
  <c r="K90" i="10"/>
  <c r="AJ483" i="4"/>
  <c r="AJ3" i="4"/>
  <c r="AR5" i="3"/>
  <c r="N4" i="6"/>
  <c r="AR6" i="1"/>
  <c r="AR5" i="2"/>
  <c r="AR104" i="2"/>
  <c r="AJ583" i="4" s="1"/>
  <c r="AR150" i="2"/>
  <c r="AJ630" i="4" s="1"/>
  <c r="AR151" i="2"/>
  <c r="AJ631" i="4" s="1"/>
  <c r="AR103" i="2"/>
  <c r="AJ582" i="4" s="1"/>
  <c r="AR127" i="2"/>
  <c r="AJ607" i="4" s="1"/>
  <c r="AR7" i="2"/>
  <c r="AJ486" i="4" s="1"/>
  <c r="AR126" i="2"/>
  <c r="AJ606" i="4" s="1"/>
  <c r="AQ17" i="2"/>
  <c r="M5" i="6"/>
  <c r="M5" i="10" s="1"/>
  <c r="L221" i="4"/>
  <c r="M3" i="6"/>
  <c r="L220" i="4" s="1"/>
  <c r="J11" i="10"/>
  <c r="I649" i="4" s="1"/>
  <c r="I711" i="4"/>
  <c r="J714" i="4"/>
  <c r="K69" i="12"/>
  <c r="AJ579" i="4"/>
  <c r="AJ57" i="4"/>
  <c r="AI484" i="4"/>
  <c r="AI4" i="4"/>
  <c r="AI103" i="4"/>
  <c r="AQ79" i="3"/>
  <c r="AQ193" i="3"/>
  <c r="AQ165" i="3"/>
  <c r="AQ143" i="3"/>
  <c r="AQ239" i="3"/>
  <c r="AQ240" i="3" s="1"/>
  <c r="AQ132" i="3"/>
  <c r="AQ229" i="3"/>
  <c r="AQ230" i="3" s="1"/>
  <c r="AQ153" i="3"/>
  <c r="AQ249" i="3"/>
  <c r="AQ250" i="3" s="1"/>
  <c r="AN254" i="3"/>
  <c r="AN255" i="3"/>
  <c r="AI587" i="4"/>
  <c r="AI62" i="4"/>
  <c r="AL578" i="4"/>
  <c r="AL56" i="4"/>
  <c r="AS247" i="3"/>
  <c r="AS245" i="3"/>
  <c r="AS182" i="3"/>
  <c r="AK802" i="4" s="1"/>
  <c r="AT17" i="1"/>
  <c r="AL299" i="4" s="1"/>
  <c r="AO32" i="2"/>
  <c r="AO34" i="2"/>
  <c r="AG73" i="2"/>
  <c r="AG85" i="2"/>
  <c r="AR52" i="2"/>
  <c r="AR13" i="2"/>
  <c r="AR12" i="2"/>
  <c r="AR16" i="2"/>
  <c r="AR143" i="2"/>
  <c r="AJ623" i="4" s="1"/>
  <c r="AR96" i="2"/>
  <c r="AJ575" i="4" s="1"/>
  <c r="AR142" i="2"/>
  <c r="AJ622" i="4" s="1"/>
  <c r="AR95" i="2"/>
  <c r="AJ574" i="4" s="1"/>
  <c r="AK377" i="4"/>
  <c r="AN43" i="2"/>
  <c r="AN44" i="2"/>
  <c r="AF523" i="4" s="1"/>
  <c r="AN47" i="2"/>
  <c r="AF526" i="4" s="1"/>
  <c r="AQ178" i="1"/>
  <c r="AI405" i="4" s="1"/>
  <c r="AP31" i="2"/>
  <c r="AQ28" i="2"/>
  <c r="AW28" i="2"/>
  <c r="AP29" i="2"/>
  <c r="AR132" i="2"/>
  <c r="AJ612" i="4" s="1"/>
  <c r="AR131" i="2"/>
  <c r="AS116" i="2"/>
  <c r="AQ83" i="2"/>
  <c r="AI562" i="4" s="1"/>
  <c r="AQ78" i="2"/>
  <c r="AI557" i="4" s="1"/>
  <c r="AR76" i="2"/>
  <c r="AJ555" i="4" s="1"/>
  <c r="AQ79" i="2"/>
  <c r="AT140" i="2"/>
  <c r="AS131" i="2"/>
  <c r="AU147" i="2"/>
  <c r="AR53" i="1"/>
  <c r="AJ333" i="4" s="1"/>
  <c r="AS63" i="1"/>
  <c r="AU247" i="1"/>
  <c r="AU171" i="1"/>
  <c r="AM398" i="4" s="1"/>
  <c r="AU56" i="1"/>
  <c r="AM336" i="4" s="1"/>
  <c r="AS32" i="1"/>
  <c r="AK314" i="4" s="1"/>
  <c r="AT247" i="1"/>
  <c r="AT171" i="1"/>
  <c r="AL398" i="4" s="1"/>
  <c r="AT56" i="1"/>
  <c r="AL336" i="4" s="1"/>
  <c r="AU134" i="1"/>
  <c r="AM361" i="4" s="1"/>
  <c r="AT225" i="1"/>
  <c r="AL444" i="4" s="1"/>
  <c r="AU235" i="1"/>
  <c r="AM454" i="4" s="1"/>
  <c r="AU215" i="1"/>
  <c r="AM782" i="4" s="1"/>
  <c r="AU186" i="1"/>
  <c r="AS178" i="3" l="1"/>
  <c r="AK787" i="4" s="1"/>
  <c r="AS196" i="3"/>
  <c r="AK211" i="4" s="1"/>
  <c r="AS177" i="3"/>
  <c r="AK786" i="4" s="1"/>
  <c r="AH792" i="4"/>
  <c r="AP1" i="3"/>
  <c r="AM203" i="4"/>
  <c r="AU191" i="3"/>
  <c r="AM205" i="4" s="1"/>
  <c r="AI792" i="4"/>
  <c r="AQ1" i="3"/>
  <c r="AT176" i="3"/>
  <c r="AL785" i="4" s="1"/>
  <c r="AU148" i="3"/>
  <c r="AM175" i="4" s="1"/>
  <c r="AT151" i="3"/>
  <c r="AL178" i="4" s="1"/>
  <c r="AT244" i="3"/>
  <c r="AP125" i="3"/>
  <c r="AT123" i="2"/>
  <c r="AK580" i="4"/>
  <c r="AK58" i="4"/>
  <c r="AS151" i="1"/>
  <c r="AT151" i="1" s="1"/>
  <c r="AU151" i="1" s="1"/>
  <c r="AR119" i="1"/>
  <c r="AJ346" i="4" s="1"/>
  <c r="AG576" i="4"/>
  <c r="AG54" i="4"/>
  <c r="AJ211" i="4"/>
  <c r="AI791" i="4"/>
  <c r="AR183" i="3"/>
  <c r="AJ803" i="4" s="1"/>
  <c r="AR184" i="3"/>
  <c r="AJ804" i="4" s="1"/>
  <c r="AR206" i="3"/>
  <c r="AR207" i="3" s="1"/>
  <c r="AG511" i="4"/>
  <c r="AG27" i="4"/>
  <c r="AH26" i="4"/>
  <c r="AH510" i="4"/>
  <c r="AH24" i="4"/>
  <c r="AH508" i="4"/>
  <c r="AI23" i="4"/>
  <c r="AI507" i="4"/>
  <c r="AQ85" i="3"/>
  <c r="AQ56" i="3" s="1"/>
  <c r="AK501" i="4"/>
  <c r="AK17" i="4"/>
  <c r="AT22" i="2"/>
  <c r="AS23" i="2"/>
  <c r="AP74" i="3"/>
  <c r="AP68" i="3"/>
  <c r="AJ502" i="4"/>
  <c r="AJ18" i="4"/>
  <c r="Y528" i="4"/>
  <c r="AS132" i="2"/>
  <c r="AK612" i="4" s="1"/>
  <c r="AK79" i="4"/>
  <c r="L4" i="12"/>
  <c r="L69" i="12" s="1"/>
  <c r="AS47" i="1"/>
  <c r="AK327" i="4" s="1"/>
  <c r="AQ177" i="1"/>
  <c r="AI404" i="4" s="1"/>
  <c r="AI349" i="4"/>
  <c r="AR122" i="1"/>
  <c r="AT48" i="1"/>
  <c r="AU66" i="1" s="1"/>
  <c r="AU69" i="1" s="1"/>
  <c r="AT64" i="1"/>
  <c r="AT258" i="1" s="1"/>
  <c r="AL480" i="4" s="1"/>
  <c r="AK328" i="4"/>
  <c r="AL328" i="4"/>
  <c r="AM93" i="4"/>
  <c r="AM627" i="4"/>
  <c r="L4" i="10"/>
  <c r="L3" i="10" s="1"/>
  <c r="K641" i="4" s="1"/>
  <c r="AL88" i="4"/>
  <c r="AL620" i="4"/>
  <c r="AL634" i="4"/>
  <c r="AL98" i="4"/>
  <c r="AM619" i="4"/>
  <c r="AM87" i="4"/>
  <c r="AL97" i="4"/>
  <c r="AL633" i="4"/>
  <c r="AU138" i="2"/>
  <c r="AT155" i="2"/>
  <c r="AL635" i="4" s="1"/>
  <c r="AL68" i="4"/>
  <c r="AL594" i="4"/>
  <c r="AK70" i="4"/>
  <c r="AK596" i="4"/>
  <c r="AU115" i="2"/>
  <c r="AU114" i="2" s="1"/>
  <c r="AL595" i="4"/>
  <c r="AL69" i="4"/>
  <c r="AS52" i="2"/>
  <c r="O77" i="10" s="1"/>
  <c r="AS118" i="2"/>
  <c r="AK598" i="4" s="1"/>
  <c r="AS143" i="2"/>
  <c r="AK623" i="4" s="1"/>
  <c r="AS13" i="2"/>
  <c r="AK492" i="4" s="1"/>
  <c r="AS119" i="2"/>
  <c r="AK599" i="4" s="1"/>
  <c r="AS95" i="2"/>
  <c r="AK574" i="4" s="1"/>
  <c r="AS106" i="2"/>
  <c r="AS108" i="2" s="1"/>
  <c r="AK588" i="4" s="1"/>
  <c r="AI117" i="4"/>
  <c r="AQ41" i="3"/>
  <c r="AQ42" i="3" s="1"/>
  <c r="AQ51" i="3"/>
  <c r="AI491" i="4"/>
  <c r="AI7" i="4"/>
  <c r="AJ491" i="4"/>
  <c r="AJ7" i="4"/>
  <c r="AS142" i="2"/>
  <c r="AK622" i="4" s="1"/>
  <c r="AS12" i="2"/>
  <c r="AS37" i="3"/>
  <c r="AR32" i="3"/>
  <c r="AU92" i="2"/>
  <c r="AL51" i="4"/>
  <c r="AL571" i="4"/>
  <c r="L88" i="10"/>
  <c r="L87" i="10"/>
  <c r="AK50" i="4"/>
  <c r="AK570" i="4"/>
  <c r="AS93" i="2"/>
  <c r="AT91" i="2"/>
  <c r="AT11" i="2" s="1"/>
  <c r="AT118" i="2" s="1"/>
  <c r="AL598" i="4" s="1"/>
  <c r="AJ586" i="4"/>
  <c r="AR107" i="2"/>
  <c r="AJ61" i="4"/>
  <c r="AR108" i="2"/>
  <c r="AJ588" i="4" s="1"/>
  <c r="AQ80" i="2"/>
  <c r="AI559" i="4" s="1"/>
  <c r="AI558" i="4"/>
  <c r="AJ492" i="4"/>
  <c r="AJ8" i="4"/>
  <c r="AS96" i="2"/>
  <c r="AK575" i="4" s="1"/>
  <c r="AJ531" i="4"/>
  <c r="AJ36" i="4"/>
  <c r="N77" i="10"/>
  <c r="AK8" i="4"/>
  <c r="AS16" i="2"/>
  <c r="O81" i="10" s="1"/>
  <c r="AI492" i="4"/>
  <c r="AI8" i="4"/>
  <c r="AI531" i="4"/>
  <c r="AI36" i="4"/>
  <c r="M77" i="10"/>
  <c r="AQ53" i="2"/>
  <c r="AI532" i="4" s="1"/>
  <c r="AQ54" i="2"/>
  <c r="AI533" i="4" s="1"/>
  <c r="AJ52" i="4"/>
  <c r="AJ572" i="4"/>
  <c r="AK6" i="4"/>
  <c r="AK490" i="4"/>
  <c r="AT248" i="1"/>
  <c r="AL470" i="4" s="1"/>
  <c r="AL469" i="4"/>
  <c r="AU248" i="1"/>
  <c r="AM470" i="4" s="1"/>
  <c r="AM469" i="4"/>
  <c r="AU197" i="1"/>
  <c r="AM424" i="4" s="1"/>
  <c r="AM413" i="4"/>
  <c r="Q10" i="6"/>
  <c r="P227" i="4" s="1"/>
  <c r="AL73" i="4"/>
  <c r="AT130" i="2"/>
  <c r="AL79" i="4" s="1"/>
  <c r="AU121" i="2"/>
  <c r="AM601" i="4" s="1"/>
  <c r="AT4" i="2"/>
  <c r="AT151" i="2" s="1"/>
  <c r="AL631" i="4" s="1"/>
  <c r="AQ125" i="3"/>
  <c r="AS197" i="3"/>
  <c r="AK212" i="4" s="1"/>
  <c r="AP73" i="3"/>
  <c r="AP58" i="3"/>
  <c r="AP76" i="3" s="1"/>
  <c r="AP93" i="3"/>
  <c r="AR118" i="1"/>
  <c r="AR177" i="1" s="1"/>
  <c r="AJ404" i="4" s="1"/>
  <c r="AK611" i="4"/>
  <c r="AK80" i="4"/>
  <c r="AJ611" i="4"/>
  <c r="AJ80" i="4"/>
  <c r="AM602" i="4"/>
  <c r="AM74" i="4"/>
  <c r="Y552" i="4"/>
  <c r="Y45" i="4"/>
  <c r="AI192" i="4"/>
  <c r="M73" i="10"/>
  <c r="M73" i="12" s="1"/>
  <c r="AQ166" i="3"/>
  <c r="AI193" i="4" s="1"/>
  <c r="M5" i="12"/>
  <c r="L715" i="4" s="1"/>
  <c r="L222" i="4"/>
  <c r="L643" i="4"/>
  <c r="K94" i="10"/>
  <c r="K91" i="10"/>
  <c r="K11" i="10"/>
  <c r="J649" i="4" s="1"/>
  <c r="J711" i="4"/>
  <c r="AK579" i="4"/>
  <c r="AK57" i="4"/>
  <c r="AR17" i="2"/>
  <c r="AJ495" i="4"/>
  <c r="AJ11" i="4"/>
  <c r="N81" i="10"/>
  <c r="N82" i="10" s="1"/>
  <c r="AQ133" i="3"/>
  <c r="AI160" i="4" s="1"/>
  <c r="AI159" i="4"/>
  <c r="AI210" i="4"/>
  <c r="AQ194" i="3"/>
  <c r="AI496" i="4"/>
  <c r="AI12" i="4"/>
  <c r="AJ103" i="4"/>
  <c r="AR165" i="3"/>
  <c r="AR79" i="3"/>
  <c r="AR193" i="3"/>
  <c r="AR143" i="3"/>
  <c r="AR239" i="3"/>
  <c r="AR240" i="3" s="1"/>
  <c r="AR132" i="3"/>
  <c r="AR229" i="3"/>
  <c r="AR230" i="3" s="1"/>
  <c r="AR153" i="3"/>
  <c r="AR249" i="3"/>
  <c r="AR250" i="3" s="1"/>
  <c r="K10" i="10"/>
  <c r="J648" i="4" s="1"/>
  <c r="J708" i="4"/>
  <c r="AL577" i="4"/>
  <c r="AL55" i="4"/>
  <c r="AU98" i="2"/>
  <c r="AT106" i="2"/>
  <c r="AT100" i="2"/>
  <c r="AP75" i="3"/>
  <c r="AP69" i="3"/>
  <c r="AG513" i="4"/>
  <c r="AG29" i="4"/>
  <c r="AO6" i="3"/>
  <c r="AO97" i="3"/>
  <c r="AO94" i="3"/>
  <c r="AO95" i="3"/>
  <c r="AM578" i="4"/>
  <c r="AM56" i="4"/>
  <c r="N3" i="6"/>
  <c r="M220" i="4" s="1"/>
  <c r="M221" i="4"/>
  <c r="N5" i="6"/>
  <c r="N5" i="10" s="1"/>
  <c r="AI453" i="4"/>
  <c r="M70" i="10"/>
  <c r="L709" i="4" s="1"/>
  <c r="M70" i="12"/>
  <c r="AO43" i="2"/>
  <c r="AG522" i="4" s="1"/>
  <c r="AF522" i="4"/>
  <c r="AQ55" i="3"/>
  <c r="AI122" i="4"/>
  <c r="AQ92" i="3"/>
  <c r="AQ80" i="3"/>
  <c r="AJ484" i="4"/>
  <c r="AJ4" i="4"/>
  <c r="AO60" i="3"/>
  <c r="AG130" i="4" s="1"/>
  <c r="AG129" i="4"/>
  <c r="AG86" i="2"/>
  <c r="Y565" i="4" s="1"/>
  <c r="Y564" i="4"/>
  <c r="AQ154" i="3"/>
  <c r="AI181" i="4" s="1"/>
  <c r="AI180" i="4"/>
  <c r="AQ144" i="3"/>
  <c r="AI171" i="4" s="1"/>
  <c r="AI170" i="4"/>
  <c r="K10" i="12"/>
  <c r="J720" i="4" s="1"/>
  <c r="J780" i="4"/>
  <c r="AJ288" i="4"/>
  <c r="AR234" i="1"/>
  <c r="AR7" i="1"/>
  <c r="AJ289" i="4" s="1"/>
  <c r="AS103" i="2"/>
  <c r="AK582" i="4" s="1"/>
  <c r="AK483" i="4"/>
  <c r="AK3" i="4"/>
  <c r="O4" i="6"/>
  <c r="AS5" i="3"/>
  <c r="AS7" i="2"/>
  <c r="AK486" i="4" s="1"/>
  <c r="AS126" i="2"/>
  <c r="AK606" i="4" s="1"/>
  <c r="AS151" i="2"/>
  <c r="AK631" i="4" s="1"/>
  <c r="AS6" i="1"/>
  <c r="AS118" i="1" s="1"/>
  <c r="AK345" i="4" s="1"/>
  <c r="AS104" i="2"/>
  <c r="AK583" i="4" s="1"/>
  <c r="AS150" i="2"/>
  <c r="AK630" i="4" s="1"/>
  <c r="AS127" i="2"/>
  <c r="AK607" i="4" s="1"/>
  <c r="AS5" i="2"/>
  <c r="AO64" i="3"/>
  <c r="AG134" i="4" s="1"/>
  <c r="AG108" i="4"/>
  <c r="AO28" i="3"/>
  <c r="AO26" i="3" s="1"/>
  <c r="AO27" i="3" s="1"/>
  <c r="AO10" i="3"/>
  <c r="AG109" i="4" s="1"/>
  <c r="AO121" i="3"/>
  <c r="AO214" i="3"/>
  <c r="AO18" i="3"/>
  <c r="AO14" i="3"/>
  <c r="AO170" i="3"/>
  <c r="AO33" i="3"/>
  <c r="AO12" i="3"/>
  <c r="AG111" i="4" s="1"/>
  <c r="AO22" i="3"/>
  <c r="AO23" i="3" s="1"/>
  <c r="AO81" i="3"/>
  <c r="AG123" i="4" s="1"/>
  <c r="AS206" i="3"/>
  <c r="AS184" i="3"/>
  <c r="AK804" i="4" s="1"/>
  <c r="AS183" i="3"/>
  <c r="AK803" i="4" s="1"/>
  <c r="AT177" i="3"/>
  <c r="AL786" i="4" s="1"/>
  <c r="AU244" i="3"/>
  <c r="AU151" i="3"/>
  <c r="AM178" i="4" s="1"/>
  <c r="AU17" i="1"/>
  <c r="AM299" i="4" s="1"/>
  <c r="AU176" i="3"/>
  <c r="AM785" i="4" s="1"/>
  <c r="AT245" i="3"/>
  <c r="AT247" i="3"/>
  <c r="AT182" i="3"/>
  <c r="AL802" i="4" s="1"/>
  <c r="AQ31" i="2"/>
  <c r="AR28" i="2"/>
  <c r="AQ29" i="2"/>
  <c r="AN49" i="2"/>
  <c r="AN48" i="2"/>
  <c r="AF527" i="4" s="1"/>
  <c r="AU140" i="2"/>
  <c r="AT116" i="2"/>
  <c r="AU153" i="2"/>
  <c r="AL377" i="4"/>
  <c r="AR53" i="2"/>
  <c r="AJ532" i="4" s="1"/>
  <c r="AR54" i="2"/>
  <c r="AJ533" i="4" s="1"/>
  <c r="AW31" i="2"/>
  <c r="AP32" i="2"/>
  <c r="AP34" i="2"/>
  <c r="AR83" i="2"/>
  <c r="AJ562" i="4" s="1"/>
  <c r="AR78" i="2"/>
  <c r="AJ557" i="4" s="1"/>
  <c r="AS76" i="2"/>
  <c r="AK555" i="4" s="1"/>
  <c r="AR79" i="2"/>
  <c r="AO35" i="2"/>
  <c r="AO38" i="2"/>
  <c r="AS53" i="1"/>
  <c r="AK333" i="4" s="1"/>
  <c r="AU225" i="1"/>
  <c r="AM444" i="4" s="1"/>
  <c r="AT63" i="1"/>
  <c r="AT32" i="1"/>
  <c r="AL314" i="4" s="1"/>
  <c r="AT178" i="3" l="1"/>
  <c r="AL787" i="4" s="1"/>
  <c r="AT196" i="3"/>
  <c r="AL211" i="4" s="1"/>
  <c r="AJ792" i="4"/>
  <c r="AR1" i="3"/>
  <c r="AL603" i="4"/>
  <c r="AL75" i="4"/>
  <c r="AL378" i="4"/>
  <c r="AL580" i="4"/>
  <c r="AL58" i="4"/>
  <c r="AK378" i="4"/>
  <c r="AR178" i="1"/>
  <c r="AJ405" i="4" s="1"/>
  <c r="AH54" i="4"/>
  <c r="AH576" i="4"/>
  <c r="AJ791" i="4"/>
  <c r="AU48" i="1"/>
  <c r="AM328" i="4" s="1"/>
  <c r="AU64" i="1"/>
  <c r="AU258" i="1" s="1"/>
  <c r="AM480" i="4" s="1"/>
  <c r="AJ23" i="4"/>
  <c r="AJ507" i="4"/>
  <c r="AR85" i="3"/>
  <c r="AR56" i="3" s="1"/>
  <c r="AL501" i="4"/>
  <c r="AL17" i="4"/>
  <c r="AU22" i="2"/>
  <c r="AT23" i="2"/>
  <c r="AH27" i="4"/>
  <c r="AH511" i="4"/>
  <c r="AI26" i="4"/>
  <c r="AI510" i="4"/>
  <c r="AI508" i="4"/>
  <c r="AI24" i="4"/>
  <c r="AK18" i="4"/>
  <c r="AK502" i="4"/>
  <c r="AQ68" i="3"/>
  <c r="AQ74" i="3"/>
  <c r="L72" i="12"/>
  <c r="L11" i="12" s="1"/>
  <c r="K721" i="4" s="1"/>
  <c r="K714" i="4"/>
  <c r="L90" i="10"/>
  <c r="L94" i="10" s="1"/>
  <c r="L69" i="10"/>
  <c r="L10" i="10" s="1"/>
  <c r="K648" i="4" s="1"/>
  <c r="K642" i="4"/>
  <c r="L72" i="10"/>
  <c r="L11" i="10" s="1"/>
  <c r="K649" i="4" s="1"/>
  <c r="AM73" i="4"/>
  <c r="AL483" i="4"/>
  <c r="AK61" i="4"/>
  <c r="AS54" i="2"/>
  <c r="AK533" i="4" s="1"/>
  <c r="AS53" i="2"/>
  <c r="AK532" i="4" s="1"/>
  <c r="AK11" i="4"/>
  <c r="AU63" i="1"/>
  <c r="AT47" i="1"/>
  <c r="AL327" i="4" s="1"/>
  <c r="AJ349" i="4"/>
  <c r="AS122" i="1"/>
  <c r="AL3" i="4"/>
  <c r="AK495" i="4"/>
  <c r="AT119" i="2"/>
  <c r="AL599" i="4" s="1"/>
  <c r="AM633" i="4"/>
  <c r="AM97" i="4"/>
  <c r="AM618" i="4"/>
  <c r="AM86" i="4"/>
  <c r="AM620" i="4"/>
  <c r="AM88" i="4"/>
  <c r="AK36" i="4"/>
  <c r="AS17" i="2"/>
  <c r="AK12" i="4" s="1"/>
  <c r="AM594" i="4"/>
  <c r="AM68" i="4"/>
  <c r="AL70" i="4"/>
  <c r="AL596" i="4"/>
  <c r="AM595" i="4"/>
  <c r="AM69" i="4"/>
  <c r="AS107" i="2"/>
  <c r="AK587" i="4" s="1"/>
  <c r="AK531" i="4"/>
  <c r="AK586" i="4"/>
  <c r="AK491" i="4"/>
  <c r="AK7" i="4"/>
  <c r="M79" i="10"/>
  <c r="M86" i="10"/>
  <c r="M78" i="10"/>
  <c r="N86" i="10"/>
  <c r="N79" i="10"/>
  <c r="N78" i="10"/>
  <c r="AL570" i="4"/>
  <c r="AL50" i="4"/>
  <c r="AU91" i="2"/>
  <c r="AU11" i="2" s="1"/>
  <c r="AT93" i="2"/>
  <c r="AM571" i="4"/>
  <c r="AM51" i="4"/>
  <c r="O86" i="10"/>
  <c r="O78" i="10"/>
  <c r="O79" i="10"/>
  <c r="AR80" i="2"/>
  <c r="AJ559" i="4" s="1"/>
  <c r="AJ558" i="4"/>
  <c r="AL490" i="4"/>
  <c r="AL6" i="4"/>
  <c r="AK52" i="4"/>
  <c r="AK572" i="4"/>
  <c r="AJ117" i="4"/>
  <c r="AR41" i="3"/>
  <c r="AR42" i="3" s="1"/>
  <c r="AR51" i="3"/>
  <c r="AJ587" i="4"/>
  <c r="AJ62" i="4"/>
  <c r="AT37" i="3"/>
  <c r="AS32" i="3"/>
  <c r="AT132" i="2"/>
  <c r="AL612" i="4" s="1"/>
  <c r="AU123" i="2"/>
  <c r="AM603" i="4" s="1"/>
  <c r="AT131" i="2"/>
  <c r="AL611" i="4" s="1"/>
  <c r="AL610" i="4"/>
  <c r="AH128" i="4"/>
  <c r="AT5" i="3"/>
  <c r="AT249" i="3" s="1"/>
  <c r="AT127" i="2"/>
  <c r="AL607" i="4" s="1"/>
  <c r="AT6" i="1"/>
  <c r="AL288" i="4" s="1"/>
  <c r="AT5" i="2"/>
  <c r="AL484" i="4" s="1"/>
  <c r="AT150" i="2"/>
  <c r="AL630" i="4" s="1"/>
  <c r="AT103" i="2"/>
  <c r="AL582" i="4" s="1"/>
  <c r="AT126" i="2"/>
  <c r="AL606" i="4" s="1"/>
  <c r="AT7" i="2"/>
  <c r="AL486" i="4" s="1"/>
  <c r="P4" i="6"/>
  <c r="P3" i="6" s="1"/>
  <c r="O220" i="4" s="1"/>
  <c r="AT104" i="2"/>
  <c r="AL583" i="4" s="1"/>
  <c r="AR125" i="3"/>
  <c r="AS207" i="3"/>
  <c r="AK791" i="4"/>
  <c r="AP9" i="3"/>
  <c r="AP64" i="3" s="1"/>
  <c r="AH134" i="4" s="1"/>
  <c r="AP62" i="3"/>
  <c r="AH132" i="4" s="1"/>
  <c r="AP59" i="3"/>
  <c r="AP60" i="3" s="1"/>
  <c r="AH130" i="4" s="1"/>
  <c r="AP70" i="3"/>
  <c r="M4" i="10"/>
  <c r="M3" i="10" s="1"/>
  <c r="L641" i="4" s="1"/>
  <c r="M4" i="12"/>
  <c r="L714" i="4" s="1"/>
  <c r="AJ345" i="4"/>
  <c r="O3" i="6"/>
  <c r="N220" i="4" s="1"/>
  <c r="N221" i="4"/>
  <c r="O5" i="6"/>
  <c r="O5" i="10" s="1"/>
  <c r="N5" i="12"/>
  <c r="M715" i="4" s="1"/>
  <c r="M222" i="4"/>
  <c r="M643" i="4"/>
  <c r="AJ192" i="4"/>
  <c r="N73" i="10"/>
  <c r="N73" i="12" s="1"/>
  <c r="AR166" i="3"/>
  <c r="AJ193" i="4" s="1"/>
  <c r="AO39" i="2"/>
  <c r="AG517" i="4"/>
  <c r="AG32" i="4"/>
  <c r="AS119" i="1"/>
  <c r="AK346" i="4" s="1"/>
  <c r="AF528" i="4"/>
  <c r="AF34" i="4"/>
  <c r="AO34" i="3"/>
  <c r="AG119" i="4" s="1"/>
  <c r="AG118" i="4"/>
  <c r="AO217" i="3"/>
  <c r="AO219" i="3"/>
  <c r="AO220" i="3" s="1"/>
  <c r="AO215" i="3"/>
  <c r="AO253" i="3"/>
  <c r="AI121" i="4"/>
  <c r="AQ93" i="3"/>
  <c r="AO99" i="3"/>
  <c r="AO98" i="3"/>
  <c r="AO100" i="3"/>
  <c r="AQ69" i="3"/>
  <c r="AQ75" i="3"/>
  <c r="AL586" i="4"/>
  <c r="AL61" i="4"/>
  <c r="AT107" i="2"/>
  <c r="AT108" i="2"/>
  <c r="AL588" i="4" s="1"/>
  <c r="AR154" i="3"/>
  <c r="AJ181" i="4" s="1"/>
  <c r="AJ180" i="4"/>
  <c r="AR144" i="3"/>
  <c r="AJ171" i="4" s="1"/>
  <c r="AJ170" i="4"/>
  <c r="AO19" i="3"/>
  <c r="AG138" i="4" s="1"/>
  <c r="AG137" i="4"/>
  <c r="AJ453" i="4"/>
  <c r="N70" i="10"/>
  <c r="M709" i="4" s="1"/>
  <c r="N70" i="12"/>
  <c r="AL579" i="4"/>
  <c r="AL57" i="4"/>
  <c r="AH513" i="4"/>
  <c r="AH29" i="4"/>
  <c r="AP6" i="3"/>
  <c r="AP97" i="3"/>
  <c r="AP94" i="3"/>
  <c r="AP95" i="3"/>
  <c r="AO42" i="2"/>
  <c r="AO47" i="2" s="1"/>
  <c r="AG526" i="4" s="1"/>
  <c r="AG197" i="4"/>
  <c r="AO171" i="3"/>
  <c r="AG198" i="4" s="1"/>
  <c r="AO172" i="3"/>
  <c r="AG199" i="4" s="1"/>
  <c r="AO199" i="3"/>
  <c r="AG214" i="4" s="1"/>
  <c r="AO122" i="3"/>
  <c r="AG147" i="4"/>
  <c r="AM577" i="4"/>
  <c r="AM55" i="4"/>
  <c r="AU4" i="2"/>
  <c r="AU100" i="2"/>
  <c r="AR194" i="3"/>
  <c r="AJ210" i="4"/>
  <c r="L10" i="12"/>
  <c r="K720" i="4" s="1"/>
  <c r="K780" i="4"/>
  <c r="AG514" i="4"/>
  <c r="AG30" i="4"/>
  <c r="AP43" i="2"/>
  <c r="AH522" i="4" s="1"/>
  <c r="AO15" i="3"/>
  <c r="AG114" i="4" s="1"/>
  <c r="AG113" i="4"/>
  <c r="AK484" i="4"/>
  <c r="AK4" i="4"/>
  <c r="AK288" i="4"/>
  <c r="AS7" i="1"/>
  <c r="AK289" i="4" s="1"/>
  <c r="AS234" i="1"/>
  <c r="AS165" i="3"/>
  <c r="AK103" i="4"/>
  <c r="AS193" i="3"/>
  <c r="AS79" i="3"/>
  <c r="AS143" i="3"/>
  <c r="AS132" i="3"/>
  <c r="AS239" i="3"/>
  <c r="AS240" i="3" s="1"/>
  <c r="AS229" i="3"/>
  <c r="AS230" i="3" s="1"/>
  <c r="AS153" i="3"/>
  <c r="AS249" i="3"/>
  <c r="AS250" i="3" s="1"/>
  <c r="O82" i="10"/>
  <c r="AQ67" i="3"/>
  <c r="AQ73" i="3"/>
  <c r="AQ58" i="3"/>
  <c r="AR133" i="3"/>
  <c r="AJ160" i="4" s="1"/>
  <c r="AJ159" i="4"/>
  <c r="AJ122" i="4"/>
  <c r="AR80" i="3"/>
  <c r="AR92" i="3"/>
  <c r="AR55" i="3"/>
  <c r="AJ496" i="4"/>
  <c r="AJ12" i="4"/>
  <c r="AT184" i="3"/>
  <c r="AL804" i="4" s="1"/>
  <c r="AT206" i="3"/>
  <c r="AT183" i="3"/>
  <c r="AL803" i="4" s="1"/>
  <c r="AU196" i="3"/>
  <c r="AU177" i="3"/>
  <c r="AM786" i="4" s="1"/>
  <c r="AU178" i="3"/>
  <c r="AM787" i="4" s="1"/>
  <c r="AU245" i="3"/>
  <c r="AU247" i="3"/>
  <c r="AU182" i="3"/>
  <c r="AM802" i="4" s="1"/>
  <c r="AT76" i="2"/>
  <c r="AL555" i="4" s="1"/>
  <c r="AS78" i="2"/>
  <c r="AK557" i="4" s="1"/>
  <c r="AS83" i="2"/>
  <c r="AK562" i="4" s="1"/>
  <c r="AS79" i="2"/>
  <c r="AQ32" i="2"/>
  <c r="AQ34" i="2"/>
  <c r="AU116" i="2"/>
  <c r="AU130" i="2"/>
  <c r="AS177" i="1"/>
  <c r="AK404" i="4" s="1"/>
  <c r="AT52" i="2"/>
  <c r="AT12" i="2"/>
  <c r="AT13" i="2"/>
  <c r="AT143" i="2"/>
  <c r="AL623" i="4" s="1"/>
  <c r="AT95" i="2"/>
  <c r="AL574" i="4" s="1"/>
  <c r="AT96" i="2"/>
  <c r="AL575" i="4" s="1"/>
  <c r="AT142" i="2"/>
  <c r="AL622" i="4" s="1"/>
  <c r="AT16" i="2"/>
  <c r="AU155" i="2"/>
  <c r="AM635" i="4" s="1"/>
  <c r="AU154" i="2"/>
  <c r="AR29" i="2"/>
  <c r="AS28" i="2"/>
  <c r="AR31" i="2"/>
  <c r="AP38" i="2"/>
  <c r="AP35" i="2"/>
  <c r="AW34" i="2"/>
  <c r="AT53" i="1"/>
  <c r="AL333" i="4" s="1"/>
  <c r="AU32" i="1"/>
  <c r="AM314" i="4" s="1"/>
  <c r="AT197" i="3" l="1"/>
  <c r="AL212" i="4" s="1"/>
  <c r="AK792" i="4"/>
  <c r="AS1" i="3"/>
  <c r="AL604" i="4"/>
  <c r="AL76" i="4"/>
  <c r="AI54" i="4"/>
  <c r="AI576" i="4"/>
  <c r="AK507" i="4"/>
  <c r="AK23" i="4"/>
  <c r="AS85" i="3"/>
  <c r="AS56" i="3" s="1"/>
  <c r="AJ508" i="4"/>
  <c r="AJ24" i="4"/>
  <c r="AI27" i="4"/>
  <c r="AI511" i="4"/>
  <c r="AL18" i="4"/>
  <c r="AL502" i="4"/>
  <c r="AR74" i="3"/>
  <c r="AR68" i="3"/>
  <c r="AJ510" i="4"/>
  <c r="AJ26" i="4"/>
  <c r="AU23" i="2"/>
  <c r="AM501" i="4"/>
  <c r="AM17" i="4"/>
  <c r="K708" i="4"/>
  <c r="L91" i="10"/>
  <c r="K711" i="4"/>
  <c r="AM75" i="4"/>
  <c r="AT143" i="3"/>
  <c r="AL170" i="4" s="1"/>
  <c r="AL4" i="4"/>
  <c r="AT153" i="3"/>
  <c r="AL180" i="4" s="1"/>
  <c r="AT239" i="3"/>
  <c r="AT240" i="3" s="1"/>
  <c r="AP10" i="3"/>
  <c r="AH109" i="4" s="1"/>
  <c r="AK496" i="4"/>
  <c r="AK62" i="4"/>
  <c r="AP81" i="3"/>
  <c r="AH123" i="4" s="1"/>
  <c r="AU47" i="1"/>
  <c r="AM327" i="4" s="1"/>
  <c r="AT119" i="1"/>
  <c r="AT178" i="1" s="1"/>
  <c r="AL405" i="4" s="1"/>
  <c r="AS178" i="1"/>
  <c r="AK405" i="4" s="1"/>
  <c r="AT118" i="1"/>
  <c r="AL345" i="4" s="1"/>
  <c r="AT7" i="1"/>
  <c r="AL289" i="4" s="1"/>
  <c r="AT234" i="1"/>
  <c r="AL453" i="4" s="1"/>
  <c r="AK349" i="4"/>
  <c r="AT122" i="1"/>
  <c r="AT229" i="3"/>
  <c r="AT230" i="3" s="1"/>
  <c r="AT193" i="3"/>
  <c r="AT194" i="3" s="1"/>
  <c r="AT132" i="3"/>
  <c r="AT133" i="3" s="1"/>
  <c r="AL160" i="4" s="1"/>
  <c r="AT79" i="3"/>
  <c r="AT80" i="3" s="1"/>
  <c r="AT165" i="3"/>
  <c r="P73" i="10" s="1"/>
  <c r="P73" i="12" s="1"/>
  <c r="AP42" i="2"/>
  <c r="AH521" i="4" s="1"/>
  <c r="P5" i="6"/>
  <c r="AP18" i="3"/>
  <c r="AP19" i="3" s="1"/>
  <c r="AH138" i="4" s="1"/>
  <c r="AP214" i="3"/>
  <c r="AP217" i="3" s="1"/>
  <c r="AM634" i="4"/>
  <c r="AM98" i="4"/>
  <c r="AP170" i="3"/>
  <c r="AP171" i="3" s="1"/>
  <c r="AH198" i="4" s="1"/>
  <c r="AP28" i="3"/>
  <c r="AP26" i="3" s="1"/>
  <c r="AP27" i="3" s="1"/>
  <c r="AP22" i="3"/>
  <c r="AP23" i="3" s="1"/>
  <c r="AP33" i="3"/>
  <c r="AP34" i="3" s="1"/>
  <c r="AH119" i="4" s="1"/>
  <c r="AM596" i="4"/>
  <c r="AM70" i="4"/>
  <c r="AM490" i="4"/>
  <c r="AM6" i="4"/>
  <c r="AL492" i="4"/>
  <c r="AL8" i="4"/>
  <c r="AL36" i="4"/>
  <c r="AL531" i="4"/>
  <c r="P77" i="10"/>
  <c r="AS80" i="2"/>
  <c r="AK559" i="4" s="1"/>
  <c r="AK558" i="4"/>
  <c r="AL572" i="4"/>
  <c r="AL52" i="4"/>
  <c r="M88" i="10"/>
  <c r="M87" i="10"/>
  <c r="O88" i="10"/>
  <c r="O87" i="10"/>
  <c r="AM570" i="4"/>
  <c r="AM50" i="4"/>
  <c r="AU93" i="2"/>
  <c r="AU106" i="2"/>
  <c r="AK117" i="4"/>
  <c r="AS51" i="3"/>
  <c r="AS41" i="3"/>
  <c r="AS42" i="3" s="1"/>
  <c r="N88" i="10"/>
  <c r="N87" i="10"/>
  <c r="AL491" i="4"/>
  <c r="AL7" i="4"/>
  <c r="AU37" i="3"/>
  <c r="AU32" i="3" s="1"/>
  <c r="AT32" i="3"/>
  <c r="AL80" i="4"/>
  <c r="AP12" i="3"/>
  <c r="AH111" i="4" s="1"/>
  <c r="AL103" i="4"/>
  <c r="O221" i="4"/>
  <c r="M69" i="10"/>
  <c r="L708" i="4" s="1"/>
  <c r="M72" i="10"/>
  <c r="L711" i="4" s="1"/>
  <c r="AP14" i="3"/>
  <c r="AH113" i="4" s="1"/>
  <c r="AP121" i="3"/>
  <c r="AH147" i="4" s="1"/>
  <c r="AH108" i="4"/>
  <c r="AH129" i="4"/>
  <c r="AU197" i="3"/>
  <c r="AM212" i="4" s="1"/>
  <c r="AM211" i="4"/>
  <c r="AS125" i="3"/>
  <c r="AT207" i="3"/>
  <c r="AL792" i="4" s="1"/>
  <c r="AL791" i="4"/>
  <c r="L642" i="4"/>
  <c r="M72" i="12"/>
  <c r="M11" i="12" s="1"/>
  <c r="L721" i="4" s="1"/>
  <c r="M90" i="10"/>
  <c r="M94" i="10" s="1"/>
  <c r="M69" i="12"/>
  <c r="L780" i="4" s="1"/>
  <c r="AQ43" i="2"/>
  <c r="AI522" i="4" s="1"/>
  <c r="N4" i="10"/>
  <c r="N72" i="10" s="1"/>
  <c r="AM610" i="4"/>
  <c r="AM79" i="4"/>
  <c r="AM378" i="4"/>
  <c r="AT17" i="2"/>
  <c r="AL495" i="4"/>
  <c r="AL11" i="4"/>
  <c r="P81" i="10"/>
  <c r="P82" i="10" s="1"/>
  <c r="AM377" i="4"/>
  <c r="AI128" i="4"/>
  <c r="AQ9" i="3"/>
  <c r="AQ64" i="3" s="1"/>
  <c r="AI134" i="4" s="1"/>
  <c r="AQ70" i="3"/>
  <c r="AQ59" i="3"/>
  <c r="AQ62" i="3"/>
  <c r="AI132" i="4" s="1"/>
  <c r="AQ76" i="3"/>
  <c r="AS133" i="3"/>
  <c r="AK160" i="4" s="1"/>
  <c r="AK159" i="4"/>
  <c r="AM579" i="4"/>
  <c r="AM57" i="4"/>
  <c r="AR69" i="3"/>
  <c r="AR75" i="3"/>
  <c r="O5" i="12"/>
  <c r="N715" i="4" s="1"/>
  <c r="N222" i="4"/>
  <c r="N643" i="4"/>
  <c r="AS144" i="3"/>
  <c r="AK171" i="4" s="1"/>
  <c r="AK170" i="4"/>
  <c r="AH514" i="4"/>
  <c r="AH30" i="4"/>
  <c r="AS154" i="3"/>
  <c r="AK181" i="4" s="1"/>
  <c r="AK180" i="4"/>
  <c r="AS166" i="3"/>
  <c r="AK193" i="4" s="1"/>
  <c r="AK192" i="4"/>
  <c r="O73" i="10"/>
  <c r="O73" i="12" s="1"/>
  <c r="AU151" i="2"/>
  <c r="AM631" i="4" s="1"/>
  <c r="AM483" i="4"/>
  <c r="AM3" i="4"/>
  <c r="AU5" i="3"/>
  <c r="Q4" i="6"/>
  <c r="AU7" i="2"/>
  <c r="AM486" i="4" s="1"/>
  <c r="AU126" i="2"/>
  <c r="AM606" i="4" s="1"/>
  <c r="AU127" i="2"/>
  <c r="AM607" i="4" s="1"/>
  <c r="AU104" i="2"/>
  <c r="AM583" i="4" s="1"/>
  <c r="AU6" i="1"/>
  <c r="AU118" i="1" s="1"/>
  <c r="AU5" i="2"/>
  <c r="AU150" i="2"/>
  <c r="AM630" i="4" s="1"/>
  <c r="AU103" i="2"/>
  <c r="AM582" i="4" s="1"/>
  <c r="AL587" i="4"/>
  <c r="AL62" i="4"/>
  <c r="AO255" i="3"/>
  <c r="AO254" i="3"/>
  <c r="AP39" i="2"/>
  <c r="AH517" i="4"/>
  <c r="AH32" i="4"/>
  <c r="AI513" i="4"/>
  <c r="AI29" i="4"/>
  <c r="AQ6" i="3"/>
  <c r="AQ97" i="3"/>
  <c r="AR73" i="3"/>
  <c r="AR67" i="3"/>
  <c r="AR58" i="3"/>
  <c r="AK122" i="4"/>
  <c r="AS80" i="3"/>
  <c r="AS92" i="3"/>
  <c r="AS55" i="3"/>
  <c r="AK453" i="4"/>
  <c r="O70" i="12"/>
  <c r="O70" i="10"/>
  <c r="N709" i="4" s="1"/>
  <c r="AO123" i="3"/>
  <c r="AG149" i="4" s="1"/>
  <c r="AG148" i="4"/>
  <c r="AO44" i="2"/>
  <c r="AG523" i="4" s="1"/>
  <c r="AG521" i="4"/>
  <c r="N4" i="12"/>
  <c r="AQ94" i="3"/>
  <c r="AJ121" i="4"/>
  <c r="AR93" i="3"/>
  <c r="AS194" i="3"/>
  <c r="AK210" i="4"/>
  <c r="AP99" i="3"/>
  <c r="AP100" i="3"/>
  <c r="AP98" i="3"/>
  <c r="AQ95" i="3"/>
  <c r="AG518" i="4"/>
  <c r="AG33" i="4"/>
  <c r="AT250" i="3"/>
  <c r="AU206" i="3"/>
  <c r="AU183" i="3"/>
  <c r="AM803" i="4" s="1"/>
  <c r="AU184" i="3"/>
  <c r="AM804" i="4" s="1"/>
  <c r="AS29" i="2"/>
  <c r="AS31" i="2"/>
  <c r="AT28" i="2"/>
  <c r="AU52" i="2"/>
  <c r="AU13" i="2"/>
  <c r="AU12" i="2"/>
  <c r="AU142" i="2"/>
  <c r="AM622" i="4" s="1"/>
  <c r="AU96" i="2"/>
  <c r="AM575" i="4" s="1"/>
  <c r="AU143" i="2"/>
  <c r="AM623" i="4" s="1"/>
  <c r="AU95" i="2"/>
  <c r="AM574" i="4" s="1"/>
  <c r="AU16" i="2"/>
  <c r="AO49" i="2"/>
  <c r="AO48" i="2"/>
  <c r="AG527" i="4" s="1"/>
  <c r="AT54" i="2"/>
  <c r="AL533" i="4" s="1"/>
  <c r="AT53" i="2"/>
  <c r="AL532" i="4" s="1"/>
  <c r="AU118" i="2"/>
  <c r="AM598" i="4" s="1"/>
  <c r="AU119" i="2"/>
  <c r="AM599" i="4" s="1"/>
  <c r="AU131" i="2"/>
  <c r="AU132" i="2"/>
  <c r="AM612" i="4" s="1"/>
  <c r="AU76" i="2"/>
  <c r="AM555" i="4" s="1"/>
  <c r="AT79" i="2"/>
  <c r="AT78" i="2"/>
  <c r="AL557" i="4" s="1"/>
  <c r="AT83" i="2"/>
  <c r="AL562" i="4" s="1"/>
  <c r="AR32" i="2"/>
  <c r="AR34" i="2"/>
  <c r="AQ35" i="2"/>
  <c r="AQ38" i="2"/>
  <c r="AU53" i="1"/>
  <c r="AM333" i="4" s="1"/>
  <c r="P5" i="10" l="1"/>
  <c r="O643" i="4" s="1"/>
  <c r="AR95" i="3"/>
  <c r="AK26" i="4"/>
  <c r="AK510" i="4"/>
  <c r="AK508" i="4"/>
  <c r="AK24" i="4"/>
  <c r="AJ511" i="4"/>
  <c r="AJ27" i="4"/>
  <c r="AL507" i="4"/>
  <c r="AL23" i="4"/>
  <c r="AT85" i="3"/>
  <c r="AT56" i="3" s="1"/>
  <c r="AS74" i="3"/>
  <c r="AS68" i="3"/>
  <c r="AM18" i="4"/>
  <c r="AM502" i="4"/>
  <c r="AT154" i="3"/>
  <c r="AL181" i="4" s="1"/>
  <c r="AR43" i="2"/>
  <c r="AJ522" i="4" s="1"/>
  <c r="AL159" i="4"/>
  <c r="AT144" i="3"/>
  <c r="AL171" i="4" s="1"/>
  <c r="AT92" i="3"/>
  <c r="AT93" i="3" s="1"/>
  <c r="AT166" i="3"/>
  <c r="AL193" i="4" s="1"/>
  <c r="O222" i="4"/>
  <c r="AL192" i="4"/>
  <c r="AQ42" i="2"/>
  <c r="AI521" i="4" s="1"/>
  <c r="P5" i="12"/>
  <c r="O715" i="4" s="1"/>
  <c r="AL346" i="4"/>
  <c r="AL122" i="4"/>
  <c r="AP215" i="3"/>
  <c r="AT55" i="3"/>
  <c r="AT73" i="3" s="1"/>
  <c r="AW42" i="2"/>
  <c r="P70" i="10"/>
  <c r="O709" i="4" s="1"/>
  <c r="AL210" i="4"/>
  <c r="AP47" i="2"/>
  <c r="AH526" i="4" s="1"/>
  <c r="AP44" i="2"/>
  <c r="AH523" i="4" s="1"/>
  <c r="AP253" i="3"/>
  <c r="AP255" i="3" s="1"/>
  <c r="AP219" i="3"/>
  <c r="AH118" i="4"/>
  <c r="P70" i="12"/>
  <c r="AT177" i="1"/>
  <c r="AL404" i="4" s="1"/>
  <c r="AU122" i="1"/>
  <c r="AM349" i="4" s="1"/>
  <c r="AL349" i="4"/>
  <c r="AH197" i="4"/>
  <c r="AH137" i="4"/>
  <c r="AP199" i="3"/>
  <c r="AH214" i="4" s="1"/>
  <c r="AP172" i="3"/>
  <c r="AH199" i="4" s="1"/>
  <c r="AT80" i="2"/>
  <c r="AL559" i="4" s="1"/>
  <c r="AL558" i="4"/>
  <c r="AM491" i="4"/>
  <c r="AM7" i="4"/>
  <c r="AM492" i="4"/>
  <c r="AM8" i="4"/>
  <c r="AL117" i="4"/>
  <c r="AT51" i="3"/>
  <c r="AT41" i="3"/>
  <c r="AT42" i="3" s="1"/>
  <c r="AM531" i="4"/>
  <c r="AM36" i="4"/>
  <c r="Q77" i="10"/>
  <c r="AM117" i="4"/>
  <c r="AU51" i="3"/>
  <c r="AU108" i="2"/>
  <c r="AM588" i="4" s="1"/>
  <c r="AU107" i="2"/>
  <c r="AM586" i="4"/>
  <c r="AM61" i="4"/>
  <c r="P86" i="10"/>
  <c r="P79" i="10"/>
  <c r="P78" i="10"/>
  <c r="AM572" i="4"/>
  <c r="AM52" i="4"/>
  <c r="M11" i="10"/>
  <c r="L649" i="4" s="1"/>
  <c r="M10" i="10"/>
  <c r="L648" i="4" s="1"/>
  <c r="AP15" i="3"/>
  <c r="AH114" i="4" s="1"/>
  <c r="AP122" i="3"/>
  <c r="AH148" i="4" s="1"/>
  <c r="M10" i="12"/>
  <c r="L720" i="4" s="1"/>
  <c r="AT125" i="3"/>
  <c r="M91" i="10"/>
  <c r="AU207" i="3"/>
  <c r="AM792" i="4" s="1"/>
  <c r="AM791" i="4"/>
  <c r="N3" i="10"/>
  <c r="M641" i="4" s="1"/>
  <c r="N90" i="10"/>
  <c r="N94" i="10" s="1"/>
  <c r="O4" i="10"/>
  <c r="O72" i="10" s="1"/>
  <c r="N69" i="10"/>
  <c r="M708" i="4" s="1"/>
  <c r="M642" i="4"/>
  <c r="AM345" i="4"/>
  <c r="AU177" i="1"/>
  <c r="AM404" i="4" s="1"/>
  <c r="AM611" i="4"/>
  <c r="AM80" i="4"/>
  <c r="AQ39" i="2"/>
  <c r="AI517" i="4"/>
  <c r="AI32" i="4"/>
  <c r="N11" i="10"/>
  <c r="M649" i="4" s="1"/>
  <c r="M711" i="4"/>
  <c r="M714" i="4"/>
  <c r="N69" i="12"/>
  <c r="O4" i="12"/>
  <c r="O72" i="12" s="1"/>
  <c r="O11" i="12" s="1"/>
  <c r="N721" i="4" s="1"/>
  <c r="AK121" i="4"/>
  <c r="AS93" i="3"/>
  <c r="AH518" i="4"/>
  <c r="AH33" i="4"/>
  <c r="AM288" i="4"/>
  <c r="AU234" i="1"/>
  <c r="AU7" i="1"/>
  <c r="AM289" i="4" s="1"/>
  <c r="N72" i="12"/>
  <c r="N11" i="12" s="1"/>
  <c r="M721" i="4" s="1"/>
  <c r="AG528" i="4"/>
  <c r="AG34" i="4"/>
  <c r="R4" i="6"/>
  <c r="P221" i="4"/>
  <c r="Q5" i="6"/>
  <c r="Q5" i="10" s="1"/>
  <c r="T4" i="6"/>
  <c r="S221" i="4" s="1"/>
  <c r="Q3" i="6"/>
  <c r="P220" i="4" s="1"/>
  <c r="AL496" i="4"/>
  <c r="AL12" i="4"/>
  <c r="AU17" i="2"/>
  <c r="AM495" i="4"/>
  <c r="AM11" i="4"/>
  <c r="Q81" i="10"/>
  <c r="Q82" i="10" s="1"/>
  <c r="AQ99" i="3"/>
  <c r="AQ98" i="3"/>
  <c r="AQ100" i="3"/>
  <c r="AM103" i="4"/>
  <c r="AU165" i="3"/>
  <c r="AU193" i="3"/>
  <c r="AU79" i="3"/>
  <c r="AU143" i="3"/>
  <c r="AU239" i="3"/>
  <c r="AU240" i="3" s="1"/>
  <c r="AU132" i="3"/>
  <c r="AU229" i="3"/>
  <c r="AU230" i="3" s="1"/>
  <c r="AU153" i="3"/>
  <c r="AU249" i="3"/>
  <c r="AU250" i="3" s="1"/>
  <c r="AI108" i="4"/>
  <c r="AQ170" i="3"/>
  <c r="AQ33" i="3"/>
  <c r="AQ28" i="3"/>
  <c r="AQ26" i="3" s="1"/>
  <c r="AQ27" i="3" s="1"/>
  <c r="AQ12" i="3"/>
  <c r="AI111" i="4" s="1"/>
  <c r="AQ10" i="3"/>
  <c r="AI109" i="4" s="1"/>
  <c r="AQ14" i="3"/>
  <c r="AQ214" i="3"/>
  <c r="AQ18" i="3"/>
  <c r="AQ22" i="3"/>
  <c r="AQ23" i="3" s="1"/>
  <c r="AQ121" i="3"/>
  <c r="AQ81" i="3"/>
  <c r="AI123" i="4" s="1"/>
  <c r="AI514" i="4"/>
  <c r="AI30" i="4"/>
  <c r="AJ513" i="4"/>
  <c r="AJ29" i="4"/>
  <c r="AR6" i="3"/>
  <c r="AR97" i="3"/>
  <c r="AR94" i="3"/>
  <c r="AS67" i="3"/>
  <c r="AS73" i="3"/>
  <c r="AS58" i="3"/>
  <c r="AJ128" i="4"/>
  <c r="AR59" i="3"/>
  <c r="AR70" i="3"/>
  <c r="AR62" i="3"/>
  <c r="AJ132" i="4" s="1"/>
  <c r="AR76" i="3"/>
  <c r="AR9" i="3"/>
  <c r="AR64" i="3" s="1"/>
  <c r="AJ134" i="4" s="1"/>
  <c r="AM484" i="4"/>
  <c r="AM4" i="4"/>
  <c r="AS75" i="3"/>
  <c r="AS69" i="3"/>
  <c r="AQ60" i="3"/>
  <c r="AI130" i="4" s="1"/>
  <c r="AI129" i="4"/>
  <c r="AU119" i="1"/>
  <c r="AR35" i="2"/>
  <c r="AR38" i="2"/>
  <c r="AU53" i="2"/>
  <c r="AM532" i="4" s="1"/>
  <c r="AU54" i="2"/>
  <c r="AM533" i="4" s="1"/>
  <c r="AT31" i="2"/>
  <c r="AU28" i="2"/>
  <c r="AT29" i="2"/>
  <c r="AS32" i="2"/>
  <c r="AS34" i="2"/>
  <c r="AU79" i="2"/>
  <c r="AU83" i="2"/>
  <c r="AM562" i="4" s="1"/>
  <c r="AU78" i="2"/>
  <c r="AM557" i="4" s="1"/>
  <c r="AS43" i="2" l="1"/>
  <c r="AK522" i="4" s="1"/>
  <c r="AS94" i="3"/>
  <c r="AJ576" i="4"/>
  <c r="AJ54" i="4"/>
  <c r="AP220" i="3"/>
  <c r="AR42" i="2"/>
  <c r="AR44" i="2" s="1"/>
  <c r="AJ523" i="4" s="1"/>
  <c r="AQ47" i="2"/>
  <c r="AI526" i="4" s="1"/>
  <c r="AM23" i="4"/>
  <c r="AM507" i="4"/>
  <c r="AU85" i="3"/>
  <c r="AU56" i="3" s="1"/>
  <c r="AL24" i="4"/>
  <c r="AL508" i="4"/>
  <c r="AL26" i="4"/>
  <c r="AL510" i="4"/>
  <c r="AK511" i="4"/>
  <c r="AK27" i="4"/>
  <c r="AT68" i="3"/>
  <c r="AT74" i="3"/>
  <c r="AL121" i="4"/>
  <c r="AP254" i="3"/>
  <c r="AQ44" i="2"/>
  <c r="AI523" i="4" s="1"/>
  <c r="AT67" i="3"/>
  <c r="AT58" i="3"/>
  <c r="AT76" i="3" s="1"/>
  <c r="AP48" i="2"/>
  <c r="AH527" i="4" s="1"/>
  <c r="AP49" i="2"/>
  <c r="AH528" i="4" s="1"/>
  <c r="AW47" i="2"/>
  <c r="AU80" i="2"/>
  <c r="AM559" i="4" s="1"/>
  <c r="AM558" i="4"/>
  <c r="P87" i="10"/>
  <c r="P88" i="10"/>
  <c r="Q79" i="10"/>
  <c r="Q86" i="10"/>
  <c r="Q78" i="10"/>
  <c r="AU41" i="3"/>
  <c r="AU42" i="3" s="1"/>
  <c r="AP123" i="3"/>
  <c r="AH149" i="4" s="1"/>
  <c r="AM62" i="4"/>
  <c r="AM587" i="4"/>
  <c r="AU125" i="3"/>
  <c r="N91" i="10"/>
  <c r="O90" i="10"/>
  <c r="O94" i="10" s="1"/>
  <c r="O3" i="10"/>
  <c r="N641" i="4" s="1"/>
  <c r="N642" i="4"/>
  <c r="O69" i="10"/>
  <c r="O10" i="10" s="1"/>
  <c r="N648" i="4" s="1"/>
  <c r="N10" i="10"/>
  <c r="M648" i="4" s="1"/>
  <c r="P4" i="10"/>
  <c r="O642" i="4" s="1"/>
  <c r="AR39" i="2"/>
  <c r="AJ517" i="4"/>
  <c r="AJ32" i="4"/>
  <c r="AQ34" i="3"/>
  <c r="AI119" i="4" s="1"/>
  <c r="AI118" i="4"/>
  <c r="AK128" i="4"/>
  <c r="AS9" i="3"/>
  <c r="AS64" i="3" s="1"/>
  <c r="AK134" i="4" s="1"/>
  <c r="AS76" i="3"/>
  <c r="AS59" i="3"/>
  <c r="AS62" i="3"/>
  <c r="AK132" i="4" s="1"/>
  <c r="AS70" i="3"/>
  <c r="AQ253" i="3"/>
  <c r="AQ217" i="3"/>
  <c r="AQ219" i="3"/>
  <c r="AQ215" i="3"/>
  <c r="AM122" i="4"/>
  <c r="AU92" i="3"/>
  <c r="AU55" i="3"/>
  <c r="AU80" i="3"/>
  <c r="Q5" i="12"/>
  <c r="P715" i="4" s="1"/>
  <c r="P222" i="4"/>
  <c r="P643" i="4"/>
  <c r="AU194" i="3"/>
  <c r="AM210" i="4"/>
  <c r="AM496" i="4"/>
  <c r="AM12" i="4"/>
  <c r="N714" i="4"/>
  <c r="O69" i="12"/>
  <c r="P4" i="12"/>
  <c r="AK513" i="4"/>
  <c r="AK29" i="4"/>
  <c r="AS6" i="3"/>
  <c r="AS97" i="3"/>
  <c r="AJ514" i="4"/>
  <c r="AJ30" i="4"/>
  <c r="AM346" i="4"/>
  <c r="AU178" i="1"/>
  <c r="AM405" i="4" s="1"/>
  <c r="AJ108" i="4"/>
  <c r="AR33" i="3"/>
  <c r="AR18" i="3"/>
  <c r="AR214" i="3"/>
  <c r="AR12" i="3"/>
  <c r="AJ111" i="4" s="1"/>
  <c r="AR10" i="3"/>
  <c r="AJ109" i="4" s="1"/>
  <c r="AR14" i="3"/>
  <c r="AR28" i="3"/>
  <c r="AR26" i="3" s="1"/>
  <c r="AR27" i="3" s="1"/>
  <c r="AR170" i="3"/>
  <c r="AR22" i="3"/>
  <c r="AR23" i="3" s="1"/>
  <c r="AR121" i="3"/>
  <c r="AR81" i="3"/>
  <c r="AJ123" i="4" s="1"/>
  <c r="AR60" i="3"/>
  <c r="AJ130" i="4" s="1"/>
  <c r="AJ129" i="4"/>
  <c r="AR98" i="3"/>
  <c r="AR100" i="3"/>
  <c r="AR99" i="3"/>
  <c r="AI197" i="4"/>
  <c r="AQ199" i="3"/>
  <c r="AI214" i="4" s="1"/>
  <c r="AQ171" i="3"/>
  <c r="AI198" i="4" s="1"/>
  <c r="AQ172" i="3"/>
  <c r="AI199" i="4" s="1"/>
  <c r="AU166" i="3"/>
  <c r="AM193" i="4" s="1"/>
  <c r="AM192" i="4"/>
  <c r="Q73" i="10"/>
  <c r="Q73" i="12" s="1"/>
  <c r="Q221" i="4"/>
  <c r="R5" i="6"/>
  <c r="Q222" i="4" s="1"/>
  <c r="AT75" i="3"/>
  <c r="AT69" i="3"/>
  <c r="AQ122" i="3"/>
  <c r="AI147" i="4"/>
  <c r="AQ15" i="3"/>
  <c r="AI114" i="4" s="1"/>
  <c r="AI113" i="4"/>
  <c r="AU133" i="3"/>
  <c r="AM160" i="4" s="1"/>
  <c r="AM159" i="4"/>
  <c r="AQ19" i="3"/>
  <c r="AI138" i="4" s="1"/>
  <c r="AI137" i="4"/>
  <c r="AU154" i="3"/>
  <c r="AM181" i="4" s="1"/>
  <c r="AM180" i="4"/>
  <c r="AU144" i="3"/>
  <c r="AM171" i="4" s="1"/>
  <c r="AM170" i="4"/>
  <c r="O11" i="10"/>
  <c r="N649" i="4" s="1"/>
  <c r="N711" i="4"/>
  <c r="AM453" i="4"/>
  <c r="Q70" i="10"/>
  <c r="P709" i="4" s="1"/>
  <c r="Q70" i="12"/>
  <c r="AS95" i="3"/>
  <c r="N10" i="12"/>
  <c r="M720" i="4" s="1"/>
  <c r="M780" i="4"/>
  <c r="AI518" i="4"/>
  <c r="AI33" i="4"/>
  <c r="AS38" i="2"/>
  <c r="AS35" i="2"/>
  <c r="AU29" i="2"/>
  <c r="AU31" i="2"/>
  <c r="AT32" i="2"/>
  <c r="AT34" i="2"/>
  <c r="AS42" i="2" l="1"/>
  <c r="AS44" i="2" s="1"/>
  <c r="AK523" i="4" s="1"/>
  <c r="AT43" i="2"/>
  <c r="AL522" i="4" s="1"/>
  <c r="AR47" i="2"/>
  <c r="AJ526" i="4" s="1"/>
  <c r="AJ521" i="4"/>
  <c r="AQ48" i="2"/>
  <c r="AI527" i="4" s="1"/>
  <c r="AQ49" i="2"/>
  <c r="AI528" i="4" s="1"/>
  <c r="AK576" i="4"/>
  <c r="AK54" i="4"/>
  <c r="AL54" i="4"/>
  <c r="AL576" i="4"/>
  <c r="AQ220" i="3"/>
  <c r="AM26" i="4"/>
  <c r="AM510" i="4"/>
  <c r="AU68" i="3"/>
  <c r="AU74" i="3"/>
  <c r="AL27" i="4"/>
  <c r="AL511" i="4"/>
  <c r="AM508" i="4"/>
  <c r="AM24" i="4"/>
  <c r="AT59" i="3"/>
  <c r="AL129" i="4" s="1"/>
  <c r="AL128" i="4"/>
  <c r="AT9" i="3"/>
  <c r="AT64" i="3" s="1"/>
  <c r="AL134" i="4" s="1"/>
  <c r="AT62" i="3"/>
  <c r="AL132" i="4" s="1"/>
  <c r="AT70" i="3"/>
  <c r="AH34" i="4"/>
  <c r="Q88" i="10"/>
  <c r="Q87" i="10"/>
  <c r="O91" i="10"/>
  <c r="P90" i="10"/>
  <c r="P91" i="10" s="1"/>
  <c r="N708" i="4"/>
  <c r="P72" i="10"/>
  <c r="O711" i="4" s="1"/>
  <c r="Q4" i="10"/>
  <c r="Q90" i="10" s="1"/>
  <c r="P69" i="10"/>
  <c r="P10" i="10" s="1"/>
  <c r="O648" i="4" s="1"/>
  <c r="P3" i="10"/>
  <c r="O641" i="4" s="1"/>
  <c r="AS100" i="3"/>
  <c r="AS98" i="3"/>
  <c r="AS99" i="3"/>
  <c r="AU67" i="3"/>
  <c r="AU73" i="3"/>
  <c r="AU58" i="3"/>
  <c r="AK514" i="4"/>
  <c r="AK30" i="4"/>
  <c r="AU75" i="3"/>
  <c r="AU69" i="3"/>
  <c r="AR122" i="3"/>
  <c r="AJ147" i="4"/>
  <c r="AR15" i="3"/>
  <c r="AJ114" i="4" s="1"/>
  <c r="AJ113" i="4"/>
  <c r="AR19" i="3"/>
  <c r="AJ138" i="4" s="1"/>
  <c r="AJ137" i="4"/>
  <c r="O714" i="4"/>
  <c r="Q4" i="12"/>
  <c r="Q72" i="12" s="1"/>
  <c r="Q11" i="12" s="1"/>
  <c r="P721" i="4" s="1"/>
  <c r="P69" i="12"/>
  <c r="P72" i="12"/>
  <c r="P11" i="12" s="1"/>
  <c r="O721" i="4" s="1"/>
  <c r="AM121" i="4"/>
  <c r="AU93" i="3"/>
  <c r="AL513" i="4"/>
  <c r="AL29" i="4"/>
  <c r="AT6" i="3"/>
  <c r="AT97" i="3"/>
  <c r="AT94" i="3"/>
  <c r="AT95" i="3"/>
  <c r="AS39" i="2"/>
  <c r="AK517" i="4"/>
  <c r="AK32" i="4"/>
  <c r="AR34" i="3"/>
  <c r="AJ119" i="4" s="1"/>
  <c r="AJ118" i="4"/>
  <c r="O10" i="12"/>
  <c r="N720" i="4" s="1"/>
  <c r="N780" i="4"/>
  <c r="AQ254" i="3"/>
  <c r="AQ255" i="3"/>
  <c r="AS60" i="3"/>
  <c r="AK130" i="4" s="1"/>
  <c r="AK129" i="4"/>
  <c r="AJ518" i="4"/>
  <c r="AJ33" i="4"/>
  <c r="AJ197" i="4"/>
  <c r="AR199" i="3"/>
  <c r="AJ214" i="4" s="1"/>
  <c r="AR172" i="3"/>
  <c r="AJ199" i="4" s="1"/>
  <c r="AR171" i="3"/>
  <c r="AJ198" i="4" s="1"/>
  <c r="AQ123" i="3"/>
  <c r="AI149" i="4" s="1"/>
  <c r="AI148" i="4"/>
  <c r="AR253" i="3"/>
  <c r="AR217" i="3"/>
  <c r="AR219" i="3"/>
  <c r="AR215" i="3"/>
  <c r="AK108" i="4"/>
  <c r="AS18" i="3"/>
  <c r="AS10" i="3"/>
  <c r="AK109" i="4" s="1"/>
  <c r="AS12" i="3"/>
  <c r="AK111" i="4" s="1"/>
  <c r="AS14" i="3"/>
  <c r="AS22" i="3"/>
  <c r="AS23" i="3" s="1"/>
  <c r="AS33" i="3"/>
  <c r="AS214" i="3"/>
  <c r="AS28" i="3"/>
  <c r="AS26" i="3" s="1"/>
  <c r="AS27" i="3" s="1"/>
  <c r="AS170" i="3"/>
  <c r="AS121" i="3"/>
  <c r="AS81" i="3"/>
  <c r="AK123" i="4" s="1"/>
  <c r="AU32" i="2"/>
  <c r="AU34" i="2"/>
  <c r="AU94" i="3" s="1"/>
  <c r="AU43" i="2"/>
  <c r="AT38" i="2"/>
  <c r="AT35" i="2"/>
  <c r="AS47" i="2" l="1"/>
  <c r="AK526" i="4" s="1"/>
  <c r="AT42" i="2"/>
  <c r="AT44" i="2" s="1"/>
  <c r="AL523" i="4" s="1"/>
  <c r="AK521" i="4"/>
  <c r="AR48" i="2"/>
  <c r="AJ527" i="4" s="1"/>
  <c r="AR49" i="2"/>
  <c r="AJ528" i="4" s="1"/>
  <c r="AI34" i="4"/>
  <c r="AR220" i="3"/>
  <c r="AT14" i="3"/>
  <c r="AT15" i="3" s="1"/>
  <c r="AL114" i="4" s="1"/>
  <c r="AM27" i="4"/>
  <c r="AM511" i="4"/>
  <c r="AT60" i="3"/>
  <c r="AL130" i="4" s="1"/>
  <c r="AT170" i="3"/>
  <c r="AT172" i="3" s="1"/>
  <c r="AL199" i="4" s="1"/>
  <c r="AT33" i="3"/>
  <c r="AT34" i="3" s="1"/>
  <c r="AL119" i="4" s="1"/>
  <c r="AT81" i="3"/>
  <c r="AL123" i="4" s="1"/>
  <c r="AT12" i="3"/>
  <c r="AL111" i="4" s="1"/>
  <c r="AT10" i="3"/>
  <c r="AL109" i="4" s="1"/>
  <c r="AT18" i="3"/>
  <c r="AT19" i="3" s="1"/>
  <c r="AL138" i="4" s="1"/>
  <c r="AT121" i="3"/>
  <c r="AL147" i="4" s="1"/>
  <c r="AT214" i="3"/>
  <c r="AT215" i="3" s="1"/>
  <c r="AT22" i="3"/>
  <c r="AT23" i="3" s="1"/>
  <c r="AT28" i="3"/>
  <c r="AT26" i="3" s="1"/>
  <c r="AT27" i="3" s="1"/>
  <c r="AL108" i="4"/>
  <c r="P94" i="10"/>
  <c r="P11" i="10"/>
  <c r="O649" i="4" s="1"/>
  <c r="O708" i="4"/>
  <c r="T4" i="10"/>
  <c r="S642" i="4" s="1"/>
  <c r="Q69" i="10"/>
  <c r="P708" i="4" s="1"/>
  <c r="Q3" i="10"/>
  <c r="P641" i="4" s="1"/>
  <c r="R4" i="10"/>
  <c r="P642" i="4"/>
  <c r="Q72" i="10"/>
  <c r="P711" i="4" s="1"/>
  <c r="AT39" i="2"/>
  <c r="AL517" i="4"/>
  <c r="AL32" i="4"/>
  <c r="AS217" i="3"/>
  <c r="AS253" i="3"/>
  <c r="AS215" i="3"/>
  <c r="AS219" i="3"/>
  <c r="AM128" i="4"/>
  <c r="AU9" i="3"/>
  <c r="AU64" i="3" s="1"/>
  <c r="AM134" i="4" s="1"/>
  <c r="AU62" i="3"/>
  <c r="AM132" i="4" s="1"/>
  <c r="AU76" i="3"/>
  <c r="AU70" i="3"/>
  <c r="AU59" i="3"/>
  <c r="AS122" i="3"/>
  <c r="AK147" i="4"/>
  <c r="AK197" i="4"/>
  <c r="AS172" i="3"/>
  <c r="AK199" i="4" s="1"/>
  <c r="AS171" i="3"/>
  <c r="AK198" i="4" s="1"/>
  <c r="AS199" i="3"/>
  <c r="AK214" i="4" s="1"/>
  <c r="AS19" i="3"/>
  <c r="AK138" i="4" s="1"/>
  <c r="AK137" i="4"/>
  <c r="AK518" i="4"/>
  <c r="AK33" i="4"/>
  <c r="P10" i="12"/>
  <c r="O720" i="4" s="1"/>
  <c r="O780" i="4"/>
  <c r="AS34" i="3"/>
  <c r="AK119" i="4" s="1"/>
  <c r="AK118" i="4"/>
  <c r="AR255" i="3"/>
  <c r="AR254" i="3"/>
  <c r="AT100" i="3"/>
  <c r="AT99" i="3"/>
  <c r="AT98" i="3"/>
  <c r="AL514" i="4"/>
  <c r="AL30" i="4"/>
  <c r="AU42" i="2"/>
  <c r="AM521" i="4" s="1"/>
  <c r="AM522" i="4"/>
  <c r="AM513" i="4"/>
  <c r="AM29" i="4"/>
  <c r="AU6" i="3"/>
  <c r="AU97" i="3"/>
  <c r="AS15" i="3"/>
  <c r="AK114" i="4" s="1"/>
  <c r="AK113" i="4"/>
  <c r="Q91" i="10"/>
  <c r="Q94" i="10"/>
  <c r="AU95" i="3"/>
  <c r="P714" i="4"/>
  <c r="R4" i="12"/>
  <c r="Q69" i="12"/>
  <c r="T4" i="12"/>
  <c r="S714" i="4" s="1"/>
  <c r="AR123" i="3"/>
  <c r="AJ149" i="4" s="1"/>
  <c r="AJ148" i="4"/>
  <c r="AU35" i="2"/>
  <c r="AU38" i="2"/>
  <c r="AT47" i="2" l="1"/>
  <c r="AL526" i="4" s="1"/>
  <c r="AS49" i="2"/>
  <c r="AK34" i="4" s="1"/>
  <c r="AS48" i="2"/>
  <c r="AK527" i="4" s="1"/>
  <c r="AL521" i="4"/>
  <c r="R5" i="10"/>
  <c r="Q643" i="4" s="1"/>
  <c r="AJ34" i="4"/>
  <c r="AS220" i="3"/>
  <c r="AL118" i="4"/>
  <c r="AL113" i="4"/>
  <c r="AT171" i="3"/>
  <c r="AL198" i="4" s="1"/>
  <c r="AL197" i="4"/>
  <c r="AT199" i="3"/>
  <c r="AL214" i="4" s="1"/>
  <c r="AL137" i="4"/>
  <c r="AT122" i="3"/>
  <c r="AT123" i="3" s="1"/>
  <c r="AL149" i="4" s="1"/>
  <c r="AT253" i="3"/>
  <c r="AT255" i="3" s="1"/>
  <c r="AT217" i="3"/>
  <c r="AT219" i="3"/>
  <c r="Q10" i="10"/>
  <c r="P648" i="4" s="1"/>
  <c r="Q11" i="10"/>
  <c r="P649" i="4" s="1"/>
  <c r="Q642" i="4"/>
  <c r="AU47" i="2"/>
  <c r="AM526" i="4" s="1"/>
  <c r="AU44" i="2"/>
  <c r="AM523" i="4" s="1"/>
  <c r="AU100" i="3"/>
  <c r="AU98" i="3"/>
  <c r="AU99" i="3"/>
  <c r="AM514" i="4"/>
  <c r="AM30" i="4"/>
  <c r="AU60" i="3"/>
  <c r="AM130" i="4" s="1"/>
  <c r="AM129" i="4"/>
  <c r="AS123" i="3"/>
  <c r="AK149" i="4" s="1"/>
  <c r="AK148" i="4"/>
  <c r="AM108" i="4"/>
  <c r="AU33" i="3"/>
  <c r="AU214" i="3"/>
  <c r="AU28" i="3"/>
  <c r="AU26" i="3" s="1"/>
  <c r="AU27" i="3" s="1"/>
  <c r="AU10" i="3"/>
  <c r="AM109" i="4" s="1"/>
  <c r="AU18" i="3"/>
  <c r="AU14" i="3"/>
  <c r="AU22" i="3"/>
  <c r="AU23" i="3" s="1"/>
  <c r="AU12" i="3"/>
  <c r="AM111" i="4" s="1"/>
  <c r="AU170" i="3"/>
  <c r="AU121" i="3"/>
  <c r="AU81" i="3"/>
  <c r="AM123" i="4" s="1"/>
  <c r="AS255" i="3"/>
  <c r="AS254" i="3"/>
  <c r="AL518" i="4"/>
  <c r="AL33" i="4"/>
  <c r="Q714" i="4"/>
  <c r="R5" i="12"/>
  <c r="Q715" i="4" s="1"/>
  <c r="Q10" i="12"/>
  <c r="P720" i="4" s="1"/>
  <c r="P780" i="4"/>
  <c r="AK528" i="4"/>
  <c r="AU39" i="2"/>
  <c r="AM517" i="4"/>
  <c r="AM32" i="4"/>
  <c r="AT48" i="2" l="1"/>
  <c r="AL527" i="4" s="1"/>
  <c r="AT49" i="2"/>
  <c r="AL34" i="4" s="1"/>
  <c r="AL148" i="4"/>
  <c r="AT220" i="3"/>
  <c r="AT254" i="3"/>
  <c r="AU48" i="2"/>
  <c r="AM527" i="4" s="1"/>
  <c r="AU49" i="2"/>
  <c r="AM528" i="4" s="1"/>
  <c r="AU122" i="3"/>
  <c r="AM147" i="4"/>
  <c r="AM113" i="4"/>
  <c r="AU15" i="3"/>
  <c r="AM114" i="4" s="1"/>
  <c r="AU219" i="3"/>
  <c r="AU217" i="3"/>
  <c r="AU215" i="3"/>
  <c r="AU253" i="3"/>
  <c r="AL528" i="4"/>
  <c r="AM197" i="4"/>
  <c r="AU171" i="3"/>
  <c r="AM198" i="4" s="1"/>
  <c r="AU199" i="3"/>
  <c r="AM214" i="4" s="1"/>
  <c r="AU172" i="3"/>
  <c r="AM199" i="4" s="1"/>
  <c r="AM137" i="4"/>
  <c r="AU19" i="3"/>
  <c r="AM138" i="4" s="1"/>
  <c r="AM118" i="4"/>
  <c r="AU34" i="3"/>
  <c r="AM119" i="4" s="1"/>
  <c r="AM518" i="4"/>
  <c r="AM33" i="4"/>
  <c r="AU220" i="3" l="1"/>
  <c r="AM34" i="4"/>
  <c r="AU123" i="3"/>
  <c r="AM149" i="4" s="1"/>
  <c r="AM148" i="4"/>
  <c r="AU254" i="3"/>
  <c r="AU255" i="3"/>
  <c r="AK172" i="1" l="1"/>
  <c r="AK183" i="1" l="1"/>
  <c r="AC410" i="4" s="1"/>
  <c r="AC399" i="4"/>
  <c r="AL172" i="1"/>
  <c r="E36" i="12"/>
  <c r="D751" i="4" s="1"/>
  <c r="AK210" i="1" l="1"/>
  <c r="AK211" i="1" s="1"/>
  <c r="AK214" i="1"/>
  <c r="AC781" i="4" s="1"/>
  <c r="AL183" i="1"/>
  <c r="AD410" i="4" s="1"/>
  <c r="AD399" i="4"/>
  <c r="AK216" i="1" l="1"/>
  <c r="AC783" i="4" s="1"/>
  <c r="AC437" i="4"/>
  <c r="AL210" i="1"/>
  <c r="AL214" i="1"/>
  <c r="AL209" i="1"/>
  <c r="AD436" i="4" s="1"/>
  <c r="AC438" i="4"/>
  <c r="AD9" i="1"/>
  <c r="V291" i="4" s="1"/>
  <c r="AL216" i="1" l="1"/>
  <c r="AD781" i="4"/>
  <c r="AL211" i="1"/>
  <c r="AD437" i="4"/>
  <c r="AC9" i="1"/>
  <c r="AD130" i="1"/>
  <c r="V357" i="4" s="1"/>
  <c r="AD18" i="1"/>
  <c r="AD11" i="1"/>
  <c r="H12" i="20" s="1"/>
  <c r="H13" i="20" l="1"/>
  <c r="H31" i="20" s="1"/>
  <c r="H30" i="20"/>
  <c r="U291" i="4"/>
  <c r="AC152" i="1"/>
  <c r="U379" i="4" s="1"/>
  <c r="AC153" i="1"/>
  <c r="U380" i="4" s="1"/>
  <c r="AM209" i="1"/>
  <c r="AE436" i="4" s="1"/>
  <c r="AD438" i="4"/>
  <c r="AL218" i="1"/>
  <c r="AD783" i="4"/>
  <c r="V293" i="4"/>
  <c r="AD20" i="1"/>
  <c r="V300" i="4"/>
  <c r="AD12" i="1"/>
  <c r="V294" i="4" s="1"/>
  <c r="AD132" i="1"/>
  <c r="AM9" i="1"/>
  <c r="AE291" i="4" s="1"/>
  <c r="AC18" i="1"/>
  <c r="AC11" i="1"/>
  <c r="F12" i="20" s="1"/>
  <c r="F13" i="20" l="1"/>
  <c r="F31" i="20" s="1"/>
  <c r="F30" i="20"/>
  <c r="V302" i="4"/>
  <c r="AD24" i="1"/>
  <c r="H14" i="20" s="1"/>
  <c r="U293" i="4"/>
  <c r="AD21" i="1"/>
  <c r="V303" i="4" s="1"/>
  <c r="AC20" i="1"/>
  <c r="U302" i="4" s="1"/>
  <c r="U300" i="4"/>
  <c r="AD179" i="1"/>
  <c r="V406" i="4" s="1"/>
  <c r="U357" i="4"/>
  <c r="AD22" i="1"/>
  <c r="V304" i="4" s="1"/>
  <c r="AD136" i="1"/>
  <c r="V363" i="4" s="1"/>
  <c r="V359" i="4"/>
  <c r="AC12" i="1"/>
  <c r="U294" i="4" s="1"/>
  <c r="AM11" i="1"/>
  <c r="M12" i="20" s="1"/>
  <c r="AM18" i="1"/>
  <c r="AE300" i="4" s="1"/>
  <c r="AM153" i="1"/>
  <c r="AE380" i="4" s="1"/>
  <c r="U406" i="4"/>
  <c r="AM130" i="1"/>
  <c r="U359" i="4"/>
  <c r="H15" i="20" l="1"/>
  <c r="H33" i="20" s="1"/>
  <c r="H32" i="20"/>
  <c r="M13" i="20"/>
  <c r="M31" i="20" s="1"/>
  <c r="M30" i="20"/>
  <c r="AD26" i="1"/>
  <c r="V308" i="4" s="1"/>
  <c r="V306" i="4"/>
  <c r="AD29" i="1"/>
  <c r="V311" i="4" s="1"/>
  <c r="AC22" i="1"/>
  <c r="U304" i="4" s="1"/>
  <c r="AD181" i="1"/>
  <c r="V408" i="4" s="1"/>
  <c r="AC37" i="1"/>
  <c r="AM20" i="1"/>
  <c r="AC24" i="1"/>
  <c r="F14" i="20" s="1"/>
  <c r="AC21" i="1"/>
  <c r="U303" i="4" s="1"/>
  <c r="AE293" i="4"/>
  <c r="AM152" i="1"/>
  <c r="AE379" i="4" s="1"/>
  <c r="AE357" i="4"/>
  <c r="AM179" i="1"/>
  <c r="U408" i="4"/>
  <c r="AM12" i="1"/>
  <c r="AE294" i="4" s="1"/>
  <c r="U363" i="4"/>
  <c r="AM132" i="1"/>
  <c r="AE359" i="4" s="1"/>
  <c r="AF9" i="1"/>
  <c r="X291" i="4" s="1"/>
  <c r="AG9" i="1"/>
  <c r="Y291" i="4" s="1"/>
  <c r="F15" i="20" l="1"/>
  <c r="F33" i="20" s="1"/>
  <c r="F32" i="20"/>
  <c r="AD27" i="1"/>
  <c r="V309" i="4" s="1"/>
  <c r="U319" i="4"/>
  <c r="AC40" i="1"/>
  <c r="U322" i="4" s="1"/>
  <c r="AE302" i="4"/>
  <c r="AM24" i="1"/>
  <c r="M14" i="20" s="1"/>
  <c r="AC29" i="1"/>
  <c r="U311" i="4" s="1"/>
  <c r="AM22" i="1"/>
  <c r="AE304" i="4" s="1"/>
  <c r="AC26" i="1"/>
  <c r="AD28" i="1" s="1"/>
  <c r="V310" i="4" s="1"/>
  <c r="AM21" i="1"/>
  <c r="AE303" i="4" s="1"/>
  <c r="U321" i="4"/>
  <c r="U306" i="4"/>
  <c r="AM37" i="1"/>
  <c r="I69" i="6" s="1"/>
  <c r="AM181" i="1"/>
  <c r="AE406" i="4"/>
  <c r="AM136" i="1"/>
  <c r="AE363" i="4" s="1"/>
  <c r="AF130" i="1"/>
  <c r="X357" i="4" s="1"/>
  <c r="AF18" i="1"/>
  <c r="AF11" i="1"/>
  <c r="J12" i="20" s="1"/>
  <c r="AG130" i="1"/>
  <c r="Y357" i="4" s="1"/>
  <c r="AG18" i="1"/>
  <c r="AG11" i="1"/>
  <c r="K12" i="20" s="1"/>
  <c r="J13" i="20" l="1"/>
  <c r="J31" i="20" s="1"/>
  <c r="J30" i="20"/>
  <c r="M15" i="20"/>
  <c r="M33" i="20" s="1"/>
  <c r="M32" i="20"/>
  <c r="K13" i="20"/>
  <c r="K31" i="20" s="1"/>
  <c r="K30" i="20"/>
  <c r="AC43" i="1"/>
  <c r="AC27" i="1"/>
  <c r="U309" i="4" s="1"/>
  <c r="AM39" i="1"/>
  <c r="AE321" i="4" s="1"/>
  <c r="AC55" i="1"/>
  <c r="AM55" i="1" s="1"/>
  <c r="AE335" i="4" s="1"/>
  <c r="AE319" i="4"/>
  <c r="AC28" i="1"/>
  <c r="U310" i="4" s="1"/>
  <c r="U308" i="4"/>
  <c r="AM26" i="1"/>
  <c r="AM27" i="1" s="1"/>
  <c r="AE309" i="4" s="1"/>
  <c r="I7" i="6"/>
  <c r="H224" i="4" s="1"/>
  <c r="AE306" i="4"/>
  <c r="AM29" i="1"/>
  <c r="AE311" i="4" s="1"/>
  <c r="AF20" i="1"/>
  <c r="X302" i="4" s="1"/>
  <c r="X300" i="4"/>
  <c r="AG20" i="1"/>
  <c r="Y302" i="4" s="1"/>
  <c r="Y300" i="4"/>
  <c r="AF12" i="1"/>
  <c r="X294" i="4" s="1"/>
  <c r="X293" i="4"/>
  <c r="AE408" i="4"/>
  <c r="I9" i="6"/>
  <c r="H226" i="4" s="1"/>
  <c r="H274" i="4"/>
  <c r="I71" i="6"/>
  <c r="AG12" i="1"/>
  <c r="Y294" i="4" s="1"/>
  <c r="Y293" i="4"/>
  <c r="AN130" i="1"/>
  <c r="AF357" i="4" s="1"/>
  <c r="AG132" i="1"/>
  <c r="Y359" i="4" s="1"/>
  <c r="AG179" i="1"/>
  <c r="AF132" i="1"/>
  <c r="U325" i="4" l="1"/>
  <c r="AC170" i="1"/>
  <c r="AC183" i="1" s="1"/>
  <c r="AC210" i="1" s="1"/>
  <c r="AC211" i="1" s="1"/>
  <c r="AM40" i="1"/>
  <c r="AE322" i="4" s="1"/>
  <c r="U370" i="4"/>
  <c r="AM43" i="1"/>
  <c r="AE325" i="4" s="1"/>
  <c r="AC45" i="1"/>
  <c r="F16" i="20" s="1"/>
  <c r="F34" i="20" s="1"/>
  <c r="AC59" i="1"/>
  <c r="AC60" i="1" s="1"/>
  <c r="U335" i="4"/>
  <c r="I15" i="6"/>
  <c r="I15" i="12" s="1"/>
  <c r="I16" i="6"/>
  <c r="H233" i="4" s="1"/>
  <c r="AF22" i="1"/>
  <c r="X304" i="4" s="1"/>
  <c r="AE308" i="4"/>
  <c r="AF24" i="1"/>
  <c r="J14" i="20" s="1"/>
  <c r="AF21" i="1"/>
  <c r="X303" i="4" s="1"/>
  <c r="AG22" i="1"/>
  <c r="Y304" i="4" s="1"/>
  <c r="AG181" i="1"/>
  <c r="Y408" i="4" s="1"/>
  <c r="Y406" i="4"/>
  <c r="AG24" i="1"/>
  <c r="K14" i="20" s="1"/>
  <c r="I74" i="6"/>
  <c r="H279" i="4" s="1"/>
  <c r="H276" i="4"/>
  <c r="I72" i="6"/>
  <c r="I12" i="6"/>
  <c r="AF136" i="1"/>
  <c r="X363" i="4" s="1"/>
  <c r="X359" i="4"/>
  <c r="AG21" i="1"/>
  <c r="Y303" i="4" s="1"/>
  <c r="AN132" i="1"/>
  <c r="AF359" i="4" s="1"/>
  <c r="AG136" i="1"/>
  <c r="K15" i="20" l="1"/>
  <c r="K33" i="20" s="1"/>
  <c r="K32" i="20"/>
  <c r="J15" i="20"/>
  <c r="J33" i="20" s="1"/>
  <c r="J32" i="20"/>
  <c r="AG26" i="1"/>
  <c r="Y308" i="4" s="1"/>
  <c r="AF26" i="1"/>
  <c r="X308" i="4" s="1"/>
  <c r="U410" i="4"/>
  <c r="U808" i="4"/>
  <c r="AM45" i="1"/>
  <c r="M16" i="20" s="1"/>
  <c r="M34" i="20" s="1"/>
  <c r="AG29" i="1"/>
  <c r="Y311" i="4" s="1"/>
  <c r="AF29" i="1"/>
  <c r="X311" i="4" s="1"/>
  <c r="U371" i="4"/>
  <c r="U397" i="4"/>
  <c r="Y306" i="4"/>
  <c r="AM59" i="1"/>
  <c r="AM60" i="1" s="1"/>
  <c r="X306" i="4"/>
  <c r="AM143" i="1"/>
  <c r="AE370" i="4" s="1"/>
  <c r="AM170" i="1"/>
  <c r="AE397" i="4" s="1"/>
  <c r="I15" i="10"/>
  <c r="H653" i="4" s="1"/>
  <c r="H232" i="4"/>
  <c r="U437" i="4"/>
  <c r="AC214" i="1"/>
  <c r="U781" i="4" s="1"/>
  <c r="AN136" i="1"/>
  <c r="AF363" i="4" s="1"/>
  <c r="Y363" i="4"/>
  <c r="H229" i="4"/>
  <c r="I17" i="6"/>
  <c r="I22" i="6"/>
  <c r="J70" i="6"/>
  <c r="H277" i="4"/>
  <c r="H725" i="4"/>
  <c r="I7" i="12"/>
  <c r="U373" i="4"/>
  <c r="AG27" i="1" l="1"/>
  <c r="Y309" i="4" s="1"/>
  <c r="AF27" i="1"/>
  <c r="X309" i="4" s="1"/>
  <c r="AG28" i="1"/>
  <c r="Y310" i="4" s="1"/>
  <c r="AM183" i="1"/>
  <c r="AE410" i="4" s="1"/>
  <c r="AE808" i="4"/>
  <c r="AM144" i="1"/>
  <c r="AE371" i="4" s="1"/>
  <c r="I7" i="10"/>
  <c r="H645" i="4" s="1"/>
  <c r="AC216" i="1"/>
  <c r="U783" i="4" s="1"/>
  <c r="U438" i="4"/>
  <c r="H717" i="4"/>
  <c r="I16" i="12"/>
  <c r="H726" i="4" s="1"/>
  <c r="H238" i="4"/>
  <c r="I275" i="4"/>
  <c r="I17" i="12"/>
  <c r="H234" i="4"/>
  <c r="I17" i="10"/>
  <c r="AM146" i="1"/>
  <c r="AE373" i="4" s="1"/>
  <c r="AM210" i="1" l="1"/>
  <c r="AM211" i="1" s="1"/>
  <c r="AE438" i="4" s="1"/>
  <c r="AM214" i="1"/>
  <c r="AM216" i="1" s="1"/>
  <c r="AM218" i="1" s="1"/>
  <c r="AC218" i="1"/>
  <c r="I16" i="10"/>
  <c r="H654" i="4" s="1"/>
  <c r="AD209" i="1"/>
  <c r="V436" i="4" s="1"/>
  <c r="U343" i="4"/>
  <c r="AE783" i="4"/>
  <c r="H727" i="4"/>
  <c r="I12" i="12"/>
  <c r="H655" i="4"/>
  <c r="I12" i="10"/>
  <c r="AE781" i="4" l="1"/>
  <c r="AE437" i="4"/>
  <c r="AN209" i="1"/>
  <c r="AF436" i="4" s="1"/>
  <c r="AM116" i="1"/>
  <c r="H650" i="4"/>
  <c r="I9" i="10"/>
  <c r="H647" i="4" s="1"/>
  <c r="I22" i="10"/>
  <c r="H659" i="4" s="1"/>
  <c r="H722" i="4"/>
  <c r="I9" i="12"/>
  <c r="H719" i="4" s="1"/>
  <c r="I22" i="12"/>
  <c r="H731" i="4" s="1"/>
  <c r="AM223" i="1" l="1"/>
  <c r="AE442" i="4" s="1"/>
  <c r="AE343" i="4"/>
  <c r="U347" i="4"/>
  <c r="E34" i="6"/>
  <c r="AM229" i="1"/>
  <c r="AE448" i="4" s="1"/>
  <c r="AM120" i="1"/>
  <c r="E34" i="12" l="1"/>
  <c r="D749" i="4" s="1"/>
  <c r="D252" i="4"/>
  <c r="E34" i="10"/>
  <c r="D677" i="4" s="1"/>
  <c r="AM126" i="1"/>
  <c r="AE347" i="4"/>
  <c r="U353" i="4"/>
  <c r="U374" i="4"/>
  <c r="AE9" i="1"/>
  <c r="W291" i="4" s="1"/>
  <c r="AM147" i="1" l="1"/>
  <c r="AE374" i="4" s="1"/>
  <c r="AE353" i="4"/>
  <c r="AE130" i="1"/>
  <c r="W357" i="4" s="1"/>
  <c r="AE18" i="1"/>
  <c r="AE11" i="1"/>
  <c r="I12" i="20" s="1"/>
  <c r="AN9" i="1"/>
  <c r="AF291" i="4" s="1"/>
  <c r="I13" i="20" l="1"/>
  <c r="I31" i="20" s="1"/>
  <c r="I30" i="20"/>
  <c r="W293" i="4"/>
  <c r="AE20" i="1"/>
  <c r="W302" i="4" s="1"/>
  <c r="W300" i="4"/>
  <c r="AN18" i="1"/>
  <c r="AF300" i="4" s="1"/>
  <c r="AN153" i="1"/>
  <c r="AN152" i="1"/>
  <c r="AO152" i="1" s="1"/>
  <c r="AP152" i="1" s="1"/>
  <c r="AQ152" i="1" s="1"/>
  <c r="AR152" i="1" s="1"/>
  <c r="AS152" i="1" s="1"/>
  <c r="AT152" i="1" s="1"/>
  <c r="AU152" i="1" s="1"/>
  <c r="AE12" i="1"/>
  <c r="W294" i="4" s="1"/>
  <c r="AN11" i="1"/>
  <c r="N12" i="20" s="1"/>
  <c r="AE179" i="1"/>
  <c r="W406" i="4" s="1"/>
  <c r="AE132" i="1"/>
  <c r="AF179" i="1"/>
  <c r="X406" i="4" s="1"/>
  <c r="N13" i="20" l="1"/>
  <c r="N31" i="20" s="1"/>
  <c r="N30" i="20"/>
  <c r="AE24" i="1"/>
  <c r="I14" i="20" s="1"/>
  <c r="AF293" i="4"/>
  <c r="AE21" i="1"/>
  <c r="W303" i="4" s="1"/>
  <c r="AE22" i="1"/>
  <c r="W304" i="4" s="1"/>
  <c r="AN20" i="1"/>
  <c r="AF302" i="4" s="1"/>
  <c r="AE136" i="1"/>
  <c r="W363" i="4" s="1"/>
  <c r="W359" i="4"/>
  <c r="AG379" i="4"/>
  <c r="AF379" i="4"/>
  <c r="AG380" i="4"/>
  <c r="AF380" i="4"/>
  <c r="AF181" i="1"/>
  <c r="X408" i="4" s="1"/>
  <c r="AN12" i="1"/>
  <c r="AF294" i="4" s="1"/>
  <c r="AE181" i="1"/>
  <c r="W408" i="4" s="1"/>
  <c r="AN179" i="1"/>
  <c r="I15" i="20" l="1"/>
  <c r="I33" i="20" s="1"/>
  <c r="I32" i="20"/>
  <c r="W306" i="4"/>
  <c r="AH380" i="4"/>
  <c r="AE26" i="1"/>
  <c r="W308" i="4" s="1"/>
  <c r="AE29" i="1"/>
  <c r="W311" i="4" s="1"/>
  <c r="AN24" i="1"/>
  <c r="N14" i="20" s="1"/>
  <c r="AN21" i="1"/>
  <c r="AF303" i="4" s="1"/>
  <c r="AN22" i="1"/>
  <c r="AF304" i="4" s="1"/>
  <c r="AN181" i="1"/>
  <c r="AF406" i="4"/>
  <c r="AH379" i="4"/>
  <c r="AO9" i="1"/>
  <c r="AG291" i="4" s="1"/>
  <c r="N15" i="20" l="1"/>
  <c r="N33" i="20" s="1"/>
  <c r="N32" i="20"/>
  <c r="AG358" i="4"/>
  <c r="AG407" i="4"/>
  <c r="AI380" i="4"/>
  <c r="AP131" i="1"/>
  <c r="AP180" i="1" s="1"/>
  <c r="AH407" i="4" s="1"/>
  <c r="AF28" i="1"/>
  <c r="X310" i="4" s="1"/>
  <c r="AE27" i="1"/>
  <c r="W309" i="4" s="1"/>
  <c r="AE28" i="1"/>
  <c r="W310" i="4" s="1"/>
  <c r="AI379" i="4"/>
  <c r="AN26" i="1"/>
  <c r="AN27" i="1" s="1"/>
  <c r="AF309" i="4" s="1"/>
  <c r="AN29" i="1"/>
  <c r="AF311" i="4" s="1"/>
  <c r="J7" i="6"/>
  <c r="I224" i="4" s="1"/>
  <c r="AF306" i="4"/>
  <c r="AF408" i="4"/>
  <c r="J9" i="6"/>
  <c r="I226" i="4" s="1"/>
  <c r="AO18" i="1"/>
  <c r="AO11" i="1"/>
  <c r="O12" i="20" s="1"/>
  <c r="AO130" i="1"/>
  <c r="AG357" i="4" s="1"/>
  <c r="O13" i="20" l="1"/>
  <c r="O31" i="20" s="1"/>
  <c r="O30" i="20"/>
  <c r="AF308" i="4"/>
  <c r="AQ131" i="1"/>
  <c r="AI358" i="4" s="1"/>
  <c r="AJ380" i="4"/>
  <c r="AH358" i="4"/>
  <c r="AJ379" i="4"/>
  <c r="J15" i="6"/>
  <c r="I232" i="4" s="1"/>
  <c r="J16" i="6"/>
  <c r="I233" i="4" s="1"/>
  <c r="AG293" i="4"/>
  <c r="AO20" i="1"/>
  <c r="AG302" i="4" s="1"/>
  <c r="AG300" i="4"/>
  <c r="J12" i="6"/>
  <c r="AP9" i="1"/>
  <c r="AH291" i="4" s="1"/>
  <c r="AK379" i="4"/>
  <c r="AO132" i="1"/>
  <c r="AO179" i="1"/>
  <c r="AO12" i="1"/>
  <c r="AG294" i="4" s="1"/>
  <c r="AR131" i="1"/>
  <c r="AQ180" i="1" l="1"/>
  <c r="AI407" i="4" s="1"/>
  <c r="AK380" i="4"/>
  <c r="AO24" i="1"/>
  <c r="O14" i="20" s="1"/>
  <c r="AO22" i="1"/>
  <c r="AG304" i="4" s="1"/>
  <c r="AO21" i="1"/>
  <c r="AG303" i="4" s="1"/>
  <c r="J15" i="10"/>
  <c r="I653" i="4" s="1"/>
  <c r="J15" i="12"/>
  <c r="I725" i="4" s="1"/>
  <c r="AO181" i="1"/>
  <c r="AG406" i="4"/>
  <c r="AO136" i="1"/>
  <c r="AG363" i="4" s="1"/>
  <c r="AG359" i="4"/>
  <c r="I229" i="4"/>
  <c r="J22" i="6"/>
  <c r="J17" i="6"/>
  <c r="AR180" i="1"/>
  <c r="AJ407" i="4" s="1"/>
  <c r="AJ358" i="4"/>
  <c r="AQ9" i="1"/>
  <c r="AI291" i="4" s="1"/>
  <c r="AP18" i="1"/>
  <c r="AH300" i="4" s="1"/>
  <c r="AW9" i="1"/>
  <c r="AO291" i="4" s="1"/>
  <c r="AP11" i="1"/>
  <c r="P12" i="20" s="1"/>
  <c r="AP130" i="1"/>
  <c r="AH357" i="4" s="1"/>
  <c r="AL379" i="4"/>
  <c r="AR9" i="1"/>
  <c r="AJ291" i="4" s="1"/>
  <c r="O15" i="20" l="1"/>
  <c r="O33" i="20" s="1"/>
  <c r="O32" i="20"/>
  <c r="P13" i="20"/>
  <c r="P31" i="20" s="1"/>
  <c r="P30" i="20"/>
  <c r="AS131" i="1"/>
  <c r="AS180" i="1" s="1"/>
  <c r="AK407" i="4" s="1"/>
  <c r="AL380" i="4"/>
  <c r="AG306" i="4"/>
  <c r="AO26" i="1"/>
  <c r="AO27" i="1" s="1"/>
  <c r="AG309" i="4" s="1"/>
  <c r="K7" i="6"/>
  <c r="K15" i="6" s="1"/>
  <c r="AO29" i="1"/>
  <c r="AG311" i="4" s="1"/>
  <c r="J7" i="12"/>
  <c r="I717" i="4" s="1"/>
  <c r="J7" i="10"/>
  <c r="J16" i="10" s="1"/>
  <c r="I654" i="4" s="1"/>
  <c r="J17" i="12"/>
  <c r="I234" i="4"/>
  <c r="J17" i="10"/>
  <c r="AP12" i="1"/>
  <c r="AH294" i="4" s="1"/>
  <c r="AH293" i="4"/>
  <c r="I238" i="4"/>
  <c r="AG408" i="4"/>
  <c r="K9" i="6"/>
  <c r="J226" i="4" s="1"/>
  <c r="AP132" i="1"/>
  <c r="AP179" i="1"/>
  <c r="AQ18" i="1"/>
  <c r="AQ11" i="1"/>
  <c r="AQ130" i="1"/>
  <c r="AI357" i="4" s="1"/>
  <c r="AM379" i="4"/>
  <c r="AR18" i="1"/>
  <c r="AR11" i="1"/>
  <c r="AR130" i="1"/>
  <c r="AJ357" i="4" s="1"/>
  <c r="AW18" i="1"/>
  <c r="AO300" i="4" s="1"/>
  <c r="AP20" i="1"/>
  <c r="AH302" i="4" s="1"/>
  <c r="I645" i="4" l="1"/>
  <c r="AK358" i="4"/>
  <c r="AM380" i="4"/>
  <c r="AT131" i="1"/>
  <c r="AL358" i="4" s="1"/>
  <c r="J224" i="4"/>
  <c r="K16" i="6"/>
  <c r="J233" i="4" s="1"/>
  <c r="AG308" i="4"/>
  <c r="J16" i="12"/>
  <c r="I726" i="4" s="1"/>
  <c r="AR20" i="1"/>
  <c r="AJ302" i="4" s="1"/>
  <c r="AJ300" i="4"/>
  <c r="AQ20" i="1"/>
  <c r="AI302" i="4" s="1"/>
  <c r="AI300" i="4"/>
  <c r="AP181" i="1"/>
  <c r="AH406" i="4"/>
  <c r="AP136" i="1"/>
  <c r="AH363" i="4" s="1"/>
  <c r="AH359" i="4"/>
  <c r="I655" i="4"/>
  <c r="J12" i="10"/>
  <c r="AU131" i="1"/>
  <c r="AM358" i="4" s="1"/>
  <c r="J232" i="4"/>
  <c r="K15" i="10"/>
  <c r="K15" i="12"/>
  <c r="AR12" i="1"/>
  <c r="AJ294" i="4" s="1"/>
  <c r="AJ293" i="4"/>
  <c r="AQ12" i="1"/>
  <c r="AI294" i="4" s="1"/>
  <c r="AI293" i="4"/>
  <c r="I727" i="4"/>
  <c r="J12" i="12"/>
  <c r="AP21" i="1"/>
  <c r="AH303" i="4" s="1"/>
  <c r="AP22" i="1"/>
  <c r="AH304" i="4" s="1"/>
  <c r="AP24" i="1"/>
  <c r="P14" i="20" s="1"/>
  <c r="AR179" i="1"/>
  <c r="AR132" i="1"/>
  <c r="AQ179" i="1"/>
  <c r="AQ132" i="1"/>
  <c r="AS9" i="1"/>
  <c r="AK291" i="4" s="1"/>
  <c r="AU9" i="1"/>
  <c r="P15" i="20" l="1"/>
  <c r="P33" i="20" s="1"/>
  <c r="P32" i="20"/>
  <c r="AT180" i="1"/>
  <c r="AL407" i="4" s="1"/>
  <c r="AQ24" i="1"/>
  <c r="M7" i="6" s="1"/>
  <c r="AQ21" i="1"/>
  <c r="AI303" i="4" s="1"/>
  <c r="AQ22" i="1"/>
  <c r="AI304" i="4" s="1"/>
  <c r="AR24" i="1"/>
  <c r="AR26" i="1" s="1"/>
  <c r="AU180" i="1"/>
  <c r="AM407" i="4" s="1"/>
  <c r="AR21" i="1"/>
  <c r="AJ303" i="4" s="1"/>
  <c r="AR22" i="1"/>
  <c r="AJ304" i="4" s="1"/>
  <c r="I650" i="4"/>
  <c r="J9" i="10"/>
  <c r="I647" i="4" s="1"/>
  <c r="J22" i="10"/>
  <c r="I659" i="4" s="1"/>
  <c r="AR181" i="1"/>
  <c r="AJ406" i="4"/>
  <c r="J653" i="4"/>
  <c r="K7" i="10"/>
  <c r="AQ136" i="1"/>
  <c r="AI363" i="4" s="1"/>
  <c r="AI359" i="4"/>
  <c r="AQ181" i="1"/>
  <c r="AI406" i="4"/>
  <c r="AH306" i="4"/>
  <c r="L7" i="6"/>
  <c r="AR136" i="1"/>
  <c r="AJ363" i="4" s="1"/>
  <c r="AJ359" i="4"/>
  <c r="AU130" i="1"/>
  <c r="AM357" i="4" s="1"/>
  <c r="AM291" i="4"/>
  <c r="I722" i="4"/>
  <c r="J22" i="12"/>
  <c r="I731" i="4" s="1"/>
  <c r="J9" i="12"/>
  <c r="I719" i="4" s="1"/>
  <c r="J725" i="4"/>
  <c r="K7" i="12"/>
  <c r="AH408" i="4"/>
  <c r="L9" i="6"/>
  <c r="K226" i="4" s="1"/>
  <c r="AS18" i="1"/>
  <c r="AS11" i="1"/>
  <c r="AS130" i="1"/>
  <c r="AK357" i="4" s="1"/>
  <c r="AU18" i="1"/>
  <c r="AU11" i="1"/>
  <c r="AP29" i="1"/>
  <c r="AH311" i="4" s="1"/>
  <c r="AP25" i="1"/>
  <c r="AH307" i="4" s="1"/>
  <c r="AP26" i="1"/>
  <c r="AT9" i="1"/>
  <c r="AL291" i="4" s="1"/>
  <c r="AI306" i="4" l="1"/>
  <c r="AQ26" i="1"/>
  <c r="AI308" i="4" s="1"/>
  <c r="AQ29" i="1"/>
  <c r="AI311" i="4" s="1"/>
  <c r="AQ25" i="1"/>
  <c r="AI307" i="4" s="1"/>
  <c r="AR29" i="1"/>
  <c r="AJ311" i="4" s="1"/>
  <c r="AU132" i="1"/>
  <c r="AU136" i="1" s="1"/>
  <c r="AM363" i="4" s="1"/>
  <c r="N7" i="6"/>
  <c r="M224" i="4" s="1"/>
  <c r="AJ306" i="4"/>
  <c r="AR25" i="1"/>
  <c r="AJ307" i="4" s="1"/>
  <c r="AJ308" i="4"/>
  <c r="AU20" i="1"/>
  <c r="AM302" i="4" s="1"/>
  <c r="AM300" i="4"/>
  <c r="AS20" i="1"/>
  <c r="AK302" i="4" s="1"/>
  <c r="AK300" i="4"/>
  <c r="J717" i="4"/>
  <c r="K16" i="12"/>
  <c r="J726" i="4" s="1"/>
  <c r="AI408" i="4"/>
  <c r="M9" i="6"/>
  <c r="L226" i="4" s="1"/>
  <c r="AJ408" i="4"/>
  <c r="N9" i="6"/>
  <c r="M226" i="4" s="1"/>
  <c r="J645" i="4"/>
  <c r="K16" i="10"/>
  <c r="J654" i="4" s="1"/>
  <c r="AP27" i="1"/>
  <c r="AH309" i="4" s="1"/>
  <c r="AH308" i="4"/>
  <c r="AU12" i="1"/>
  <c r="AM294" i="4" s="1"/>
  <c r="AM293" i="4"/>
  <c r="AS12" i="1"/>
  <c r="AK294" i="4" s="1"/>
  <c r="AK293" i="4"/>
  <c r="K224" i="4"/>
  <c r="L15" i="6"/>
  <c r="L16" i="6"/>
  <c r="K233" i="4" s="1"/>
  <c r="M16" i="6"/>
  <c r="L233" i="4" s="1"/>
  <c r="L224" i="4"/>
  <c r="M15" i="6"/>
  <c r="AT18" i="1"/>
  <c r="AT11" i="1"/>
  <c r="AT130" i="1"/>
  <c r="AL357" i="4" s="1"/>
  <c r="AS132" i="1"/>
  <c r="AS179" i="1"/>
  <c r="AR27" i="1" l="1"/>
  <c r="AJ309" i="4" s="1"/>
  <c r="AQ27" i="1"/>
  <c r="AI309" i="4" s="1"/>
  <c r="AU24" i="1"/>
  <c r="Q7" i="6" s="1"/>
  <c r="AS24" i="1"/>
  <c r="AK306" i="4" s="1"/>
  <c r="AS21" i="1"/>
  <c r="AK303" i="4" s="1"/>
  <c r="N16" i="6"/>
  <c r="M233" i="4" s="1"/>
  <c r="N15" i="6"/>
  <c r="N15" i="12" s="1"/>
  <c r="AU21" i="1"/>
  <c r="AM303" i="4" s="1"/>
  <c r="AS22" i="1"/>
  <c r="AK304" i="4" s="1"/>
  <c r="AM359" i="4"/>
  <c r="L15" i="12"/>
  <c r="K232" i="4"/>
  <c r="L15" i="10"/>
  <c r="AT20" i="1"/>
  <c r="AT24" i="1" s="1"/>
  <c r="AL300" i="4"/>
  <c r="AS136" i="1"/>
  <c r="AK363" i="4" s="1"/>
  <c r="AK359" i="4"/>
  <c r="AS181" i="1"/>
  <c r="AK406" i="4"/>
  <c r="AT12" i="1"/>
  <c r="AL294" i="4" s="1"/>
  <c r="AL293" i="4"/>
  <c r="M15" i="12"/>
  <c r="L232" i="4"/>
  <c r="M15" i="10"/>
  <c r="AT179" i="1"/>
  <c r="AT132" i="1"/>
  <c r="AU179" i="1"/>
  <c r="N15" i="10" l="1"/>
  <c r="N7" i="10" s="1"/>
  <c r="AM306" i="4"/>
  <c r="AS29" i="1"/>
  <c r="AK311" i="4" s="1"/>
  <c r="AS25" i="1"/>
  <c r="AK307" i="4" s="1"/>
  <c r="O7" i="6"/>
  <c r="O16" i="6" s="1"/>
  <c r="N233" i="4" s="1"/>
  <c r="M232" i="4"/>
  <c r="AT21" i="1"/>
  <c r="AL303" i="4" s="1"/>
  <c r="AS26" i="1"/>
  <c r="AS27" i="1" s="1"/>
  <c r="AK309" i="4" s="1"/>
  <c r="AU26" i="1"/>
  <c r="AM308" i="4" s="1"/>
  <c r="AU25" i="1"/>
  <c r="AM307" i="4" s="1"/>
  <c r="AL306" i="4"/>
  <c r="P7" i="6"/>
  <c r="Q16" i="6" s="1"/>
  <c r="P233" i="4" s="1"/>
  <c r="AT181" i="1"/>
  <c r="AL406" i="4"/>
  <c r="L653" i="4"/>
  <c r="M7" i="10"/>
  <c r="AK408" i="4"/>
  <c r="O9" i="6"/>
  <c r="N226" i="4" s="1"/>
  <c r="P224" i="4"/>
  <c r="Q15" i="6"/>
  <c r="M725" i="4"/>
  <c r="N7" i="12"/>
  <c r="AU181" i="1"/>
  <c r="AM406" i="4"/>
  <c r="L725" i="4"/>
  <c r="M7" i="12"/>
  <c r="AU22" i="1"/>
  <c r="AM304" i="4" s="1"/>
  <c r="AL302" i="4"/>
  <c r="K653" i="4"/>
  <c r="L7" i="10"/>
  <c r="AT22" i="1"/>
  <c r="AL304" i="4" s="1"/>
  <c r="AT136" i="1"/>
  <c r="AL363" i="4" s="1"/>
  <c r="AL359" i="4"/>
  <c r="K725" i="4"/>
  <c r="L7" i="12"/>
  <c r="AT25" i="1"/>
  <c r="AL307" i="4" s="1"/>
  <c r="AT29" i="1"/>
  <c r="AL311" i="4" s="1"/>
  <c r="AT26" i="1"/>
  <c r="AU29" i="1"/>
  <c r="AM311" i="4" s="1"/>
  <c r="M653" i="4" l="1"/>
  <c r="AK308" i="4"/>
  <c r="N224" i="4"/>
  <c r="O15" i="6"/>
  <c r="O15" i="12" s="1"/>
  <c r="K717" i="4"/>
  <c r="L16" i="12"/>
  <c r="K726" i="4" s="1"/>
  <c r="K645" i="4"/>
  <c r="L16" i="10"/>
  <c r="K654" i="4" s="1"/>
  <c r="R15" i="6"/>
  <c r="P232" i="4"/>
  <c r="Q15" i="10"/>
  <c r="Q15" i="12"/>
  <c r="AM408" i="4"/>
  <c r="Q9" i="6"/>
  <c r="P226" i="4" s="1"/>
  <c r="M717" i="4"/>
  <c r="N16" i="12"/>
  <c r="M726" i="4" s="1"/>
  <c r="L645" i="4"/>
  <c r="M16" i="10"/>
  <c r="L654" i="4" s="1"/>
  <c r="P15" i="6"/>
  <c r="O224" i="4"/>
  <c r="P16" i="6"/>
  <c r="O233" i="4" s="1"/>
  <c r="M645" i="4"/>
  <c r="N16" i="10"/>
  <c r="M654" i="4" s="1"/>
  <c r="L717" i="4"/>
  <c r="M16" i="12"/>
  <c r="L726" i="4" s="1"/>
  <c r="AL408" i="4"/>
  <c r="P9" i="6"/>
  <c r="O226" i="4" s="1"/>
  <c r="AT27" i="1"/>
  <c r="AL309" i="4" s="1"/>
  <c r="AL308" i="4"/>
  <c r="AU27" i="1"/>
  <c r="AM309" i="4" s="1"/>
  <c r="O15" i="10" l="1"/>
  <c r="O7" i="10" s="1"/>
  <c r="N232" i="4"/>
  <c r="N725" i="4"/>
  <c r="O7" i="12"/>
  <c r="E64" i="6"/>
  <c r="Q232" i="4"/>
  <c r="R7" i="6"/>
  <c r="P15" i="12"/>
  <c r="O232" i="4"/>
  <c r="P15" i="10"/>
  <c r="R15" i="12"/>
  <c r="P725" i="4"/>
  <c r="Q7" i="12"/>
  <c r="R15" i="10"/>
  <c r="P653" i="4"/>
  <c r="Q7" i="10"/>
  <c r="N653" i="4" l="1"/>
  <c r="P645" i="4"/>
  <c r="O725" i="4"/>
  <c r="P7" i="12"/>
  <c r="Q16" i="12" s="1"/>
  <c r="P726" i="4" s="1"/>
  <c r="E64" i="10"/>
  <c r="Q653" i="4"/>
  <c r="R7" i="10"/>
  <c r="O653" i="4"/>
  <c r="P7" i="10"/>
  <c r="Q16" i="10" s="1"/>
  <c r="P654" i="4" s="1"/>
  <c r="N717" i="4"/>
  <c r="O16" i="12"/>
  <c r="N726" i="4" s="1"/>
  <c r="P717" i="4"/>
  <c r="N645" i="4"/>
  <c r="O16" i="10"/>
  <c r="N654" i="4" s="1"/>
  <c r="E64" i="12"/>
  <c r="Q725" i="4"/>
  <c r="R7" i="12"/>
  <c r="R12" i="6"/>
  <c r="Q224" i="4"/>
  <c r="O645" i="4" l="1"/>
  <c r="P16" i="10"/>
  <c r="O654" i="4" s="1"/>
  <c r="Q229" i="4"/>
  <c r="E41" i="6"/>
  <c r="E31" i="6"/>
  <c r="E66" i="6"/>
  <c r="R12" i="10"/>
  <c r="Q645" i="4"/>
  <c r="R12" i="12"/>
  <c r="Q717" i="4"/>
  <c r="O717" i="4"/>
  <c r="P16" i="12"/>
  <c r="O726" i="4" s="1"/>
  <c r="D249" i="4" l="1"/>
  <c r="D795" i="4"/>
  <c r="Q722" i="4"/>
  <c r="E66" i="12"/>
  <c r="E31" i="12"/>
  <c r="D746" i="4" s="1"/>
  <c r="E41" i="12"/>
  <c r="Q650" i="4"/>
  <c r="E41" i="10"/>
  <c r="E31" i="10"/>
  <c r="E66" i="10"/>
  <c r="D684" i="4" l="1"/>
  <c r="H795" i="4"/>
  <c r="L795" i="4"/>
  <c r="D756" i="4"/>
  <c r="D674" i="4"/>
  <c r="AF305" i="4" l="1"/>
  <c r="AG305" i="4"/>
  <c r="AH305" i="4"/>
  <c r="AI305" i="4"/>
  <c r="AJ305" i="4"/>
  <c r="AK305" i="4"/>
  <c r="AL305" i="4"/>
  <c r="AM305" i="4"/>
  <c r="AF323" i="4"/>
  <c r="AG323" i="4"/>
  <c r="AH323" i="4"/>
  <c r="AI323" i="4"/>
  <c r="AJ323" i="4"/>
  <c r="AK323" i="4"/>
  <c r="AL323" i="4"/>
  <c r="AM323" i="4"/>
  <c r="Y313" i="4" l="1"/>
  <c r="X313" i="4"/>
  <c r="W313" i="4"/>
  <c r="AE222" i="1"/>
  <c r="W441" i="4"/>
  <c r="AF52" i="1"/>
  <c r="X332" i="4" s="1"/>
  <c r="AF222" i="1"/>
  <c r="X441" i="4" s="1"/>
  <c r="AD52" i="1"/>
  <c r="V332" i="4" s="1"/>
  <c r="V313" i="4"/>
  <c r="AE52" i="1"/>
  <c r="W332" i="4"/>
  <c r="AG222" i="1"/>
  <c r="Y441" i="4"/>
  <c r="AG52" i="1"/>
  <c r="Y332" i="4" s="1"/>
  <c r="AD222" i="1"/>
  <c r="V441" i="4" s="1"/>
  <c r="AN31" i="1"/>
  <c r="AF313" i="4" s="1"/>
  <c r="AN222" i="1" l="1"/>
  <c r="AO222" i="1" s="1"/>
  <c r="AG441" i="4" s="1"/>
  <c r="AN52" i="1"/>
  <c r="AF332" i="4" s="1"/>
  <c r="AF441" i="4" l="1"/>
  <c r="AO228" i="1"/>
  <c r="AP222" i="1"/>
  <c r="AP228" i="1" s="1"/>
  <c r="AO31" i="1"/>
  <c r="AO37" i="1" s="1"/>
  <c r="AG447" i="4"/>
  <c r="AO33" i="1"/>
  <c r="AG315" i="4" s="1"/>
  <c r="AO52" i="1"/>
  <c r="AG332" i="4" s="1"/>
  <c r="AG313" i="4" l="1"/>
  <c r="AQ222" i="1"/>
  <c r="AR222" i="1" s="1"/>
  <c r="AP31" i="1"/>
  <c r="AP33" i="1" s="1"/>
  <c r="AH315" i="4" s="1"/>
  <c r="AH441" i="4"/>
  <c r="AG319" i="4"/>
  <c r="AO39" i="1"/>
  <c r="K69" i="6"/>
  <c r="AH447" i="4"/>
  <c r="AQ228" i="1" l="1"/>
  <c r="AI447" i="4" s="1"/>
  <c r="AH313" i="4"/>
  <c r="AP52" i="1"/>
  <c r="AH332" i="4" s="1"/>
  <c r="AP37" i="1"/>
  <c r="L69" i="6" s="1"/>
  <c r="AI441" i="4"/>
  <c r="AQ31" i="1"/>
  <c r="AQ33" i="1" s="1"/>
  <c r="AI315" i="4" s="1"/>
  <c r="AO55" i="1"/>
  <c r="AG335" i="4" s="1"/>
  <c r="AG321" i="4"/>
  <c r="J274" i="4"/>
  <c r="AO43" i="1"/>
  <c r="AR228" i="1"/>
  <c r="AJ441" i="4"/>
  <c r="AR31" i="1"/>
  <c r="AS222" i="1"/>
  <c r="AQ37" i="1" l="1"/>
  <c r="M69" i="6" s="1"/>
  <c r="AI313" i="4"/>
  <c r="AH319" i="4"/>
  <c r="AQ52" i="1"/>
  <c r="AI332" i="4" s="1"/>
  <c r="AP39" i="1"/>
  <c r="AP43" i="1" s="1"/>
  <c r="AH325" i="4" s="1"/>
  <c r="K274" i="4"/>
  <c r="AO45" i="1"/>
  <c r="O16" i="20" s="1"/>
  <c r="O34" i="20" s="1"/>
  <c r="AO59" i="1"/>
  <c r="AO60" i="1" s="1"/>
  <c r="AO170" i="1"/>
  <c r="AG325" i="4"/>
  <c r="AR33" i="1"/>
  <c r="AJ315" i="4" s="1"/>
  <c r="AJ313" i="4"/>
  <c r="AR37" i="1"/>
  <c r="AR52" i="1"/>
  <c r="AJ332" i="4" s="1"/>
  <c r="AJ447" i="4"/>
  <c r="AK441" i="4"/>
  <c r="AS228" i="1"/>
  <c r="AS31" i="1"/>
  <c r="AT222" i="1"/>
  <c r="AQ39" i="1" l="1"/>
  <c r="AQ43" i="1" s="1"/>
  <c r="AQ45" i="1" s="1"/>
  <c r="AI808" i="4" s="1"/>
  <c r="AI319" i="4"/>
  <c r="AH321" i="4"/>
  <c r="AP55" i="1"/>
  <c r="AH335" i="4" s="1"/>
  <c r="AP45" i="1"/>
  <c r="P16" i="20" s="1"/>
  <c r="P34" i="20" s="1"/>
  <c r="AP170" i="1"/>
  <c r="AH397" i="4" s="1"/>
  <c r="AG397" i="4"/>
  <c r="AO183" i="1"/>
  <c r="AL441" i="4"/>
  <c r="AU222" i="1"/>
  <c r="AT31" i="1"/>
  <c r="AT228" i="1"/>
  <c r="AG808" i="4"/>
  <c r="L274" i="4"/>
  <c r="AS33" i="1"/>
  <c r="AK315" i="4" s="1"/>
  <c r="AK313" i="4"/>
  <c r="AS37" i="1"/>
  <c r="AS52" i="1"/>
  <c r="AK332" i="4" s="1"/>
  <c r="AK447" i="4"/>
  <c r="AR39" i="1"/>
  <c r="AR43" i="1" s="1"/>
  <c r="AJ319" i="4"/>
  <c r="N69" i="6"/>
  <c r="AQ170" i="1" l="1"/>
  <c r="AQ183" i="1" s="1"/>
  <c r="AI321" i="4"/>
  <c r="AI325" i="4"/>
  <c r="AQ55" i="1"/>
  <c r="AI335" i="4" s="1"/>
  <c r="AP59" i="1"/>
  <c r="AP60" i="1" s="1"/>
  <c r="AP183" i="1"/>
  <c r="AH410" i="4" s="1"/>
  <c r="AH808" i="4"/>
  <c r="AS39" i="1"/>
  <c r="AS43" i="1" s="1"/>
  <c r="AK319" i="4"/>
  <c r="O69" i="6"/>
  <c r="M274" i="4"/>
  <c r="AU228" i="1"/>
  <c r="AM441" i="4"/>
  <c r="AU31" i="1"/>
  <c r="AJ325" i="4"/>
  <c r="AR45" i="1"/>
  <c r="AJ808" i="4" s="1"/>
  <c r="AR170" i="1"/>
  <c r="AJ321" i="4"/>
  <c r="AR55" i="1"/>
  <c r="AJ335" i="4" s="1"/>
  <c r="AL313" i="4"/>
  <c r="AT37" i="1"/>
  <c r="AT33" i="1"/>
  <c r="AL315" i="4" s="1"/>
  <c r="AT52" i="1"/>
  <c r="AL332" i="4" s="1"/>
  <c r="AO214" i="1"/>
  <c r="AO210" i="1"/>
  <c r="AG437" i="4" s="1"/>
  <c r="AG410" i="4"/>
  <c r="AL447" i="4"/>
  <c r="AI397" i="4" l="1"/>
  <c r="AP214" i="1"/>
  <c r="AP216" i="1" s="1"/>
  <c r="AQ59" i="1"/>
  <c r="AQ60" i="1" s="1"/>
  <c r="AP210" i="1"/>
  <c r="AH437" i="4" s="1"/>
  <c r="AR59" i="1"/>
  <c r="AR60" i="1" s="1"/>
  <c r="AM447" i="4"/>
  <c r="AR183" i="1"/>
  <c r="AJ397" i="4"/>
  <c r="AQ210" i="1"/>
  <c r="AI437" i="4" s="1"/>
  <c r="AQ214" i="1"/>
  <c r="AI410" i="4"/>
  <c r="AK325" i="4"/>
  <c r="AS170" i="1"/>
  <c r="AS45" i="1"/>
  <c r="AK808" i="4" s="1"/>
  <c r="AO216" i="1"/>
  <c r="AG781" i="4"/>
  <c r="AL319" i="4"/>
  <c r="AT39" i="1"/>
  <c r="AT43" i="1" s="1"/>
  <c r="P69" i="6"/>
  <c r="N274" i="4"/>
  <c r="AU52" i="1"/>
  <c r="AM332" i="4" s="1"/>
  <c r="AM313" i="4"/>
  <c r="AU37" i="1"/>
  <c r="AU33" i="1"/>
  <c r="AM315" i="4" s="1"/>
  <c r="AK321" i="4"/>
  <c r="AS55" i="1"/>
  <c r="AK335" i="4" s="1"/>
  <c r="AH781" i="4" l="1"/>
  <c r="AS59" i="1"/>
  <c r="AS60" i="1" s="1"/>
  <c r="AR214" i="1"/>
  <c r="AR210" i="1"/>
  <c r="AJ437" i="4" s="1"/>
  <c r="AJ410" i="4"/>
  <c r="AM319" i="4"/>
  <c r="AU39" i="1"/>
  <c r="AU43" i="1" s="1"/>
  <c r="Q69" i="6"/>
  <c r="AG783" i="4"/>
  <c r="AO218" i="1"/>
  <c r="AK397" i="4"/>
  <c r="AS183" i="1"/>
  <c r="AT170" i="1"/>
  <c r="AL325" i="4"/>
  <c r="AT45" i="1"/>
  <c r="AL808" i="4" s="1"/>
  <c r="AP218" i="1"/>
  <c r="AH783" i="4"/>
  <c r="AQ216" i="1"/>
  <c r="AI781" i="4"/>
  <c r="O274" i="4"/>
  <c r="AT55" i="1"/>
  <c r="AL335" i="4" s="1"/>
  <c r="AL321" i="4"/>
  <c r="P274" i="4" l="1"/>
  <c r="AU55" i="1"/>
  <c r="AM335" i="4" s="1"/>
  <c r="AM321" i="4"/>
  <c r="AT59" i="1"/>
  <c r="AT60" i="1" s="1"/>
  <c r="AT183" i="1"/>
  <c r="AL397" i="4"/>
  <c r="AM325" i="4"/>
  <c r="AU45" i="1"/>
  <c r="AM808" i="4" s="1"/>
  <c r="AU170" i="1"/>
  <c r="AI783" i="4"/>
  <c r="AQ218" i="1"/>
  <c r="AS214" i="1"/>
  <c r="AK410" i="4"/>
  <c r="AS210" i="1"/>
  <c r="AK437" i="4" s="1"/>
  <c r="AR216" i="1"/>
  <c r="AJ781" i="4"/>
  <c r="AU59" i="1" l="1"/>
  <c r="AU60" i="1" s="1"/>
  <c r="AK781" i="4"/>
  <c r="AS216" i="1"/>
  <c r="AM397" i="4"/>
  <c r="AU183" i="1"/>
  <c r="AL410" i="4"/>
  <c r="AT214" i="1"/>
  <c r="AT210" i="1"/>
  <c r="AL437" i="4" s="1"/>
  <c r="AR218" i="1"/>
  <c r="AJ783" i="4"/>
  <c r="AL781" i="4" l="1"/>
  <c r="AT216" i="1"/>
  <c r="AS218" i="1"/>
  <c r="AK783" i="4"/>
  <c r="AM410" i="4"/>
  <c r="AU210" i="1"/>
  <c r="AM437" i="4" s="1"/>
  <c r="AU214" i="1"/>
  <c r="AM781" i="4" l="1"/>
  <c r="AU216" i="1"/>
  <c r="AT218" i="1"/>
  <c r="AL783" i="4"/>
  <c r="AM783" i="4" l="1"/>
  <c r="AU218" i="1"/>
  <c r="V314" i="4"/>
  <c r="AD225" i="1"/>
  <c r="V444" i="4"/>
  <c r="W314" i="4"/>
  <c r="AE225" i="1"/>
  <c r="W444" i="4" s="1"/>
  <c r="X314" i="4"/>
  <c r="AE53" i="1"/>
  <c r="W333" i="4" s="1"/>
  <c r="Y314" i="4"/>
  <c r="AD53" i="1"/>
  <c r="V333" i="4" s="1"/>
  <c r="AE33" i="1"/>
  <c r="W315" i="4" s="1"/>
  <c r="AG33" i="1"/>
  <c r="Y315" i="4" s="1"/>
  <c r="AG53" i="1"/>
  <c r="Y333" i="4" s="1"/>
  <c r="AG225" i="1"/>
  <c r="Y444" i="4" s="1"/>
  <c r="AF225" i="1"/>
  <c r="X444" i="4" s="1"/>
  <c r="AF37" i="1"/>
  <c r="AF39" i="1" s="1"/>
  <c r="AF33" i="1"/>
  <c r="X315" i="4" s="1"/>
  <c r="AG37" i="1"/>
  <c r="Y319" i="4" s="1"/>
  <c r="AE37" i="1"/>
  <c r="W319" i="4" s="1"/>
  <c r="AN225" i="1"/>
  <c r="AN228" i="1" s="1"/>
  <c r="AD33" i="1"/>
  <c r="V315" i="4" s="1"/>
  <c r="AF53" i="1"/>
  <c r="X333" i="4" s="1"/>
  <c r="AN32" i="1"/>
  <c r="AF314" i="4" s="1"/>
  <c r="AD37" i="1"/>
  <c r="AN37" i="1" l="1"/>
  <c r="AF319" i="4" s="1"/>
  <c r="AG39" i="1"/>
  <c r="AG55" i="1" s="1"/>
  <c r="Y335" i="4" s="1"/>
  <c r="AE39" i="1"/>
  <c r="AE55" i="1" s="1"/>
  <c r="W335" i="4" s="1"/>
  <c r="AF447" i="4"/>
  <c r="AF444" i="4"/>
  <c r="AF55" i="1"/>
  <c r="X335" i="4" s="1"/>
  <c r="X321" i="4"/>
  <c r="AD39" i="1"/>
  <c r="V319" i="4"/>
  <c r="AN226" i="1"/>
  <c r="AF445" i="4" s="1"/>
  <c r="X319" i="4"/>
  <c r="AF43" i="1"/>
  <c r="AN53" i="1"/>
  <c r="AF333" i="4" s="1"/>
  <c r="J69" i="6" l="1"/>
  <c r="J71" i="6" s="1"/>
  <c r="I276" i="4" s="1"/>
  <c r="Y321" i="4"/>
  <c r="AG43" i="1"/>
  <c r="AG45" i="1" s="1"/>
  <c r="K16" i="20" s="1"/>
  <c r="K34" i="20" s="1"/>
  <c r="W321" i="4"/>
  <c r="AE43" i="1"/>
  <c r="AE45" i="1" s="1"/>
  <c r="I16" i="20" s="1"/>
  <c r="I34" i="20" s="1"/>
  <c r="V321" i="4"/>
  <c r="AD55" i="1"/>
  <c r="AN39" i="1"/>
  <c r="AD43" i="1"/>
  <c r="AF170" i="1"/>
  <c r="AF45" i="1"/>
  <c r="J16" i="20" s="1"/>
  <c r="J34" i="20" s="1"/>
  <c r="AF59" i="1"/>
  <c r="AF60" i="1" s="1"/>
  <c r="X325" i="4"/>
  <c r="I274" i="4" l="1"/>
  <c r="J74" i="6"/>
  <c r="I279" i="4" s="1"/>
  <c r="J72" i="6"/>
  <c r="I277" i="4" s="1"/>
  <c r="Y325" i="4"/>
  <c r="Y808" i="4"/>
  <c r="X808" i="4"/>
  <c r="W808" i="4"/>
  <c r="AE59" i="1"/>
  <c r="AE60" i="1" s="1"/>
  <c r="W325" i="4"/>
  <c r="AE170" i="1"/>
  <c r="AE183" i="1" s="1"/>
  <c r="AG170" i="1"/>
  <c r="Y397" i="4" s="1"/>
  <c r="AG59" i="1"/>
  <c r="AG60" i="1" s="1"/>
  <c r="X397" i="4"/>
  <c r="AF183" i="1"/>
  <c r="AD59" i="1"/>
  <c r="AD60" i="1" s="1"/>
  <c r="AD143" i="1"/>
  <c r="AN43" i="1"/>
  <c r="AD170" i="1"/>
  <c r="V325" i="4"/>
  <c r="AD45" i="1"/>
  <c r="H16" i="20" s="1"/>
  <c r="H34" i="20" s="1"/>
  <c r="AF321" i="4"/>
  <c r="AN40" i="1"/>
  <c r="AF322" i="4" s="1"/>
  <c r="V335" i="4"/>
  <c r="AN55" i="1"/>
  <c r="AF335" i="4" s="1"/>
  <c r="K70" i="6" l="1"/>
  <c r="J275" i="4" s="1"/>
  <c r="V808" i="4"/>
  <c r="W397" i="4"/>
  <c r="AG183" i="1"/>
  <c r="AG214" i="1" s="1"/>
  <c r="AF210" i="1"/>
  <c r="X437" i="4" s="1"/>
  <c r="X410" i="4"/>
  <c r="AF214" i="1"/>
  <c r="AF325" i="4"/>
  <c r="AN59" i="1"/>
  <c r="AN60" i="1" s="1"/>
  <c r="AN45" i="1"/>
  <c r="N16" i="20" s="1"/>
  <c r="N34" i="20" s="1"/>
  <c r="AN170" i="1"/>
  <c r="V370" i="4"/>
  <c r="AD144" i="1"/>
  <c r="AE143" i="1"/>
  <c r="W410" i="4"/>
  <c r="AE210" i="1"/>
  <c r="W437" i="4" s="1"/>
  <c r="AE214" i="1"/>
  <c r="AD183" i="1"/>
  <c r="V397" i="4"/>
  <c r="K71" i="6" l="1"/>
  <c r="K72" i="6" s="1"/>
  <c r="L70" i="6" s="1"/>
  <c r="L71" i="6" s="1"/>
  <c r="L72" i="6" s="1"/>
  <c r="Y410" i="4"/>
  <c r="AG210" i="1"/>
  <c r="Y437" i="4" s="1"/>
  <c r="AE216" i="1"/>
  <c r="W781" i="4"/>
  <c r="W370" i="4"/>
  <c r="AF143" i="1"/>
  <c r="AE144" i="1"/>
  <c r="AD146" i="1"/>
  <c r="V373" i="4" s="1"/>
  <c r="V371" i="4"/>
  <c r="AG216" i="1"/>
  <c r="Y781" i="4"/>
  <c r="AN183" i="1"/>
  <c r="AF397" i="4"/>
  <c r="X781" i="4"/>
  <c r="AF216" i="1"/>
  <c r="V410" i="4"/>
  <c r="AD214" i="1"/>
  <c r="AD210" i="1"/>
  <c r="AF808" i="4"/>
  <c r="K275" i="4" l="1"/>
  <c r="K74" i="6"/>
  <c r="K76" i="6" s="1"/>
  <c r="K8" i="6" s="1"/>
  <c r="J277" i="4"/>
  <c r="J276" i="4"/>
  <c r="X783" i="4"/>
  <c r="AF218" i="1"/>
  <c r="X370" i="4"/>
  <c r="AF144" i="1"/>
  <c r="AG143" i="1"/>
  <c r="AG218" i="1"/>
  <c r="Y783" i="4"/>
  <c r="K276" i="4"/>
  <c r="L74" i="6"/>
  <c r="W371" i="4"/>
  <c r="AE146" i="1"/>
  <c r="W373" i="4" s="1"/>
  <c r="V437" i="4"/>
  <c r="AD211" i="1"/>
  <c r="AN214" i="1"/>
  <c r="AF410" i="4"/>
  <c r="AN210" i="1"/>
  <c r="K277" i="4"/>
  <c r="M70" i="6"/>
  <c r="AD216" i="1"/>
  <c r="V781" i="4"/>
  <c r="W783" i="4"/>
  <c r="AE218" i="1"/>
  <c r="J281" i="4" l="1"/>
  <c r="J279" i="4"/>
  <c r="AE209" i="1"/>
  <c r="AD116" i="1"/>
  <c r="V438" i="4"/>
  <c r="K8" i="12"/>
  <c r="J718" i="4" s="1"/>
  <c r="J225" i="4"/>
  <c r="K8" i="10"/>
  <c r="J646" i="4" s="1"/>
  <c r="K12" i="6"/>
  <c r="K279" i="4"/>
  <c r="L76" i="6"/>
  <c r="AF437" i="4"/>
  <c r="AN211" i="1"/>
  <c r="AN216" i="1"/>
  <c r="AF781" i="4"/>
  <c r="V783" i="4"/>
  <c r="AD218" i="1"/>
  <c r="AN143" i="1"/>
  <c r="AG144" i="1"/>
  <c r="Y370" i="4"/>
  <c r="X371" i="4"/>
  <c r="AF146" i="1"/>
  <c r="X373" i="4" s="1"/>
  <c r="L275" i="4"/>
  <c r="M71" i="6"/>
  <c r="M72" i="6" s="1"/>
  <c r="J229" i="4" l="1"/>
  <c r="K17" i="6"/>
  <c r="K22" i="6"/>
  <c r="K26" i="6"/>
  <c r="AF783" i="4"/>
  <c r="AN218" i="1"/>
  <c r="AO209" i="1"/>
  <c r="AF438" i="4"/>
  <c r="AO143" i="1"/>
  <c r="AF370" i="4"/>
  <c r="L277" i="4"/>
  <c r="N70" i="6"/>
  <c r="M74" i="6"/>
  <c r="L276" i="4"/>
  <c r="V343" i="4"/>
  <c r="AD120" i="1"/>
  <c r="AG146" i="1"/>
  <c r="Y371" i="4"/>
  <c r="AN144" i="1"/>
  <c r="AF371" i="4" s="1"/>
  <c r="K281" i="4"/>
  <c r="L8" i="6"/>
  <c r="AE211" i="1"/>
  <c r="W436" i="4"/>
  <c r="L279" i="4" l="1"/>
  <c r="M76" i="6"/>
  <c r="V347" i="4"/>
  <c r="AD126" i="1"/>
  <c r="AO211" i="1"/>
  <c r="AG436" i="4"/>
  <c r="L8" i="12"/>
  <c r="K718" i="4" s="1"/>
  <c r="K225" i="4"/>
  <c r="L8" i="10"/>
  <c r="K646" i="4" s="1"/>
  <c r="L12" i="6"/>
  <c r="M275" i="4"/>
  <c r="N71" i="6"/>
  <c r="J238" i="4"/>
  <c r="W438" i="4"/>
  <c r="AF209" i="1"/>
  <c r="AE116" i="1"/>
  <c r="J234" i="4"/>
  <c r="K17" i="12"/>
  <c r="K17" i="10"/>
  <c r="AN146" i="1"/>
  <c r="AF373" i="4" s="1"/>
  <c r="Y373" i="4"/>
  <c r="AO144" i="1"/>
  <c r="AG370" i="4"/>
  <c r="AP143" i="1"/>
  <c r="AO146" i="1" l="1"/>
  <c r="AG373" i="4" s="1"/>
  <c r="AG371" i="4"/>
  <c r="J727" i="4"/>
  <c r="K12" i="12"/>
  <c r="AG438" i="4"/>
  <c r="AP209" i="1"/>
  <c r="AO116" i="1"/>
  <c r="X436" i="4"/>
  <c r="AF211" i="1"/>
  <c r="J655" i="4"/>
  <c r="K12" i="10"/>
  <c r="M276" i="4"/>
  <c r="N74" i="6"/>
  <c r="AH370" i="4"/>
  <c r="AQ143" i="1"/>
  <c r="AP144" i="1"/>
  <c r="N72" i="6"/>
  <c r="AD147" i="1"/>
  <c r="V374" i="4" s="1"/>
  <c r="V353" i="4"/>
  <c r="W343" i="4"/>
  <c r="AE120" i="1"/>
  <c r="L22" i="6"/>
  <c r="K229" i="4"/>
  <c r="L26" i="6"/>
  <c r="L17" i="6"/>
  <c r="L281" i="4"/>
  <c r="M8" i="6"/>
  <c r="AP146" i="1" l="1"/>
  <c r="AH373" i="4" s="1"/>
  <c r="AH371" i="4"/>
  <c r="AI370" i="4"/>
  <c r="AQ144" i="1"/>
  <c r="AR143" i="1"/>
  <c r="AO120" i="1"/>
  <c r="AG343" i="4"/>
  <c r="AO229" i="1"/>
  <c r="AG448" i="4" s="1"/>
  <c r="AO223" i="1"/>
  <c r="AG442" i="4" s="1"/>
  <c r="AE126" i="1"/>
  <c r="W347" i="4"/>
  <c r="J650" i="4"/>
  <c r="K22" i="10"/>
  <c r="K26" i="10"/>
  <c r="K9" i="10"/>
  <c r="J647" i="4" s="1"/>
  <c r="K238" i="4"/>
  <c r="AH436" i="4"/>
  <c r="AP211" i="1"/>
  <c r="M279" i="4"/>
  <c r="N76" i="6"/>
  <c r="K22" i="12"/>
  <c r="K9" i="12"/>
  <c r="J719" i="4" s="1"/>
  <c r="J722" i="4"/>
  <c r="K26" i="12"/>
  <c r="M8" i="12"/>
  <c r="L718" i="4" s="1"/>
  <c r="L225" i="4"/>
  <c r="M8" i="10"/>
  <c r="L646" i="4" s="1"/>
  <c r="M12" i="6"/>
  <c r="L17" i="10"/>
  <c r="K234" i="4"/>
  <c r="L17" i="12"/>
  <c r="O70" i="6"/>
  <c r="M277" i="4"/>
  <c r="X438" i="4"/>
  <c r="AF116" i="1"/>
  <c r="AG209" i="1"/>
  <c r="AG342" i="4" l="1"/>
  <c r="L12" i="10"/>
  <c r="K655" i="4"/>
  <c r="AO126" i="1"/>
  <c r="AG347" i="4"/>
  <c r="Y436" i="4"/>
  <c r="AG211" i="1"/>
  <c r="M22" i="6"/>
  <c r="L229" i="4"/>
  <c r="M26" i="6"/>
  <c r="M17" i="6"/>
  <c r="M281" i="4"/>
  <c r="N8" i="6"/>
  <c r="AR144" i="1"/>
  <c r="AJ370" i="4"/>
  <c r="AS143" i="1"/>
  <c r="J663" i="4"/>
  <c r="J659" i="4"/>
  <c r="AQ146" i="1"/>
  <c r="AI373" i="4" s="1"/>
  <c r="AI371" i="4"/>
  <c r="AE147" i="1"/>
  <c r="W374" i="4" s="1"/>
  <c r="W353" i="4"/>
  <c r="K727" i="4"/>
  <c r="L12" i="12"/>
  <c r="J731" i="4"/>
  <c r="X343" i="4"/>
  <c r="AF120" i="1"/>
  <c r="AH438" i="4"/>
  <c r="AP116" i="1"/>
  <c r="AQ209" i="1"/>
  <c r="N275" i="4"/>
  <c r="O71" i="6"/>
  <c r="J735" i="4"/>
  <c r="AP120" i="1" l="1"/>
  <c r="AH343" i="4"/>
  <c r="AP229" i="1"/>
  <c r="AH448" i="4" s="1"/>
  <c r="AP223" i="1"/>
  <c r="AH442" i="4" s="1"/>
  <c r="AS144" i="1"/>
  <c r="AK370" i="4"/>
  <c r="AT143" i="1"/>
  <c r="Y438" i="4"/>
  <c r="AG116" i="1"/>
  <c r="AJ371" i="4"/>
  <c r="AR146" i="1"/>
  <c r="AJ373" i="4" s="1"/>
  <c r="M225" i="4"/>
  <c r="N12" i="6"/>
  <c r="N8" i="10"/>
  <c r="M646" i="4" s="1"/>
  <c r="N8" i="12"/>
  <c r="M718" i="4" s="1"/>
  <c r="AO147" i="1"/>
  <c r="AG374" i="4" s="1"/>
  <c r="AG353" i="4"/>
  <c r="L238" i="4"/>
  <c r="L234" i="4"/>
  <c r="M17" i="10"/>
  <c r="M17" i="12"/>
  <c r="AQ211" i="1"/>
  <c r="AI436" i="4"/>
  <c r="AF126" i="1"/>
  <c r="X347" i="4"/>
  <c r="O74" i="6"/>
  <c r="N276" i="4"/>
  <c r="O72" i="6"/>
  <c r="K722" i="4"/>
  <c r="L22" i="12"/>
  <c r="L26" i="12"/>
  <c r="L9" i="12"/>
  <c r="K719" i="4" s="1"/>
  <c r="L26" i="10"/>
  <c r="L22" i="10"/>
  <c r="K650" i="4"/>
  <c r="L9" i="10"/>
  <c r="K647" i="4" s="1"/>
  <c r="AH342" i="4" l="1"/>
  <c r="K731" i="4"/>
  <c r="M12" i="10"/>
  <c r="L655" i="4"/>
  <c r="K735" i="4"/>
  <c r="L727" i="4"/>
  <c r="M12" i="12"/>
  <c r="N26" i="6"/>
  <c r="M229" i="4"/>
  <c r="N22" i="6"/>
  <c r="N17" i="6"/>
  <c r="K659" i="4"/>
  <c r="K663" i="4"/>
  <c r="O76" i="6"/>
  <c r="N279" i="4"/>
  <c r="AI438" i="4"/>
  <c r="AQ116" i="1"/>
  <c r="AR209" i="1"/>
  <c r="N277" i="4"/>
  <c r="P70" i="6"/>
  <c r="AU143" i="1"/>
  <c r="AL370" i="4"/>
  <c r="AT144" i="1"/>
  <c r="AK371" i="4"/>
  <c r="AS146" i="1"/>
  <c r="AK373" i="4" s="1"/>
  <c r="X353" i="4"/>
  <c r="AF147" i="1"/>
  <c r="X374" i="4" s="1"/>
  <c r="AN116" i="1"/>
  <c r="AG120" i="1"/>
  <c r="Y343" i="4"/>
  <c r="AH347" i="4"/>
  <c r="AP126" i="1"/>
  <c r="L722" i="4" l="1"/>
  <c r="M9" i="12"/>
  <c r="L719" i="4" s="1"/>
  <c r="M26" i="12"/>
  <c r="M22" i="12"/>
  <c r="O275" i="4"/>
  <c r="P71" i="6"/>
  <c r="AR211" i="1"/>
  <c r="AJ436" i="4"/>
  <c r="AI343" i="4"/>
  <c r="AQ229" i="1"/>
  <c r="AI448" i="4" s="1"/>
  <c r="AQ120" i="1"/>
  <c r="AQ223" i="1"/>
  <c r="AI442" i="4" s="1"/>
  <c r="AH353" i="4"/>
  <c r="AP147" i="1"/>
  <c r="AH374" i="4" s="1"/>
  <c r="M238" i="4"/>
  <c r="L650" i="4"/>
  <c r="M9" i="10"/>
  <c r="L647" i="4" s="1"/>
  <c r="M26" i="10"/>
  <c r="M22" i="10"/>
  <c r="AU144" i="1"/>
  <c r="AM370" i="4"/>
  <c r="AL371" i="4"/>
  <c r="AT146" i="1"/>
  <c r="AL373" i="4" s="1"/>
  <c r="AG126" i="1"/>
  <c r="Y347" i="4"/>
  <c r="AF343" i="4"/>
  <c r="E44" i="6"/>
  <c r="AN223" i="1"/>
  <c r="AF442" i="4" s="1"/>
  <c r="AN120" i="1"/>
  <c r="E44" i="12"/>
  <c r="AN229" i="1"/>
  <c r="AF448" i="4" s="1"/>
  <c r="N17" i="12"/>
  <c r="N17" i="10"/>
  <c r="M234" i="4"/>
  <c r="O8" i="6"/>
  <c r="N281" i="4"/>
  <c r="AI342" i="4" l="1"/>
  <c r="O276" i="4"/>
  <c r="P74" i="6"/>
  <c r="N225" i="4"/>
  <c r="O8" i="10"/>
  <c r="N646" i="4" s="1"/>
  <c r="O12" i="6"/>
  <c r="O8" i="12"/>
  <c r="N718" i="4" s="1"/>
  <c r="L663" i="4"/>
  <c r="AR116" i="1"/>
  <c r="AS209" i="1"/>
  <c r="AJ438" i="4"/>
  <c r="AM371" i="4"/>
  <c r="AU146" i="1"/>
  <c r="AM373" i="4" s="1"/>
  <c r="AI347" i="4"/>
  <c r="AQ126" i="1"/>
  <c r="M655" i="4"/>
  <c r="N12" i="10"/>
  <c r="L735" i="4"/>
  <c r="AN126" i="1"/>
  <c r="AF347" i="4"/>
  <c r="D798" i="4"/>
  <c r="E44" i="10"/>
  <c r="P72" i="6"/>
  <c r="L731" i="4"/>
  <c r="N12" i="12"/>
  <c r="M727" i="4"/>
  <c r="AG147" i="1"/>
  <c r="Y374" i="4" s="1"/>
  <c r="Y353" i="4"/>
  <c r="D759" i="4"/>
  <c r="L798" i="4"/>
  <c r="L659" i="4"/>
  <c r="O277" i="4" l="1"/>
  <c r="Q70" i="6"/>
  <c r="D687" i="4"/>
  <c r="H798" i="4"/>
  <c r="AF353" i="4"/>
  <c r="AN147" i="1"/>
  <c r="AF374" i="4" s="1"/>
  <c r="O22" i="6"/>
  <c r="O17" i="6"/>
  <c r="N229" i="4"/>
  <c r="O26" i="6"/>
  <c r="AK436" i="4"/>
  <c r="AS211" i="1"/>
  <c r="O279" i="4"/>
  <c r="P76" i="6"/>
  <c r="AI353" i="4"/>
  <c r="AQ147" i="1"/>
  <c r="AI374" i="4" s="1"/>
  <c r="M722" i="4"/>
  <c r="N26" i="12"/>
  <c r="N9" i="12"/>
  <c r="M719" i="4" s="1"/>
  <c r="N22" i="12"/>
  <c r="M650" i="4"/>
  <c r="N22" i="10"/>
  <c r="N9" i="10"/>
  <c r="M647" i="4" s="1"/>
  <c r="N26" i="10"/>
  <c r="AR120" i="1"/>
  <c r="AJ343" i="4"/>
  <c r="AR229" i="1"/>
  <c r="AJ448" i="4" s="1"/>
  <c r="AR223" i="1"/>
  <c r="AJ442" i="4" s="1"/>
  <c r="AJ342" i="4" l="1"/>
  <c r="M659" i="4"/>
  <c r="O17" i="12"/>
  <c r="N234" i="4"/>
  <c r="O17" i="10"/>
  <c r="M731" i="4"/>
  <c r="M735" i="4"/>
  <c r="P275" i="4"/>
  <c r="Q71" i="6"/>
  <c r="Q72" i="6" s="1"/>
  <c r="P277" i="4" s="1"/>
  <c r="M663" i="4"/>
  <c r="N238" i="4"/>
  <c r="P8" i="6"/>
  <c r="O281" i="4"/>
  <c r="AS116" i="1"/>
  <c r="AT209" i="1"/>
  <c r="AK438" i="4"/>
  <c r="AJ347" i="4"/>
  <c r="AR126" i="1"/>
  <c r="N655" i="4" l="1"/>
  <c r="O12" i="10"/>
  <c r="P276" i="4"/>
  <c r="Q74" i="6"/>
  <c r="N727" i="4"/>
  <c r="O12" i="12"/>
  <c r="AJ353" i="4"/>
  <c r="AR147" i="1"/>
  <c r="AJ374" i="4" s="1"/>
  <c r="AS229" i="1"/>
  <c r="AK448" i="4" s="1"/>
  <c r="AS120" i="1"/>
  <c r="AS223" i="1"/>
  <c r="AK442" i="4" s="1"/>
  <c r="AK343" i="4"/>
  <c r="AL436" i="4"/>
  <c r="AT211" i="1"/>
  <c r="O225" i="4"/>
  <c r="P8" i="10"/>
  <c r="O646" i="4" s="1"/>
  <c r="P12" i="6"/>
  <c r="P8" i="12"/>
  <c r="O718" i="4" s="1"/>
  <c r="AK342" i="4" l="1"/>
  <c r="O22" i="12"/>
  <c r="N722" i="4"/>
  <c r="O9" i="12"/>
  <c r="N719" i="4" s="1"/>
  <c r="O26" i="12"/>
  <c r="AK347" i="4"/>
  <c r="AS126" i="1"/>
  <c r="O26" i="10"/>
  <c r="N650" i="4"/>
  <c r="O22" i="10"/>
  <c r="O9" i="10"/>
  <c r="N647" i="4" s="1"/>
  <c r="AL438" i="4"/>
  <c r="AT116" i="1"/>
  <c r="AU209" i="1"/>
  <c r="P279" i="4"/>
  <c r="Q76" i="6"/>
  <c r="O229" i="4"/>
  <c r="P26" i="6"/>
  <c r="P22" i="6"/>
  <c r="O238" i="4" s="1"/>
  <c r="P17" i="6"/>
  <c r="N663" i="4" l="1"/>
  <c r="N735" i="4"/>
  <c r="AS147" i="1"/>
  <c r="AK374" i="4" s="1"/>
  <c r="AK353" i="4"/>
  <c r="P281" i="4"/>
  <c r="Q8" i="6"/>
  <c r="AM436" i="4"/>
  <c r="AU211" i="1"/>
  <c r="AT223" i="1"/>
  <c r="AL442" i="4" s="1"/>
  <c r="AL343" i="4"/>
  <c r="AT120" i="1"/>
  <c r="AT229" i="1"/>
  <c r="AL448" i="4" s="1"/>
  <c r="P17" i="12"/>
  <c r="P17" i="10"/>
  <c r="O234" i="4"/>
  <c r="N659" i="4"/>
  <c r="N731" i="4"/>
  <c r="AL342" i="4" l="1"/>
  <c r="Q8" i="10"/>
  <c r="P646" i="4" s="1"/>
  <c r="Q12" i="6"/>
  <c r="Q8" i="12"/>
  <c r="P718" i="4" s="1"/>
  <c r="P225" i="4"/>
  <c r="AT126" i="1"/>
  <c r="AL347" i="4"/>
  <c r="O655" i="4"/>
  <c r="P12" i="10"/>
  <c r="P12" i="12"/>
  <c r="O727" i="4"/>
  <c r="AM438" i="4"/>
  <c r="AU116" i="1"/>
  <c r="P9" i="10" l="1"/>
  <c r="O647" i="4" s="1"/>
  <c r="P26" i="10"/>
  <c r="O663" i="4" s="1"/>
  <c r="P22" i="10"/>
  <c r="O659" i="4" s="1"/>
  <c r="O650" i="4"/>
  <c r="Q26" i="6"/>
  <c r="E40" i="6" s="1"/>
  <c r="Q22" i="6"/>
  <c r="P229" i="4"/>
  <c r="Q17" i="6"/>
  <c r="AT147" i="1"/>
  <c r="AL374" i="4" s="1"/>
  <c r="AL353" i="4"/>
  <c r="AU229" i="1"/>
  <c r="AM448" i="4" s="1"/>
  <c r="AU223" i="1"/>
  <c r="AM442" i="4" s="1"/>
  <c r="AU120" i="1"/>
  <c r="AM343" i="4"/>
  <c r="O722" i="4"/>
  <c r="P26" i="12"/>
  <c r="O735" i="4" s="1"/>
  <c r="P9" i="12"/>
  <c r="O719" i="4" s="1"/>
  <c r="P22" i="12"/>
  <c r="O731" i="4" s="1"/>
  <c r="AM342" i="4" l="1"/>
  <c r="P238" i="4"/>
  <c r="E30" i="6"/>
  <c r="P234" i="4"/>
  <c r="Q17" i="12"/>
  <c r="Q17" i="10"/>
  <c r="E42" i="6"/>
  <c r="D794" i="4"/>
  <c r="AU126" i="1"/>
  <c r="AM347" i="4"/>
  <c r="P655" i="4" l="1"/>
  <c r="Q12" i="10"/>
  <c r="E32" i="6"/>
  <c r="D248" i="4"/>
  <c r="AM353" i="4"/>
  <c r="AU147" i="1"/>
  <c r="AM374" i="4" s="1"/>
  <c r="E62" i="6"/>
  <c r="D796" i="4"/>
  <c r="E63" i="6"/>
  <c r="E45" i="6"/>
  <c r="P727" i="4"/>
  <c r="Q12" i="12"/>
  <c r="Q22" i="12" l="1"/>
  <c r="Q9" i="12"/>
  <c r="P719" i="4" s="1"/>
  <c r="P722" i="4"/>
  <c r="Q26" i="12"/>
  <c r="D250" i="4"/>
  <c r="E35" i="6"/>
  <c r="Q9" i="10"/>
  <c r="P647" i="4" s="1"/>
  <c r="Q22" i="10"/>
  <c r="Q26" i="10"/>
  <c r="P650" i="4"/>
  <c r="D799" i="4"/>
  <c r="I40" i="6"/>
  <c r="H248" i="4" s="1"/>
  <c r="E47" i="6"/>
  <c r="I1" i="2" l="1"/>
  <c r="D801" i="4"/>
  <c r="I1" i="1"/>
  <c r="I1" i="3"/>
  <c r="P659" i="4"/>
  <c r="E30" i="10"/>
  <c r="D253" i="4"/>
  <c r="E37" i="6"/>
  <c r="D255" i="4" s="1"/>
  <c r="P735" i="4"/>
  <c r="E40" i="12"/>
  <c r="P663" i="4"/>
  <c r="E40" i="10"/>
  <c r="P731" i="4"/>
  <c r="E30" i="12"/>
  <c r="E32" i="10" l="1"/>
  <c r="D673" i="4"/>
  <c r="E42" i="10"/>
  <c r="H794" i="4"/>
  <c r="D683" i="4"/>
  <c r="E42" i="12"/>
  <c r="D755" i="4"/>
  <c r="L794" i="4"/>
  <c r="E32" i="12"/>
  <c r="D745" i="4"/>
  <c r="E63" i="10" l="1"/>
  <c r="E62" i="10"/>
  <c r="E63" i="12"/>
  <c r="E62" i="12"/>
  <c r="E45" i="10"/>
  <c r="H796" i="4"/>
  <c r="D685" i="4"/>
  <c r="E45" i="12"/>
  <c r="L796" i="4"/>
  <c r="D757" i="4"/>
  <c r="D747" i="4"/>
  <c r="E35" i="12"/>
  <c r="D675" i="4"/>
  <c r="E35" i="10"/>
  <c r="E37" i="10" l="1"/>
  <c r="D680" i="4" s="1"/>
  <c r="D678" i="4"/>
  <c r="D750" i="4"/>
  <c r="E37" i="12"/>
  <c r="D752" i="4" s="1"/>
  <c r="E47" i="10"/>
  <c r="H799" i="4"/>
  <c r="D688" i="4"/>
  <c r="E47" i="12"/>
  <c r="L799" i="4"/>
  <c r="D760" i="4"/>
  <c r="L801" i="4" l="1"/>
  <c r="D762" i="4"/>
  <c r="H801" i="4"/>
  <c r="D690" i="4"/>
  <c r="T38" i="4" l="1"/>
  <c r="T544" i="4"/>
  <c r="U543" i="4"/>
  <c r="AE65" i="2"/>
  <c r="AF65" i="2"/>
  <c r="X38" i="4" s="1"/>
  <c r="T41" i="4"/>
  <c r="AC70" i="2"/>
  <c r="U549" i="4" s="1"/>
  <c r="AB72" i="2"/>
  <c r="AB73" i="2" s="1"/>
  <c r="AF68" i="2" l="1"/>
  <c r="X41" i="4" s="1"/>
  <c r="AB85" i="2"/>
  <c r="T564" i="4" s="1"/>
  <c r="AA68" i="2"/>
  <c r="S41" i="4" s="1"/>
  <c r="AA66" i="2"/>
  <c r="S39" i="4" s="1"/>
  <c r="AC74" i="2"/>
  <c r="U46" i="4" s="1"/>
  <c r="T552" i="4"/>
  <c r="T45" i="4"/>
  <c r="T551" i="4"/>
  <c r="T44" i="4"/>
  <c r="W38" i="4"/>
  <c r="W544" i="4"/>
  <c r="AE68" i="2"/>
  <c r="S544" i="4"/>
  <c r="S38" i="4"/>
  <c r="T543" i="4"/>
  <c r="X544" i="4"/>
  <c r="T547" i="4"/>
  <c r="AF72" i="2" l="1"/>
  <c r="X551" i="4" s="1"/>
  <c r="AG70" i="2"/>
  <c r="Y549" i="4" s="1"/>
  <c r="X547" i="4"/>
  <c r="AF69" i="2"/>
  <c r="X42" i="4" s="1"/>
  <c r="U553" i="4"/>
  <c r="AA70" i="2"/>
  <c r="S549" i="4" s="1"/>
  <c r="S547" i="4"/>
  <c r="AM68" i="2"/>
  <c r="AE41" i="4" s="1"/>
  <c r="AB70" i="2"/>
  <c r="T549" i="4" s="1"/>
  <c r="AA72" i="2"/>
  <c r="AA73" i="2" s="1"/>
  <c r="AA69" i="2"/>
  <c r="S42" i="4" s="1"/>
  <c r="S545" i="4"/>
  <c r="T42" i="4"/>
  <c r="T548" i="4"/>
  <c r="AN68" i="2"/>
  <c r="W41" i="4"/>
  <c r="W547" i="4"/>
  <c r="AF70" i="2"/>
  <c r="X549" i="4" s="1"/>
  <c r="AE72" i="2"/>
  <c r="AE69" i="2"/>
  <c r="AE70" i="2"/>
  <c r="W549" i="4" s="1"/>
  <c r="X44" i="4" l="1"/>
  <c r="AF85" i="2"/>
  <c r="AF86" i="2" s="1"/>
  <c r="X565" i="4" s="1"/>
  <c r="AG74" i="2"/>
  <c r="Y553" i="4" s="1"/>
  <c r="AF73" i="2"/>
  <c r="X548" i="4"/>
  <c r="AA85" i="2"/>
  <c r="S564" i="4" s="1"/>
  <c r="AM69" i="2"/>
  <c r="AE548" i="4" s="1"/>
  <c r="AM72" i="2"/>
  <c r="AM73" i="2" s="1"/>
  <c r="AE552" i="4" s="1"/>
  <c r="AE547" i="4"/>
  <c r="AM66" i="2"/>
  <c r="AE545" i="4" s="1"/>
  <c r="S45" i="4"/>
  <c r="S552" i="4"/>
  <c r="S548" i="4"/>
  <c r="S44" i="4"/>
  <c r="AB74" i="2"/>
  <c r="T46" i="4" s="1"/>
  <c r="AA74" i="2"/>
  <c r="S551" i="4"/>
  <c r="X564" i="4"/>
  <c r="Y46" i="4"/>
  <c r="AF41" i="4"/>
  <c r="AF547" i="4"/>
  <c r="AN65" i="2"/>
  <c r="AN69" i="2"/>
  <c r="AN72" i="2"/>
  <c r="W42" i="4"/>
  <c r="W548" i="4"/>
  <c r="W551" i="4"/>
  <c r="W44" i="4"/>
  <c r="AE74" i="2"/>
  <c r="AF74" i="2"/>
  <c r="AE85" i="2"/>
  <c r="AE73" i="2"/>
  <c r="X45" i="4" l="1"/>
  <c r="X552" i="4"/>
  <c r="AE45" i="4"/>
  <c r="AE44" i="4"/>
  <c r="AE39" i="4"/>
  <c r="AE551" i="4"/>
  <c r="AE42" i="4"/>
  <c r="AM85" i="2"/>
  <c r="AE564" i="4" s="1"/>
  <c r="AE38" i="4"/>
  <c r="AE544" i="4"/>
  <c r="T553" i="4"/>
  <c r="S46" i="4"/>
  <c r="S553" i="4"/>
  <c r="W553" i="4"/>
  <c r="W46" i="4"/>
  <c r="AF42" i="4"/>
  <c r="AF548" i="4"/>
  <c r="AF551" i="4"/>
  <c r="AF44" i="4"/>
  <c r="AN85" i="2"/>
  <c r="AN73" i="2"/>
  <c r="W45" i="4"/>
  <c r="W552" i="4"/>
  <c r="AF38" i="4"/>
  <c r="AF544" i="4"/>
  <c r="AO65" i="2"/>
  <c r="AN66" i="2"/>
  <c r="X553" i="4"/>
  <c r="X46" i="4"/>
  <c r="W564" i="4"/>
  <c r="AE86" i="2"/>
  <c r="W565" i="4" s="1"/>
  <c r="AG38" i="4" l="1"/>
  <c r="AG544" i="4"/>
  <c r="AO68" i="2"/>
  <c r="AP65" i="2"/>
  <c r="AF552" i="4"/>
  <c r="AF45" i="4"/>
  <c r="AF564" i="4"/>
  <c r="AN86" i="2"/>
  <c r="AF565" i="4" s="1"/>
  <c r="AF39" i="4"/>
  <c r="AF545" i="4"/>
  <c r="AH38" i="4" l="1"/>
  <c r="AH544" i="4"/>
  <c r="AP68" i="2"/>
  <c r="AQ65" i="2"/>
  <c r="AG41" i="4"/>
  <c r="AG547" i="4"/>
  <c r="AO72" i="2"/>
  <c r="AO69" i="2"/>
  <c r="AR65" i="2" l="1"/>
  <c r="AI38" i="4"/>
  <c r="AI544" i="4"/>
  <c r="AQ68" i="2"/>
  <c r="AG42" i="4"/>
  <c r="AG548" i="4"/>
  <c r="AH41" i="4"/>
  <c r="AH547" i="4"/>
  <c r="AP72" i="2"/>
  <c r="AP69" i="2"/>
  <c r="AG551" i="4"/>
  <c r="AG44" i="4"/>
  <c r="AO85" i="2"/>
  <c r="AO73" i="2"/>
  <c r="AH44" i="4" l="1"/>
  <c r="AH551" i="4"/>
  <c r="AP73" i="2"/>
  <c r="AP85" i="2"/>
  <c r="AI41" i="4"/>
  <c r="AI547" i="4"/>
  <c r="AQ72" i="2"/>
  <c r="AQ69" i="2"/>
  <c r="AG564" i="4"/>
  <c r="AO86" i="2"/>
  <c r="AG565" i="4" s="1"/>
  <c r="AJ38" i="4"/>
  <c r="AJ544" i="4"/>
  <c r="AR68" i="2"/>
  <c r="AS65" i="2"/>
  <c r="AG45" i="4"/>
  <c r="AG552" i="4"/>
  <c r="AH42" i="4"/>
  <c r="AH548" i="4"/>
  <c r="AJ41" i="4" l="1"/>
  <c r="AJ547" i="4"/>
  <c r="AR69" i="2"/>
  <c r="AR72" i="2"/>
  <c r="AI42" i="4"/>
  <c r="AI548" i="4"/>
  <c r="AH564" i="4"/>
  <c r="AP86" i="2"/>
  <c r="AH565" i="4" s="1"/>
  <c r="AI44" i="4"/>
  <c r="AI551" i="4"/>
  <c r="AQ85" i="2"/>
  <c r="AQ73" i="2"/>
  <c r="AH45" i="4"/>
  <c r="AH552" i="4"/>
  <c r="AK38" i="4"/>
  <c r="AK544" i="4"/>
  <c r="AS68" i="2"/>
  <c r="AT65" i="2"/>
  <c r="AJ551" i="4" l="1"/>
  <c r="AJ44" i="4"/>
  <c r="AR85" i="2"/>
  <c r="AR73" i="2"/>
  <c r="AI564" i="4"/>
  <c r="AQ86" i="2"/>
  <c r="AI565" i="4" s="1"/>
  <c r="AJ42" i="4"/>
  <c r="AJ548" i="4"/>
  <c r="AK41" i="4"/>
  <c r="AK547" i="4"/>
  <c r="AS72" i="2"/>
  <c r="AS69" i="2"/>
  <c r="AI552" i="4"/>
  <c r="AI45" i="4"/>
  <c r="AL38" i="4"/>
  <c r="AL544" i="4"/>
  <c r="AT68" i="2"/>
  <c r="AU65" i="2"/>
  <c r="AJ552" i="4" l="1"/>
  <c r="AJ45" i="4"/>
  <c r="AL41" i="4"/>
  <c r="AL547" i="4"/>
  <c r="AT69" i="2"/>
  <c r="AT72" i="2"/>
  <c r="AK551" i="4"/>
  <c r="AK44" i="4"/>
  <c r="AS85" i="2"/>
  <c r="AS73" i="2"/>
  <c r="AJ564" i="4"/>
  <c r="AR86" i="2"/>
  <c r="AJ565" i="4" s="1"/>
  <c r="AK42" i="4"/>
  <c r="AK548" i="4"/>
  <c r="AM38" i="4"/>
  <c r="AM544" i="4"/>
  <c r="AU68" i="2"/>
  <c r="AK564" i="4" l="1"/>
  <c r="AS86" i="2"/>
  <c r="AK565" i="4" s="1"/>
  <c r="AL42" i="4"/>
  <c r="AL548" i="4"/>
  <c r="AM41" i="4"/>
  <c r="AM547" i="4"/>
  <c r="AU72" i="2"/>
  <c r="AU69" i="2"/>
  <c r="AK45" i="4"/>
  <c r="AK552" i="4"/>
  <c r="AL44" i="4"/>
  <c r="AL551" i="4"/>
  <c r="AT73" i="2"/>
  <c r="AT85" i="2"/>
  <c r="AL45" i="4" l="1"/>
  <c r="AL552" i="4"/>
  <c r="AM42" i="4"/>
  <c r="AM548" i="4"/>
  <c r="AM44" i="4"/>
  <c r="AM551" i="4"/>
  <c r="AU85" i="2"/>
  <c r="AU73" i="2"/>
  <c r="AL564" i="4"/>
  <c r="AT86" i="2"/>
  <c r="AL565" i="4" s="1"/>
  <c r="AM552" i="4" l="1"/>
  <c r="AM45" i="4"/>
  <c r="AM564" i="4"/>
  <c r="AU86" i="2"/>
  <c r="AM565" i="4" s="1"/>
</calcChain>
</file>

<file path=xl/comments1.xml><?xml version="1.0" encoding="utf-8"?>
<comments xmlns="http://schemas.openxmlformats.org/spreadsheetml/2006/main">
  <authors>
    <author>Cost, Matthew A (Research)</author>
    <author>Liu, Kevin (Research)</author>
    <author>Hoffman, Brandon (Research)</author>
    <author>Wang, Alaxandar (Research)</author>
    <author>Lanterman, Jon (Research)</author>
    <author>Nowak, Brian (Research)</author>
  </authors>
  <commentList>
    <comment ref="AB9" authorId="0">
      <text>
        <r>
          <rPr>
            <b/>
            <sz val="9"/>
            <color indexed="81"/>
            <rFont val="Tahoma"/>
            <family val="2"/>
          </rPr>
          <t xml:space="preserve">Wang, Alaxandar (Research):
</t>
        </r>
        <r>
          <rPr>
            <sz val="9"/>
            <color indexed="81"/>
            <rFont val="Tahoma"/>
            <family val="2"/>
          </rPr>
          <t>includes $39.9mn spectacles charge</t>
        </r>
      </text>
    </comment>
    <comment ref="AB24" authorId="0">
      <text>
        <r>
          <rPr>
            <b/>
            <sz val="9"/>
            <color indexed="81"/>
            <rFont val="Tahoma"/>
            <family val="2"/>
          </rPr>
          <t>Cost, Matthew A (Research):</t>
        </r>
        <r>
          <rPr>
            <sz val="9"/>
            <color indexed="81"/>
            <rFont val="Tahoma"/>
            <family val="2"/>
          </rPr>
          <t xml:space="preserve">
strips out one-time $39.9mn spectacles loss, which is reported in the $211mn cost of revenue for 3q:17</t>
        </r>
      </text>
    </comment>
    <comment ref="AM24" authorId="0">
      <text>
        <r>
          <rPr>
            <b/>
            <sz val="9"/>
            <color indexed="81"/>
            <rFont val="Tahoma"/>
            <family val="2"/>
          </rPr>
          <t>Cost, Matthew A (Research):</t>
        </r>
        <r>
          <rPr>
            <sz val="9"/>
            <color indexed="81"/>
            <rFont val="Tahoma"/>
            <family val="2"/>
          </rPr>
          <t xml:space="preserve">
strips out one-time 3q:17 $39.9mn spectacles loss, which is reported in the $211mn cost of revenue for 3q:17</t>
        </r>
      </text>
    </comment>
    <comment ref="AL32" authorId="1">
      <text>
        <r>
          <rPr>
            <b/>
            <sz val="9"/>
            <color indexed="81"/>
            <rFont val="Tahoma"/>
            <family val="2"/>
          </rPr>
          <t>Liu, Kevin (Research):</t>
        </r>
        <r>
          <rPr>
            <sz val="9"/>
            <color indexed="81"/>
            <rFont val="Tahoma"/>
            <family val="2"/>
          </rPr>
          <t xml:space="preserve">
Interest expense consists primarily of interest on build-to-suit lease financing obligations and commitment fees and amortization of costs related to our revolving credit facility.</t>
        </r>
      </text>
    </comment>
    <comment ref="AL35" authorId="1">
      <text>
        <r>
          <rPr>
            <b/>
            <sz val="9"/>
            <color indexed="81"/>
            <rFont val="Tahoma"/>
            <family val="2"/>
          </rPr>
          <t>Liu, Kevin (Research):</t>
        </r>
        <r>
          <rPr>
            <sz val="9"/>
            <color indexed="81"/>
            <rFont val="Tahoma"/>
            <family val="2"/>
          </rPr>
          <t xml:space="preserve">
 realized gains and losses on sales of marketable securities, our portion of equity method investment income and losses and foreign currency transaction gains and losses.</t>
        </r>
      </text>
    </comment>
    <comment ref="AK39" authorId="1">
      <text>
        <r>
          <rPr>
            <b/>
            <sz val="9"/>
            <color indexed="81"/>
            <rFont val="Tahoma"/>
            <family val="2"/>
          </rPr>
          <t>Liu, Kevin (Research):</t>
        </r>
        <r>
          <rPr>
            <sz val="9"/>
            <color indexed="81"/>
            <rFont val="Tahoma"/>
            <family val="2"/>
          </rPr>
          <t xml:space="preserve">
Recorded income tax benefit of ~$7.7mn related to partial release of a valuation allowance against DTA resulting from acquisitions completed within the year. 
</t>
        </r>
      </text>
    </comment>
    <comment ref="AO45" authorId="1">
      <text>
        <r>
          <rPr>
            <b/>
            <sz val="9"/>
            <color indexed="81"/>
            <rFont val="Tahoma"/>
            <family val="2"/>
          </rPr>
          <t>Liu, Kevin (Research):</t>
        </r>
        <r>
          <rPr>
            <sz val="9"/>
            <color indexed="81"/>
            <rFont val="Tahoma"/>
            <family val="2"/>
          </rPr>
          <t xml:space="preserve">
Net loss basic shares outstanding=diluted </t>
        </r>
      </text>
    </comment>
    <comment ref="Z57" authorId="2">
      <text>
        <r>
          <rPr>
            <b/>
            <sz val="9"/>
            <color indexed="81"/>
            <rFont val="Tahoma"/>
            <family val="2"/>
          </rPr>
          <t>Hoffman, Brandon (Research):</t>
        </r>
        <r>
          <rPr>
            <sz val="9"/>
            <color indexed="81"/>
            <rFont val="Tahoma"/>
            <family val="2"/>
          </rPr>
          <t xml:space="preserve">
SBC + payroll tax expense</t>
        </r>
      </text>
    </comment>
    <comment ref="Z63" authorId="1">
      <text>
        <r>
          <rPr>
            <b/>
            <sz val="9"/>
            <color indexed="81"/>
            <rFont val="Tahoma"/>
            <family val="2"/>
          </rPr>
          <t>Liu, Kevin (Research):</t>
        </r>
        <r>
          <rPr>
            <sz val="9"/>
            <color indexed="81"/>
            <rFont val="Tahoma"/>
            <family val="2"/>
          </rPr>
          <t xml:space="preserve">
Primary issue: 145mn shares and ~15mn shares greenshoe </t>
        </r>
      </text>
    </comment>
    <comment ref="AB64" authorId="3">
      <text>
        <r>
          <rPr>
            <b/>
            <sz val="9"/>
            <color indexed="81"/>
            <rFont val="Tahoma"/>
            <family val="2"/>
          </rPr>
          <t>Wang, Alaxandar (Research):</t>
        </r>
        <r>
          <rPr>
            <sz val="9"/>
            <color indexed="81"/>
            <rFont val="Tahoma"/>
            <family val="2"/>
          </rPr>
          <t xml:space="preserve">
provided during Q3:17 call back</t>
        </r>
      </text>
    </comment>
    <comment ref="AC64" authorId="3">
      <text>
        <r>
          <rPr>
            <b/>
            <sz val="9"/>
            <color indexed="81"/>
            <rFont val="Tahoma"/>
            <family val="2"/>
          </rPr>
          <t>Wang, Alaxandar (Research):</t>
        </r>
        <r>
          <rPr>
            <sz val="9"/>
            <color indexed="81"/>
            <rFont val="Tahoma"/>
            <family val="2"/>
          </rPr>
          <t xml:space="preserve">
Q4:17 transcript </t>
        </r>
      </text>
    </comment>
    <comment ref="AP69" authorId="1">
      <text>
        <r>
          <rPr>
            <b/>
            <sz val="9"/>
            <color indexed="81"/>
            <rFont val="Tahoma"/>
            <family val="2"/>
          </rPr>
          <t>Liu, Kevin (Research):</t>
        </r>
        <r>
          <rPr>
            <sz val="9"/>
            <color indexed="81"/>
            <rFont val="Tahoma"/>
            <family val="2"/>
          </rPr>
          <t xml:space="preserve">
2-3% long-term growth</t>
        </r>
      </text>
    </comment>
    <comment ref="I72" authorId="4">
      <text>
        <r>
          <rPr>
            <b/>
            <sz val="9"/>
            <color indexed="81"/>
            <rFont val="Tahoma"/>
            <family val="2"/>
          </rPr>
          <t>Lanterman, Jon (Research):</t>
        </r>
        <r>
          <rPr>
            <sz val="9"/>
            <color indexed="81"/>
            <rFont val="Tahoma"/>
            <family val="2"/>
          </rPr>
          <t xml:space="preserve">
 Class A common stock is non-voting. and publicly traded. </t>
        </r>
      </text>
    </comment>
    <comment ref="I73" authorId="4">
      <text>
        <r>
          <rPr>
            <b/>
            <sz val="9"/>
            <color indexed="81"/>
            <rFont val="Tahoma"/>
            <family val="2"/>
          </rPr>
          <t>Lanterman, Jon (Research):</t>
        </r>
        <r>
          <rPr>
            <sz val="9"/>
            <color indexed="81"/>
            <rFont val="Tahoma"/>
            <family val="2"/>
          </rPr>
          <t xml:space="preserve">
Each share of Class B common stock is entitled to one vote and is convertible into one share of Class A common stock. </t>
        </r>
      </text>
    </comment>
    <comment ref="I74" authorId="4">
      <text>
        <r>
          <rPr>
            <b/>
            <sz val="9"/>
            <color indexed="81"/>
            <rFont val="Tahoma"/>
            <family val="2"/>
          </rPr>
          <t>Lanterman, Jon (Research):</t>
        </r>
        <r>
          <rPr>
            <sz val="9"/>
            <color indexed="81"/>
            <rFont val="Tahoma"/>
            <family val="2"/>
          </rPr>
          <t xml:space="preserve">
Each share of Class C common stock is entitled to ten votes and is convertible into one share of Class B common stock. The Class C common stock, which is held by our founders, each of whom is an executive officer and a director of the company, will represent approximately 88.5% of the voting power of our outstanding capital stock following this offering.</t>
        </r>
      </text>
    </comment>
    <comment ref="Y75" authorId="1">
      <text>
        <r>
          <rPr>
            <b/>
            <sz val="9"/>
            <color indexed="81"/>
            <rFont val="Tahoma"/>
            <family val="2"/>
          </rPr>
          <t>Liu, Kevin (Research):</t>
        </r>
        <r>
          <rPr>
            <sz val="9"/>
            <color indexed="81"/>
            <rFont val="Tahoma"/>
            <family val="2"/>
          </rPr>
          <t xml:space="preserve">
Pre-IPO </t>
        </r>
      </text>
    </comment>
    <comment ref="Z77" authorId="1">
      <text>
        <r>
          <rPr>
            <b/>
            <sz val="9"/>
            <color indexed="81"/>
            <rFont val="Tahoma"/>
            <family val="2"/>
          </rPr>
          <t>Liu, Kevin (Research):</t>
        </r>
        <r>
          <rPr>
            <sz val="9"/>
            <color indexed="81"/>
            <rFont val="Tahoma"/>
            <family val="2"/>
          </rPr>
          <t xml:space="preserve">
A shares</t>
        </r>
      </text>
    </comment>
    <comment ref="Z79" authorId="1">
      <text>
        <r>
          <rPr>
            <b/>
            <sz val="9"/>
            <color indexed="81"/>
            <rFont val="Tahoma"/>
            <family val="2"/>
          </rPr>
          <t>Liu, Kevin (Research):</t>
        </r>
        <r>
          <rPr>
            <sz val="9"/>
            <color indexed="81"/>
            <rFont val="Tahoma"/>
            <family val="2"/>
          </rPr>
          <t xml:space="preserve">
</t>
        </r>
      </text>
    </comment>
    <comment ref="Z84" authorId="1">
      <text>
        <r>
          <rPr>
            <b/>
            <sz val="9"/>
            <color indexed="81"/>
            <rFont val="Tahoma"/>
            <family val="2"/>
          </rPr>
          <t>Liu, Kevin (Research):</t>
        </r>
        <r>
          <rPr>
            <sz val="9"/>
            <color indexed="81"/>
            <rFont val="Tahoma"/>
            <family val="2"/>
          </rPr>
          <t xml:space="preserve">
2012 Equity Incentive Plan</t>
        </r>
      </text>
    </comment>
    <comment ref="Z87" authorId="1">
      <text>
        <r>
          <rPr>
            <b/>
            <sz val="9"/>
            <color indexed="81"/>
            <rFont val="Tahoma"/>
            <family val="2"/>
          </rPr>
          <t>Liu, Kevin (Research):</t>
        </r>
        <r>
          <rPr>
            <sz val="9"/>
            <color indexed="81"/>
            <rFont val="Tahoma"/>
            <family val="2"/>
          </rPr>
          <t xml:space="preserve">
2012 Equity Incentive Plan</t>
        </r>
      </text>
    </comment>
    <comment ref="Z90" authorId="1">
      <text>
        <r>
          <rPr>
            <b/>
            <sz val="9"/>
            <color indexed="81"/>
            <rFont val="Tahoma"/>
            <family val="2"/>
          </rPr>
          <t>Liu, Kevin (Research):</t>
        </r>
        <r>
          <rPr>
            <sz val="9"/>
            <color indexed="81"/>
            <rFont val="Tahoma"/>
            <family val="2"/>
          </rPr>
          <t xml:space="preserve">
2014 Equity Incentive Plan </t>
        </r>
      </text>
    </comment>
    <comment ref="Z93" authorId="1">
      <text>
        <r>
          <rPr>
            <b/>
            <sz val="9"/>
            <color indexed="81"/>
            <rFont val="Tahoma"/>
            <family val="2"/>
          </rPr>
          <t>Liu, Kevin (Research):</t>
        </r>
        <r>
          <rPr>
            <sz val="9"/>
            <color indexed="81"/>
            <rFont val="Tahoma"/>
            <family val="2"/>
          </rPr>
          <t xml:space="preserve">
2014 Equity Incentive Plan </t>
        </r>
      </text>
    </comment>
    <comment ref="Z99" authorId="1">
      <text>
        <r>
          <rPr>
            <b/>
            <sz val="9"/>
            <color indexed="81"/>
            <rFont val="Tahoma"/>
            <family val="2"/>
          </rPr>
          <t>Liu, Kevin (Research):</t>
        </r>
        <r>
          <rPr>
            <sz val="9"/>
            <color indexed="81"/>
            <rFont val="Tahoma"/>
            <family val="2"/>
          </rPr>
          <t xml:space="preserve">
2014 equity incentive plan</t>
        </r>
      </text>
    </comment>
    <comment ref="Z100" authorId="1">
      <text>
        <r>
          <rPr>
            <b/>
            <sz val="9"/>
            <color indexed="81"/>
            <rFont val="Tahoma"/>
            <family val="2"/>
          </rPr>
          <t>Liu, Kevin (Research):</t>
        </r>
        <r>
          <rPr>
            <sz val="9"/>
            <color indexed="81"/>
            <rFont val="Tahoma"/>
            <family val="2"/>
          </rPr>
          <t xml:space="preserve">
2014 equity incentive plan</t>
        </r>
      </text>
    </comment>
    <comment ref="Z101" authorId="1">
      <text>
        <r>
          <rPr>
            <b/>
            <sz val="9"/>
            <color indexed="81"/>
            <rFont val="Tahoma"/>
            <family val="2"/>
          </rPr>
          <t>Liu, Kevin (Research):</t>
        </r>
        <r>
          <rPr>
            <sz val="9"/>
            <color indexed="81"/>
            <rFont val="Tahoma"/>
            <family val="2"/>
          </rPr>
          <t xml:space="preserve">
36.8mn pre-greenshoe</t>
        </r>
      </text>
    </comment>
    <comment ref="Z104" authorId="1">
      <text>
        <r>
          <rPr>
            <b/>
            <sz val="9"/>
            <color indexed="81"/>
            <rFont val="Tahoma"/>
            <family val="2"/>
          </rPr>
          <t>Liu, Kevin (Research):</t>
        </r>
        <r>
          <rPr>
            <sz val="9"/>
            <color indexed="81"/>
            <rFont val="Tahoma"/>
            <family val="2"/>
          </rPr>
          <t xml:space="preserve">
Assumes Treasury Stock Method repurchases are at Snap price based on $15 mid-point of filing range </t>
        </r>
      </text>
    </comment>
    <comment ref="AL131" authorId="1">
      <text>
        <r>
          <rPr>
            <b/>
            <sz val="9"/>
            <color indexed="81"/>
            <rFont val="Tahoma"/>
            <family val="2"/>
          </rPr>
          <t>Liu, Kevin (Research):</t>
        </r>
        <r>
          <rPr>
            <sz val="9"/>
            <color indexed="81"/>
            <rFont val="Tahoma"/>
            <family val="2"/>
          </rPr>
          <t xml:space="preserve">
Vast majority is due to withholding taxes due to SBC; 
Taking out compensation, accrued expenses are only $148mn, drop down to $150mn in 2017
% of cost of sales instead of % of revenue </t>
        </r>
      </text>
    </comment>
    <comment ref="AD174" authorId="3">
      <text>
        <r>
          <rPr>
            <b/>
            <sz val="9"/>
            <color indexed="81"/>
            <rFont val="Tahoma"/>
            <family val="2"/>
          </rPr>
          <t>Wang, Alaxandar (Research):</t>
        </r>
        <r>
          <rPr>
            <sz val="9"/>
            <color indexed="81"/>
            <rFont val="Tahoma"/>
            <family val="2"/>
          </rPr>
          <t xml:space="preserve">
$10mn of pre-tax cash expenditures related to 7% headcount reduction in March 2018</t>
        </r>
      </text>
    </comment>
    <comment ref="AL202" authorId="1">
      <text>
        <r>
          <rPr>
            <b/>
            <sz val="9"/>
            <color indexed="81"/>
            <rFont val="Tahoma"/>
            <family val="2"/>
          </rPr>
          <t>Liu, Kevin (Research):</t>
        </r>
        <r>
          <rPr>
            <sz val="9"/>
            <color indexed="81"/>
            <rFont val="Tahoma"/>
            <family val="2"/>
          </rPr>
          <t xml:space="preserve">
to estimate cash/marketable security balances close to Snap disclosure</t>
        </r>
      </text>
    </comment>
    <comment ref="AM202" authorId="1">
      <text>
        <r>
          <rPr>
            <b/>
            <sz val="9"/>
            <color indexed="81"/>
            <rFont val="Tahoma"/>
            <family val="2"/>
          </rPr>
          <t>Liu, Kevin (Research):</t>
        </r>
        <r>
          <rPr>
            <sz val="9"/>
            <color indexed="81"/>
            <rFont val="Tahoma"/>
            <family val="2"/>
          </rPr>
          <t xml:space="preserve">
Estimated IPO proceeds</t>
        </r>
      </text>
    </comment>
    <comment ref="AC233" authorId="0">
      <text>
        <r>
          <rPr>
            <b/>
            <sz val="9"/>
            <color indexed="81"/>
            <rFont val="Tahoma"/>
            <family val="2"/>
          </rPr>
          <t>Cost, Matthew A (Research):</t>
        </r>
        <r>
          <rPr>
            <sz val="9"/>
            <color indexed="81"/>
            <rFont val="Tahoma"/>
            <family val="2"/>
          </rPr>
          <t xml:space="preserve">
4Q:17 Call: 
"Capital expenditures were less than $85 million in 2017"</t>
        </r>
      </text>
    </comment>
    <comment ref="AG233" authorId="0">
      <text>
        <r>
          <rPr>
            <b/>
            <sz val="9"/>
            <color indexed="81"/>
            <rFont val="Tahoma"/>
            <family val="2"/>
          </rPr>
          <t>Cost, Matthew A (Research):</t>
        </r>
        <r>
          <rPr>
            <sz val="9"/>
            <color indexed="81"/>
            <rFont val="Tahoma"/>
            <family val="2"/>
          </rPr>
          <t xml:space="preserve">
Cost, Matthew A (Research):
Guide: Slightly less than $85mn of capex in 2018
4Q:17 Call
"Capital expenditures were less than $85 million in 2017, and we are planning for a slight increase in 2018. We are moving many of our headquarter teams to a series of leased facilities in Santa Monica during the first half of the year, although we do expect additional moves to occur later in the year and into 2019 as well."</t>
        </r>
      </text>
    </comment>
    <comment ref="AL233" authorId="5">
      <text>
        <r>
          <rPr>
            <b/>
            <sz val="9"/>
            <color indexed="81"/>
            <rFont val="Tahoma"/>
            <family val="2"/>
          </rPr>
          <t>Nowak, Brian (Research):</t>
        </r>
        <r>
          <rPr>
            <sz val="9"/>
            <color indexed="81"/>
            <rFont val="Tahoma"/>
            <family val="2"/>
          </rPr>
          <t xml:space="preserve">
75% of capex is facilities
25% is R&amp;D/IT</t>
        </r>
      </text>
    </comment>
    <comment ref="AM233" authorId="5">
      <text>
        <r>
          <rPr>
            <b/>
            <sz val="9"/>
            <color indexed="81"/>
            <rFont val="Tahoma"/>
            <family val="2"/>
          </rPr>
          <t>Nowak, Brian (Research):</t>
        </r>
        <r>
          <rPr>
            <sz val="9"/>
            <color indexed="81"/>
            <rFont val="Tahoma"/>
            <family val="2"/>
          </rPr>
          <t xml:space="preserve">
2/1 3-4 year facilities build then built</t>
        </r>
      </text>
    </comment>
    <comment ref="AN233" authorId="5">
      <text>
        <r>
          <rPr>
            <b/>
            <sz val="9"/>
            <color indexed="81"/>
            <rFont val="Tahoma"/>
            <family val="2"/>
          </rPr>
          <t>Nowak, Brian (Research):</t>
        </r>
        <r>
          <rPr>
            <sz val="9"/>
            <color indexed="81"/>
            <rFont val="Tahoma"/>
            <family val="2"/>
          </rPr>
          <t xml:space="preserve">
2/1 3-4 year facilities build then built</t>
        </r>
      </text>
    </comment>
    <comment ref="AO233" authorId="5">
      <text>
        <r>
          <rPr>
            <b/>
            <sz val="9"/>
            <color indexed="81"/>
            <rFont val="Tahoma"/>
            <family val="2"/>
          </rPr>
          <t>Nowak, Brian (Research):</t>
        </r>
        <r>
          <rPr>
            <sz val="9"/>
            <color indexed="81"/>
            <rFont val="Tahoma"/>
            <family val="2"/>
          </rPr>
          <t xml:space="preserve">
2/1/17 3-4 year facilities build then built</t>
        </r>
      </text>
    </comment>
    <comment ref="AP233" authorId="5">
      <text>
        <r>
          <rPr>
            <b/>
            <sz val="9"/>
            <color indexed="81"/>
            <rFont val="Tahoma"/>
            <family val="2"/>
          </rPr>
          <t>Nowak, Brian (Research):</t>
        </r>
        <r>
          <rPr>
            <sz val="9"/>
            <color indexed="81"/>
            <rFont val="Tahoma"/>
            <family val="2"/>
          </rPr>
          <t xml:space="preserve">
2/1/17 3-4 year facilities build then built</t>
        </r>
      </text>
    </comment>
    <comment ref="AM236" authorId="1">
      <text>
        <r>
          <rPr>
            <b/>
            <sz val="9"/>
            <color indexed="81"/>
            <rFont val="Tahoma"/>
            <family val="2"/>
          </rPr>
          <t>Liu, Kevin (Research):</t>
        </r>
        <r>
          <rPr>
            <sz val="9"/>
            <color indexed="81"/>
            <rFont val="Tahoma"/>
            <family val="2"/>
          </rPr>
          <t xml:space="preserve">
2/1 meeting 
-Snap is still leasing space, building things out, computer costs 
</t>
        </r>
      </text>
    </comment>
    <comment ref="I242" authorId="1">
      <text>
        <r>
          <rPr>
            <b/>
            <sz val="9"/>
            <color indexed="81"/>
            <rFont val="Tahoma"/>
            <family val="2"/>
          </rPr>
          <t>Liu, Kevin (Research):</t>
        </r>
        <r>
          <rPr>
            <sz val="9"/>
            <color indexed="81"/>
            <rFont val="Tahoma"/>
            <family val="2"/>
          </rPr>
          <t xml:space="preserve">
When given PP&amp;E info </t>
        </r>
      </text>
    </comment>
    <comment ref="AQ245" authorId="1">
      <text>
        <r>
          <rPr>
            <b/>
            <sz val="9"/>
            <color indexed="81"/>
            <rFont val="Tahoma"/>
            <family val="2"/>
          </rPr>
          <t>Liu, Kevin (Research):</t>
        </r>
        <r>
          <rPr>
            <sz val="9"/>
            <color indexed="81"/>
            <rFont val="Tahoma"/>
            <family val="2"/>
          </rPr>
          <t xml:space="preserve">
Post-2020, assumes ~3 years on avg. 
</t>
        </r>
      </text>
    </comment>
    <comment ref="AR245" authorId="1">
      <text>
        <r>
          <rPr>
            <b/>
            <sz val="9"/>
            <color indexed="81"/>
            <rFont val="Tahoma"/>
            <family val="2"/>
          </rPr>
          <t>Liu, Kevin (Research):</t>
        </r>
        <r>
          <rPr>
            <sz val="9"/>
            <color indexed="81"/>
            <rFont val="Tahoma"/>
            <family val="2"/>
          </rPr>
          <t xml:space="preserve">
Post-2020, assumes ~3 years on avg. 
</t>
        </r>
      </text>
    </comment>
    <comment ref="AS245" authorId="1">
      <text>
        <r>
          <rPr>
            <b/>
            <sz val="9"/>
            <color indexed="81"/>
            <rFont val="Tahoma"/>
            <family val="2"/>
          </rPr>
          <t>Liu, Kevin (Research):</t>
        </r>
        <r>
          <rPr>
            <sz val="9"/>
            <color indexed="81"/>
            <rFont val="Tahoma"/>
            <family val="2"/>
          </rPr>
          <t xml:space="preserve">
Post-2020, assumes ~3 years on avg. 
</t>
        </r>
      </text>
    </comment>
  </commentList>
</comments>
</file>

<file path=xl/comments2.xml><?xml version="1.0" encoding="utf-8"?>
<comments xmlns="http://schemas.openxmlformats.org/spreadsheetml/2006/main">
  <authors>
    <author>Liu, Kevin (Research)</author>
    <author>Wang, Alaxandar (Research)</author>
    <author>Nowak, Brian (Research)</author>
    <author>Cost, Matthew A (Research)</author>
  </authors>
  <commentList>
    <comment ref="X4" authorId="0">
      <text>
        <r>
          <rPr>
            <b/>
            <sz val="9"/>
            <color indexed="81"/>
            <rFont val="Tahoma"/>
            <family val="2"/>
          </rPr>
          <t>Liu, Kevin (Research):</t>
        </r>
        <r>
          <rPr>
            <sz val="9"/>
            <color indexed="81"/>
            <rFont val="Tahoma"/>
            <family val="2"/>
          </rPr>
          <t xml:space="preserve">
~$17mn inorganic bump in 3Q:16 
2Q:17 conf call up 39mn ex oympics and elections</t>
        </r>
      </text>
    </comment>
    <comment ref="Y4" authorId="0">
      <text>
        <r>
          <rPr>
            <b/>
            <sz val="9"/>
            <color indexed="81"/>
            <rFont val="Tahoma"/>
            <family val="2"/>
          </rPr>
          <t>Liu, Kevin (Research):</t>
        </r>
        <r>
          <rPr>
            <sz val="9"/>
            <color indexed="81"/>
            <rFont val="Tahoma"/>
            <family val="2"/>
          </rPr>
          <t xml:space="preserve">
$40mn bump from holidays, football, elections 
(bulk of college/nfl associated revenue is 4Q) 
Rank order size of impact: holiday, NFL/college, and then elections in 4Q:16 </t>
        </r>
      </text>
    </comment>
    <comment ref="AB4" authorId="0">
      <text>
        <r>
          <rPr>
            <b/>
            <sz val="9"/>
            <color indexed="81"/>
            <rFont val="Tahoma"/>
            <family val="2"/>
          </rPr>
          <t>Liu, Kevin (Research):</t>
        </r>
        <r>
          <rPr>
            <sz val="9"/>
            <color indexed="81"/>
            <rFont val="Tahoma"/>
            <family val="2"/>
          </rPr>
          <t xml:space="preserve">
Less than a third of full year revenue in 1H:17</t>
        </r>
      </text>
    </comment>
    <comment ref="AC4" authorId="0">
      <text>
        <r>
          <rPr>
            <b/>
            <sz val="9"/>
            <color indexed="81"/>
            <rFont val="Tahoma"/>
            <family val="2"/>
          </rPr>
          <t>Liu, Kevin (Research):</t>
        </r>
        <r>
          <rPr>
            <sz val="9"/>
            <color indexed="81"/>
            <rFont val="Tahoma"/>
            <family val="2"/>
          </rPr>
          <t xml:space="preserve">
In 4Q:17, multi-year deal with NFl, college same as 4Q:16 </t>
        </r>
      </text>
    </comment>
    <comment ref="AL4" authorId="0">
      <text>
        <r>
          <rPr>
            <b/>
            <sz val="9"/>
            <color indexed="81"/>
            <rFont val="Tahoma"/>
            <family val="2"/>
          </rPr>
          <t>Liu, Kevin (Research):</t>
        </r>
        <r>
          <rPr>
            <sz val="9"/>
            <color indexed="81"/>
            <rFont val="Tahoma"/>
            <family val="2"/>
          </rPr>
          <t xml:space="preserve">
WSJ (1/25/17):
-WPP spent ~$90mn on Snap last year (one of biggest customers) 
-"other ad companies spent well under that amount, with one firm spending roughly $30mn" </t>
        </r>
      </text>
    </comment>
    <comment ref="AM4" authorId="0">
      <text>
        <r>
          <rPr>
            <b/>
            <sz val="9"/>
            <color indexed="81"/>
            <rFont val="Tahoma"/>
            <family val="2"/>
          </rPr>
          <t>Liu, Kevin (Research):</t>
        </r>
        <r>
          <rPr>
            <sz val="9"/>
            <color indexed="81"/>
            <rFont val="Tahoma"/>
            <family val="2"/>
          </rPr>
          <t xml:space="preserve">
WSJ (1/25/17): 
-Seeking commitments from WPP, Omnicom, Publicis, and IPG of $100mn to $200mn each 
-(roughly double or triple amount spent last year)</t>
        </r>
      </text>
    </comment>
    <comment ref="Z5" authorId="0">
      <text>
        <r>
          <rPr>
            <b/>
            <sz val="9"/>
            <color indexed="81"/>
            <rFont val="Tahoma"/>
            <family val="2"/>
          </rPr>
          <t>Liu, Kevin (Research):</t>
        </r>
        <r>
          <rPr>
            <sz val="9"/>
            <color indexed="81"/>
            <rFont val="Tahoma"/>
            <family val="2"/>
          </rPr>
          <t xml:space="preserve">
126 ex-seasonality from Q4 is right base to think of in terms of Q1 revenue</t>
        </r>
      </text>
    </comment>
    <comment ref="I11" authorId="0">
      <text>
        <r>
          <rPr>
            <b/>
            <sz val="9"/>
            <color indexed="81"/>
            <rFont val="Tahoma"/>
            <family val="2"/>
          </rPr>
          <t>Liu, Kevin (Research):</t>
        </r>
        <r>
          <rPr>
            <sz val="9"/>
            <color indexed="81"/>
            <rFont val="Tahoma"/>
            <family val="2"/>
          </rPr>
          <t xml:space="preserve">
registered Snap user who opens the Snapchat application at least once during a defined 24-hour period 
Average daily active users for full quarter </t>
        </r>
      </text>
    </comment>
    <comment ref="AM11" authorId="1">
      <text>
        <r>
          <rPr>
            <b/>
            <sz val="9"/>
            <color indexed="81"/>
            <rFont val="Tahoma"/>
            <family val="2"/>
          </rPr>
          <t>Wang, Alaxandar (Research):</t>
        </r>
        <r>
          <rPr>
            <sz val="9"/>
            <color indexed="81"/>
            <rFont val="Tahoma"/>
            <family val="2"/>
          </rPr>
          <t xml:space="preserve">
10-K: On average, 187 million people use Snapchat daily and create over 3.5 billion Snaps every day.</t>
        </r>
      </text>
    </comment>
    <comment ref="I16" authorId="0">
      <text>
        <r>
          <rPr>
            <b/>
            <sz val="9"/>
            <color indexed="81"/>
            <rFont val="Tahoma"/>
            <family val="2"/>
          </rPr>
          <t>Liu, Kevin (Research):</t>
        </r>
        <r>
          <rPr>
            <sz val="9"/>
            <color indexed="81"/>
            <rFont val="Tahoma"/>
            <family val="2"/>
          </rPr>
          <t xml:space="preserve">
Quarterly revenue divided by the average DAUs across the quarter</t>
        </r>
      </text>
    </comment>
    <comment ref="X16" authorId="0">
      <text>
        <r>
          <rPr>
            <b/>
            <sz val="9"/>
            <color indexed="81"/>
            <rFont val="Tahoma"/>
            <family val="2"/>
          </rPr>
          <t>Liu, Kevin (Research):</t>
        </r>
        <r>
          <rPr>
            <sz val="9"/>
            <color indexed="81"/>
            <rFont val="Tahoma"/>
            <family val="2"/>
          </rPr>
          <t xml:space="preserve">
0.84</t>
        </r>
      </text>
    </comment>
    <comment ref="Y16" authorId="0">
      <text>
        <r>
          <rPr>
            <b/>
            <sz val="9"/>
            <color indexed="81"/>
            <rFont val="Tahoma"/>
            <family val="2"/>
          </rPr>
          <t>Liu, Kevin (Research):</t>
        </r>
        <r>
          <rPr>
            <sz val="9"/>
            <color indexed="81"/>
            <rFont val="Tahoma"/>
            <family val="2"/>
          </rPr>
          <t xml:space="preserve">
1.05
</t>
        </r>
      </text>
    </comment>
    <comment ref="Z16" authorId="0">
      <text>
        <r>
          <rPr>
            <b/>
            <sz val="9"/>
            <color indexed="81"/>
            <rFont val="Tahoma"/>
            <family val="2"/>
          </rPr>
          <t xml:space="preserve">Hoffman, Brandon (Research)
</t>
        </r>
        <r>
          <rPr>
            <sz val="9"/>
            <color indexed="81"/>
            <rFont val="Tahoma"/>
            <family val="2"/>
          </rPr>
          <t xml:space="preserve">1Q17 10Q: "ARPU grew primarily from growth in revenue due to number of </t>
        </r>
        <r>
          <rPr>
            <b/>
            <sz val="9"/>
            <color indexed="81"/>
            <rFont val="Tahoma"/>
            <family val="2"/>
          </rPr>
          <t>ads delivered increasing</t>
        </r>
        <r>
          <rPr>
            <sz val="9"/>
            <color indexed="81"/>
            <rFont val="Tahoma"/>
            <family val="2"/>
          </rPr>
          <t xml:space="preserve">, which </t>
        </r>
        <r>
          <rPr>
            <b/>
            <sz val="9"/>
            <color indexed="81"/>
            <rFont val="Tahoma"/>
            <family val="2"/>
          </rPr>
          <t>outpaced growth of DAUs</t>
        </r>
        <r>
          <rPr>
            <sz val="9"/>
            <color indexed="81"/>
            <rFont val="Tahoma"/>
            <family val="2"/>
          </rPr>
          <t>"</t>
        </r>
        <r>
          <rPr>
            <b/>
            <sz val="9"/>
            <color indexed="81"/>
            <rFont val="Tahoma"/>
            <family val="2"/>
          </rPr>
          <t xml:space="preserve">
Liu, Kevin (Research):</t>
        </r>
        <r>
          <rPr>
            <sz val="9"/>
            <color indexed="81"/>
            <rFont val="Tahoma"/>
            <family val="2"/>
          </rPr>
          <t xml:space="preserve">
Similar ARPU to Q3, given inorganic bump in 4Q as a result of holiday, nfl and elections</t>
        </r>
      </text>
    </comment>
    <comment ref="AC22" authorId="0">
      <text>
        <r>
          <rPr>
            <b/>
            <sz val="9"/>
            <color indexed="81"/>
            <rFont val="Tahoma"/>
            <family val="2"/>
          </rPr>
          <t>Liu, Kevin (Research):</t>
        </r>
        <r>
          <rPr>
            <sz val="9"/>
            <color indexed="81"/>
            <rFont val="Tahoma"/>
            <family val="2"/>
          </rPr>
          <t xml:space="preserve">
Assumes new iteration of Spectacles comes out 4Q:17</t>
        </r>
      </text>
    </comment>
    <comment ref="AM22" authorId="1">
      <text>
        <r>
          <rPr>
            <b/>
            <sz val="9"/>
            <color indexed="81"/>
            <rFont val="Tahoma"/>
            <family val="2"/>
          </rPr>
          <t>Wang, Alaxandar (Research):</t>
        </r>
        <r>
          <rPr>
            <sz val="9"/>
            <color indexed="81"/>
            <rFont val="Tahoma"/>
            <family val="2"/>
          </rPr>
          <t xml:space="preserve">
Vanity Fair: over 150k sold</t>
        </r>
      </text>
    </comment>
    <comment ref="Z28" authorId="0">
      <text>
        <r>
          <rPr>
            <b/>
            <sz val="9"/>
            <color indexed="81"/>
            <rFont val="Tahoma"/>
            <family val="2"/>
          </rPr>
          <t>Liu, Kevin (Research):</t>
        </r>
        <r>
          <rPr>
            <sz val="9"/>
            <color indexed="81"/>
            <rFont val="Tahoma"/>
            <family val="2"/>
          </rPr>
          <t xml:space="preserve">
Assumes lower rev per unit as Snap expands distribution and give retailers a cut </t>
        </r>
      </text>
    </comment>
    <comment ref="Y31" authorId="0">
      <text>
        <r>
          <rPr>
            <b/>
            <sz val="9"/>
            <color indexed="81"/>
            <rFont val="Tahoma"/>
            <family val="2"/>
          </rPr>
          <t>Liu, Kevin (Research):</t>
        </r>
        <r>
          <rPr>
            <sz val="9"/>
            <color indexed="81"/>
            <rFont val="Tahoma"/>
            <family val="2"/>
          </rPr>
          <t xml:space="preserve">
Implied by taking FY 404.5mn in revenue and then backing out 1) Snap sold revs (365mn) and 2) Partner sold revs (34.9mn)</t>
        </r>
      </text>
    </comment>
    <comment ref="AA31" authorId="2">
      <text>
        <r>
          <rPr>
            <b/>
            <sz val="9"/>
            <color indexed="81"/>
            <rFont val="Tahoma"/>
            <family val="2"/>
          </rPr>
          <t>Nowak, Brian (Research):</t>
        </r>
        <r>
          <rPr>
            <sz val="9"/>
            <color indexed="81"/>
            <rFont val="Tahoma"/>
            <family val="2"/>
          </rPr>
          <t xml:space="preserve">
2Q:17 conf call $5.4 million, substantially
all of which was driven by Spectacles. Q3:17 call back $4.8mn of spectacles</t>
        </r>
      </text>
    </comment>
    <comment ref="AB31" authorId="1">
      <text>
        <r>
          <rPr>
            <b/>
            <sz val="9"/>
            <color indexed="81"/>
            <rFont val="Tahoma"/>
            <family val="2"/>
          </rPr>
          <t>Wang, Alaxandar (Research):</t>
        </r>
        <r>
          <rPr>
            <sz val="9"/>
            <color indexed="81"/>
            <rFont val="Tahoma"/>
            <family val="2"/>
          </rPr>
          <t xml:space="preserve">
3.6mn per 3Q call back</t>
        </r>
      </text>
    </comment>
    <comment ref="AD31" authorId="3">
      <text>
        <r>
          <rPr>
            <b/>
            <sz val="9"/>
            <color indexed="81"/>
            <rFont val="Tahoma"/>
            <family val="2"/>
          </rPr>
          <t>Cost, Matthew A (Research):</t>
        </r>
        <r>
          <rPr>
            <sz val="9"/>
            <color indexed="81"/>
            <rFont val="Tahoma"/>
            <family val="2"/>
          </rPr>
          <t xml:space="preserve">
Guide: Spectacles Revenue substantially down yoy and sequentially
4Q:17 Call:
"Also note that in Q1 2017 we had $8 million of Spectacles revenue which we are planning to be substantially down year-over-year and sequentially"</t>
        </r>
      </text>
    </comment>
    <comment ref="AD35" authorId="3">
      <text>
        <r>
          <rPr>
            <b/>
            <sz val="9"/>
            <color indexed="81"/>
            <rFont val="Tahoma"/>
            <family val="2"/>
          </rPr>
          <t>Cost, Matthew A (Research):</t>
        </r>
        <r>
          <rPr>
            <sz val="9"/>
            <color indexed="81"/>
            <rFont val="Tahoma"/>
            <family val="2"/>
          </rPr>
          <t xml:space="preserve">
Guide: Expect 1Q:18 and 1H:18 to moderate from 74% growth rate in 4Q:17
4Q:17 call:
"In Q1, we are planning for our year-over-year revenue growth rate to moderate from the Q4 pace"
"The majority of our revenue is generated through brand advertising, which seasonally peaks in the fourth quarter. Additionally, we are planning for the transition of the creative tools business to the programmatic platform, which we believe will drive additional impressions at lower prices and result in more modest growth in the first half of 2018"</t>
        </r>
      </text>
    </comment>
    <comment ref="I42" authorId="0">
      <text>
        <r>
          <rPr>
            <b/>
            <sz val="9"/>
            <color indexed="81"/>
            <rFont val="Tahoma"/>
            <family val="2"/>
          </rPr>
          <t>Liu, Kevin (Research):</t>
        </r>
        <r>
          <rPr>
            <sz val="9"/>
            <color indexed="81"/>
            <rFont val="Tahoma"/>
            <family val="2"/>
          </rPr>
          <t xml:space="preserve">
Recorded as net revenue; </t>
        </r>
      </text>
    </comment>
    <comment ref="AK42" authorId="0">
      <text>
        <r>
          <rPr>
            <b/>
            <sz val="9"/>
            <color indexed="81"/>
            <rFont val="Tahoma"/>
            <family val="2"/>
          </rPr>
          <t>Liu, Kevin (Research):</t>
        </r>
        <r>
          <rPr>
            <sz val="9"/>
            <color indexed="81"/>
            <rFont val="Tahoma"/>
            <family val="2"/>
          </rPr>
          <t xml:space="preserve">
7.7mn per S-1</t>
        </r>
      </text>
    </comment>
    <comment ref="AL42" authorId="0">
      <text>
        <r>
          <rPr>
            <b/>
            <sz val="9"/>
            <color indexed="81"/>
            <rFont val="Tahoma"/>
            <family val="2"/>
          </rPr>
          <t>Liu, Kevin (Research):</t>
        </r>
        <r>
          <rPr>
            <sz val="9"/>
            <color indexed="81"/>
            <rFont val="Tahoma"/>
            <family val="2"/>
          </rPr>
          <t xml:space="preserve">
$35mn as per Snap S-1</t>
        </r>
      </text>
    </comment>
    <comment ref="R43" authorId="0">
      <text>
        <r>
          <rPr>
            <b/>
            <sz val="9"/>
            <color indexed="81"/>
            <rFont val="Tahoma"/>
            <family val="2"/>
          </rPr>
          <t>Liu, Kevin (Research):</t>
        </r>
        <r>
          <rPr>
            <sz val="9"/>
            <color indexed="81"/>
            <rFont val="Tahoma"/>
            <family val="2"/>
          </rPr>
          <t xml:space="preserve">
13% of ad rev was partner sold according to S-1 in 2015</t>
        </r>
      </text>
    </comment>
    <comment ref="T43" authorId="0">
      <text>
        <r>
          <rPr>
            <b/>
            <sz val="9"/>
            <color indexed="81"/>
            <rFont val="Tahoma"/>
            <family val="2"/>
          </rPr>
          <t>Liu, Kevin (Research):</t>
        </r>
        <r>
          <rPr>
            <sz val="9"/>
            <color indexed="81"/>
            <rFont val="Tahoma"/>
            <family val="2"/>
          </rPr>
          <t xml:space="preserve">
Assume partner </t>
        </r>
      </text>
    </comment>
    <comment ref="V43" authorId="0">
      <text>
        <r>
          <rPr>
            <b/>
            <sz val="9"/>
            <color indexed="81"/>
            <rFont val="Tahoma"/>
            <family val="2"/>
          </rPr>
          <t>Liu, Kevin (Research):</t>
        </r>
        <r>
          <rPr>
            <sz val="9"/>
            <color indexed="81"/>
            <rFont val="Tahoma"/>
            <family val="2"/>
          </rPr>
          <t xml:space="preserve">
9% of ad rev was partner sold according to S-1 in 2016</t>
        </r>
      </text>
    </comment>
    <comment ref="AB43" authorId="1">
      <text>
        <r>
          <rPr>
            <b/>
            <sz val="9"/>
            <color indexed="81"/>
            <rFont val="Tahoma"/>
            <family val="2"/>
          </rPr>
          <t>Wang, Alaxandar (Research):</t>
        </r>
        <r>
          <rPr>
            <sz val="9"/>
            <color indexed="81"/>
            <rFont val="Tahoma"/>
            <family val="2"/>
          </rPr>
          <t xml:space="preserve">
per 3Q17 call back low double digit %</t>
        </r>
      </text>
    </comment>
    <comment ref="AK47" authorId="0">
      <text>
        <r>
          <rPr>
            <b/>
            <sz val="9"/>
            <color indexed="81"/>
            <rFont val="Tahoma"/>
            <family val="2"/>
          </rPr>
          <t>Liu, Kevin (Research):</t>
        </r>
        <r>
          <rPr>
            <sz val="9"/>
            <color indexed="81"/>
            <rFont val="Tahoma"/>
            <family val="2"/>
          </rPr>
          <t xml:space="preserve">
50.9mn per S-1</t>
        </r>
      </text>
    </comment>
    <comment ref="AL47" authorId="0">
      <text>
        <r>
          <rPr>
            <b/>
            <sz val="9"/>
            <color indexed="81"/>
            <rFont val="Tahoma"/>
            <family val="2"/>
          </rPr>
          <t>Liu, Kevin (Research):</t>
        </r>
        <r>
          <rPr>
            <sz val="9"/>
            <color indexed="81"/>
            <rFont val="Tahoma"/>
            <family val="2"/>
          </rPr>
          <t xml:space="preserve">
$365mn as per Snap S-1</t>
        </r>
      </text>
    </comment>
    <comment ref="Y59" authorId="2">
      <text>
        <r>
          <rPr>
            <b/>
            <sz val="9"/>
            <color indexed="81"/>
            <rFont val="Tahoma"/>
            <family val="2"/>
          </rPr>
          <t>Nowak, Brian (Research):</t>
        </r>
        <r>
          <rPr>
            <sz val="9"/>
            <color indexed="81"/>
            <rFont val="Tahoma"/>
            <family val="2"/>
          </rPr>
          <t xml:space="preserve">
estimated 80% at national $15cpm…20% at $75 cpm</t>
        </r>
      </text>
    </comment>
    <comment ref="R65" authorId="0">
      <text>
        <r>
          <rPr>
            <b/>
            <sz val="9"/>
            <color indexed="81"/>
            <rFont val="Tahoma"/>
            <family val="2"/>
          </rPr>
          <t>Liu, Kevin (Research):</t>
        </r>
        <r>
          <rPr>
            <sz val="9"/>
            <color indexed="81"/>
            <rFont val="Tahoma"/>
            <family val="2"/>
          </rPr>
          <t xml:space="preserve">
"In 2015 Snapchat brought down the price for video ads to ~2 cents a view of $20 CPM" 
http://digiday.com/platforms/snapchat-slashing-ad-prices-brands-sources-say/</t>
        </r>
      </text>
    </comment>
    <comment ref="AB65" authorId="1">
      <text>
        <r>
          <rPr>
            <b/>
            <sz val="9"/>
            <color indexed="81"/>
            <rFont val="Tahoma"/>
            <family val="2"/>
          </rPr>
          <t>Wang, Alaxandar (Research):</t>
        </r>
        <r>
          <rPr>
            <sz val="9"/>
            <color indexed="81"/>
            <rFont val="Tahoma"/>
            <family val="2"/>
          </rPr>
          <t xml:space="preserve">
Our efforts at automation have gained traction very quickly this year, with 80% of Snap Ad impressions delivered programmatically in Q3, up from
0% 1 year ago.</t>
        </r>
      </text>
    </comment>
    <comment ref="AC65" authorId="1">
      <text>
        <r>
          <rPr>
            <b/>
            <sz val="9"/>
            <color indexed="81"/>
            <rFont val="Tahoma"/>
            <family val="2"/>
          </rPr>
          <t>Wang, Alaxandar (Research):</t>
        </r>
        <r>
          <rPr>
            <sz val="9"/>
            <color indexed="81"/>
            <rFont val="Tahoma"/>
            <family val="2"/>
          </rPr>
          <t xml:space="preserve">
Q4 call: overall Snap Ad pricing, excluding Promoted Stories, was down more than 15
percent sequentially, and nearly 70 percent year-over-year</t>
        </r>
      </text>
    </comment>
    <comment ref="AB66" authorId="1">
      <text>
        <r>
          <rPr>
            <b/>
            <sz val="9"/>
            <color indexed="81"/>
            <rFont val="Tahoma"/>
            <family val="2"/>
          </rPr>
          <t>Wang, Alaxandar (Research):</t>
        </r>
        <r>
          <rPr>
            <sz val="9"/>
            <color indexed="81"/>
            <rFont val="Tahoma"/>
            <family val="2"/>
          </rPr>
          <t xml:space="preserve">
down 60% y/y and 20% sequentially</t>
        </r>
      </text>
    </comment>
    <comment ref="AB69" authorId="1">
      <text>
        <r>
          <rPr>
            <b/>
            <sz val="9"/>
            <color indexed="81"/>
            <rFont val="Tahoma"/>
            <family val="2"/>
          </rPr>
          <t>Wang, Alaxandar (Research):</t>
        </r>
        <r>
          <rPr>
            <sz val="9"/>
            <color indexed="81"/>
            <rFont val="Tahoma"/>
            <family val="2"/>
          </rPr>
          <t xml:space="preserve">
Q3 call: Snap Ad impressions increased over 60% sequentially and over 400% year-over-year.</t>
        </r>
      </text>
    </comment>
    <comment ref="AC69" authorId="2">
      <text>
        <r>
          <rPr>
            <b/>
            <sz val="9"/>
            <color indexed="81"/>
            <rFont val="Tahoma"/>
            <family val="2"/>
          </rPr>
          <t>Nowak, Brian (Research):</t>
        </r>
        <r>
          <rPr>
            <sz val="9"/>
            <color indexed="81"/>
            <rFont val="Tahoma"/>
            <family val="2"/>
          </rPr>
          <t xml:space="preserve">
4Q:17 up 90% sequentially and over 575% Y/Y</t>
        </r>
      </text>
    </comment>
    <comment ref="AB70" authorId="1">
      <text>
        <r>
          <rPr>
            <b/>
            <sz val="9"/>
            <color indexed="81"/>
            <rFont val="Tahoma"/>
            <family val="2"/>
          </rPr>
          <t>Wang, Alaxandar (Research):</t>
        </r>
        <r>
          <rPr>
            <sz val="9"/>
            <color indexed="81"/>
            <rFont val="Tahoma"/>
            <family val="2"/>
          </rPr>
          <t xml:space="preserve">
Q3 call: Snap Ad impressions increased over 60% sequentially and over 400% year-over-year.</t>
        </r>
      </text>
    </comment>
    <comment ref="AC70" authorId="2">
      <text>
        <r>
          <rPr>
            <b/>
            <sz val="9"/>
            <color indexed="81"/>
            <rFont val="Tahoma"/>
            <family val="2"/>
          </rPr>
          <t>Nowak, Brian (Research):</t>
        </r>
        <r>
          <rPr>
            <sz val="9"/>
            <color indexed="81"/>
            <rFont val="Tahoma"/>
            <family val="2"/>
          </rPr>
          <t xml:space="preserve">
4Q:17 up 90% sequentially and over 575% Y/Y</t>
        </r>
      </text>
    </comment>
    <comment ref="I72" authorId="0">
      <text>
        <r>
          <rPr>
            <b/>
            <sz val="9"/>
            <color indexed="81"/>
            <rFont val="Tahoma"/>
            <family val="2"/>
          </rPr>
          <t>Liu, Kevin (Research):</t>
        </r>
        <r>
          <rPr>
            <sz val="9"/>
            <color indexed="81"/>
            <rFont val="Tahoma"/>
            <family val="2"/>
          </rPr>
          <t xml:space="preserve">
Ad impressions served per DAU per day </t>
        </r>
      </text>
    </comment>
    <comment ref="V76" authorId="2">
      <text>
        <r>
          <rPr>
            <b/>
            <sz val="9"/>
            <color indexed="81"/>
            <rFont val="Tahoma"/>
            <family val="2"/>
          </rPr>
          <t>Nowak, Brian (Research):</t>
        </r>
        <r>
          <rPr>
            <sz val="9"/>
            <color indexed="81"/>
            <rFont val="Tahoma"/>
            <family val="2"/>
          </rPr>
          <t xml:space="preserve">
MSE</t>
        </r>
      </text>
    </comment>
    <comment ref="W76" authorId="2">
      <text>
        <r>
          <rPr>
            <b/>
            <sz val="9"/>
            <color indexed="81"/>
            <rFont val="Tahoma"/>
            <family val="2"/>
          </rPr>
          <t>Nowak, Brian (Research):</t>
        </r>
        <r>
          <rPr>
            <sz val="9"/>
            <color indexed="81"/>
            <rFont val="Tahoma"/>
            <family val="2"/>
          </rPr>
          <t xml:space="preserve">
MSE</t>
        </r>
      </text>
    </comment>
    <comment ref="X76" authorId="2">
      <text>
        <r>
          <rPr>
            <b/>
            <sz val="9"/>
            <color indexed="81"/>
            <rFont val="Tahoma"/>
            <family val="2"/>
          </rPr>
          <t>Nowak, Brian (Research):</t>
        </r>
        <r>
          <rPr>
            <sz val="9"/>
            <color indexed="81"/>
            <rFont val="Tahoma"/>
            <family val="2"/>
          </rPr>
          <t xml:space="preserve">
MSE</t>
        </r>
      </text>
    </comment>
    <comment ref="Y76" authorId="2">
      <text>
        <r>
          <rPr>
            <b/>
            <sz val="9"/>
            <color indexed="81"/>
            <rFont val="Tahoma"/>
            <family val="2"/>
          </rPr>
          <t>Nowak, Brian (Research):</t>
        </r>
        <r>
          <rPr>
            <sz val="9"/>
            <color indexed="81"/>
            <rFont val="Tahoma"/>
            <family val="2"/>
          </rPr>
          <t xml:space="preserve">
25-30minutes
</t>
        </r>
      </text>
    </comment>
    <comment ref="Z76" authorId="2">
      <text>
        <r>
          <rPr>
            <b/>
            <sz val="9"/>
            <color indexed="81"/>
            <rFont val="Tahoma"/>
            <family val="2"/>
          </rPr>
          <t>Nowak, Brian (Research):</t>
        </r>
        <r>
          <rPr>
            <sz val="9"/>
            <color indexed="81"/>
            <rFont val="Tahoma"/>
            <family val="2"/>
          </rPr>
          <t xml:space="preserve">
30 minutes + per 1Q:17 conf call</t>
        </r>
      </text>
    </comment>
    <comment ref="AA76" authorId="2">
      <text>
        <r>
          <rPr>
            <b/>
            <sz val="9"/>
            <color indexed="81"/>
            <rFont val="Tahoma"/>
            <family val="2"/>
          </rPr>
          <t>Nowak, Brian (Research):</t>
        </r>
        <r>
          <rPr>
            <sz val="9"/>
            <color indexed="81"/>
            <rFont val="Tahoma"/>
            <family val="2"/>
          </rPr>
          <t xml:space="preserve">
Over 40 minutes for user under 25...and over 20 minutes for users over 25
estimated using 4Q:16 N. american mix</t>
        </r>
      </text>
    </comment>
    <comment ref="AB76" authorId="1">
      <text>
        <r>
          <rPr>
            <b/>
            <sz val="9"/>
            <color indexed="81"/>
            <rFont val="Tahoma"/>
            <family val="2"/>
          </rPr>
          <t>Wang, Alaxandar (Research):</t>
        </r>
        <r>
          <rPr>
            <sz val="9"/>
            <color indexed="81"/>
            <rFont val="Tahoma"/>
            <family val="2"/>
          </rPr>
          <t xml:space="preserve">
Q3 callback indicated grew sequentially and yoy</t>
        </r>
      </text>
    </comment>
    <comment ref="I85" authorId="0">
      <text>
        <r>
          <rPr>
            <b/>
            <sz val="9"/>
            <color indexed="81"/>
            <rFont val="Tahoma"/>
            <family val="2"/>
          </rPr>
          <t>Liu, Kevin (Research):</t>
        </r>
        <r>
          <rPr>
            <sz val="9"/>
            <color indexed="81"/>
            <rFont val="Tahoma"/>
            <family val="2"/>
          </rPr>
          <t xml:space="preserve">
Ad impressions served per DAU per day  adjusted for time spent on the platform </t>
        </r>
      </text>
    </comment>
    <comment ref="I89" authorId="0">
      <text>
        <r>
          <rPr>
            <b/>
            <sz val="9"/>
            <color indexed="81"/>
            <rFont val="Tahoma"/>
            <family val="2"/>
          </rPr>
          <t>Liu, Kevin (Research):</t>
        </r>
        <r>
          <rPr>
            <sz val="9"/>
            <color indexed="81"/>
            <rFont val="Tahoma"/>
            <family val="2"/>
          </rPr>
          <t xml:space="preserve">
Includes US, Canada, and Mexico and the Caribbean</t>
        </r>
      </text>
    </comment>
    <comment ref="Q91" authorId="0">
      <text>
        <r>
          <rPr>
            <b/>
            <sz val="9"/>
            <color indexed="81"/>
            <rFont val="Tahoma"/>
            <family val="2"/>
          </rPr>
          <t>Liu, Kevin (Research):</t>
        </r>
        <r>
          <rPr>
            <sz val="9"/>
            <color indexed="81"/>
            <rFont val="Tahoma"/>
            <family val="2"/>
          </rPr>
          <t xml:space="preserve">
Last month of quarter methodology rather than quarter avg. methodology</t>
        </r>
      </text>
    </comment>
    <comment ref="Y91" authorId="0">
      <text>
        <r>
          <rPr>
            <b/>
            <sz val="9"/>
            <color indexed="81"/>
            <rFont val="Tahoma"/>
            <family val="2"/>
          </rPr>
          <t>Liu, Kevin (Research):</t>
        </r>
        <r>
          <rPr>
            <sz val="9"/>
            <color indexed="81"/>
            <rFont val="Tahoma"/>
            <family val="2"/>
          </rPr>
          <t xml:space="preserve">
US age breakdown: 
13-17:22% 
18-24: 36% 
25-34: 27% 
35+: 14% 
</t>
        </r>
      </text>
    </comment>
    <comment ref="Z92" authorId="2">
      <text>
        <r>
          <rPr>
            <b/>
            <sz val="9"/>
            <color indexed="81"/>
            <rFont val="Tahoma"/>
            <family val="2"/>
          </rPr>
          <t>Nowak, Brian (Research):</t>
        </r>
        <r>
          <rPr>
            <sz val="9"/>
            <color indexed="81"/>
            <rFont val="Tahoma"/>
            <family val="2"/>
          </rPr>
          <t xml:space="preserve">
BN assume IPO bump
</t>
        </r>
      </text>
    </comment>
    <comment ref="I106" authorId="0">
      <text>
        <r>
          <rPr>
            <b/>
            <sz val="9"/>
            <color indexed="81"/>
            <rFont val="Tahoma"/>
            <family val="2"/>
          </rPr>
          <t>Liu, Kevin (Research):</t>
        </r>
        <r>
          <rPr>
            <sz val="9"/>
            <color indexed="81"/>
            <rFont val="Tahoma"/>
            <family val="2"/>
          </rPr>
          <t xml:space="preserve">
For purposes of calculating ARPU, revenue by user geography is apportioned to each region based on a determination of the geographic location in which advertising impressions are delivered, as this approximates revenue based on user activity. </t>
        </r>
      </text>
    </comment>
    <comment ref="I112" authorId="0">
      <text>
        <r>
          <rPr>
            <b/>
            <sz val="9"/>
            <color indexed="81"/>
            <rFont val="Tahoma"/>
            <family val="2"/>
          </rPr>
          <t>Liu, Kevin (Research):</t>
        </r>
        <r>
          <rPr>
            <sz val="9"/>
            <color indexed="81"/>
            <rFont val="Tahoma"/>
            <family val="2"/>
          </rPr>
          <t xml:space="preserve">
Includes Russia &amp; Turkey</t>
        </r>
      </text>
    </comment>
    <comment ref="Y125" authorId="2">
      <text>
        <r>
          <rPr>
            <b/>
            <sz val="9"/>
            <color indexed="81"/>
            <rFont val="Tahoma"/>
            <family val="2"/>
          </rPr>
          <t>Nowak, Brian (Research):</t>
        </r>
        <r>
          <rPr>
            <sz val="9"/>
            <color indexed="81"/>
            <rFont val="Tahoma"/>
            <family val="2"/>
          </rPr>
          <t xml:space="preserve">
bn, why so weak?</t>
        </r>
      </text>
    </comment>
    <comment ref="I130" authorId="0">
      <text>
        <r>
          <rPr>
            <b/>
            <sz val="9"/>
            <color indexed="81"/>
            <rFont val="Tahoma"/>
            <family val="2"/>
          </rPr>
          <t>Liu, Kevin (Research):</t>
        </r>
        <r>
          <rPr>
            <sz val="9"/>
            <color indexed="81"/>
            <rFont val="Tahoma"/>
            <family val="2"/>
          </rPr>
          <t xml:space="preserve">
For purposes of calculating ARPU, revenue by user geography is apportioned to each region based on a determination of the geographic location in which advertising impressions are delivered, as this approximates revenue based on user activity. </t>
        </r>
      </text>
    </comment>
    <comment ref="I136" authorId="0">
      <text>
        <r>
          <rPr>
            <b/>
            <sz val="9"/>
            <color indexed="81"/>
            <rFont val="Tahoma"/>
            <family val="2"/>
          </rPr>
          <t>Liu, Kevin (Research):</t>
        </r>
        <r>
          <rPr>
            <sz val="9"/>
            <color indexed="81"/>
            <rFont val="Tahoma"/>
            <family val="2"/>
          </rPr>
          <t xml:space="preserve">
ROW includes APAC, Australia, Middle East, Latin America, and Africa</t>
        </r>
      </text>
    </comment>
    <comment ref="Y139" authorId="2">
      <text>
        <r>
          <rPr>
            <b/>
            <sz val="9"/>
            <color indexed="81"/>
            <rFont val="Tahoma"/>
            <family val="2"/>
          </rPr>
          <t>Nowak, Brian (Research):</t>
        </r>
        <r>
          <rPr>
            <sz val="9"/>
            <color indexed="81"/>
            <rFont val="Tahoma"/>
            <family val="2"/>
          </rPr>
          <t xml:space="preserve">
negatively impacted by rollout of memories impacting android in row in particular</t>
        </r>
      </text>
    </comment>
    <comment ref="I153" authorId="0">
      <text>
        <r>
          <rPr>
            <b/>
            <sz val="9"/>
            <color indexed="81"/>
            <rFont val="Tahoma"/>
            <family val="2"/>
          </rPr>
          <t>Liu, Kevin (Research):</t>
        </r>
        <r>
          <rPr>
            <sz val="9"/>
            <color indexed="81"/>
            <rFont val="Tahoma"/>
            <family val="2"/>
          </rPr>
          <t xml:space="preserve">
For purposes of calculating ARPU, revenue by user geography is apportioned to each region based on a determination of the geographic location in which advertising impressions are delivered, as this approximates revenue based on user activity. </t>
        </r>
      </text>
    </comment>
    <comment ref="AB169" authorId="2">
      <text>
        <r>
          <rPr>
            <b/>
            <sz val="9"/>
            <color indexed="81"/>
            <rFont val="Tahoma"/>
            <family val="2"/>
          </rPr>
          <t>Nowak, Brian (Research):</t>
        </r>
        <r>
          <rPr>
            <sz val="9"/>
            <color indexed="81"/>
            <rFont val="Tahoma"/>
            <family val="2"/>
          </rPr>
          <t xml:space="preserve">
3Q:17 conf call We more than tripled revenue from SMBs in the third quarter when compared to the first half of 2017.</t>
        </r>
      </text>
    </comment>
    <comment ref="AC169" authorId="2">
      <text>
        <r>
          <rPr>
            <b/>
            <sz val="9"/>
            <color indexed="81"/>
            <rFont val="Tahoma"/>
            <family val="2"/>
          </rPr>
          <t>Nowak, Brian (Research):</t>
        </r>
        <r>
          <rPr>
            <sz val="9"/>
            <color indexed="81"/>
            <rFont val="Tahoma"/>
            <family val="2"/>
          </rPr>
          <t xml:space="preserve">
4Q:17 conf callRevenue from small- and medium-sized businesses more than doubled quarter-over-quarter. 
For the first time, revenue in Q4 from advertisers outside of Ad Age's
Top 100 exceeded revenue from the Top 100 Advertisers.</t>
        </r>
      </text>
    </comment>
  </commentList>
</comments>
</file>

<file path=xl/comments3.xml><?xml version="1.0" encoding="utf-8"?>
<comments xmlns="http://schemas.openxmlformats.org/spreadsheetml/2006/main">
  <authors>
    <author>Liu, Kevin (Research)</author>
    <author>Wang, Alaxandar (Research)</author>
    <author>Nowak, Brian (Research)</author>
    <author>Cost, Matthew A (Research)</author>
    <author>Costantini, Michael (Research)</author>
    <author>Hoffman, Brandon (Research)</author>
  </authors>
  <commentList>
    <comment ref="I8" authorId="0">
      <text>
        <r>
          <rPr>
            <b/>
            <sz val="9"/>
            <color indexed="81"/>
            <rFont val="Tahoma"/>
            <family val="2"/>
          </rPr>
          <t>Liu, Kevin (Research):</t>
        </r>
        <r>
          <rPr>
            <sz val="9"/>
            <color indexed="81"/>
            <rFont val="Tahoma"/>
            <family val="2"/>
          </rPr>
          <t xml:space="preserve">
Primarily of payments to 3rd party infrastructure partners for hosting our products 
Expenses related to bandwidth, computing, and storage costs 
Also include rev share, content creation costs and ad measurement costs 
Include D&amp;A </t>
        </r>
      </text>
    </comment>
    <comment ref="AB9" authorId="1">
      <text>
        <r>
          <rPr>
            <b/>
            <sz val="9"/>
            <color indexed="81"/>
            <rFont val="Tahoma"/>
            <family val="2"/>
          </rPr>
          <t>Wang, Alaxandar (Research):</t>
        </r>
        <r>
          <rPr>
            <sz val="9"/>
            <color indexed="81"/>
            <rFont val="Tahoma"/>
            <family val="2"/>
          </rPr>
          <t xml:space="preserve">
includes $39.9mn spectacles charge</t>
        </r>
      </text>
    </comment>
    <comment ref="X10" authorId="0">
      <text>
        <r>
          <rPr>
            <b/>
            <sz val="9"/>
            <color indexed="81"/>
            <rFont val="Tahoma"/>
            <family val="2"/>
          </rPr>
          <t>Liu, Kevin (Research):</t>
        </r>
        <r>
          <rPr>
            <sz val="9"/>
            <color indexed="81"/>
            <rFont val="Tahoma"/>
            <family val="2"/>
          </rPr>
          <t xml:space="preserve">
From Q2 to Q3:16 launch of Discover (video), more bandwith needed
-launched innovation in chat product and also memories </t>
        </r>
      </text>
    </comment>
    <comment ref="AL10" authorId="0">
      <text>
        <r>
          <rPr>
            <b/>
            <sz val="9"/>
            <color indexed="81"/>
            <rFont val="Tahoma"/>
            <family val="2"/>
          </rPr>
          <t>Liu, Kevin (Research):</t>
        </r>
        <r>
          <rPr>
            <sz val="9"/>
            <color indexed="81"/>
            <rFont val="Tahoma"/>
            <family val="2"/>
          </rPr>
          <t xml:space="preserve">
$191.9mn related to increasing hosting costs, partly attributable to DAU growth of 48% between periods 
48.2mn due to increased rev share payments to partners 
13.3mn related to increased content creation costs, includes personnel related costs </t>
        </r>
      </text>
    </comment>
    <comment ref="X18" authorId="0">
      <text>
        <r>
          <rPr>
            <b/>
            <sz val="9"/>
            <color indexed="81"/>
            <rFont val="Tahoma"/>
            <family val="2"/>
          </rPr>
          <t>Liu, Kevin (Research):</t>
        </r>
        <r>
          <rPr>
            <sz val="9"/>
            <color indexed="81"/>
            <rFont val="Tahoma"/>
            <family val="2"/>
          </rPr>
          <t xml:space="preserve">
0.82 per Snap analyst day; delta is decimal in DAU denominator </t>
        </r>
      </text>
    </comment>
    <comment ref="Y18" authorId="0">
      <text>
        <r>
          <rPr>
            <b/>
            <sz val="9"/>
            <color indexed="81"/>
            <rFont val="Tahoma"/>
            <family val="2"/>
          </rPr>
          <t>Liu, Kevin (Research):</t>
        </r>
        <r>
          <rPr>
            <sz val="9"/>
            <color indexed="81"/>
            <rFont val="Tahoma"/>
            <family val="2"/>
          </rPr>
          <t xml:space="preserve">
0.96 per Snap analyst day; delta is decimal in DAU denominator </t>
        </r>
      </text>
    </comment>
    <comment ref="Z18" authorId="0">
      <text>
        <r>
          <rPr>
            <b/>
            <sz val="9"/>
            <color indexed="81"/>
            <rFont val="Tahoma"/>
            <family val="2"/>
          </rPr>
          <t>Liu, Kevin (Research):</t>
        </r>
        <r>
          <rPr>
            <sz val="9"/>
            <color indexed="81"/>
            <rFont val="Tahoma"/>
            <family val="2"/>
          </rPr>
          <t xml:space="preserve">
up…$1.00-$1.10</t>
        </r>
      </text>
    </comment>
    <comment ref="V32" authorId="2">
      <text>
        <r>
          <rPr>
            <b/>
            <sz val="9"/>
            <color indexed="81"/>
            <rFont val="Tahoma"/>
            <family val="2"/>
          </rPr>
          <t>Nowak, Brian (Research):</t>
        </r>
        <r>
          <rPr>
            <sz val="9"/>
            <color indexed="81"/>
            <rFont val="Tahoma"/>
            <family val="2"/>
          </rPr>
          <t xml:space="preserve">
per slide deck 1Q:17</t>
        </r>
      </text>
    </comment>
    <comment ref="W32" authorId="2">
      <text>
        <r>
          <rPr>
            <b/>
            <sz val="9"/>
            <color indexed="81"/>
            <rFont val="Tahoma"/>
            <family val="2"/>
          </rPr>
          <t>Nowak, Brian (Research):</t>
        </r>
        <r>
          <rPr>
            <sz val="9"/>
            <color indexed="81"/>
            <rFont val="Tahoma"/>
            <family val="2"/>
          </rPr>
          <t xml:space="preserve">
per slide deck 1Q:17</t>
        </r>
      </text>
    </comment>
    <comment ref="X32" authorId="2">
      <text>
        <r>
          <rPr>
            <b/>
            <sz val="9"/>
            <color indexed="81"/>
            <rFont val="Tahoma"/>
            <family val="2"/>
          </rPr>
          <t>Nowak, Brian (Research):</t>
        </r>
        <r>
          <rPr>
            <sz val="9"/>
            <color indexed="81"/>
            <rFont val="Tahoma"/>
            <family val="2"/>
          </rPr>
          <t xml:space="preserve">
per slide deck 1Q:17</t>
        </r>
      </text>
    </comment>
    <comment ref="Y32" authorId="2">
      <text>
        <r>
          <rPr>
            <b/>
            <sz val="9"/>
            <color indexed="81"/>
            <rFont val="Tahoma"/>
            <family val="2"/>
          </rPr>
          <t>Nowak, Brian (Research):</t>
        </r>
        <r>
          <rPr>
            <sz val="9"/>
            <color indexed="81"/>
            <rFont val="Tahoma"/>
            <family val="2"/>
          </rPr>
          <t xml:space="preserve">
113 per slide deck 1Q:17</t>
        </r>
      </text>
    </comment>
    <comment ref="Y33" authorId="0">
      <text>
        <r>
          <rPr>
            <b/>
            <sz val="9"/>
            <color indexed="81"/>
            <rFont val="Tahoma"/>
            <family val="2"/>
          </rPr>
          <t>Liu, Kevin (Research):</t>
        </r>
        <r>
          <rPr>
            <sz val="9"/>
            <color indexed="81"/>
            <rFont val="Tahoma"/>
            <family val="2"/>
          </rPr>
          <t xml:space="preserve">
Infrastructure is ~70-80% of COGS </t>
        </r>
      </text>
    </comment>
    <comment ref="Z33" authorId="0">
      <text>
        <r>
          <rPr>
            <b/>
            <sz val="9"/>
            <color indexed="81"/>
            <rFont val="Tahoma"/>
            <family val="2"/>
          </rPr>
          <t>Liu, Kevin (Research):</t>
        </r>
        <r>
          <rPr>
            <sz val="9"/>
            <color indexed="81"/>
            <rFont val="Tahoma"/>
            <family val="2"/>
          </rPr>
          <t xml:space="preserve">
Declining as % of COGS as Snap gets operating leverage and GCP passes through price cuts on to Snap </t>
        </r>
      </text>
    </comment>
    <comment ref="AC37" authorId="1">
      <text>
        <r>
          <rPr>
            <b/>
            <sz val="9"/>
            <color indexed="81"/>
            <rFont val="Tahoma"/>
            <family val="2"/>
          </rPr>
          <t>Wang, Alaxandar (Research):</t>
        </r>
        <r>
          <rPr>
            <sz val="9"/>
            <color indexed="81"/>
            <rFont val="Tahoma"/>
            <family val="2"/>
          </rPr>
          <t xml:space="preserve">
per 3Q:17…look at historical Q/Q change, Q4 seasonally higher</t>
        </r>
      </text>
    </comment>
    <comment ref="AD37" authorId="3">
      <text>
        <r>
          <rPr>
            <b/>
            <sz val="9"/>
            <color indexed="81"/>
            <rFont val="Tahoma"/>
            <family val="2"/>
          </rPr>
          <t>Cost, Matthew A (Research):</t>
        </r>
        <r>
          <rPr>
            <sz val="9"/>
            <color indexed="81"/>
            <rFont val="Tahoma"/>
            <family val="2"/>
          </rPr>
          <t xml:space="preserve">
Guide: Expect to offset future cost increases
4Q:17 Call
"On hosting expenses, we exited the fourth quarter with a slightly higher cost per DAU than the quarterly average of $0.70. The cost impact of our application redesign has yet to be fully determined. That said, we are focused on executing additional cost-saving initiatives in 2018
to continue to offset future cost increases."</t>
        </r>
      </text>
    </comment>
    <comment ref="AB39" authorId="2">
      <text>
        <r>
          <rPr>
            <b/>
            <sz val="9"/>
            <color indexed="81"/>
            <rFont val="Tahoma"/>
            <family val="2"/>
          </rPr>
          <t>Nowak, Brian (Research):</t>
        </r>
        <r>
          <rPr>
            <sz val="9"/>
            <color indexed="81"/>
            <rFont val="Tahoma"/>
            <family val="2"/>
          </rPr>
          <t xml:space="preserve">
engagement and cost per DAI increased 10% (seqnuential) in last part of 2Q due to maps …call back confirmed</t>
        </r>
      </text>
    </comment>
    <comment ref="Z42" authorId="0">
      <text>
        <r>
          <rPr>
            <b/>
            <sz val="9"/>
            <color indexed="81"/>
            <rFont val="Tahoma"/>
            <family val="2"/>
          </rPr>
          <t>Liu, Kevin (Research):</t>
        </r>
        <r>
          <rPr>
            <sz val="9"/>
            <color indexed="81"/>
            <rFont val="Tahoma"/>
            <family val="2"/>
          </rPr>
          <t xml:space="preserve">
Snapchat’s big redesign, featuring universal search and more, just hit iOS
https://techcrunch.com/2017/01/23/snapchats-big-redesign-featuring-universal-search-and-more-just-hit-ios/</t>
        </r>
      </text>
    </comment>
    <comment ref="AO42" authorId="2">
      <text>
        <r>
          <rPr>
            <b/>
            <sz val="9"/>
            <color indexed="81"/>
            <rFont val="Tahoma"/>
            <family val="2"/>
          </rPr>
          <t>Nowak, Brian (Research):</t>
        </r>
        <r>
          <rPr>
            <sz val="9"/>
            <color indexed="81"/>
            <rFont val="Tahoma"/>
            <family val="2"/>
          </rPr>
          <t xml:space="preserve">
assume price cuts, locked in savings and and deflation start to offset incremental higher bandwidge use</t>
        </r>
      </text>
    </comment>
    <comment ref="Z43" authorId="2">
      <text>
        <r>
          <rPr>
            <b/>
            <sz val="9"/>
            <color indexed="81"/>
            <rFont val="Tahoma"/>
            <family val="2"/>
          </rPr>
          <t>Nowak, Brian (Research):</t>
        </r>
        <r>
          <rPr>
            <sz val="9"/>
            <color indexed="81"/>
            <rFont val="Tahoma"/>
            <family val="2"/>
          </rPr>
          <t xml:space="preserve">
new app with search bar launched</t>
        </r>
      </text>
    </comment>
    <comment ref="AB43" authorId="2">
      <text>
        <r>
          <rPr>
            <b/>
            <sz val="9"/>
            <color indexed="81"/>
            <rFont val="Tahoma"/>
            <family val="2"/>
          </rPr>
          <t>Nowak, Brian (Research):</t>
        </r>
        <r>
          <rPr>
            <sz val="9"/>
            <color indexed="81"/>
            <rFont val="Tahoma"/>
            <family val="2"/>
          </rPr>
          <t xml:space="preserve">
engagement increased 10% in last part of 2Q due to maps</t>
        </r>
      </text>
    </comment>
    <comment ref="AC43" authorId="2">
      <text>
        <r>
          <rPr>
            <b/>
            <sz val="9"/>
            <color indexed="81"/>
            <rFont val="Tahoma"/>
            <family val="2"/>
          </rPr>
          <t>Nowak, Brian (Research):</t>
        </r>
        <r>
          <rPr>
            <sz val="9"/>
            <color indexed="81"/>
            <rFont val="Tahoma"/>
            <family val="2"/>
          </rPr>
          <t xml:space="preserve">
engagement higher in 4Q</t>
        </r>
      </text>
    </comment>
    <comment ref="AF43" authorId="0">
      <text>
        <r>
          <rPr>
            <b/>
            <sz val="9"/>
            <color indexed="81"/>
            <rFont val="Tahoma"/>
            <family val="2"/>
          </rPr>
          <t>Liu, Kevin (Research):</t>
        </r>
        <r>
          <rPr>
            <sz val="9"/>
            <color indexed="81"/>
            <rFont val="Tahoma"/>
            <family val="2"/>
          </rPr>
          <t xml:space="preserve">
assumed new product roll out </t>
        </r>
      </text>
    </comment>
    <comment ref="AM46" authorId="4">
      <text>
        <r>
          <rPr>
            <b/>
            <sz val="9"/>
            <color indexed="81"/>
            <rFont val="Tahoma"/>
            <family val="2"/>
          </rPr>
          <t>Costantini, Michael (Research):</t>
        </r>
        <r>
          <rPr>
            <sz val="9"/>
            <color indexed="81"/>
            <rFont val="Tahoma"/>
            <family val="2"/>
          </rPr>
          <t xml:space="preserve">
S-1 (2/24/2017)
https://www.sec.gov/Archives/edgar/data/1564408/000119312517056992/d270216ds1a.htm
On January 30, 2017, we entered into the Google Cloud Platform License Agreement. Under the agreement, we were granted access and use certain cloud services. </t>
        </r>
        <r>
          <rPr>
            <b/>
            <sz val="9"/>
            <color indexed="81"/>
            <rFont val="Tahoma"/>
            <family val="2"/>
          </rPr>
          <t>The agreement has an initial term of five years and we are required to purchase at least $400.0 million of cloud services in each year of the agreement</t>
        </r>
        <r>
          <rPr>
            <sz val="9"/>
            <color indexed="81"/>
            <rFont val="Tahoma"/>
            <family val="2"/>
          </rPr>
          <t xml:space="preserve">, though for each of the first four years, up to 15% of this amount may be moved to a subsequent year. If we fail to meet the minimum purchase commitment during any year, we are required to pay the difference. Our agreement with Google permits us to use other third-party service providers for a portion of our cloud services.
</t>
        </r>
      </text>
    </comment>
    <comment ref="AN46" authorId="4">
      <text>
        <r>
          <rPr>
            <b/>
            <sz val="9"/>
            <color indexed="81"/>
            <rFont val="Tahoma"/>
            <family val="2"/>
          </rPr>
          <t>Costantini, Michael (Research):</t>
        </r>
        <r>
          <rPr>
            <sz val="9"/>
            <color indexed="81"/>
            <rFont val="Tahoma"/>
            <family val="2"/>
          </rPr>
          <t xml:space="preserve">
S-1 (2/24/2017)
https://www.sec.gov/Archives/edgar/data/1564408/000119312517056992/d270216ds1a.htm
On January 30, 2017, we entered into the Google Cloud Platform License Agreement. Under the agreement, we were granted access and use certain cloud services. </t>
        </r>
        <r>
          <rPr>
            <b/>
            <sz val="9"/>
            <color indexed="81"/>
            <rFont val="Tahoma"/>
            <family val="2"/>
          </rPr>
          <t>The agreement has an initial term of five years and we are required to purchase at least $400.0 million of cloud services in each year of the agreement</t>
        </r>
        <r>
          <rPr>
            <sz val="9"/>
            <color indexed="81"/>
            <rFont val="Tahoma"/>
            <family val="2"/>
          </rPr>
          <t xml:space="preserve">, though for each of the first four years, up to 15% of this amount may be moved to a subsequent year. If we fail to meet the minimum purchase commitment during any year, we are required to pay the difference. Our agreement with Google permits us to use other third-party service providers for a portion of our cloud services.
</t>
        </r>
      </text>
    </comment>
    <comment ref="AO46" authorId="4">
      <text>
        <r>
          <rPr>
            <b/>
            <sz val="9"/>
            <color indexed="81"/>
            <rFont val="Tahoma"/>
            <family val="2"/>
          </rPr>
          <t>Costantini, Michael (Research):</t>
        </r>
        <r>
          <rPr>
            <sz val="9"/>
            <color indexed="81"/>
            <rFont val="Tahoma"/>
            <family val="2"/>
          </rPr>
          <t xml:space="preserve">
S-1 (2/24/2017)
https://www.sec.gov/Archives/edgar/data/1564408/000119312517056992/d270216ds1a.htm
On January 30, 2017, we entered into the Google Cloud Platform License Agreement. Under the agreement, we were granted access and use certain cloud services. </t>
        </r>
        <r>
          <rPr>
            <b/>
            <sz val="9"/>
            <color indexed="81"/>
            <rFont val="Tahoma"/>
            <family val="2"/>
          </rPr>
          <t>The agreement has an initial term of five years and we are required to purchase at least $400.0 million of cloud services in each year of the agreement</t>
        </r>
        <r>
          <rPr>
            <sz val="9"/>
            <color indexed="81"/>
            <rFont val="Tahoma"/>
            <family val="2"/>
          </rPr>
          <t xml:space="preserve">, though for each of the first four years, up to 15% of this amount may be moved to a subsequent year. If we fail to meet the minimum purchase commitment during any year, we are required to pay the difference. Our agreement with Google permits us to use other third-party service providers for a portion of our cloud services.
</t>
        </r>
      </text>
    </comment>
    <comment ref="AP46" authorId="4">
      <text>
        <r>
          <rPr>
            <b/>
            <sz val="9"/>
            <color indexed="81"/>
            <rFont val="Tahoma"/>
            <family val="2"/>
          </rPr>
          <t>Costantini, Michael (Research):</t>
        </r>
        <r>
          <rPr>
            <sz val="9"/>
            <color indexed="81"/>
            <rFont val="Tahoma"/>
            <family val="2"/>
          </rPr>
          <t xml:space="preserve">
S-1 (2/24/2017)
https://www.sec.gov/Archives/edgar/data/1564408/000119312517056992/d270216ds1a.htm
On January 30, 2017, we entered into the Google Cloud Platform License Agreement. Under the agreement, we were granted access and use certain cloud services. </t>
        </r>
        <r>
          <rPr>
            <b/>
            <sz val="9"/>
            <color indexed="81"/>
            <rFont val="Tahoma"/>
            <family val="2"/>
          </rPr>
          <t>The agreement has an initial term of five years and we are required to purchase at least $400.0 million of cloud services in each year of the agreement</t>
        </r>
        <r>
          <rPr>
            <sz val="9"/>
            <color indexed="81"/>
            <rFont val="Tahoma"/>
            <family val="2"/>
          </rPr>
          <t xml:space="preserve">, though for each of the first four years, up to 15% of this amount may be moved to a subsequent year. If we fail to meet the minimum purchase commitment during any year, we are required to pay the difference. Our agreement with Google permits us to use other third-party service providers for a portion of our cloud services.
</t>
        </r>
      </text>
    </comment>
    <comment ref="AQ46" authorId="4">
      <text>
        <r>
          <rPr>
            <b/>
            <sz val="9"/>
            <color indexed="81"/>
            <rFont val="Tahoma"/>
            <family val="2"/>
          </rPr>
          <t>Costantini, Michael (Research):</t>
        </r>
        <r>
          <rPr>
            <sz val="9"/>
            <color indexed="81"/>
            <rFont val="Tahoma"/>
            <family val="2"/>
          </rPr>
          <t xml:space="preserve">
S-1 (2/24/2017)
https://www.sec.gov/Archives/edgar/data/1564408/000119312517056992/d270216ds1a.htm
On January 30, 2017, we entered into the Google Cloud Platform License Agreement. Under the agreement, we were granted access and use certain cloud services. </t>
        </r>
        <r>
          <rPr>
            <b/>
            <sz val="9"/>
            <color indexed="81"/>
            <rFont val="Tahoma"/>
            <family val="2"/>
          </rPr>
          <t>The agreement has an initial term of five years and we are required to purchase at least $400.0 million of cloud services in each year of the agreement</t>
        </r>
        <r>
          <rPr>
            <sz val="9"/>
            <color indexed="81"/>
            <rFont val="Tahoma"/>
            <family val="2"/>
          </rPr>
          <t xml:space="preserve">, though for each of the first four years, up to 15% of this amount may be moved to a subsequent year. If we fail to meet the minimum purchase commitment during any year, we are required to pay the difference. Our agreement with Google permits us to use other third-party service providers for a portion of our cloud services.
</t>
        </r>
      </text>
    </comment>
    <comment ref="AM47" authorId="4">
      <text>
        <r>
          <rPr>
            <b/>
            <sz val="9"/>
            <color indexed="81"/>
            <rFont val="Tahoma"/>
            <family val="2"/>
          </rPr>
          <t>Costantini, Michael (Research):</t>
        </r>
        <r>
          <rPr>
            <sz val="9"/>
            <color indexed="81"/>
            <rFont val="Tahoma"/>
            <family val="2"/>
          </rPr>
          <t xml:space="preserve">
S-1 (2/24/2017)
https://www.sec.gov/Archives/edgar/data/1564408/000119312517056992/d270216ds1a.htm
In March 2016, we entered into the AWS Enterprise Agreement for the use of cloud services from Amazon Web Services, Inc. (“AWS”), that was amended in March 2016, and again on February 8, 2017. Such agreement will continue indefinitely until terminated by either party. Under the February 2017 addendum to the agreement, we committed to spend $1.0 billion between January 2017 through December 2021 on AWS services (</t>
        </r>
        <r>
          <rPr>
            <b/>
            <sz val="9"/>
            <color indexed="81"/>
            <rFont val="Tahoma"/>
            <family val="2"/>
          </rPr>
          <t>$50.0 million in 2017, $125.0 million in 2018, $200.0 million in 2019, $275.0 million in 2020, and $350.0 million in 2021</t>
        </r>
        <r>
          <rPr>
            <sz val="9"/>
            <color indexed="81"/>
            <rFont val="Tahoma"/>
            <family val="2"/>
          </rPr>
          <t xml:space="preserve">). If we fail to meet the minimum purchase commitment during any year, we are required to pay the difference.
</t>
        </r>
      </text>
    </comment>
    <comment ref="AN47" authorId="4">
      <text>
        <r>
          <rPr>
            <b/>
            <sz val="9"/>
            <color indexed="81"/>
            <rFont val="Tahoma"/>
            <family val="2"/>
          </rPr>
          <t>Costantini, Michael (Research):</t>
        </r>
        <r>
          <rPr>
            <sz val="9"/>
            <color indexed="81"/>
            <rFont val="Tahoma"/>
            <family val="2"/>
          </rPr>
          <t xml:space="preserve">
S-1 (2/24/2017)
https://www.sec.gov/Archives/edgar/data/1564408/000119312517056992/d270216ds1a.htm
In March 2016, we entered into the AWS Enterprise Agreement for the use of cloud services from Amazon Web Services, Inc. (“AWS”), that was amended in March 2016, and again on February 8, 2017. Such agreement will continue indefinitely until terminated by either party. Under the February 2017 addendum to the agreement, we committed to spend $1.0 billion between January 2017 through December 2021 on AWS services (</t>
        </r>
        <r>
          <rPr>
            <b/>
            <sz val="9"/>
            <color indexed="81"/>
            <rFont val="Tahoma"/>
            <family val="2"/>
          </rPr>
          <t>$50.0 million in 2017, $125.0 million in 2018, $200.0 million in 2019, $275.0 million in 2020, and $350.0 million in 2021</t>
        </r>
        <r>
          <rPr>
            <sz val="9"/>
            <color indexed="81"/>
            <rFont val="Tahoma"/>
            <family val="2"/>
          </rPr>
          <t xml:space="preserve">). If we fail to meet the minimum purchase commitment during any year, we are required to pay the difference.
</t>
        </r>
      </text>
    </comment>
    <comment ref="AO47" authorId="4">
      <text>
        <r>
          <rPr>
            <b/>
            <sz val="9"/>
            <color indexed="81"/>
            <rFont val="Tahoma"/>
            <family val="2"/>
          </rPr>
          <t>Costantini, Michael (Research):</t>
        </r>
        <r>
          <rPr>
            <sz val="9"/>
            <color indexed="81"/>
            <rFont val="Tahoma"/>
            <family val="2"/>
          </rPr>
          <t xml:space="preserve">
S-1 (2/24/2017)
https://www.sec.gov/Archives/edgar/data/1564408/000119312517056992/d270216ds1a.htm
In March 2016, we entered into the AWS Enterprise Agreement for the use of cloud services from Amazon Web Services, Inc. (“AWS”), that was amended in March 2016, and again on February 8, 2017. Such agreement will continue indefinitely until terminated by either party. Under the February 2017 addendum to the agreement, we committed to spend $1.0 billion between January 2017 through December 2021 on AWS services (</t>
        </r>
        <r>
          <rPr>
            <b/>
            <sz val="9"/>
            <color indexed="81"/>
            <rFont val="Tahoma"/>
            <family val="2"/>
          </rPr>
          <t>$50.0 million in 2017, $125.0 million in 2018, $200.0 million in 2019, $275.0 million in 2020, and $350.0 million in 2021</t>
        </r>
        <r>
          <rPr>
            <sz val="9"/>
            <color indexed="81"/>
            <rFont val="Tahoma"/>
            <family val="2"/>
          </rPr>
          <t xml:space="preserve">). If we fail to meet the minimum purchase commitment during any year, we are required to pay the difference.
</t>
        </r>
      </text>
    </comment>
    <comment ref="AP47" authorId="4">
      <text>
        <r>
          <rPr>
            <b/>
            <sz val="9"/>
            <color indexed="81"/>
            <rFont val="Tahoma"/>
            <family val="2"/>
          </rPr>
          <t>Costantini, Michael (Research):</t>
        </r>
        <r>
          <rPr>
            <sz val="9"/>
            <color indexed="81"/>
            <rFont val="Tahoma"/>
            <family val="2"/>
          </rPr>
          <t xml:space="preserve">
S-1 (2/24/2017)
https://www.sec.gov/Archives/edgar/data/1564408/000119312517056992/d270216ds1a.htm
In March 2016, we entered into the AWS Enterprise Agreement for the use of cloud services from Amazon Web Services, Inc. (“AWS”), that was amended in March 2016, and again on February 8, 2017. Such agreement will continue indefinitely until terminated by either party. Under the February 2017 addendum to the agreement, we committed to spend $1.0 billion between January 2017 through December 2021 on AWS services (</t>
        </r>
        <r>
          <rPr>
            <b/>
            <sz val="9"/>
            <color indexed="81"/>
            <rFont val="Tahoma"/>
            <family val="2"/>
          </rPr>
          <t>$50.0 million in 2017, $125.0 million in 2018, $200.0 million in 2019, $275.0 million in 2020, and $350.0 million in 2021</t>
        </r>
        <r>
          <rPr>
            <sz val="9"/>
            <color indexed="81"/>
            <rFont val="Tahoma"/>
            <family val="2"/>
          </rPr>
          <t xml:space="preserve">). If we fail to meet the minimum purchase commitment during any year, we are required to pay the difference.
</t>
        </r>
      </text>
    </comment>
    <comment ref="AQ47" authorId="4">
      <text>
        <r>
          <rPr>
            <b/>
            <sz val="9"/>
            <color indexed="81"/>
            <rFont val="Tahoma"/>
            <family val="2"/>
          </rPr>
          <t>Costantini, Michael (Research):</t>
        </r>
        <r>
          <rPr>
            <sz val="9"/>
            <color indexed="81"/>
            <rFont val="Tahoma"/>
            <family val="2"/>
          </rPr>
          <t xml:space="preserve">
S-1 (2/24/2017)
https://www.sec.gov/Archives/edgar/data/1564408/000119312517056992/d270216ds1a.htm
In March 2016, we entered into the AWS Enterprise Agreement for the use of cloud services from Amazon Web Services, Inc. (“AWS”), that was amended in March 2016, and again on February 8, 2017. Such agreement will continue indefinitely until terminated by either party. Under the February 2017 addendum to the agreement, we committed to spend $1.0 billion between January 2017 through December 2021 on AWS services (</t>
        </r>
        <r>
          <rPr>
            <b/>
            <sz val="9"/>
            <color indexed="81"/>
            <rFont val="Tahoma"/>
            <family val="2"/>
          </rPr>
          <t>$50.0 million in 2017, $125.0 million in 2018, $200.0 million in 2019, $275.0 million in 2020, and $350.0 million in 2021</t>
        </r>
        <r>
          <rPr>
            <sz val="9"/>
            <color indexed="81"/>
            <rFont val="Tahoma"/>
            <family val="2"/>
          </rPr>
          <t xml:space="preserve">). If we fail to meet the minimum purchase commitment during any year, we are required to pay the difference.
</t>
        </r>
      </text>
    </comment>
    <comment ref="V55" authorId="2">
      <text>
        <r>
          <rPr>
            <b/>
            <sz val="9"/>
            <color indexed="81"/>
            <rFont val="Tahoma"/>
            <family val="2"/>
          </rPr>
          <t>Nowak, Brian (Research):</t>
        </r>
        <r>
          <rPr>
            <sz val="9"/>
            <color indexed="81"/>
            <rFont val="Tahoma"/>
            <family val="2"/>
          </rPr>
          <t xml:space="preserve">
per slide deck 1Q:17</t>
        </r>
      </text>
    </comment>
    <comment ref="W55" authorId="2">
      <text>
        <r>
          <rPr>
            <b/>
            <sz val="9"/>
            <color indexed="81"/>
            <rFont val="Tahoma"/>
            <family val="2"/>
          </rPr>
          <t>Nowak, Brian (Research):</t>
        </r>
        <r>
          <rPr>
            <sz val="9"/>
            <color indexed="81"/>
            <rFont val="Tahoma"/>
            <family val="2"/>
          </rPr>
          <t xml:space="preserve">
per slide deck 1Q:17</t>
        </r>
      </text>
    </comment>
    <comment ref="X55" authorId="2">
      <text>
        <r>
          <rPr>
            <b/>
            <sz val="9"/>
            <color indexed="81"/>
            <rFont val="Tahoma"/>
            <family val="2"/>
          </rPr>
          <t>Nowak, Brian (Research):</t>
        </r>
        <r>
          <rPr>
            <sz val="9"/>
            <color indexed="81"/>
            <rFont val="Tahoma"/>
            <family val="2"/>
          </rPr>
          <t xml:space="preserve">
per slide deck 1Q:17</t>
        </r>
      </text>
    </comment>
    <comment ref="Y55" authorId="2">
      <text>
        <r>
          <rPr>
            <b/>
            <sz val="9"/>
            <color indexed="81"/>
            <rFont val="Tahoma"/>
            <family val="2"/>
          </rPr>
          <t>Nowak, Brian (Research):</t>
        </r>
        <r>
          <rPr>
            <sz val="9"/>
            <color indexed="81"/>
            <rFont val="Tahoma"/>
            <family val="2"/>
          </rPr>
          <t xml:space="preserve">
per slide deck 1Q:17</t>
        </r>
      </text>
    </comment>
    <comment ref="Z55" authorId="2">
      <text>
        <r>
          <rPr>
            <b/>
            <sz val="9"/>
            <color indexed="81"/>
            <rFont val="Tahoma"/>
            <family val="2"/>
          </rPr>
          <t>Nowak, Brian (Research):</t>
        </r>
        <r>
          <rPr>
            <sz val="9"/>
            <color indexed="81"/>
            <rFont val="Tahoma"/>
            <family val="2"/>
          </rPr>
          <t xml:space="preserve">
per slide deck 1Q:17</t>
        </r>
      </text>
    </comment>
    <comment ref="Z58" authorId="0">
      <text>
        <r>
          <rPr>
            <b/>
            <sz val="9"/>
            <color indexed="81"/>
            <rFont val="Tahoma"/>
            <family val="2"/>
          </rPr>
          <t>Liu, Kevin (Research):</t>
        </r>
        <r>
          <rPr>
            <sz val="9"/>
            <color indexed="81"/>
            <rFont val="Tahoma"/>
            <family val="2"/>
          </rPr>
          <t xml:space="preserve">
All of IPO cogs is in ex-cloud cogs</t>
        </r>
      </text>
    </comment>
    <comment ref="Z64" authorId="0">
      <text>
        <r>
          <rPr>
            <b/>
            <sz val="9"/>
            <color indexed="81"/>
            <rFont val="Tahoma"/>
            <family val="2"/>
          </rPr>
          <t>Liu, Kevin (Research):</t>
        </r>
        <r>
          <rPr>
            <sz val="9"/>
            <color indexed="81"/>
            <rFont val="Tahoma"/>
            <family val="2"/>
          </rPr>
          <t xml:space="preserve">
Goes up as a % of COGS if Snap decides to ramp investment in spectacles and as Snap adds partners (and more rev share deals)</t>
        </r>
      </text>
    </comment>
    <comment ref="AL79" authorId="2">
      <text>
        <r>
          <rPr>
            <b/>
            <sz val="9"/>
            <color indexed="81"/>
            <rFont val="Tahoma"/>
            <family val="2"/>
          </rPr>
          <t>Nowak, Brian (Research):</t>
        </r>
        <r>
          <rPr>
            <sz val="9"/>
            <color indexed="81"/>
            <rFont val="Tahoma"/>
            <family val="2"/>
          </rPr>
          <t xml:space="preserve">
2/1</t>
        </r>
      </text>
    </comment>
    <comment ref="Y81" authorId="0">
      <text>
        <r>
          <rPr>
            <b/>
            <sz val="9"/>
            <color indexed="81"/>
            <rFont val="Tahoma"/>
            <family val="2"/>
          </rPr>
          <t>Liu, Kevin (Research):</t>
        </r>
        <r>
          <rPr>
            <sz val="9"/>
            <color indexed="81"/>
            <rFont val="Tahoma"/>
            <family val="2"/>
          </rPr>
          <t xml:space="preserve">
10-20% of cogs is partner rev share 
</t>
        </r>
      </text>
    </comment>
    <comment ref="V82" authorId="2">
      <text>
        <r>
          <rPr>
            <b/>
            <sz val="9"/>
            <color indexed="81"/>
            <rFont val="Tahoma"/>
            <family val="2"/>
          </rPr>
          <t>Nowak, Brian (Research):</t>
        </r>
        <r>
          <rPr>
            <sz val="9"/>
            <color indexed="81"/>
            <rFont val="Tahoma"/>
            <family val="2"/>
          </rPr>
          <t xml:space="preserve">
MSE</t>
        </r>
      </text>
    </comment>
    <comment ref="W82" authorId="2">
      <text>
        <r>
          <rPr>
            <b/>
            <sz val="9"/>
            <color indexed="81"/>
            <rFont val="Tahoma"/>
            <family val="2"/>
          </rPr>
          <t>Nowak, Brian (Research):</t>
        </r>
        <r>
          <rPr>
            <sz val="9"/>
            <color indexed="81"/>
            <rFont val="Tahoma"/>
            <family val="2"/>
          </rPr>
          <t xml:space="preserve">
MSE</t>
        </r>
      </text>
    </comment>
    <comment ref="X82" authorId="2">
      <text>
        <r>
          <rPr>
            <b/>
            <sz val="9"/>
            <color indexed="81"/>
            <rFont val="Tahoma"/>
            <family val="2"/>
          </rPr>
          <t>Nowak, Brian (Research):</t>
        </r>
        <r>
          <rPr>
            <sz val="9"/>
            <color indexed="81"/>
            <rFont val="Tahoma"/>
            <family val="2"/>
          </rPr>
          <t xml:space="preserve">
MSE</t>
        </r>
      </text>
    </comment>
    <comment ref="I85" authorId="2">
      <text>
        <r>
          <rPr>
            <b/>
            <sz val="9"/>
            <color indexed="81"/>
            <rFont val="Tahoma"/>
            <family val="2"/>
          </rPr>
          <t>Nowak, Brian (Research):</t>
        </r>
        <r>
          <rPr>
            <sz val="9"/>
            <color indexed="81"/>
            <rFont val="Tahoma"/>
            <family val="2"/>
          </rPr>
          <t xml:space="preserve">
assuming Specs sold at Cost
</t>
        </r>
      </text>
    </comment>
    <comment ref="I86" authorId="2">
      <text>
        <r>
          <rPr>
            <b/>
            <sz val="9"/>
            <color indexed="81"/>
            <rFont val="Tahoma"/>
            <family val="2"/>
          </rPr>
          <t>Nowak, Brian (Research):</t>
        </r>
        <r>
          <rPr>
            <sz val="9"/>
            <color indexed="81"/>
            <rFont val="Tahoma"/>
            <family val="2"/>
          </rPr>
          <t xml:space="preserve">
Specs, Data Services, Content curation team</t>
        </r>
      </text>
    </comment>
    <comment ref="V88" authorId="2">
      <text>
        <r>
          <rPr>
            <b/>
            <sz val="9"/>
            <color indexed="81"/>
            <rFont val="Tahoma"/>
            <family val="2"/>
          </rPr>
          <t>Nowak, Brian (Research):</t>
        </r>
        <r>
          <rPr>
            <sz val="9"/>
            <color indexed="81"/>
            <rFont val="Tahoma"/>
            <family val="2"/>
          </rPr>
          <t xml:space="preserve">
MSE 5%</t>
        </r>
      </text>
    </comment>
    <comment ref="W88" authorId="2">
      <text>
        <r>
          <rPr>
            <b/>
            <sz val="9"/>
            <color indexed="81"/>
            <rFont val="Tahoma"/>
            <family val="2"/>
          </rPr>
          <t>Nowak, Brian (Research):</t>
        </r>
        <r>
          <rPr>
            <sz val="9"/>
            <color indexed="81"/>
            <rFont val="Tahoma"/>
            <family val="2"/>
          </rPr>
          <t xml:space="preserve">
MSE 5%</t>
        </r>
      </text>
    </comment>
    <comment ref="X88" authorId="2">
      <text>
        <r>
          <rPr>
            <b/>
            <sz val="9"/>
            <color indexed="81"/>
            <rFont val="Tahoma"/>
            <family val="2"/>
          </rPr>
          <t>Nowak, Brian (Research):</t>
        </r>
        <r>
          <rPr>
            <sz val="9"/>
            <color indexed="81"/>
            <rFont val="Tahoma"/>
            <family val="2"/>
          </rPr>
          <t xml:space="preserve">
MSE 5%</t>
        </r>
      </text>
    </comment>
    <comment ref="Y88" authorId="0">
      <text>
        <r>
          <rPr>
            <b/>
            <sz val="9"/>
            <color indexed="81"/>
            <rFont val="Tahoma"/>
            <family val="2"/>
          </rPr>
          <t>Liu, Kevin (Research):</t>
        </r>
        <r>
          <rPr>
            <sz val="9"/>
            <color indexed="81"/>
            <rFont val="Tahoma"/>
            <family val="2"/>
          </rPr>
          <t xml:space="preserve">
Remaining 5-10% of cogs is Spectacles, content measurement, Snap Curation Team, </t>
        </r>
      </text>
    </comment>
    <comment ref="Z88" authorId="2">
      <text>
        <r>
          <rPr>
            <b/>
            <sz val="9"/>
            <color indexed="81"/>
            <rFont val="Tahoma"/>
            <family val="2"/>
          </rPr>
          <t>Nowak, Brian (Research):</t>
        </r>
        <r>
          <rPr>
            <sz val="9"/>
            <color indexed="81"/>
            <rFont val="Tahoma"/>
            <family val="2"/>
          </rPr>
          <t xml:space="preserve">
MSE 5%</t>
        </r>
      </text>
    </comment>
    <comment ref="AD128" authorId="0">
      <text>
        <r>
          <rPr>
            <b/>
            <sz val="9"/>
            <color indexed="81"/>
            <rFont val="Tahoma"/>
            <family val="2"/>
          </rPr>
          <t>Liu, Kevin (Research):</t>
        </r>
        <r>
          <rPr>
            <sz val="9"/>
            <color indexed="81"/>
            <rFont val="Tahoma"/>
            <family val="2"/>
          </rPr>
          <t xml:space="preserve">
Lapping IPO RSU grant</t>
        </r>
      </text>
    </comment>
    <comment ref="AB129" authorId="0">
      <text>
        <r>
          <rPr>
            <b/>
            <sz val="9"/>
            <color indexed="81"/>
            <rFont val="Tahoma"/>
            <family val="2"/>
          </rPr>
          <t>Liu, Kevin (Research):</t>
        </r>
        <r>
          <rPr>
            <sz val="9"/>
            <color indexed="81"/>
            <rFont val="Tahoma"/>
            <family val="2"/>
          </rPr>
          <t xml:space="preserve">
Sequentially more; hiring of new grads </t>
        </r>
      </text>
    </comment>
    <comment ref="Z130" authorId="5">
      <text>
        <r>
          <rPr>
            <b/>
            <sz val="9"/>
            <color indexed="81"/>
            <rFont val="Tahoma"/>
            <family val="2"/>
          </rPr>
          <t>Hoffman, Brandon (Research):</t>
        </r>
        <r>
          <rPr>
            <sz val="9"/>
            <color indexed="81"/>
            <rFont val="Tahoma"/>
            <family val="2"/>
          </rPr>
          <t xml:space="preserve">
1Q17 10Q: increased R&amp;D headcount by 260%</t>
        </r>
      </text>
    </comment>
    <comment ref="W138" authorId="0">
      <text>
        <r>
          <rPr>
            <b/>
            <sz val="9"/>
            <color indexed="81"/>
            <rFont val="Tahoma"/>
            <family val="2"/>
          </rPr>
          <t>Liu, Kevin (Research):</t>
        </r>
        <r>
          <rPr>
            <sz val="9"/>
            <color indexed="81"/>
            <rFont val="Tahoma"/>
            <family val="2"/>
          </rPr>
          <t xml:space="preserve">
Snap S-1: Direct sales team has grown to ~775 people </t>
        </r>
      </text>
    </comment>
    <comment ref="AA138" authorId="2">
      <text>
        <r>
          <rPr>
            <b/>
            <sz val="9"/>
            <color indexed="81"/>
            <rFont val="Tahoma"/>
            <family val="2"/>
          </rPr>
          <t>Nowak, Brian (Research):</t>
        </r>
        <r>
          <rPr>
            <sz val="9"/>
            <color indexed="81"/>
            <rFont val="Tahoma"/>
            <family val="2"/>
          </rPr>
          <t xml:space="preserve">
bump from Caan conference spend </t>
        </r>
      </text>
    </comment>
    <comment ref="AD139" authorId="0">
      <text>
        <r>
          <rPr>
            <b/>
            <sz val="9"/>
            <color indexed="81"/>
            <rFont val="Tahoma"/>
            <family val="2"/>
          </rPr>
          <t>Liu, Kevin (Research):</t>
        </r>
        <r>
          <rPr>
            <sz val="9"/>
            <color indexed="81"/>
            <rFont val="Tahoma"/>
            <family val="2"/>
          </rPr>
          <t xml:space="preserve">
Lapping IPO RSU grant</t>
        </r>
      </text>
    </comment>
    <comment ref="Z141" authorId="5">
      <text>
        <r>
          <rPr>
            <b/>
            <sz val="9"/>
            <color indexed="81"/>
            <rFont val="Tahoma"/>
            <family val="2"/>
          </rPr>
          <t>Hoffman, Brandon (Research):</t>
        </r>
        <r>
          <rPr>
            <sz val="9"/>
            <color indexed="81"/>
            <rFont val="Tahoma"/>
            <family val="2"/>
          </rPr>
          <t xml:space="preserve">
1Q17 10Q: increased S&amp;M headcount by 230%</t>
        </r>
      </text>
    </comment>
    <comment ref="Z149" authorId="2">
      <text>
        <r>
          <rPr>
            <b/>
            <sz val="9"/>
            <color indexed="81"/>
            <rFont val="Tahoma"/>
            <family val="2"/>
          </rPr>
          <t>Nowak, Brian (Research):</t>
        </r>
        <r>
          <rPr>
            <sz val="9"/>
            <color indexed="81"/>
            <rFont val="Tahoma"/>
            <family val="2"/>
          </rPr>
          <t xml:space="preserve">
ipo costs?</t>
        </r>
      </text>
    </comment>
    <comment ref="AD149" authorId="0">
      <text>
        <r>
          <rPr>
            <b/>
            <sz val="9"/>
            <color indexed="81"/>
            <rFont val="Tahoma"/>
            <family val="2"/>
          </rPr>
          <t>Liu, Kevin (Research):</t>
        </r>
        <r>
          <rPr>
            <sz val="9"/>
            <color indexed="81"/>
            <rFont val="Tahoma"/>
            <family val="2"/>
          </rPr>
          <t xml:space="preserve">
Lapping IPO RSU grant</t>
        </r>
      </text>
    </comment>
    <comment ref="Z151" authorId="5">
      <text>
        <r>
          <rPr>
            <b/>
            <sz val="9"/>
            <color indexed="81"/>
            <rFont val="Tahoma"/>
            <family val="2"/>
          </rPr>
          <t>Hoffman, Brandon (Research):</t>
        </r>
        <r>
          <rPr>
            <sz val="9"/>
            <color indexed="81"/>
            <rFont val="Tahoma"/>
            <family val="2"/>
          </rPr>
          <t xml:space="preserve">
1Q17 10Q: increased headcount by 160%</t>
        </r>
      </text>
    </comment>
    <comment ref="Z161" authorId="0">
      <text>
        <r>
          <rPr>
            <b/>
            <sz val="9"/>
            <color indexed="81"/>
            <rFont val="Tahoma"/>
            <family val="2"/>
          </rPr>
          <t>Liu, Kevin (Research):</t>
        </r>
        <r>
          <rPr>
            <sz val="9"/>
            <color indexed="81"/>
            <rFont val="Tahoma"/>
            <family val="2"/>
          </rPr>
          <t xml:space="preserve">
Assumes ~750mn in CEO grant, or 3% of company assuming $25bn valuation</t>
        </r>
      </text>
    </comment>
    <comment ref="Z162" authorId="0">
      <text>
        <r>
          <rPr>
            <b/>
            <sz val="9"/>
            <color indexed="81"/>
            <rFont val="Tahoma"/>
            <family val="2"/>
          </rPr>
          <t>Liu, Kevin (Research):</t>
        </r>
        <r>
          <rPr>
            <sz val="9"/>
            <color indexed="81"/>
            <rFont val="Tahoma"/>
            <family val="2"/>
          </rPr>
          <t xml:space="preserve">
Includes 1.4bn of IPO related SBC and 750mn CEO grant</t>
        </r>
      </text>
    </comment>
    <comment ref="AA162" authorId="2">
      <text>
        <r>
          <rPr>
            <b/>
            <sz val="9"/>
            <color indexed="81"/>
            <rFont val="Tahoma"/>
            <family val="2"/>
          </rPr>
          <t>Nowak, Brian (Research):</t>
        </r>
        <r>
          <rPr>
            <sz val="9"/>
            <color indexed="81"/>
            <rFont val="Tahoma"/>
            <family val="2"/>
          </rPr>
          <t xml:space="preserve">
</t>
        </r>
        <r>
          <rPr>
            <b/>
            <sz val="9"/>
            <color indexed="81"/>
            <rFont val="Tahoma"/>
            <family val="2"/>
          </rPr>
          <t xml:space="preserve">1Q:17 conf call: 
</t>
        </r>
        <r>
          <rPr>
            <sz val="9"/>
            <color indexed="81"/>
            <rFont val="Tahoma"/>
            <family val="2"/>
          </rPr>
          <t>Total unrecognized compensation cost related to the 2017 RSUs at the end of Q1 is $1.3 billion, expected to be recognized over a period of slightly
more than three years, of which about half of that expense we expect to recognize during the remainder of 2017
implies ~700mn in last 3 qtrs of 2017
600 over next ~2.5 years or 60mn per qtr</t>
        </r>
      </text>
    </comment>
    <comment ref="AC162" authorId="1">
      <text>
        <r>
          <rPr>
            <b/>
            <sz val="9"/>
            <color indexed="81"/>
            <rFont val="Tahoma"/>
            <family val="2"/>
          </rPr>
          <t>Wang, Alaxandar (Research):</t>
        </r>
        <r>
          <rPr>
            <sz val="9"/>
            <color indexed="81"/>
            <rFont val="Tahoma"/>
            <family val="2"/>
          </rPr>
          <t xml:space="preserve">
per 3Q:17 call $225mn is a good proxy for near-term</t>
        </r>
      </text>
    </comment>
    <comment ref="AD162" authorId="1">
      <text>
        <r>
          <rPr>
            <b/>
            <sz val="9"/>
            <color indexed="81"/>
            <rFont val="Tahoma"/>
            <family val="2"/>
          </rPr>
          <t>Wang, Alaxandar (Research):</t>
        </r>
        <r>
          <rPr>
            <sz val="9"/>
            <color indexed="81"/>
            <rFont val="Tahoma"/>
            <family val="2"/>
          </rPr>
          <t xml:space="preserve">
8K: SNAP expects to recognize a SBC forfeiture benefit of ~$31mn in Q1:18</t>
        </r>
      </text>
    </comment>
    <comment ref="AO162" authorId="2">
      <text>
        <r>
          <rPr>
            <b/>
            <sz val="9"/>
            <color indexed="81"/>
            <rFont val="Tahoma"/>
            <family val="2"/>
          </rPr>
          <t>Nowak, Brian (Research):</t>
        </r>
        <r>
          <rPr>
            <sz val="9"/>
            <color indexed="81"/>
            <rFont val="Tahoma"/>
            <family val="2"/>
          </rPr>
          <t xml:space="preserve">
</t>
        </r>
        <r>
          <rPr>
            <b/>
            <sz val="9"/>
            <color indexed="81"/>
            <rFont val="Tahoma"/>
            <family val="2"/>
          </rPr>
          <t xml:space="preserve">1Q:17 conf call: 
</t>
        </r>
        <r>
          <rPr>
            <sz val="9"/>
            <color indexed="81"/>
            <rFont val="Tahoma"/>
            <family val="2"/>
          </rPr>
          <t>Total unrecognized compensation cost related to the 2017 RSUs at the end of Q1 is $1.3 billion, expected to be recognized over a period of slightly
more than three years, of which about half of that expense we expect to recognize during the remainder of 2017
implies ~700mn in last 3 qtrs of 2017
600 over next ~2.5 years or 60mn per qtr</t>
        </r>
      </text>
    </comment>
    <comment ref="AM165" authorId="0">
      <text>
        <r>
          <rPr>
            <b/>
            <sz val="9"/>
            <color indexed="81"/>
            <rFont val="Tahoma"/>
            <family val="2"/>
          </rPr>
          <t>Liu, Kevin (Research):</t>
        </r>
        <r>
          <rPr>
            <sz val="9"/>
            <color indexed="81"/>
            <rFont val="Tahoma"/>
            <family val="2"/>
          </rPr>
          <t xml:space="preserve">
1.4bn IPO + CEO grant</t>
        </r>
      </text>
    </comment>
    <comment ref="AL170" authorId="0">
      <text>
        <r>
          <rPr>
            <b/>
            <sz val="9"/>
            <color indexed="81"/>
            <rFont val="Tahoma"/>
            <family val="2"/>
          </rPr>
          <t>Liu, Kevin (Research):</t>
        </r>
        <r>
          <rPr>
            <sz val="9"/>
            <color indexed="81"/>
            <rFont val="Tahoma"/>
            <family val="2"/>
          </rPr>
          <t xml:space="preserve">
70% of opex is headcount related</t>
        </r>
      </text>
    </comment>
    <comment ref="AM176" authorId="2">
      <text>
        <r>
          <rPr>
            <b/>
            <sz val="9"/>
            <color indexed="81"/>
            <rFont val="Tahoma"/>
            <family val="2"/>
          </rPr>
          <t>Nowak, Brian (Research):</t>
        </r>
        <r>
          <rPr>
            <sz val="9"/>
            <color indexed="81"/>
            <rFont val="Tahoma"/>
            <family val="2"/>
          </rPr>
          <t xml:space="preserve">
assume 2120 one-time ipo</t>
        </r>
      </text>
    </comment>
    <comment ref="AD177" authorId="3">
      <text>
        <r>
          <rPr>
            <b/>
            <sz val="9"/>
            <color indexed="81"/>
            <rFont val="Tahoma"/>
            <family val="2"/>
          </rPr>
          <t>Cost, Matthew A (Research):</t>
        </r>
        <r>
          <rPr>
            <sz val="9"/>
            <color indexed="81"/>
            <rFont val="Tahoma"/>
            <family val="2"/>
          </rPr>
          <t xml:space="preserve">
Guide: Expect opex growth to moderate in 1H:18 and be up low double-digits vs. 2H:17
4Q:17 Call:
"With respect to operating expenses, we are planning for continued gains in team productivity and modest hiring. We are planning for operating-expense growth to moderate in the first half of 2018 and be up low double-digits versus the second half of 2017, primarily driven by more focused hiring in front-of-house functions. Please note that this does not include any potential acquisitions."</t>
        </r>
      </text>
    </comment>
    <comment ref="Z189" authorId="5">
      <text>
        <r>
          <rPr>
            <b/>
            <sz val="9"/>
            <color indexed="81"/>
            <rFont val="Tahoma"/>
            <family val="2"/>
          </rPr>
          <t>Hoffman, Brandon (Research):</t>
        </r>
        <r>
          <rPr>
            <sz val="9"/>
            <color indexed="81"/>
            <rFont val="Tahoma"/>
            <family val="2"/>
          </rPr>
          <t xml:space="preserve">
1Q17 Conf Call</t>
        </r>
      </text>
    </comment>
    <comment ref="AB189" authorId="3">
      <text>
        <r>
          <rPr>
            <b/>
            <sz val="9"/>
            <color indexed="81"/>
            <rFont val="Tahoma"/>
            <family val="2"/>
          </rPr>
          <t>Cost, Matthew A (Research):</t>
        </r>
        <r>
          <rPr>
            <sz val="9"/>
            <color indexed="81"/>
            <rFont val="Tahoma"/>
            <family val="2"/>
          </rPr>
          <t xml:space="preserve">
3Q:17 earnings call
 At the end of Q3, we had nearly 3,000 employees</t>
        </r>
      </text>
    </comment>
    <comment ref="AL189" authorId="0">
      <text>
        <r>
          <rPr>
            <b/>
            <sz val="9"/>
            <color indexed="81"/>
            <rFont val="Tahoma"/>
            <family val="2"/>
          </rPr>
          <t>Liu, Kevin (Research):</t>
        </r>
        <r>
          <rPr>
            <sz val="9"/>
            <color indexed="81"/>
            <rFont val="Tahoma"/>
            <family val="2"/>
          </rPr>
          <t xml:space="preserve">
From 1/12 analyst day </t>
        </r>
      </text>
    </comment>
    <comment ref="Z190" authorId="0">
      <text>
        <r>
          <rPr>
            <b/>
            <sz val="9"/>
            <color indexed="81"/>
            <rFont val="Tahoma"/>
            <family val="2"/>
          </rPr>
          <t>Liu, Kevin (Research):</t>
        </r>
        <r>
          <rPr>
            <sz val="9"/>
            <color indexed="81"/>
            <rFont val="Tahoma"/>
            <family val="2"/>
          </rPr>
          <t xml:space="preserve">
"We thought ad business was gaining traction; we are very much moving ahead from headcount perspective" 
</t>
        </r>
      </text>
    </comment>
    <comment ref="AB190" authorId="0">
      <text>
        <r>
          <rPr>
            <b/>
            <sz val="9"/>
            <color indexed="81"/>
            <rFont val="Tahoma"/>
            <family val="2"/>
          </rPr>
          <t>Liu, Kevin (Research):</t>
        </r>
        <r>
          <rPr>
            <sz val="9"/>
            <color indexed="81"/>
            <rFont val="Tahoma"/>
            <family val="2"/>
          </rPr>
          <t xml:space="preserve">
higher due to new grads </t>
        </r>
      </text>
    </comment>
    <comment ref="AM190" authorId="0">
      <text>
        <r>
          <rPr>
            <b/>
            <sz val="9"/>
            <color indexed="81"/>
            <rFont val="Tahoma"/>
            <family val="2"/>
          </rPr>
          <t>Liu, Kevin (Research):</t>
        </r>
        <r>
          <rPr>
            <sz val="9"/>
            <color indexed="81"/>
            <rFont val="Tahoma"/>
            <family val="2"/>
          </rPr>
          <t xml:space="preserve">
"We thought ad business was gaining traction; we are very much moving ahead from headcount perspective" 
"Pace of hiring is expected to continue longer-term" 
"What we are buying is innovation pipeline and a sales team that is starting to localize and take shape" </t>
        </r>
      </text>
    </comment>
    <comment ref="AM197" authorId="0">
      <text>
        <r>
          <rPr>
            <b/>
            <sz val="9"/>
            <color indexed="81"/>
            <rFont val="Tahoma"/>
            <family val="2"/>
          </rPr>
          <t>Liu, Kevin (Research):</t>
        </r>
        <r>
          <rPr>
            <sz val="9"/>
            <color indexed="81"/>
            <rFont val="Tahoma"/>
            <family val="2"/>
          </rPr>
          <t xml:space="preserve">
Includes impact of IPO stock-based compensation
2/1 meeting: 
Inflationary due to contract workers not counted in employee pool in denominator 
Engineering employees always inflationary </t>
        </r>
      </text>
    </comment>
    <comment ref="AN197" authorId="0">
      <text>
        <r>
          <rPr>
            <b/>
            <sz val="9"/>
            <color indexed="81"/>
            <rFont val="Tahoma"/>
            <family val="2"/>
          </rPr>
          <t>Liu, Kevin (Research):</t>
        </r>
        <r>
          <rPr>
            <sz val="9"/>
            <color indexed="81"/>
            <rFont val="Tahoma"/>
            <family val="2"/>
          </rPr>
          <t xml:space="preserve">
Includes impact of IPO stock-based compensation
2/1 meeting: 
Inflationary due to contract workers not counted in employee pool in denominator 
Engineering employees always inflationary </t>
        </r>
      </text>
    </comment>
    <comment ref="AL202" authorId="0">
      <text>
        <r>
          <rPr>
            <b/>
            <sz val="9"/>
            <color indexed="81"/>
            <rFont val="Tahoma"/>
            <family val="2"/>
          </rPr>
          <t>Liu, Kevin (Research):</t>
        </r>
        <r>
          <rPr>
            <sz val="9"/>
            <color indexed="81"/>
            <rFont val="Tahoma"/>
            <family val="2"/>
          </rPr>
          <t xml:space="preserve">
A little over 200 sales people</t>
        </r>
      </text>
    </comment>
    <comment ref="AC207" authorId="1">
      <text>
        <r>
          <rPr>
            <b/>
            <sz val="9"/>
            <color indexed="81"/>
            <rFont val="Tahoma"/>
            <family val="2"/>
          </rPr>
          <t>Wang, Alaxandar (Research):</t>
        </r>
        <r>
          <rPr>
            <sz val="9"/>
            <color indexed="81"/>
            <rFont val="Tahoma"/>
            <family val="2"/>
          </rPr>
          <t xml:space="preserve">
per Q3 call: increase low double digits </t>
        </r>
      </text>
    </comment>
    <comment ref="AM207" authorId="0">
      <text>
        <r>
          <rPr>
            <b/>
            <sz val="9"/>
            <color indexed="81"/>
            <rFont val="Tahoma"/>
            <family val="2"/>
          </rPr>
          <t>Liu, Kevin (Research):</t>
        </r>
        <r>
          <rPr>
            <sz val="9"/>
            <color indexed="81"/>
            <rFont val="Tahoma"/>
            <family val="2"/>
          </rPr>
          <t xml:space="preserve">
2/1 meeting: 
Inflationary due to contract workers not counted in employee pool in denominator 
Engineering employees always inflationary </t>
        </r>
      </text>
    </comment>
    <comment ref="AN207" authorId="0">
      <text>
        <r>
          <rPr>
            <b/>
            <sz val="9"/>
            <color indexed="81"/>
            <rFont val="Tahoma"/>
            <family val="2"/>
          </rPr>
          <t>Liu, Kevin (Research):</t>
        </r>
        <r>
          <rPr>
            <sz val="9"/>
            <color indexed="81"/>
            <rFont val="Tahoma"/>
            <family val="2"/>
          </rPr>
          <t xml:space="preserve">
2/1 meeting: 
Inflationary due to contract workers not counted in employee pool in denominator 
Engineering employees always inflationary </t>
        </r>
      </text>
    </comment>
    <comment ref="AB216" authorId="0">
      <text>
        <r>
          <rPr>
            <b/>
            <sz val="9"/>
            <color indexed="81"/>
            <rFont val="Tahoma"/>
            <family val="2"/>
          </rPr>
          <t>Liu, Kevin (Research):</t>
        </r>
        <r>
          <rPr>
            <sz val="9"/>
            <color indexed="81"/>
            <rFont val="Tahoma"/>
            <family val="2"/>
          </rPr>
          <t xml:space="preserve">
Sequentially more; hiring of new grads </t>
        </r>
      </text>
    </comment>
  </commentList>
</comments>
</file>

<file path=xl/comments4.xml><?xml version="1.0" encoding="utf-8"?>
<comments xmlns="http://schemas.openxmlformats.org/spreadsheetml/2006/main">
  <authors>
    <author>Liu, Kevin (Research)</author>
  </authors>
  <commentList>
    <comment ref="I11" authorId="0">
      <text>
        <r>
          <rPr>
            <b/>
            <sz val="9"/>
            <color indexed="81"/>
            <rFont val="Tahoma"/>
            <family val="2"/>
          </rPr>
          <t>Liu, Kevin (Research):</t>
        </r>
        <r>
          <rPr>
            <sz val="9"/>
            <color indexed="81"/>
            <rFont val="Tahoma"/>
            <family val="2"/>
          </rPr>
          <t xml:space="preserve">
We are modeling ~$74mn of dilution post-IPO. We are calculating post-IPO valuation. </t>
        </r>
      </text>
    </comment>
    <comment ref="R17" authorId="0">
      <text>
        <r>
          <rPr>
            <b/>
            <sz val="9"/>
            <color indexed="81"/>
            <rFont val="Tahoma"/>
            <family val="2"/>
          </rPr>
          <t>Liu, Kevin (Research):</t>
        </r>
        <r>
          <rPr>
            <sz val="9"/>
            <color indexed="81"/>
            <rFont val="Tahoma"/>
            <family val="2"/>
          </rPr>
          <t xml:space="preserve">
Zephyr 1/12 Analyst Day: 
-As our EBITDA improves we want EBITDA/FCF to follow closely </t>
        </r>
      </text>
    </comment>
  </commentList>
</comments>
</file>

<file path=xl/comments5.xml><?xml version="1.0" encoding="utf-8"?>
<comments xmlns="http://schemas.openxmlformats.org/spreadsheetml/2006/main">
  <authors>
    <author>Liu, Kevin (Research)</author>
    <author>Costantini, Michael (Research)</author>
  </authors>
  <commentList>
    <comment ref="I11" authorId="0">
      <text>
        <r>
          <rPr>
            <b/>
            <sz val="9"/>
            <color indexed="81"/>
            <rFont val="Tahoma"/>
            <family val="2"/>
          </rPr>
          <t>Liu, Kevin (Research):</t>
        </r>
        <r>
          <rPr>
            <sz val="9"/>
            <color indexed="81"/>
            <rFont val="Tahoma"/>
            <family val="2"/>
          </rPr>
          <t xml:space="preserve">
We are modeling ~$74mn of dilution post-IPO. We are calculating post-IPO valuation. </t>
        </r>
      </text>
    </comment>
    <comment ref="R17" authorId="0">
      <text>
        <r>
          <rPr>
            <b/>
            <sz val="9"/>
            <color indexed="81"/>
            <rFont val="Tahoma"/>
            <family val="2"/>
          </rPr>
          <t>Liu, Kevin (Research):</t>
        </r>
        <r>
          <rPr>
            <sz val="9"/>
            <color indexed="81"/>
            <rFont val="Tahoma"/>
            <family val="2"/>
          </rPr>
          <t xml:space="preserve">
assuming 50% once they start paying cash taxes
Zephyr 1/12 Analyst Day: 
-As our EBITDA improves we want EBITDA/FCF to follow closely 
</t>
        </r>
      </text>
    </comment>
    <comment ref="E34" authorId="0">
      <text>
        <r>
          <rPr>
            <b/>
            <sz val="9"/>
            <color indexed="81"/>
            <rFont val="Tahoma"/>
            <family val="2"/>
          </rPr>
          <t>Liu, Kevin (Research):</t>
        </r>
        <r>
          <rPr>
            <sz val="9"/>
            <color indexed="81"/>
            <rFont val="Tahoma"/>
            <family val="2"/>
          </rPr>
          <t xml:space="preserve">
Post-IPO cash balance </t>
        </r>
      </text>
    </comment>
    <comment ref="E36" authorId="0">
      <text>
        <r>
          <rPr>
            <b/>
            <sz val="9"/>
            <color indexed="81"/>
            <rFont val="Tahoma"/>
            <family val="2"/>
          </rPr>
          <t>Liu, Kevin (Research):</t>
        </r>
        <r>
          <rPr>
            <sz val="9"/>
            <color indexed="81"/>
            <rFont val="Tahoma"/>
            <family val="2"/>
          </rPr>
          <t xml:space="preserve">
Post IPO, pro forma diluted share count</t>
        </r>
      </text>
    </comment>
    <comment ref="E57" authorId="1">
      <text>
        <r>
          <rPr>
            <b/>
            <sz val="9"/>
            <color indexed="81"/>
            <rFont val="Tahoma"/>
            <family val="2"/>
          </rPr>
          <t>Liu, Kevin (Research):</t>
        </r>
        <r>
          <rPr>
            <sz val="9"/>
            <color indexed="81"/>
            <rFont val="Tahoma"/>
            <family val="2"/>
          </rPr>
          <t xml:space="preserve">
12/27/17</t>
        </r>
      </text>
    </comment>
    <comment ref="E58" authorId="1">
      <text>
        <r>
          <rPr>
            <b/>
            <sz val="9"/>
            <color indexed="81"/>
            <rFont val="Tahoma"/>
            <family val="2"/>
          </rPr>
          <t>Liu, Kevin (Research):</t>
        </r>
        <r>
          <rPr>
            <sz val="9"/>
            <color indexed="81"/>
            <rFont val="Tahoma"/>
            <family val="2"/>
          </rPr>
          <t xml:space="preserve">
From Damordaran NYU website: 4.38 as of 12/27/17
http://pages.stern.nyu.edu/~adamodar/</t>
        </r>
      </text>
    </comment>
    <comment ref="E59" authorId="0">
      <text>
        <r>
          <rPr>
            <b/>
            <sz val="9"/>
            <color indexed="81"/>
            <rFont val="Tahoma"/>
            <family val="2"/>
          </rPr>
          <t>Liu, Kevin (Research):</t>
        </r>
        <r>
          <rPr>
            <sz val="9"/>
            <color indexed="81"/>
            <rFont val="Tahoma"/>
            <family val="2"/>
          </rPr>
          <t xml:space="preserve">
Average of 
Updated 12/27/17
GOOGL: 1.16
FB: 1.09
TWTR: 1.74
Box: 1.52
COUP: 1.116
SCWX: 1.044
SHOP: 1.70</t>
        </r>
      </text>
    </comment>
    <comment ref="G70" authorId="0">
      <text>
        <r>
          <rPr>
            <b/>
            <sz val="9"/>
            <color indexed="81"/>
            <rFont val="Tahoma"/>
            <family val="2"/>
          </rPr>
          <t>Liu, Kevin (Research):</t>
        </r>
        <r>
          <rPr>
            <sz val="9"/>
            <color indexed="81"/>
            <rFont val="Tahoma"/>
            <family val="2"/>
          </rPr>
          <t xml:space="preserve">
As of the end of 2015, we had US federal NOLs of approximately $395.5mn and state not operating carryforwards of approx $187.4mn </t>
        </r>
      </text>
    </comment>
  </commentList>
</comments>
</file>

<file path=xl/comments6.xml><?xml version="1.0" encoding="utf-8"?>
<comments xmlns="http://schemas.openxmlformats.org/spreadsheetml/2006/main">
  <authors>
    <author>Liu, Kevin (Research)</author>
  </authors>
  <commentList>
    <comment ref="I11" authorId="0">
      <text>
        <r>
          <rPr>
            <b/>
            <sz val="9"/>
            <color indexed="81"/>
            <rFont val="Tahoma"/>
            <family val="2"/>
          </rPr>
          <t>Liu, Kevin (Research):</t>
        </r>
        <r>
          <rPr>
            <sz val="9"/>
            <color indexed="81"/>
            <rFont val="Tahoma"/>
            <family val="2"/>
          </rPr>
          <t xml:space="preserve">
We are modeling ~$74mn of dilution post-IPO. We are calculating post-IPO valuation. </t>
        </r>
      </text>
    </comment>
    <comment ref="R17" authorId="0">
      <text>
        <r>
          <rPr>
            <b/>
            <sz val="9"/>
            <color indexed="81"/>
            <rFont val="Tahoma"/>
            <family val="2"/>
          </rPr>
          <t>Liu, Kevin (Research):</t>
        </r>
        <r>
          <rPr>
            <sz val="9"/>
            <color indexed="81"/>
            <rFont val="Tahoma"/>
            <family val="2"/>
          </rPr>
          <t xml:space="preserve">
Zephyr 1/12 Analyst Day: 
-As our EBITDA improves we want EBITDA/FCF to follow closely </t>
        </r>
      </text>
    </comment>
  </commentList>
</comments>
</file>

<file path=xl/sharedStrings.xml><?xml version="1.0" encoding="utf-8"?>
<sst xmlns="http://schemas.openxmlformats.org/spreadsheetml/2006/main" count="1304" uniqueCount="821">
  <si>
    <t xml:space="preserve">Revenue </t>
  </si>
  <si>
    <t>Y/Y % Growth</t>
  </si>
  <si>
    <t>Daily Active Users</t>
  </si>
  <si>
    <t>Q/Q % Growth</t>
  </si>
  <si>
    <t>Q/Q Abs Growth</t>
  </si>
  <si>
    <t>North America DAUs</t>
  </si>
  <si>
    <t>North America ARPU</t>
  </si>
  <si>
    <t xml:space="preserve">North America Revenue </t>
  </si>
  <si>
    <t>North America Revenue Build</t>
  </si>
  <si>
    <t>Europe Revenue Build</t>
  </si>
  <si>
    <t>Europe DAUs</t>
  </si>
  <si>
    <t>Europe Revenue</t>
  </si>
  <si>
    <t>Europe ARPU</t>
  </si>
  <si>
    <t>Rest of World Revenue Build</t>
  </si>
  <si>
    <t>ROW DAUs</t>
  </si>
  <si>
    <t xml:space="preserve">ROW Revenue </t>
  </si>
  <si>
    <t>Revenue ARPU</t>
  </si>
  <si>
    <t>ARPU</t>
  </si>
  <si>
    <t xml:space="preserve">% of Revenue </t>
  </si>
  <si>
    <t>R&amp;D Expense</t>
  </si>
  <si>
    <t>S&amp;M Expense</t>
  </si>
  <si>
    <t>G&amp;A Expense</t>
  </si>
  <si>
    <t xml:space="preserve">Total Costs and Expenses </t>
  </si>
  <si>
    <t>Y/Y Abs Growth</t>
  </si>
  <si>
    <t xml:space="preserve">Cost of Revenue </t>
  </si>
  <si>
    <t>Total Costs and Expenses</t>
  </si>
  <si>
    <t>Interest Income</t>
  </si>
  <si>
    <t>Other income (expense), net</t>
  </si>
  <si>
    <t>Loss Before Income Taxes</t>
  </si>
  <si>
    <t>Balance Sheet</t>
  </si>
  <si>
    <t>Cash and Cash Equivalents</t>
  </si>
  <si>
    <t>Marketable Securities</t>
  </si>
  <si>
    <t xml:space="preserve">Current Assets </t>
  </si>
  <si>
    <t xml:space="preserve">Accounts Receivable, net </t>
  </si>
  <si>
    <t>Prepaid Expenses and other current assets</t>
  </si>
  <si>
    <t>Total Current Assets</t>
  </si>
  <si>
    <t>PP&amp;E, net</t>
  </si>
  <si>
    <t xml:space="preserve">Intangible assets, net </t>
  </si>
  <si>
    <t>Goodwill</t>
  </si>
  <si>
    <t>Other Assets</t>
  </si>
  <si>
    <t xml:space="preserve">Total Assets </t>
  </si>
  <si>
    <t xml:space="preserve">Current Liabilities </t>
  </si>
  <si>
    <t>Accounts Payable</t>
  </si>
  <si>
    <t>Accured Expenses and other current liabilities</t>
  </si>
  <si>
    <t xml:space="preserve">Total Current Liabilities </t>
  </si>
  <si>
    <t>Other Liabilities</t>
  </si>
  <si>
    <t>Total Liabilities</t>
  </si>
  <si>
    <t>Stockholders Equity</t>
  </si>
  <si>
    <t xml:space="preserve">Notes Receivable from officers/stockholders </t>
  </si>
  <si>
    <t>APIC</t>
  </si>
  <si>
    <t xml:space="preserve">Accumulated other comprehensive income </t>
  </si>
  <si>
    <t xml:space="preserve">Accumulated deficit </t>
  </si>
  <si>
    <t xml:space="preserve">Total Stockholders Equity </t>
  </si>
  <si>
    <t>Total Liabilities and stockholders equity</t>
  </si>
  <si>
    <t>Assets</t>
  </si>
  <si>
    <t>Liabilities</t>
  </si>
  <si>
    <t>(mn, USD)</t>
  </si>
  <si>
    <t>Cash Flow Statement</t>
  </si>
  <si>
    <t xml:space="preserve">Operating Cash Flow </t>
  </si>
  <si>
    <t xml:space="preserve">Net Income </t>
  </si>
  <si>
    <t>Depreciation and amortization</t>
  </si>
  <si>
    <t>Stock-based compensation</t>
  </si>
  <si>
    <t>Deferred income taxes</t>
  </si>
  <si>
    <t xml:space="preserve">Other </t>
  </si>
  <si>
    <t xml:space="preserve">Changes in working capital: </t>
  </si>
  <si>
    <t xml:space="preserve">Prepaid expenses and other current asstes </t>
  </si>
  <si>
    <t xml:space="preserve">Accrued expenses and other current liabilities </t>
  </si>
  <si>
    <t>Funds from operations</t>
  </si>
  <si>
    <t xml:space="preserve">Cash Flow from Investing </t>
  </si>
  <si>
    <t xml:space="preserve">Purchases of property and equipment </t>
  </si>
  <si>
    <t xml:space="preserve">Purchases of intangible assets </t>
  </si>
  <si>
    <t xml:space="preserve">Non-marketable investments </t>
  </si>
  <si>
    <t xml:space="preserve">Cash paid for acquisitions, net of cash </t>
  </si>
  <si>
    <t xml:space="preserve">Purchases of marketable securities </t>
  </si>
  <si>
    <t>Sales of marketable securities</t>
  </si>
  <si>
    <t>Changes in restricted cash</t>
  </si>
  <si>
    <t>Other investing activities</t>
  </si>
  <si>
    <t>Investing Cash Flow</t>
  </si>
  <si>
    <t xml:space="preserve">Cash flow from Financing </t>
  </si>
  <si>
    <t xml:space="preserve">Proceeds from exercise of stock options </t>
  </si>
  <si>
    <t xml:space="preserve">Financing cash flow </t>
  </si>
  <si>
    <t>Change in cash and cash equivalents</t>
  </si>
  <si>
    <t xml:space="preserve">Beginning Cash </t>
  </si>
  <si>
    <t>Ending Cash</t>
  </si>
  <si>
    <t>Accounts Receivable</t>
  </si>
  <si>
    <t>Sequential Net Adds</t>
  </si>
  <si>
    <t>Y/Y Abs Change</t>
  </si>
  <si>
    <t>Q/Q Abs Change</t>
  </si>
  <si>
    <t>1Q:13A</t>
  </si>
  <si>
    <t>2Q:13A</t>
  </si>
  <si>
    <t>3Q:13A</t>
  </si>
  <si>
    <t>4Q:13A</t>
  </si>
  <si>
    <t>1Q:14A</t>
  </si>
  <si>
    <t>2Q:14A</t>
  </si>
  <si>
    <t>3Q:14A</t>
  </si>
  <si>
    <t>4Q:14A</t>
  </si>
  <si>
    <t>1Q:15A</t>
  </si>
  <si>
    <t>2Q:15A</t>
  </si>
  <si>
    <t>3Q:15A</t>
  </si>
  <si>
    <t>4Q:15A</t>
  </si>
  <si>
    <t>1Q:16A</t>
  </si>
  <si>
    <t>2Q:16A</t>
  </si>
  <si>
    <t>1Q:18E</t>
  </si>
  <si>
    <t>2Q:18E</t>
  </si>
  <si>
    <t>3Q:18E</t>
  </si>
  <si>
    <t>4Q:18E</t>
  </si>
  <si>
    <t>Total DAUs</t>
  </si>
  <si>
    <t>Cost of Revenue</t>
  </si>
  <si>
    <t xml:space="preserve">GAAP Cost Revenue </t>
  </si>
  <si>
    <t>GAAP R&amp;D Expense</t>
  </si>
  <si>
    <t>Sales &amp; Marketing</t>
  </si>
  <si>
    <t>GAAP S&amp;M Expense</t>
  </si>
  <si>
    <t>GAAP G&amp;A Expense</t>
  </si>
  <si>
    <t>Total Opex</t>
  </si>
  <si>
    <t>Avg. Revenue per Unit</t>
  </si>
  <si>
    <t>Total Hardware Revenue</t>
  </si>
  <si>
    <t xml:space="preserve">Advertising Revenue </t>
  </si>
  <si>
    <t>Hardware Units Sold (000's)</t>
  </si>
  <si>
    <t>Revenue Breakdown</t>
  </si>
  <si>
    <t>Advertising ARPU</t>
  </si>
  <si>
    <t>Y/Y % Change</t>
  </si>
  <si>
    <t>Avg. CPM</t>
  </si>
  <si>
    <t>Ad Impressions</t>
  </si>
  <si>
    <t>Ad Impressions per DAU/Day</t>
  </si>
  <si>
    <t xml:space="preserve">Total Revenue </t>
  </si>
  <si>
    <t>Operating Income</t>
  </si>
  <si>
    <t>R&amp;D</t>
  </si>
  <si>
    <t xml:space="preserve">Sales &amp; Marketing </t>
  </si>
  <si>
    <t>G&amp;A</t>
  </si>
  <si>
    <t>Stock-Based Compensation</t>
  </si>
  <si>
    <t>Interest and Other Income Assumptions</t>
  </si>
  <si>
    <t>% of Cash</t>
  </si>
  <si>
    <t>Balance Sheet Assumptions</t>
  </si>
  <si>
    <t>Days Sales Outstanding</t>
  </si>
  <si>
    <t>Days Payable Outstanding</t>
  </si>
  <si>
    <t>Tax Rate (GAAP)</t>
  </si>
  <si>
    <t>Ad Revenue Breakdown</t>
  </si>
  <si>
    <t>GAAP Operating Margins</t>
  </si>
  <si>
    <t>Gross Profit</t>
  </si>
  <si>
    <t>Gross Margin</t>
  </si>
  <si>
    <t>% of Total DAUs</t>
  </si>
  <si>
    <t>% of Total Revenue</t>
  </si>
  <si>
    <t>Snap, Inc Model (mn, USD)</t>
  </si>
  <si>
    <t>Employees</t>
  </si>
  <si>
    <t>Incremental Operating Margins</t>
  </si>
  <si>
    <t xml:space="preserve">Gross Profit </t>
  </si>
  <si>
    <t>Net Additions</t>
  </si>
  <si>
    <t xml:space="preserve">% of Ad Revenue </t>
  </si>
  <si>
    <t xml:space="preserve">Partner Sold Revenue </t>
  </si>
  <si>
    <t>Snap Sold Revenue</t>
  </si>
  <si>
    <t>Net revenue</t>
  </si>
  <si>
    <t>% change Y/Y</t>
  </si>
  <si>
    <t>Adjusted EBITDA</t>
  </si>
  <si>
    <t>(+/-) Changes in working capital</t>
  </si>
  <si>
    <t>(-) Capex</t>
  </si>
  <si>
    <t>(-) Stock-based compensation</t>
  </si>
  <si>
    <t>Free cash flow (for valuation)</t>
  </si>
  <si>
    <t>% of revenue</t>
  </si>
  <si>
    <t>EBITDA Margin</t>
  </si>
  <si>
    <t>UFCF / EBITDA</t>
  </si>
  <si>
    <t>Discounted Cash Flow Analysis</t>
  </si>
  <si>
    <t xml:space="preserve">Total SBC </t>
  </si>
  <si>
    <t>Snap DCF Analysis</t>
  </si>
  <si>
    <t>DCF Valuation Assumptions</t>
  </si>
  <si>
    <t>Cost of Equity</t>
  </si>
  <si>
    <t>Cost of Debt</t>
  </si>
  <si>
    <t>Marginal Tax-Rate</t>
  </si>
  <si>
    <t>Long-Term Debt / Total Cap.</t>
  </si>
  <si>
    <t>WACC</t>
  </si>
  <si>
    <t>Perpetual Growth Rate</t>
  </si>
  <si>
    <t>Risk-free rate</t>
  </si>
  <si>
    <t>Market Risk Premium</t>
  </si>
  <si>
    <t>Equity Beta</t>
  </si>
  <si>
    <t>Required Equity Return</t>
  </si>
  <si>
    <t>Interest Expense</t>
  </si>
  <si>
    <t>Add (deduct):</t>
  </si>
  <si>
    <t>Interest income</t>
  </si>
  <si>
    <t>Interest expense</t>
  </si>
  <si>
    <t>Other (income) expense, net</t>
  </si>
  <si>
    <t>Income tax expense (benefit)</t>
  </si>
  <si>
    <t>Depreciation &amp; amortization</t>
  </si>
  <si>
    <t>Prepaid Expenses &amp; Other Current Assets</t>
  </si>
  <si>
    <t>Accrued Expenses as % of Rev</t>
  </si>
  <si>
    <t>% of Revenue</t>
  </si>
  <si>
    <t>4Q:16A</t>
  </si>
  <si>
    <t>3Q:16A</t>
  </si>
  <si>
    <t xml:space="preserve">Net Interest Income </t>
  </si>
  <si>
    <t>Capex &amp; Depreciation Estimates</t>
  </si>
  <si>
    <t xml:space="preserve">Capex </t>
  </si>
  <si>
    <t>Working Capital</t>
  </si>
  <si>
    <t>PV of FCF</t>
  </si>
  <si>
    <t>NPV of terminal value</t>
  </si>
  <si>
    <t>Enterprise value</t>
  </si>
  <si>
    <t>(-) Debt</t>
  </si>
  <si>
    <t>(+) Cash</t>
  </si>
  <si>
    <t>Equity value</t>
  </si>
  <si>
    <t>Fully Diluted Shares (for valuation)</t>
  </si>
  <si>
    <t>Equity value per share</t>
  </si>
  <si>
    <t>NPV Calculation</t>
  </si>
  <si>
    <t>Year for 1-year forward value</t>
  </si>
  <si>
    <t>Discounted cash flows</t>
  </si>
  <si>
    <t>Terminal Year</t>
  </si>
  <si>
    <t>Diluted Shares Outstanding</t>
  </si>
  <si>
    <t>Contrib to total DAU Growth</t>
  </si>
  <si>
    <t>Adj. EBITDA</t>
  </si>
  <si>
    <t>Incremental EBITDA Margins</t>
  </si>
  <si>
    <t>% of Capex</t>
  </si>
  <si>
    <t>Check</t>
  </si>
  <si>
    <t>Proceeds from issuances of stock</t>
  </si>
  <si>
    <t xml:space="preserve">Interest Expense </t>
  </si>
  <si>
    <t>Tax NOL worksheet</t>
  </si>
  <si>
    <t>GAAP pre-tax income</t>
  </si>
  <si>
    <t>Beginning NOL value</t>
  </si>
  <si>
    <t>NOL used</t>
  </si>
  <si>
    <t>Ending NOL value</t>
  </si>
  <si>
    <t>Taxable income</t>
  </si>
  <si>
    <t>Assumed cash tax rate</t>
  </si>
  <si>
    <t xml:space="preserve">Cash Taxes Paid </t>
  </si>
  <si>
    <t>(-) Cash taxes</t>
  </si>
  <si>
    <t>PP&amp;E</t>
  </si>
  <si>
    <t>Total</t>
  </si>
  <si>
    <t>United States</t>
  </si>
  <si>
    <t>Other</t>
  </si>
  <si>
    <t>Intangible Assets</t>
  </si>
  <si>
    <t>Total D&amp;A</t>
  </si>
  <si>
    <t>Y/Y Change in bp</t>
  </si>
  <si>
    <t>Q/Q Change in bp</t>
  </si>
  <si>
    <t xml:space="preserve">Y/Y % Change </t>
  </si>
  <si>
    <t xml:space="preserve">Q/Q % Change </t>
  </si>
  <si>
    <t>s</t>
  </si>
  <si>
    <t>% Margin</t>
  </si>
  <si>
    <t>Opex</t>
  </si>
  <si>
    <t>Avg Depreciable Lives</t>
  </si>
  <si>
    <t>% of Cost of Revenue</t>
  </si>
  <si>
    <t>Partner Revenue Share</t>
  </si>
  <si>
    <t>R&amp;D Employees</t>
  </si>
  <si>
    <t xml:space="preserve">S&amp;M Employees </t>
  </si>
  <si>
    <t>G&amp;A Employees</t>
  </si>
  <si>
    <t>Annualized Cost per User</t>
  </si>
  <si>
    <t>Period-Period Net Adds</t>
  </si>
  <si>
    <t>Incr. Opex per Incr. Employee</t>
  </si>
  <si>
    <t>NA</t>
  </si>
  <si>
    <t>EBITDA Reconciliation</t>
  </si>
  <si>
    <t>% of LT Debt</t>
  </si>
  <si>
    <t>Convertible preferred stock and common stock</t>
  </si>
  <si>
    <t>Issuance of notes receivable from officers/stockholders</t>
  </si>
  <si>
    <t>Repayment of notes receivables from officers/stockholders</t>
  </si>
  <si>
    <t>Maturities of marketable securities</t>
  </si>
  <si>
    <t>Repurchase of Class B voting common stock and Series FP voting preferred stock</t>
  </si>
  <si>
    <t>Borrowings from revolving credit facility</t>
  </si>
  <si>
    <t>Principal payments on revolving credit facility</t>
  </si>
  <si>
    <t>Payments of deferred offering costs</t>
  </si>
  <si>
    <t>na</t>
  </si>
  <si>
    <t>Contrib to Total Snap Revenue Growth</t>
  </si>
  <si>
    <t>Contrib to Total Revenue Growth</t>
  </si>
  <si>
    <t>Annualized Opex per Employee (Thousands)</t>
  </si>
  <si>
    <t>Snapad</t>
  </si>
  <si>
    <t>Creative Tools</t>
  </si>
  <si>
    <t>CPMS</t>
  </si>
  <si>
    <t>Ad Mix</t>
  </si>
  <si>
    <t>Minutes Spent per DAU per Day</t>
  </si>
  <si>
    <t>Hours Spent per DAU per Day</t>
  </si>
  <si>
    <t>Minutes per Hour</t>
  </si>
  <si>
    <t>Ads per DAU per Hour</t>
  </si>
  <si>
    <t>Innovation Launch Schedule</t>
  </si>
  <si>
    <t xml:space="preserve">Minutes Spent on Snap </t>
  </si>
  <si>
    <t xml:space="preserve">Stories </t>
  </si>
  <si>
    <t>Smart Filters</t>
  </si>
  <si>
    <t>Replay</t>
  </si>
  <si>
    <t xml:space="preserve">Chat </t>
  </si>
  <si>
    <t xml:space="preserve">Live Stories </t>
  </si>
  <si>
    <t xml:space="preserve">Geofilters </t>
  </si>
  <si>
    <t>Snap Ads</t>
  </si>
  <si>
    <t>Snapcash</t>
  </si>
  <si>
    <t>Community Filters</t>
  </si>
  <si>
    <t xml:space="preserve">Publisher Stories </t>
  </si>
  <si>
    <t xml:space="preserve">Best Friend Emojies </t>
  </si>
  <si>
    <t xml:space="preserve">Snapcodes </t>
  </si>
  <si>
    <t>Sponsored Geofilters</t>
  </si>
  <si>
    <t>Trophies</t>
  </si>
  <si>
    <t xml:space="preserve">Lenses </t>
  </si>
  <si>
    <t xml:space="preserve">Sponsored Lenses </t>
  </si>
  <si>
    <t>Story Explorer</t>
  </si>
  <si>
    <t xml:space="preserve">On-Demand Geofilters </t>
  </si>
  <si>
    <t xml:space="preserve">Face Swap </t>
  </si>
  <si>
    <t xml:space="preserve">Chat Stickers </t>
  </si>
  <si>
    <t>Voice and Vid Calls</t>
  </si>
  <si>
    <t>3D Stickers</t>
  </si>
  <si>
    <t>Memories</t>
  </si>
  <si>
    <t>Bitmojis</t>
  </si>
  <si>
    <t>Geostickers</t>
  </si>
  <si>
    <t xml:space="preserve">Spectacles </t>
  </si>
  <si>
    <t>Story playlist</t>
  </si>
  <si>
    <t>FY 2015</t>
  </si>
  <si>
    <t>FY 2016</t>
  </si>
  <si>
    <t xml:space="preserve">Balance Sheet Details </t>
  </si>
  <si>
    <t>Computer Hardware and Software</t>
  </si>
  <si>
    <t xml:space="preserve">Buildings </t>
  </si>
  <si>
    <t>Leasehold improvements</t>
  </si>
  <si>
    <t>Land</t>
  </si>
  <si>
    <t>Furniture and equipment</t>
  </si>
  <si>
    <t>Construction in progress</t>
  </si>
  <si>
    <t xml:space="preserve">Gross PP&amp;E </t>
  </si>
  <si>
    <t>Accumulated Depreciation</t>
  </si>
  <si>
    <t>Net PP&amp;E</t>
  </si>
  <si>
    <t>Estimated Amortization Expense</t>
  </si>
  <si>
    <t>Implied Depreciation</t>
  </si>
  <si>
    <t>Total Cost of Revenue/User</t>
  </si>
  <si>
    <t>Total Cost of Revenue/ Million Minutes</t>
  </si>
  <si>
    <t>Cloud Infrastructure Costs</t>
  </si>
  <si>
    <t>Cloud Cost of Revenue/User</t>
  </si>
  <si>
    <t>Cloud Cost of Revenue/ Million Minutes</t>
  </si>
  <si>
    <t>% of Rev</t>
  </si>
  <si>
    <t>Incremental EBITDA Margin</t>
  </si>
  <si>
    <t>Ex- Cloud COGS</t>
  </si>
  <si>
    <t>Annualized Rev per Employee (Thousands)</t>
  </si>
  <si>
    <t>Total Opex (ex-COGS)</t>
  </si>
  <si>
    <t>% of Total Ad Rev</t>
  </si>
  <si>
    <t>Other Ad Revenue</t>
  </si>
  <si>
    <t>Implied Snap Sold Ad Rev on Discover (at 50% Rev Share)</t>
  </si>
  <si>
    <t>Contrib to Growth</t>
  </si>
  <si>
    <t>Snap ad vs Partner Sold Rev</t>
  </si>
  <si>
    <t xml:space="preserve">Y/Y Abs Change </t>
  </si>
  <si>
    <t>Implied Other Cost of Revenue</t>
  </si>
  <si>
    <t>R&amp;D Expense (ex-SBC)</t>
  </si>
  <si>
    <t>Cost of Revenue (ex-SBC)</t>
  </si>
  <si>
    <t>Sales &amp; Marketing (ex-SBC)</t>
  </si>
  <si>
    <t>S&amp;M Expense (ex-SBC)</t>
  </si>
  <si>
    <t>G&amp;A (ex-SBC)</t>
  </si>
  <si>
    <t>G&amp;A Expense (ex-SBC)</t>
  </si>
  <si>
    <t>Specs Hardware COGs</t>
  </si>
  <si>
    <t>Partner Rev Share</t>
  </si>
  <si>
    <t>Specs</t>
  </si>
  <si>
    <t>Headcount and Opex per Head</t>
  </si>
  <si>
    <t>Fair value (Present)</t>
  </si>
  <si>
    <t>Fair value 12 months FV</t>
  </si>
  <si>
    <t>12 Months FV</t>
  </si>
  <si>
    <t>Basic Shares Outstanding</t>
  </si>
  <si>
    <t>Dilution</t>
  </si>
  <si>
    <t>Equity Value: WACC vs. Perpetual Growth Rate (PV)</t>
  </si>
  <si>
    <t xml:space="preserve">Cloud Costs </t>
  </si>
  <si>
    <t>Bull Case DCF Assumptions</t>
  </si>
  <si>
    <t>Capex</t>
  </si>
  <si>
    <t xml:space="preserve">SBC </t>
  </si>
  <si>
    <t>Bear Case DCF Assumptions</t>
  </si>
  <si>
    <t xml:space="preserve">Ad Revenue </t>
  </si>
  <si>
    <t>Share Count</t>
  </si>
  <si>
    <t>Share Details</t>
  </si>
  <si>
    <t xml:space="preserve">Class A </t>
  </si>
  <si>
    <t xml:space="preserve">Class B </t>
  </si>
  <si>
    <t>Class C</t>
  </si>
  <si>
    <t xml:space="preserve">Total Basic Shares Outstanding </t>
  </si>
  <si>
    <t>Stock Options</t>
  </si>
  <si>
    <t xml:space="preserve">Class B Common Stock </t>
  </si>
  <si>
    <t>Class A Common Stock- Dividend</t>
  </si>
  <si>
    <t>Weighted Avg. Exercise Price</t>
  </si>
  <si>
    <t>Class A Common Stock</t>
  </si>
  <si>
    <t xml:space="preserve">Class A Common Stock- Dividend </t>
  </si>
  <si>
    <t>RSUs</t>
  </si>
  <si>
    <t xml:space="preserve">Class A Common Stock </t>
  </si>
  <si>
    <t>Series FP Preferred Stock- CEO Grant</t>
  </si>
  <si>
    <t>Class B Common Stock</t>
  </si>
  <si>
    <t>Class A Common Stock-Dividend</t>
  </si>
  <si>
    <t>Treasury Stock Method Repurchases</t>
  </si>
  <si>
    <t xml:space="preserve">Primary Shares Issued </t>
  </si>
  <si>
    <t>Post Offering Basic Shares Outstanding</t>
  </si>
  <si>
    <t>Beginning Period Shares Outstanding</t>
  </si>
  <si>
    <t>Repurchases</t>
  </si>
  <si>
    <t>Ending Period Shares Outstanding</t>
  </si>
  <si>
    <t xml:space="preserve">Free Cash Flow </t>
  </si>
  <si>
    <t>Free Cash Flow</t>
  </si>
  <si>
    <t>FCF Margin</t>
  </si>
  <si>
    <t>Income Tax benefit (expense)</t>
  </si>
  <si>
    <t>Cost of Rev Ex Partner Rev Share</t>
  </si>
  <si>
    <t>Search in app</t>
  </si>
  <si>
    <t>Cost of Revenue ex Partner Rev Share/User</t>
  </si>
  <si>
    <t>Total Opex (non-GAAP)</t>
  </si>
  <si>
    <t>Total Expenses (ex-SBC)</t>
  </si>
  <si>
    <t>Total adj. Opex (ex-COGS)</t>
  </si>
  <si>
    <t>Annualized adj. Opex per Employee (Thousand)</t>
  </si>
  <si>
    <t>In App Search</t>
  </si>
  <si>
    <t>'16-'20 CAGR</t>
  </si>
  <si>
    <t>EPS</t>
  </si>
  <si>
    <t xml:space="preserve">Primary Shares Issued (Greenshoe) </t>
  </si>
  <si>
    <t>Total Basic Shares Outstanding Post Offering (Post Greenshoe)</t>
  </si>
  <si>
    <t>Options vested but not exercised</t>
  </si>
  <si>
    <t>Total Diluted Shares Outstanding (Pre-Greenshoe)</t>
  </si>
  <si>
    <t>Total Diluted Shares Outstanding (Post-Greenshoe)</t>
  </si>
  <si>
    <t>Series FP RSUs from Greenshoe</t>
  </si>
  <si>
    <t>Fully Diluted Shares Outstanding</t>
  </si>
  <si>
    <t>Present FV</t>
  </si>
  <si>
    <t>GCP</t>
  </si>
  <si>
    <t>AWS</t>
  </si>
  <si>
    <t>Minimum Spend</t>
  </si>
  <si>
    <t>Variance to Model</t>
  </si>
  <si>
    <t xml:space="preserve">Y/Y Abs. Change </t>
  </si>
  <si>
    <t>Cloud Contracts (min. spend, in $ mn)</t>
  </si>
  <si>
    <t>Terminal EBITDA Margin</t>
  </si>
  <si>
    <t>Terminal FCF Conversion</t>
  </si>
  <si>
    <t>Implied terminal EBITDA multiple</t>
  </si>
  <si>
    <t>Base DAUs</t>
  </si>
  <si>
    <t>Bull DAUs</t>
  </si>
  <si>
    <t>DAU Variance</t>
  </si>
  <si>
    <t>Bull Case DAU and ARPU Assumptions</t>
  </si>
  <si>
    <t>Base ARPU</t>
  </si>
  <si>
    <t>Bull ARPU</t>
  </si>
  <si>
    <t>ARPU Variance</t>
  </si>
  <si>
    <t>Net Adds</t>
  </si>
  <si>
    <t>'16-'25 CAGR</t>
  </si>
  <si>
    <t>Income Statement</t>
  </si>
  <si>
    <t>USD</t>
  </si>
  <si>
    <t>SNAP.N</t>
  </si>
  <si>
    <t>Snap Inc.</t>
  </si>
  <si>
    <t>Required Tags</t>
  </si>
  <si>
    <t>Unrecorded Goodwill</t>
  </si>
  <si>
    <t>Statutory Tax rate</t>
  </si>
  <si>
    <t>Period End Shares</t>
  </si>
  <si>
    <t>ND</t>
  </si>
  <si>
    <t>Net Issuance</t>
  </si>
  <si>
    <t>Ticker:</t>
  </si>
  <si>
    <t>Currency</t>
  </si>
  <si>
    <t>Current Stock Price</t>
  </si>
  <si>
    <t>Count</t>
  </si>
  <si>
    <t>SNAP.N,mscalc:sedolCodeCalc</t>
  </si>
  <si>
    <t>SNAP.N,mscalc:targetPrice,,,,USD</t>
  </si>
  <si>
    <t>SNAP.N,mscalc:closePriceCurrencyCalc</t>
  </si>
  <si>
    <t>$F$2</t>
  </si>
  <si>
    <t>SNAP</t>
  </si>
  <si>
    <t>CAGR</t>
  </si>
  <si>
    <t>'16-'20</t>
  </si>
  <si>
    <t>Date:</t>
  </si>
  <si>
    <t>(In millions USD, ex EPS)</t>
  </si>
  <si>
    <t>Morgan Stanley</t>
  </si>
  <si>
    <t>Revenue</t>
  </si>
  <si>
    <t>Margin</t>
  </si>
  <si>
    <t>Consensus</t>
  </si>
  <si>
    <t>Variance</t>
  </si>
  <si>
    <t>GAAP EPS</t>
  </si>
  <si>
    <t>TWTR</t>
  </si>
  <si>
    <t>BOX</t>
  </si>
  <si>
    <t>SCWX</t>
  </si>
  <si>
    <t>SHOP</t>
  </si>
  <si>
    <t>Average Including FB/GOOGL/TWTR</t>
  </si>
  <si>
    <t>1Q:17A</t>
  </si>
  <si>
    <t>BD8DJ71</t>
  </si>
  <si>
    <t>Net Income / (Loss)</t>
  </si>
  <si>
    <t>2Q:17</t>
  </si>
  <si>
    <t>3Q:17</t>
  </si>
  <si>
    <t>EV / Revenue Mult. ('19e Revenue)</t>
  </si>
  <si>
    <t>EV / EBITDA Mult. ('19e EBITDA)</t>
  </si>
  <si>
    <t>4Q:17</t>
  </si>
  <si>
    <t>11</t>
  </si>
  <si>
    <t>SMB</t>
  </si>
  <si>
    <t>1Q</t>
  </si>
  <si>
    <t>2Q</t>
  </si>
  <si>
    <t>3Q</t>
  </si>
  <si>
    <t>4Q</t>
  </si>
  <si>
    <t>ad Age 100</t>
  </si>
  <si>
    <t>Research</t>
  </si>
  <si>
    <t>MSA32LVJ</t>
  </si>
  <si>
    <t>e = Morgan Stanley Research estimates unless otherwise noted</t>
  </si>
  <si>
    <t>Source: Morgan Stanley Research unless otherwise noted</t>
  </si>
  <si>
    <t>Stocks ratings are relative to the analyst's industry coverage universe.</t>
  </si>
  <si>
    <t>1585 Broadway</t>
  </si>
  <si>
    <t>New York, NY  10036-8293</t>
  </si>
  <si>
    <t>Tel: +1 (1)212 761 4000</t>
  </si>
  <si>
    <t>Authors: Brian Nowak</t>
  </si>
  <si>
    <t>Date: 19 Apr 2018</t>
  </si>
  <si>
    <t>Ticker: SNAP.N</t>
  </si>
  <si>
    <t>Stock Rating: Underweight</t>
  </si>
  <si>
    <t>Industry: Internet</t>
  </si>
  <si>
    <t>Industry View: In-Line</t>
  </si>
  <si>
    <t>Price as of 19 Apr 2018: 14.65</t>
  </si>
  <si>
    <t>Target Price: 12</t>
  </si>
  <si>
    <t>Analyst Certification</t>
  </si>
  <si>
    <t>Unless otherwise stated, the individuals listed on the cover page of this report are research analysts.</t>
  </si>
  <si>
    <t>Global Research Conflict Management Policy</t>
  </si>
  <si>
    <t>Important US Regulatory Disclosures on Subject Companies</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</si>
  <si>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</si>
  <si>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</si>
  <si>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</si>
  <si>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</si>
  <si>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</si>
  <si>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</si>
  <si>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</si>
  <si>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</si>
  <si>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</si>
  <si>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</si>
  <si>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</si>
  <si>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</si>
  <si>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</si>
  <si>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</si>
  <si>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</si>
  <si>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</si>
  <si>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</si>
  <si>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</si>
  <si>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</si>
  <si>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</si>
  <si>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</si>
  <si>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</si>
  <si>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</si>
  <si>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</si>
  <si>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</si>
  <si>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</si>
  <si>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</si>
  <si>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</si>
  <si>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</si>
  <si>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</si>
  <si>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</si>
  <si>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</si>
  <si>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</si>
  <si>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</si>
  <si>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</si>
  <si>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</si>
  <si>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</si>
  <si>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</si>
  <si>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</si>
  <si>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</si>
  <si>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</si>
  <si>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</si>
  <si>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</si>
  <si>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</si>
  <si>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</si>
  <si>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</si>
  <si>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</si>
  <si>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</si>
  <si>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</si>
  <si>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</si>
  <si>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</si>
  <si>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</si>
  <si>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</si>
  <si>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</si>
  <si>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</si>
  <si>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</si>
  <si>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</si>
  <si>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</si>
  <si>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</si>
  <si>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</si>
  <si>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</si>
  <si>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</si>
  <si>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</si>
  <si>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</si>
  <si>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</si>
  <si>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</si>
  <si>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</si>
  <si>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</si>
  <si>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</si>
  <si>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</si>
  <si>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</si>
  <si>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</si>
  <si>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</si>
  <si>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</si>
  <si>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</si>
  <si>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</si>
  <si>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</si>
  <si>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</si>
  <si>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</si>
  <si>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</si>
  <si>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</si>
  <si>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</si>
  <si>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</si>
  <si>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</si>
  <si>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</si>
  <si>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</si>
  <si>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</si>
  <si>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</si>
  <si>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</si>
  <si>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</si>
  <si>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</si>
  <si>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</si>
  <si>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</si>
  <si>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</si>
  <si>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</si>
  <si>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</si>
  <si>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</si>
  <si>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</si>
  <si>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</si>
  <si>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</si>
  <si>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</si>
  <si>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</si>
  <si>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</si>
  <si>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</si>
  <si>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</si>
  <si>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</si>
  <si>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</si>
  <si>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</si>
  <si>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</si>
  <si>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</si>
  <si>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</si>
  <si>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</si>
  <si>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</si>
  <si>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</si>
  <si>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</si>
  <si>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</si>
  <si>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</si>
  <si>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</si>
  <si>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</si>
  <si>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</si>
  <si>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</si>
  <si>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</si>
  <si>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</si>
  <si>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</si>
  <si>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</si>
  <si>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</si>
  <si>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</si>
  <si>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</si>
  <si>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</si>
  <si>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</si>
  <si>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</si>
  <si>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</si>
  <si>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</si>
  <si>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</si>
  <si>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</si>
  <si>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</si>
  <si>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</si>
  <si>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</si>
  <si>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</si>
  <si>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</si>
  <si>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</si>
  <si>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</si>
  <si>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</si>
  <si>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</si>
  <si>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</si>
  <si>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</si>
  <si>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</si>
  <si>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</si>
  <si>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</si>
  <si>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</si>
  <si>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</si>
  <si>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</si>
  <si>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</si>
  <si>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</si>
  <si>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</si>
  <si>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</si>
  <si>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</si>
  <si>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</si>
  <si>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</si>
  <si>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</si>
  <si>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</si>
  <si>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</si>
  <si>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</si>
  <si>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</si>
  <si>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</si>
  <si>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</si>
  <si>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</si>
  <si>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</si>
  <si>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</si>
  <si>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</si>
  <si>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</si>
  <si>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</si>
  <si>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</si>
  <si>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</si>
  <si>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</si>
  <si>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</si>
  <si>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Snap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</si>
  <si>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</si>
  <si>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</si>
  <si>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</si>
  <si>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</si>
  <si>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</si>
  <si>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</si>
  <si>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</si>
  <si>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</si>
  <si>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</si>
  <si>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</si>
  <si>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</si>
  <si>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</si>
  <si>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</si>
  <si>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</si>
  <si>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</si>
  <si>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</si>
  <si>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</si>
  <si>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</si>
  <si>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</si>
  <si>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</si>
  <si>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</si>
  <si>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</si>
  <si>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</si>
  <si>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</si>
  <si>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</si>
  <si>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</si>
  <si>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</si>
  <si>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</si>
  <si>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</si>
  <si>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</si>
  <si>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</si>
  <si>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</si>
  <si>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</si>
  <si>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</si>
  <si>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</si>
  <si>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</si>
  <si>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</si>
  <si>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</si>
  <si>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</si>
  <si>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</si>
  <si>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</si>
  <si>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</si>
  <si>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</si>
  <si>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</si>
  <si>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</si>
  <si>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</si>
  <si>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</si>
  <si>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</si>
  <si>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</si>
  <si>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</si>
  <si>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</si>
  <si>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</si>
  <si>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</si>
  <si>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</si>
  <si>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</si>
  <si>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</si>
  <si>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</si>
  <si>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</si>
  <si>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</si>
  <si>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</si>
  <si>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</si>
  <si>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</si>
  <si>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</si>
  <si>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</si>
  <si>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</si>
  <si>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</si>
  <si>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provided or is providing investment banking services to,</t>
  </si>
  <si>
    <t>or has an investment banking client relationship with, the following company: Snap Inc..</t>
  </si>
  <si>
    <t>In the next 3 months, Morgan Stanley expects to receive or intends to seek compensation for investment</t>
  </si>
  <si>
    <t>banking services from Snap Inc..</t>
  </si>
  <si>
    <t>As of March 29, 2018, Morgan Stanley beneficially owned 1% or more of a class of common equity</t>
  </si>
  <si>
    <t>securities of the following companies covered in Morgan Stanley Research: Snap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</si>
  <si>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</si>
  <si>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</si>
  <si>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</si>
  <si>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</si>
  <si>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</si>
  <si>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Brian Nowak, CFA.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</si>
  <si>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</si>
  <si>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</si>
  <si>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</si>
  <si>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</si>
  <si>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</si>
  <si>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</si>
  <si>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</si>
  <si>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</si>
  <si>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</si>
  <si>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</si>
  <si>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</si>
  <si>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</si>
  <si>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</si>
  <si>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</si>
  <si>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</si>
  <si>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</si>
  <si>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</si>
  <si>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</si>
  <si>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</si>
  <si>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</si>
  <si>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</si>
  <si>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</si>
  <si>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</si>
  <si>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</si>
  <si>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</si>
  <si>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</si>
  <si>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</si>
  <si>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</si>
  <si>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</si>
  <si>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</si>
  <si>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</si>
  <si>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</si>
  <si>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</si>
  <si>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</si>
  <si>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</si>
  <si>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</si>
  <si>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</si>
  <si>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</si>
  <si>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</si>
  <si>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</si>
  <si>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</si>
  <si>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</si>
  <si>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</si>
  <si>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</si>
  <si>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</si>
  <si>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 xml:space="preserve"> </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</si>
  <si>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</si>
  <si>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</si>
  <si>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</si>
  <si>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</si>
  <si>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</si>
  <si>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</si>
  <si>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</si>
  <si>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</si>
  <si>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</si>
  <si>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</si>
  <si>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</si>
  <si>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</si>
  <si>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</si>
  <si>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</si>
  <si>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</si>
  <si>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</si>
  <si>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</si>
  <si>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</si>
  <si>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</si>
  <si>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</si>
  <si>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</si>
  <si>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</si>
  <si>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</si>
  <si>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Underweight / In-Line</t>
  </si>
  <si>
    <t>Regular Update</t>
  </si>
  <si>
    <t>NorthAmerica</t>
  </si>
  <si>
    <t>alaxandw</t>
  </si>
  <si>
    <t>83304A106</t>
  </si>
  <si>
    <t>\\Msad\root\NA\NY\LIB\ER\TECH\INTERNET\MODELS\SNAP_model.xlsm</t>
  </si>
  <si>
    <t>[BRO MSA]</t>
  </si>
  <si>
    <t>[PRODUCT MODEL]</t>
  </si>
  <si>
    <t>[EMAIL_ALERT YES]</t>
  </si>
  <si>
    <t>[DISCIPLINE Company]</t>
  </si>
  <si>
    <t>[SUPPRESSED NO]</t>
  </si>
  <si>
    <t>[DOCDAT 2018-04-19]</t>
  </si>
  <si>
    <t>[DOCTIME 08:54]</t>
  </si>
  <si>
    <t>[PSYM SNAP.N(S&amp;P) (None)]</t>
  </si>
  <si>
    <t>[COU 1]</t>
  </si>
  <si>
    <t>[ANA ]</t>
  </si>
  <si>
    <t>[HL SNAP.N Model]</t>
  </si>
  <si>
    <t>[IND ]</t>
  </si>
  <si>
    <t>[PANA MSA32LVJ]</t>
  </si>
</sst>
</file>

<file path=xl/styles.xml><?xml version="1.0" encoding="utf-8"?>
<styleSheet xmlns="http://schemas.openxmlformats.org/spreadsheetml/2006/main" xmlns:mc="http://schemas.openxmlformats.org/markup-compatibility/2006" xmlns:x14ac="http://schemas.microsoft.com/office/spreadsheetml/2009/9/ac" mc:Ignorable="x14ac">
  <numFmts count="71">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quot;E&quot;"/>
    <numFmt numFmtId="165" formatCode="#,##0.0_);\(#,##0.0\)"/>
    <numFmt numFmtId="166" formatCode="0.0%"/>
    <numFmt numFmtId="167" formatCode="0.0"/>
    <numFmt numFmtId="168" formatCode="&quot;$&quot;#,##0.00"/>
    <numFmt numFmtId="169" formatCode="0&quot;A&quot;"/>
    <numFmt numFmtId="170" formatCode="&quot;$&quot;#,##0.0"/>
    <numFmt numFmtId="171" formatCode="_(* #,##0.0_);_(* \(#,##0.0\);_(* &quot;-&quot;??_);_(@_)"/>
    <numFmt numFmtId="172" formatCode="#,##0.0;[Red]\(#,##0.0\)"/>
    <numFmt numFmtId="173" formatCode="&quot;$&quot;#,##0.0;[Red]\(&quot;$&quot;#,##0.0\)"/>
    <numFmt numFmtId="174" formatCode="#,##0.0%_);\(#,##0.0%\);\-\-\%_);@_)"/>
    <numFmt numFmtId="175" formatCode="[$$-409]#,##0_);\([$$-409]#,##0\);[$$-409]\-\-_);@_)"/>
    <numFmt numFmtId="176" formatCode="#,##0_);\(#,##0\);\-\-_);@_)"/>
    <numFmt numFmtId="177" formatCode="0.0&quot;x&quot;"/>
    <numFmt numFmtId="178" formatCode="yyyy&quot;E&quot;_);;;@_)"/>
    <numFmt numFmtId="179" formatCode="#,#00&quot;bp&quot;"/>
    <numFmt numFmtId="180" formatCode="_(* #,##0_);_(* \(#,##0\);_(* &quot;-&quot;??_);_(@_)"/>
    <numFmt numFmtId="181" formatCode="#,##0.00%_);\(#,##0.00%\);\-\-\%_);@_)"/>
    <numFmt numFmtId="182" formatCode="#,##0.000_);\(#,##0.000\)"/>
    <numFmt numFmtId="183" formatCode="_(* #,##0.000_);_(* \(#,##0.000\);_(* &quot;-&quot;??_);_(@_)"/>
    <numFmt numFmtId="184" formatCode="#,##0.0"/>
    <numFmt numFmtId="186" formatCode="#,##0.0&quot;x&quot;"/>
    <numFmt numFmtId="191" formatCode="#,##0.0000000000_);\(#,##0.0000000000\)"/>
    <numFmt numFmtId="192" formatCode="#,##0\ &quot;bp&quot;"/>
    <numFmt numFmtId="193" formatCode="&quot;$&quot;#,##0.0;\(&quot;$&quot;#,##0.0\)"/>
    <numFmt numFmtId="194" formatCode="#,##0.0_);\(#,##0.0\);#,##0.0_);@_)"/>
    <numFmt numFmtId="195" formatCode="&quot;$&quot;_(#,##0.00_);&quot;$&quot;\(#,##0.00\);&quot;$&quot;_(0.00_);@_)"/>
    <numFmt numFmtId="196" formatCode="#,##0.00_);\(#,##0.00\);0.00_);@_)"/>
    <numFmt numFmtId="197" formatCode="#,##0.0_)\x;\(#,##0.0\)\x;0.0_)\x;@_)_x"/>
    <numFmt numFmtId="198" formatCode="#,##0.0_)_x;\(#,##0.0\)_x;0.0_)_x;@_)_x"/>
    <numFmt numFmtId="199" formatCode="0.0_)\%;\(0.0\)\%;0.0_)\%;@_)_%"/>
    <numFmt numFmtId="200" formatCode="#,##0.0_)_%;\(#,##0.0\)_%;0.0_)_%;@_)_%"/>
    <numFmt numFmtId="201" formatCode="\£\ #,##0_);[Red]\(\£\ #,##0\)"/>
    <numFmt numFmtId="202" formatCode="\¥\ #,##0_);[Red]\(\¥\ #,##0\)"/>
    <numFmt numFmtId="203" formatCode="0_)"/>
    <numFmt numFmtId="204" formatCode="_(* #,##0.0_);_(* \(#,##0.0\);_(* &quot;--- &quot;_)"/>
    <numFmt numFmtId="205" formatCode="General_)"/>
    <numFmt numFmtId="206" formatCode="\•\ \ @"/>
    <numFmt numFmtId="207" formatCode="0.000_)"/>
    <numFmt numFmtId="208" formatCode="_ &quot;Rs.&quot;\ * #,##0.00_ ;_ &quot;Rs.&quot;\ * \-#,##0.00_ ;_ &quot;Rs.&quot;\ * &quot;-&quot;??_ ;_ @_ "/>
    <numFmt numFmtId="209" formatCode="0.0%;\(0.0%\)"/>
    <numFmt numFmtId="210" formatCode="\ \ _•\–\ \ \ \ @"/>
    <numFmt numFmtId="211" formatCode="#,##0.0;\(###0.0\)"/>
    <numFmt numFmtId="212" formatCode="_([$€-2]* #,##0.00_);_([$€-2]* \(#,##0.00\);_([$€-2]* &quot;-&quot;??_)"/>
    <numFmt numFmtId="213" formatCode="#,##0;\(#,##0\)"/>
    <numFmt numFmtId="214" formatCode="&quot;$&quot;#,##0.0_);[Red]\(&quot;$&quot;#,##0.0\)"/>
    <numFmt numFmtId="215" formatCode="0.0%_);\(0.0%\)"/>
    <numFmt numFmtId="216" formatCode="_-* #,##0\ _P_t_a_-;\-* #,##0\ _P_t_a_-;_-* &quot;-&quot;\ _P_t_a_-;_-@_-"/>
    <numFmt numFmtId="217" formatCode="_-* #,##0.00\ _P_t_a_-;\-* #,##0.00\ _P_t_a_-;_-* &quot;-&quot;??\ _P_t_a_-;_-@_-"/>
    <numFmt numFmtId="218" formatCode="_-* #,##0\ &quot;pta&quot;_-;\-* #,##0\ &quot;pta&quot;_-;_-* &quot;-&quot;\ &quot;pta&quot;_-;_-@_-"/>
    <numFmt numFmtId="219" formatCode="_-* #,##0.00\ &quot;pta&quot;_-;\-* #,##0.00\ &quot;pta&quot;_-;_-* &quot;-&quot;??\ &quot;pta&quot;_-;_-@_-"/>
    <numFmt numFmtId="220" formatCode="mmm\-yyyy"/>
    <numFmt numFmtId="221" formatCode="0.00_)"/>
    <numFmt numFmtId="222" formatCode="_(* #,##0.0_);_(* \(#,##0.0\);_(* &quot;-&quot;?_);_(@_)"/>
    <numFmt numFmtId="223" formatCode="0.00\ \ \ \ "/>
    <numFmt numFmtId="224" formatCode="0.00000000000000000%"/>
    <numFmt numFmtId="225" formatCode="_(&quot;$&quot;* #,##0_);_(&quot;$&quot;* \(#,##0\);_(&quot;$&quot;* &quot;-&quot;??_);_(@_)"/>
    <numFmt numFmtId="226" formatCode="#,##0.0;\(#,##0.0\)"/>
    <numFmt numFmtId="227" formatCode="0.00\ "/>
    <numFmt numFmtId="230" formatCode="0.000%"/>
    <numFmt numFmtId="231" formatCode="_(* #,##0.0000_);_(* \(#,##0.0000\);_(* &quot;-&quot;??_);_(@_)"/>
    <numFmt numFmtId="232" formatCode="0.0_);\(0.0\)"/>
    <numFmt numFmtId="238" formatCode="mm/dd/yy\ hh:mm"/>
  </numFmts>
  <fonts count="109">
    <font>
      <sz val="11"/>
      <color theme="1"/>
      <name val="Calibri"/>
      <family val="2"/>
      <scheme val="minor"/>
    </font>
    <font>
      <sz val="11"/>
      <color theme="1"/>
      <name val="Calibri"/>
      <family val="2"/>
      <scheme val="minor"/>
    </font>
    <font>
      <sz val="8"/>
      <color theme="1"/>
      <name val="Arial"/>
      <family val="2"/>
    </font>
    <font>
      <sz val="8"/>
      <color rgb="FF0000FF"/>
      <name val="Arial"/>
      <family val="2"/>
    </font>
    <font>
      <b/>
      <sz val="8"/>
      <color theme="1"/>
      <name val="Arial"/>
      <family val="2"/>
    </font>
    <font>
      <b/>
      <sz val="8"/>
      <color rgb="FF0000FF"/>
      <name val="Arial"/>
      <family val="2"/>
    </font>
    <font>
      <b/>
      <sz val="8"/>
      <color theme="0"/>
      <name val="Arial"/>
      <family val="2"/>
    </font>
    <font>
      <sz val="8"/>
      <name val="Arial"/>
      <family val="2"/>
    </font>
    <font>
      <b/>
      <u/>
      <sz val="8"/>
      <color theme="1"/>
      <name val="Arial"/>
      <family val="2"/>
    </font>
    <font>
      <b/>
      <sz val="8"/>
      <name val="Arial"/>
      <family val="2"/>
    </font>
    <font>
      <sz val="9"/>
      <color indexed="81"/>
      <name val="Tahoma"/>
      <family val="2"/>
    </font>
    <font>
      <b/>
      <sz val="9"/>
      <color indexed="81"/>
      <name val="Tahoma"/>
      <family val="2"/>
    </font>
    <font>
      <sz val="11"/>
      <color rgb="FF232323"/>
      <name val="Helvetica"/>
      <family val="2"/>
    </font>
    <font>
      <sz val="10"/>
      <name val="Arial"/>
      <family val="2"/>
    </font>
    <font>
      <sz val="8"/>
      <name val="Times New Roman"/>
      <family val="1"/>
    </font>
    <font>
      <sz val="8"/>
      <color indexed="12"/>
      <name val="Arial"/>
      <family val="2"/>
    </font>
    <font>
      <sz val="8"/>
      <color indexed="62"/>
      <name val="Arial"/>
      <family val="2"/>
    </font>
    <font>
      <sz val="8"/>
      <color indexed="8"/>
      <name val="Arial"/>
      <family val="2"/>
    </font>
    <font>
      <sz val="8"/>
      <color indexed="10"/>
      <name val="Arial"/>
      <family val="2"/>
    </font>
    <font>
      <b/>
      <sz val="8"/>
      <color indexed="12"/>
      <name val="Arial"/>
      <family val="2"/>
    </font>
    <font>
      <u/>
      <sz val="8"/>
      <name val="Arial"/>
      <family val="2"/>
    </font>
    <font>
      <u/>
      <sz val="8"/>
      <color theme="1"/>
      <name val="Arial"/>
      <family val="2"/>
    </font>
    <font>
      <sz val="8"/>
      <color rgb="FFFF0000"/>
      <name val="Arial"/>
      <family val="2"/>
    </font>
    <font>
      <sz val="7"/>
      <color theme="1"/>
      <name val="Arial"/>
      <family val="2"/>
    </font>
    <font>
      <sz val="6.5"/>
      <color theme="1"/>
      <name val="Arial"/>
      <family val="2"/>
    </font>
    <font>
      <b/>
      <sz val="7"/>
      <color theme="1"/>
      <name val="Arial"/>
      <family val="2"/>
    </font>
    <font>
      <sz val="8"/>
      <color theme="0"/>
      <name val="Arial"/>
      <family val="2"/>
    </font>
    <font>
      <u val="singleAccounting"/>
      <sz val="8"/>
      <color theme="1"/>
      <name val="Arial"/>
      <family val="2"/>
    </font>
    <font>
      <u/>
      <sz val="8"/>
      <color rgb="FF0000FF"/>
      <name val="Arial"/>
      <family val="2"/>
    </font>
    <font>
      <u val="singleAccounting"/>
      <sz val="8"/>
      <color rgb="FF0000FF"/>
      <name val="Arial"/>
      <family val="2"/>
    </font>
    <font>
      <b/>
      <sz val="8"/>
      <color indexed="9"/>
      <name val="Arial"/>
      <family val="2"/>
    </font>
    <font>
      <b/>
      <sz val="8"/>
      <color indexed="8"/>
      <name val="Arial"/>
      <family val="2"/>
    </font>
    <font>
      <b/>
      <u val="singleAccounting"/>
      <sz val="8"/>
      <color rgb="FF0000FF"/>
      <name val="Arial"/>
      <family val="2"/>
    </font>
    <font>
      <i/>
      <sz val="8"/>
      <name val="Arial"/>
      <family val="2"/>
    </font>
    <font>
      <i/>
      <sz val="8"/>
      <color theme="1"/>
      <name val="Arial"/>
      <family val="2"/>
    </font>
    <font>
      <i/>
      <sz val="8"/>
      <color rgb="FF0000FF"/>
      <name val="Arial"/>
      <family val="2"/>
    </font>
    <font>
      <b/>
      <u/>
      <sz val="8"/>
      <name val="Arial"/>
      <family val="2"/>
    </font>
    <font>
      <b/>
      <u/>
      <sz val="8"/>
      <color theme="0"/>
      <name val="Arial"/>
      <family val="2"/>
    </font>
    <font>
      <sz val="10"/>
      <name val="Segoe UI"/>
      <family val="2"/>
    </font>
    <font>
      <sz val="10"/>
      <color indexed="4"/>
      <name val="Segoe UI"/>
      <family val="2"/>
    </font>
    <font>
      <b/>
      <sz val="10"/>
      <color indexed="0"/>
      <name val="Segoe UI"/>
      <family val="2"/>
    </font>
    <font>
      <sz val="10"/>
      <color indexed="2"/>
      <name val="Segoe UI"/>
      <family val="2"/>
    </font>
    <font>
      <b/>
      <i/>
      <sz val="10"/>
      <color indexed="4"/>
      <name val="Segoe UI"/>
      <family val="2"/>
    </font>
    <font>
      <sz val="10"/>
      <name val="Arial"/>
      <family val="2"/>
    </font>
    <font>
      <b/>
      <sz val="9"/>
      <name val="Arial"/>
      <family val="2"/>
    </font>
    <font>
      <b/>
      <sz val="10"/>
      <name val="Arial"/>
      <family val="2"/>
    </font>
    <font>
      <b/>
      <sz val="12"/>
      <name val="Arial"/>
      <family val="2"/>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sz val="6"/>
      <color theme="0"/>
      <name val="Arial"/>
      <family val="2"/>
    </font>
    <font>
      <sz val="11"/>
      <color rgb="FF1F497D"/>
      <name val="Calibri"/>
      <family val="2"/>
    </font>
    <font>
      <sz val="8"/>
      <name val="Tms Rmn"/>
    </font>
    <font>
      <sz val="10"/>
      <name val="GillSans"/>
      <family val="2"/>
    </font>
    <font>
      <sz val="10"/>
      <color indexed="8"/>
      <name val="MS Sans Serif"/>
      <family val="2"/>
    </font>
    <font>
      <sz val="10"/>
      <name val="Helvetica"/>
      <family val="2"/>
    </font>
    <font>
      <sz val="10"/>
      <name val="Times New Roman"/>
      <family val="1"/>
    </font>
    <font>
      <sz val="12"/>
      <name val="Times New Roman"/>
      <family val="1"/>
    </font>
    <font>
      <sz val="11"/>
      <name val="‚l‚r ƒSƒVƒbƒN"/>
      <charset val="128"/>
    </font>
    <font>
      <sz val="12"/>
      <name val="Arial MT"/>
    </font>
    <font>
      <sz val="9"/>
      <color indexed="12"/>
      <name val="Times New Roman"/>
      <family val="1"/>
    </font>
    <font>
      <sz val="8"/>
      <name val="Arial MT"/>
    </font>
    <font>
      <sz val="8"/>
      <color indexed="13"/>
      <name val="Arial"/>
      <family val="2"/>
    </font>
    <font>
      <b/>
      <sz val="9"/>
      <color indexed="0"/>
      <name val="Arial"/>
      <family val="2"/>
    </font>
    <font>
      <sz val="9"/>
      <color indexed="0"/>
      <name val="Arial"/>
      <family val="2"/>
    </font>
    <font>
      <sz val="8"/>
      <color indexed="12"/>
      <name val="Tms Rmn"/>
    </font>
    <font>
      <b/>
      <sz val="12"/>
      <name val="Times New Roman"/>
      <family val="1"/>
    </font>
    <font>
      <sz val="10"/>
      <color indexed="18"/>
      <name val="Times New Roman"/>
      <family val="1"/>
    </font>
    <font>
      <b/>
      <sz val="8"/>
      <name val="GillSans"/>
    </font>
    <font>
      <sz val="11"/>
      <name val="Tms Rmn"/>
      <family val="1"/>
    </font>
    <font>
      <u/>
      <sz val="8"/>
      <name val="Times New Roman"/>
      <family val="1"/>
    </font>
    <font>
      <i/>
      <sz val="9"/>
      <name val="MS Sans Serif"/>
      <family val="2"/>
    </font>
    <font>
      <b/>
      <sz val="11"/>
      <name val="Times New Roman"/>
      <family val="1"/>
    </font>
    <font>
      <b/>
      <sz val="9"/>
      <color indexed="2"/>
      <name val="Arial"/>
      <family val="2"/>
    </font>
    <font>
      <sz val="9"/>
      <color indexed="2"/>
      <name val="Arial"/>
      <family val="2"/>
    </font>
    <font>
      <sz val="10"/>
      <color indexed="8"/>
      <name val="Arial"/>
      <family val="2"/>
    </font>
    <font>
      <sz val="14"/>
      <color indexed="32"/>
      <name val="Times New Roman"/>
      <family val="1"/>
    </font>
    <font>
      <sz val="9"/>
      <name val="GillSans Light"/>
    </font>
    <font>
      <sz val="8"/>
      <color indexed="17"/>
      <name val="Arial"/>
      <family val="2"/>
    </font>
    <font>
      <b/>
      <sz val="10"/>
      <color indexed="17"/>
      <name val="Helvetica"/>
      <family val="2"/>
    </font>
    <font>
      <sz val="8"/>
      <name val="Palatino"/>
      <family val="1"/>
    </font>
    <font>
      <sz val="9"/>
      <name val="Futura UBS Bk"/>
      <family val="2"/>
    </font>
    <font>
      <sz val="10"/>
      <color indexed="12"/>
      <name val="Times New Roman"/>
      <family val="1"/>
    </font>
    <font>
      <sz val="10"/>
      <name val="GillSans Light"/>
    </font>
    <font>
      <sz val="7"/>
      <name val="Small Fonts"/>
      <family val="2"/>
    </font>
    <font>
      <b/>
      <i/>
      <sz val="16"/>
      <name val="Helv"/>
    </font>
    <font>
      <b/>
      <sz val="12"/>
      <name val="Tms Rmn"/>
    </font>
    <font>
      <b/>
      <sz val="13.5"/>
      <name val="MS Sans Serif"/>
      <family val="2"/>
    </font>
    <font>
      <sz val="11"/>
      <color indexed="8"/>
      <name val="Calibri"/>
      <family val="2"/>
    </font>
    <font>
      <sz val="8"/>
      <color indexed="8"/>
      <name val="Times New Roman"/>
      <family val="1"/>
    </font>
    <font>
      <sz val="8"/>
      <color indexed="32"/>
      <name val="Arial"/>
      <family val="2"/>
    </font>
    <font>
      <sz val="8"/>
      <color indexed="12"/>
      <name val="Helvetica"/>
      <family val="2"/>
    </font>
    <font>
      <sz val="12"/>
      <name val="palatino"/>
    </font>
    <font>
      <sz val="9"/>
      <name val="Arial"/>
      <family val="2"/>
    </font>
    <font>
      <b/>
      <sz val="10"/>
      <name val="GillSans"/>
    </font>
    <font>
      <b/>
      <sz val="11"/>
      <color indexed="9"/>
      <name val="GillSans"/>
    </font>
    <font>
      <b/>
      <sz val="11"/>
      <name val="GillSans"/>
    </font>
    <font>
      <b/>
      <sz val="9"/>
      <name val="Times New Roman"/>
      <family val="1"/>
    </font>
    <font>
      <u/>
      <sz val="8"/>
      <name val="Tms Rmn"/>
    </font>
    <font>
      <sz val="8"/>
      <color indexed="16"/>
      <name val="Helv"/>
    </font>
    <font>
      <sz val="12"/>
      <name val="바탕체"/>
      <family val="3"/>
      <charset val="129"/>
    </font>
    <font>
      <sz val="10"/>
      <name val="Arial"/>
      <family val="2"/>
    </font>
    <font>
      <sz val="10"/>
      <name val="Courier"/>
      <family val="3"/>
    </font>
    <font>
      <sz val="11"/>
      <name val="Arial"/>
      <family val="2"/>
    </font>
    <font>
      <i/>
      <sz val="10"/>
      <name val="Arial"/>
      <family val="2"/>
    </font>
    <font>
      <sz val="10"/>
      <color rgb="FF000000"/>
      <name val="Arial"/>
      <family val="2"/>
    </font>
    <font>
      <b/>
      <sz val="12"/>
      <color rgb="FF000080"/>
      <name val="Arial"/>
      <family val="2"/>
    </font>
  </fonts>
  <fills count="22">
    <fill>
      <patternFill patternType="none"/>
    </fill>
    <fill>
      <patternFill patternType="gray125"/>
    </fill>
    <fill>
      <patternFill patternType="solid">
        <fgColor theme="1"/>
        <bgColor indexed="64"/>
      </patternFill>
    </fill>
    <fill>
      <patternFill patternType="solid">
        <fgColor theme="0" tint="-0.14996795556505021"/>
        <bgColor indexed="64"/>
      </patternFill>
    </fill>
    <fill>
      <patternFill patternType="solid">
        <fgColor rgb="FF137CB1"/>
        <bgColor indexed="64"/>
      </patternFill>
    </fill>
    <fill>
      <patternFill patternType="solid">
        <fgColor indexed="9"/>
        <bgColor indexed="64"/>
      </patternFill>
    </fill>
    <fill>
      <patternFill patternType="solid">
        <fgColor theme="0" tint="-0.14999847407452621"/>
        <bgColor indexed="64"/>
      </patternFill>
    </fill>
    <fill>
      <patternFill patternType="solid">
        <fgColor theme="0"/>
        <bgColor indexed="64"/>
      </patternFill>
    </fill>
    <fill>
      <patternFill patternType="solid">
        <fgColor theme="2"/>
        <bgColor indexed="64"/>
      </patternFill>
    </fill>
    <fill>
      <patternFill patternType="solid">
        <fgColor indexed="48"/>
      </patternFill>
    </fill>
    <fill>
      <patternFill patternType="solid">
        <fgColor indexed="22"/>
        <bgColor indexed="64"/>
      </patternFill>
    </fill>
    <fill>
      <patternFill patternType="solid">
        <fgColor indexed="43"/>
        <bgColor indexed="64"/>
      </patternFill>
    </fill>
    <fill>
      <patternFill patternType="solid">
        <fgColor theme="4"/>
        <bgColor indexed="64"/>
      </patternFill>
    </fill>
    <fill>
      <patternFill patternType="solid">
        <fgColor rgb="FFFFFFCC"/>
        <bgColor indexed="64"/>
      </patternFill>
    </fill>
    <fill>
      <patternFill patternType="solid">
        <fgColor indexed="32"/>
        <bgColor indexed="64"/>
      </patternFill>
    </fill>
    <fill>
      <patternFill patternType="solid">
        <fgColor indexed="1"/>
      </patternFill>
    </fill>
    <fill>
      <patternFill patternType="solid">
        <fgColor indexed="35"/>
        <bgColor indexed="64"/>
      </patternFill>
    </fill>
    <fill>
      <patternFill patternType="solid">
        <fgColor indexed="42"/>
        <bgColor indexed="64"/>
      </patternFill>
    </fill>
    <fill>
      <patternFill patternType="solid">
        <fgColor indexed="26"/>
        <bgColor indexed="64"/>
      </patternFill>
    </fill>
    <fill>
      <patternFill patternType="solid">
        <fgColor indexed="43"/>
      </patternFill>
    </fill>
    <fill>
      <patternFill patternType="mediumGray"/>
    </fill>
    <fill>
      <patternFill patternType="solid">
        <fgColor indexed="65"/>
        <bgColor indexed="64"/>
      </patternFill>
    </fill>
  </fills>
  <borders count="40">
    <border>
      <left/>
      <right/>
      <top/>
      <bottom/>
      <diagonal/>
    </border>
    <border>
      <left style="thin">
        <color auto="1"/>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medium">
        <color indexed="8"/>
      </bottom>
      <diagonal/>
    </border>
    <border>
      <left style="thin">
        <color auto="1"/>
      </left>
      <right style="thin">
        <color auto="1"/>
      </right>
      <top/>
      <bottom/>
      <diagonal/>
    </border>
    <border>
      <left style="hair">
        <color indexed="64"/>
      </left>
      <right style="hair">
        <color indexed="64"/>
      </right>
      <top/>
      <bottom/>
      <diagonal/>
    </border>
    <border>
      <left style="thin">
        <color indexed="64"/>
      </left>
      <right/>
      <top style="thin">
        <color indexed="64"/>
      </top>
      <bottom/>
      <diagonal/>
    </border>
    <border>
      <left/>
      <right/>
      <top style="thin">
        <color indexed="64"/>
      </top>
      <bottom/>
      <diagonal/>
    </border>
    <border>
      <left style="hair">
        <color indexed="64"/>
      </left>
      <right style="hair">
        <color indexed="64"/>
      </right>
      <top style="thin">
        <color indexed="64"/>
      </top>
      <bottom/>
      <diagonal/>
    </border>
    <border>
      <left/>
      <right style="thin">
        <color indexed="64"/>
      </right>
      <top style="thin">
        <color indexed="64"/>
      </top>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style="hair">
        <color indexed="64"/>
      </right>
      <top/>
      <bottom style="thin">
        <color indexed="64"/>
      </bottom>
      <diagonal/>
    </border>
    <border>
      <left/>
      <right/>
      <top style="medium">
        <color indexed="64"/>
      </top>
      <bottom style="medium">
        <color indexed="64"/>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right/>
      <top/>
      <bottom style="thin">
        <color indexed="64"/>
      </bottom>
      <diagonal/>
    </border>
    <border diagonalDown="1">
      <left/>
      <right/>
      <top/>
      <bottom/>
      <diagonal/>
    </border>
    <border>
      <left/>
      <right/>
      <top/>
      <bottom style="thin">
        <color indexed="23"/>
      </bottom>
      <diagonal/>
    </border>
    <border>
      <left style="thin">
        <color indexed="23"/>
      </left>
      <right style="thin">
        <color indexed="23"/>
      </right>
      <top style="thin">
        <color indexed="23"/>
      </top>
      <bottom style="thin">
        <color indexed="23"/>
      </bottom>
      <diagonal/>
    </border>
    <border>
      <left style="thin">
        <color indexed="64"/>
      </left>
      <right style="thin">
        <color indexed="64"/>
      </right>
      <top style="thin">
        <color indexed="64"/>
      </top>
      <bottom style="thin">
        <color indexed="64"/>
      </bottom>
      <diagonal/>
    </border>
    <border>
      <left/>
      <right/>
      <top style="thin">
        <color indexed="23"/>
      </top>
      <bottom/>
      <diagonal/>
    </border>
    <border>
      <left/>
      <right/>
      <top style="thin">
        <color indexed="64"/>
      </top>
      <bottom style="medium">
        <color indexed="64"/>
      </bottom>
      <diagonal/>
    </border>
    <border>
      <left/>
      <right style="thin">
        <color indexed="64"/>
      </right>
      <top/>
      <bottom style="thin">
        <color indexed="64"/>
      </bottom>
      <diagonal/>
    </border>
    <border>
      <left style="thin">
        <color auto="1"/>
      </left>
      <right/>
      <top/>
      <bottom style="thin">
        <color auto="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348">
    <xf numFmtId="0" fontId="0" fillId="0" borderId="0"/>
    <xf numFmtId="9" fontId="1" fillId="0" borderId="0" applyFont="0" applyFill="0" applyBorder="0" applyAlignment="0" applyProtection="0"/>
    <xf numFmtId="43" fontId="1" fillId="0" borderId="0" applyFont="0" applyFill="0" applyBorder="0" applyAlignment="0" applyProtection="0"/>
    <xf numFmtId="0" fontId="13" fillId="0" borderId="0"/>
    <xf numFmtId="172" fontId="14" fillId="0" borderId="0"/>
    <xf numFmtId="173" fontId="14" fillId="0" borderId="0"/>
    <xf numFmtId="9" fontId="13" fillId="0" borderId="0" applyFont="0" applyFill="0" applyBorder="0" applyAlignment="0" applyProtection="0"/>
    <xf numFmtId="0" fontId="13" fillId="0" borderId="0"/>
    <xf numFmtId="0" fontId="1" fillId="0" borderId="0"/>
    <xf numFmtId="0" fontId="38" fillId="0" borderId="0"/>
    <xf numFmtId="0" fontId="41" fillId="0" borderId="0"/>
    <xf numFmtId="0" fontId="40" fillId="9" borderId="0"/>
    <xf numFmtId="0" fontId="38" fillId="0" borderId="0">
      <alignment wrapText="1"/>
    </xf>
    <xf numFmtId="0" fontId="40" fillId="0" borderId="0"/>
    <xf numFmtId="0" fontId="42" fillId="0" borderId="0"/>
    <xf numFmtId="0" fontId="39" fillId="0" borderId="0"/>
    <xf numFmtId="0" fontId="39" fillId="0" borderId="0"/>
    <xf numFmtId="0" fontId="43" fillId="0" borderId="0"/>
    <xf numFmtId="0" fontId="13" fillId="11" borderId="0" applyNumberFormat="0" applyFont="0" applyBorder="0" applyAlignment="0" applyProtection="0"/>
    <xf numFmtId="44" fontId="43" fillId="0" borderId="0" applyFont="0" applyFill="0" applyBorder="0" applyAlignment="0" applyProtection="0"/>
    <xf numFmtId="0" fontId="43" fillId="0" borderId="0"/>
    <xf numFmtId="0" fontId="47" fillId="0" borderId="0"/>
    <xf numFmtId="0" fontId="47" fillId="0" borderId="0"/>
    <xf numFmtId="0" fontId="48" fillId="0" borderId="0"/>
    <xf numFmtId="0" fontId="49" fillId="0" borderId="0">
      <alignment vertical="center"/>
    </xf>
    <xf numFmtId="0" fontId="50" fillId="0" borderId="0"/>
    <xf numFmtId="0" fontId="50" fillId="0" borderId="24">
      <alignment horizontal="centerContinuous"/>
    </xf>
    <xf numFmtId="0" fontId="51" fillId="0" borderId="24"/>
    <xf numFmtId="44" fontId="13" fillId="0" borderId="0" applyFont="0" applyFill="0" applyBorder="0" applyAlignment="0" applyProtection="0"/>
    <xf numFmtId="0" fontId="1" fillId="0" borderId="0"/>
    <xf numFmtId="0" fontId="13" fillId="0" borderId="0"/>
    <xf numFmtId="9" fontId="1" fillId="0" borderId="0" applyFont="0" applyFill="0" applyBorder="0" applyAlignment="0" applyProtection="0"/>
    <xf numFmtId="9" fontId="15" fillId="0" borderId="0">
      <alignment horizontal="right"/>
    </xf>
    <xf numFmtId="193" fontId="54" fillId="0" borderId="0">
      <alignment horizontal="right"/>
    </xf>
    <xf numFmtId="0" fontId="55"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56" fillId="0" borderId="0" applyNumberFormat="0" applyFont="0" applyFill="0" applyBorder="0" applyAlignment="0" applyProtection="0"/>
    <xf numFmtId="0" fontId="13" fillId="0" borderId="0"/>
    <xf numFmtId="0" fontId="13" fillId="0" borderId="0"/>
    <xf numFmtId="0" fontId="13" fillId="0" borderId="0"/>
    <xf numFmtId="0" fontId="13" fillId="0" borderId="0"/>
    <xf numFmtId="194" fontId="13" fillId="0" borderId="0" applyFont="0" applyFill="0" applyBorder="0" applyAlignment="0" applyProtection="0"/>
    <xf numFmtId="194" fontId="13" fillId="0" borderId="0" applyFont="0" applyFill="0" applyBorder="0" applyAlignment="0" applyProtection="0"/>
    <xf numFmtId="195" fontId="13" fillId="0" borderId="0" applyFont="0" applyFill="0" applyBorder="0" applyAlignment="0" applyProtection="0"/>
    <xf numFmtId="195" fontId="13" fillId="0" borderId="0" applyFont="0" applyFill="0" applyBorder="0" applyAlignment="0" applyProtection="0"/>
    <xf numFmtId="196" fontId="13" fillId="0" borderId="0" applyFont="0" applyFill="0" applyBorder="0" applyAlignment="0" applyProtection="0"/>
    <xf numFmtId="196" fontId="13" fillId="0" borderId="0" applyFont="0" applyFill="0" applyBorder="0" applyAlignment="0" applyProtection="0"/>
    <xf numFmtId="0" fontId="13" fillId="0" borderId="0"/>
    <xf numFmtId="0" fontId="13" fillId="0" borderId="0"/>
    <xf numFmtId="0" fontId="13" fillId="0" borderId="0"/>
    <xf numFmtId="0" fontId="13" fillId="0" borderId="0"/>
    <xf numFmtId="0" fontId="57"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97" fontId="13" fillId="0" borderId="0" applyFont="0" applyFill="0" applyBorder="0" applyAlignment="0" applyProtection="0"/>
    <xf numFmtId="197" fontId="13" fillId="0" borderId="0" applyFont="0" applyFill="0" applyBorder="0" applyAlignment="0" applyProtection="0"/>
    <xf numFmtId="198" fontId="13" fillId="0" borderId="0" applyFont="0" applyFill="0" applyBorder="0" applyAlignment="0" applyProtection="0"/>
    <xf numFmtId="198" fontId="13" fillId="0" borderId="0" applyFont="0" applyFill="0" applyBorder="0" applyAlignment="0" applyProtection="0"/>
    <xf numFmtId="199" fontId="13" fillId="0" borderId="0" applyFont="0" applyFill="0" applyBorder="0" applyAlignment="0" applyProtection="0"/>
    <xf numFmtId="199" fontId="13" fillId="0" borderId="0" applyFont="0" applyFill="0" applyBorder="0" applyAlignment="0" applyProtection="0"/>
    <xf numFmtId="200" fontId="13" fillId="0" borderId="0" applyFont="0" applyFill="0" applyBorder="0" applyAlignment="0" applyProtection="0"/>
    <xf numFmtId="200" fontId="13" fillId="0" borderId="0" applyFont="0" applyFill="0" applyBorder="0" applyAlignment="0" applyProtection="0"/>
    <xf numFmtId="0" fontId="13" fillId="0" borderId="0" applyNumberForma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applyFill="0" applyAlignment="0">
      <protection locked="0"/>
    </xf>
    <xf numFmtId="0" fontId="13" fillId="0" borderId="0" applyFill="0" applyAlignment="0">
      <protection locked="0"/>
    </xf>
    <xf numFmtId="44" fontId="58" fillId="0" borderId="0" applyFont="0" applyFill="0" applyBorder="0" applyAlignment="0" applyProtection="0"/>
    <xf numFmtId="42" fontId="58" fillId="0" borderId="0" applyFont="0" applyFill="0" applyBorder="0" applyAlignment="0" applyProtection="0"/>
    <xf numFmtId="201" fontId="59" fillId="0" borderId="0" applyFont="0" applyFill="0" applyBorder="0" applyAlignment="0" applyProtection="0"/>
    <xf numFmtId="202" fontId="59"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60" fillId="0" borderId="0"/>
    <xf numFmtId="0" fontId="58" fillId="0" borderId="0"/>
    <xf numFmtId="0" fontId="47" fillId="0" borderId="0"/>
    <xf numFmtId="9" fontId="13" fillId="0" borderId="0"/>
    <xf numFmtId="9" fontId="13" fillId="0" borderId="0"/>
    <xf numFmtId="0" fontId="47" fillId="0" borderId="0"/>
    <xf numFmtId="0" fontId="47" fillId="0" borderId="0"/>
    <xf numFmtId="0" fontId="47" fillId="0" borderId="0"/>
    <xf numFmtId="2" fontId="47" fillId="0" borderId="0"/>
    <xf numFmtId="10" fontId="47" fillId="0" borderId="0"/>
    <xf numFmtId="2"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203" fontId="47" fillId="0" borderId="0"/>
    <xf numFmtId="165" fontId="13" fillId="0" borderId="0"/>
    <xf numFmtId="165" fontId="13" fillId="0" borderId="0"/>
    <xf numFmtId="0" fontId="13" fillId="0" borderId="0"/>
    <xf numFmtId="0" fontId="13" fillId="0" borderId="0"/>
    <xf numFmtId="37" fontId="61" fillId="0" borderId="0">
      <alignment horizontal="center"/>
    </xf>
    <xf numFmtId="204" fontId="62" fillId="0" borderId="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205" fontId="63" fillId="0" borderId="0">
      <alignment horizontal="left"/>
    </xf>
    <xf numFmtId="0" fontId="13" fillId="0" borderId="0" applyFont="0" applyFill="0" applyBorder="0" applyAlignment="0" applyProtection="0"/>
    <xf numFmtId="0" fontId="13" fillId="0" borderId="0" applyFont="0" applyFill="0" applyBorder="0" applyAlignment="0" applyProtection="0"/>
    <xf numFmtId="1" fontId="64" fillId="14" borderId="1" applyNumberFormat="0" applyBorder="0" applyAlignment="0">
      <alignment horizontal="center" vertical="top" wrapText="1"/>
      <protection hidden="1"/>
    </xf>
    <xf numFmtId="0" fontId="65" fillId="0" borderId="26">
      <alignment horizontal="left"/>
    </xf>
    <xf numFmtId="0" fontId="66" fillId="0" borderId="26">
      <alignment horizontal="left" wrapText="1"/>
    </xf>
    <xf numFmtId="0" fontId="67" fillId="0" borderId="0" applyNumberFormat="0" applyFill="0" applyBorder="0" applyAlignment="0" applyProtection="0"/>
    <xf numFmtId="0" fontId="68" fillId="0" borderId="3" applyNumberFormat="0" applyFill="0" applyAlignment="0" applyProtection="0"/>
    <xf numFmtId="206" fontId="59" fillId="0" borderId="0" applyFont="0" applyFill="0" applyBorder="0" applyAlignment="0" applyProtection="0"/>
    <xf numFmtId="0" fontId="48" fillId="0" borderId="0"/>
    <xf numFmtId="0" fontId="48" fillId="0" borderId="0"/>
    <xf numFmtId="0" fontId="13" fillId="0" borderId="0"/>
    <xf numFmtId="0" fontId="13" fillId="0" borderId="0"/>
    <xf numFmtId="0" fontId="7" fillId="0" borderId="0"/>
    <xf numFmtId="0" fontId="66" fillId="0" borderId="27">
      <alignment horizontal="right" vertical="center"/>
    </xf>
    <xf numFmtId="0" fontId="54" fillId="0" borderId="0">
      <alignment horizontal="right"/>
    </xf>
    <xf numFmtId="0" fontId="65" fillId="15" borderId="28">
      <alignment horizontal="center" vertical="center" wrapText="1"/>
    </xf>
    <xf numFmtId="1" fontId="69" fillId="0" borderId="0"/>
    <xf numFmtId="0" fontId="70" fillId="0" borderId="25" applyNumberFormat="0" applyFill="0" applyProtection="0">
      <alignment horizontal="left" vertical="center"/>
    </xf>
    <xf numFmtId="167" fontId="9" fillId="0" borderId="0" applyBorder="0">
      <alignment horizontal="right"/>
    </xf>
    <xf numFmtId="167" fontId="9" fillId="0" borderId="22" applyAlignment="0">
      <alignment horizontal="right"/>
    </xf>
    <xf numFmtId="207" fontId="71" fillId="0" borderId="0"/>
    <xf numFmtId="207" fontId="71" fillId="0" borderId="0"/>
    <xf numFmtId="207" fontId="71" fillId="0" borderId="0"/>
    <xf numFmtId="207" fontId="71" fillId="0" borderId="0"/>
    <xf numFmtId="207" fontId="71" fillId="0" borderId="0"/>
    <xf numFmtId="207" fontId="71" fillId="0" borderId="0"/>
    <xf numFmtId="207" fontId="71" fillId="0" borderId="0"/>
    <xf numFmtId="207" fontId="71" fillId="0" borderId="0"/>
    <xf numFmtId="172" fontId="14" fillId="0" borderId="0"/>
    <xf numFmtId="172" fontId="14" fillId="0" borderId="0"/>
    <xf numFmtId="172" fontId="14" fillId="0" borderId="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3" fontId="72" fillId="0" borderId="0"/>
    <xf numFmtId="184" fontId="72" fillId="0" borderId="0"/>
    <xf numFmtId="2" fontId="72" fillId="0" borderId="0"/>
    <xf numFmtId="0" fontId="73" fillId="0" borderId="0"/>
    <xf numFmtId="0" fontId="74" fillId="0" borderId="0" applyFill="0" applyBorder="0">
      <alignment horizontal="left"/>
    </xf>
    <xf numFmtId="173" fontId="14" fillId="0" borderId="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208" fontId="13" fillId="0" borderId="0" applyFont="0" applyFill="0" applyBorder="0" applyAlignment="0" applyProtection="0"/>
    <xf numFmtId="44" fontId="2" fillId="0" borderId="0" applyFont="0" applyFill="0" applyBorder="0" applyAlignment="0" applyProtection="0"/>
    <xf numFmtId="209" fontId="13" fillId="10" borderId="2">
      <alignment horizontal="right"/>
    </xf>
    <xf numFmtId="209" fontId="13" fillId="10" borderId="2">
      <alignment horizontal="right"/>
    </xf>
    <xf numFmtId="0" fontId="75" fillId="0" borderId="26">
      <alignment horizontal="left"/>
    </xf>
    <xf numFmtId="0" fontId="76" fillId="0" borderId="26">
      <alignment horizontal="left" wrapText="1"/>
    </xf>
    <xf numFmtId="210" fontId="59" fillId="0" borderId="0" applyFont="0" applyFill="0" applyBorder="0" applyAlignment="0" applyProtection="0"/>
    <xf numFmtId="14" fontId="45" fillId="0" borderId="6" applyFont="0">
      <alignment horizontal="right"/>
    </xf>
    <xf numFmtId="0" fontId="58" fillId="0" borderId="0"/>
    <xf numFmtId="0" fontId="14" fillId="0" borderId="0"/>
    <xf numFmtId="211" fontId="54" fillId="0" borderId="0">
      <alignment horizontal="right"/>
    </xf>
    <xf numFmtId="0" fontId="14" fillId="0" borderId="0"/>
    <xf numFmtId="0" fontId="54" fillId="0" borderId="0"/>
    <xf numFmtId="5" fontId="77" fillId="0" borderId="0" applyFont="0" applyFill="0" applyBorder="0" applyAlignment="0" applyProtection="0">
      <protection locked="0"/>
    </xf>
    <xf numFmtId="212" fontId="13" fillId="0" borderId="0" applyFont="0" applyFill="0" applyBorder="0" applyAlignment="0" applyProtection="0"/>
    <xf numFmtId="212" fontId="13" fillId="0" borderId="0" applyFont="0" applyFill="0" applyBorder="0" applyAlignment="0" applyProtection="0"/>
    <xf numFmtId="1" fontId="78" fillId="16" borderId="12" applyNumberFormat="0" applyBorder="0" applyAlignment="0">
      <alignment horizontal="centerContinuous" vertical="center"/>
      <protection locked="0"/>
    </xf>
    <xf numFmtId="0" fontId="54" fillId="0" borderId="0"/>
    <xf numFmtId="0" fontId="79" fillId="0" borderId="0" applyNumberFormat="0" applyFill="0" applyBorder="0" applyProtection="0">
      <alignment horizontal="left" vertical="center"/>
    </xf>
    <xf numFmtId="213" fontId="80" fillId="0" borderId="0"/>
    <xf numFmtId="214" fontId="13" fillId="10" borderId="2">
      <alignment horizontal="right"/>
    </xf>
    <xf numFmtId="214" fontId="13" fillId="10" borderId="2">
      <alignment horizontal="right"/>
    </xf>
    <xf numFmtId="49" fontId="7" fillId="0" borderId="0" applyFill="0" applyBorder="0"/>
    <xf numFmtId="49" fontId="13" fillId="0" borderId="0"/>
    <xf numFmtId="49" fontId="13" fillId="0" borderId="0" applyFill="0" applyBorder="0">
      <alignment horizontal="right" vertical="center"/>
    </xf>
    <xf numFmtId="49" fontId="13" fillId="0" borderId="0" applyFill="0" applyBorder="0">
      <alignment horizontal="right" vertical="center"/>
    </xf>
    <xf numFmtId="49" fontId="13" fillId="0" borderId="0" applyFill="0" applyBorder="0">
      <alignment horizontal="right" vertical="center"/>
    </xf>
    <xf numFmtId="49" fontId="13" fillId="0" borderId="0" applyFill="0" applyBorder="0">
      <alignment horizontal="right" vertical="center"/>
    </xf>
    <xf numFmtId="0" fontId="81" fillId="0" borderId="0"/>
    <xf numFmtId="38" fontId="7" fillId="10" borderId="0" applyNumberFormat="0" applyBorder="0" applyAlignment="0" applyProtection="0"/>
    <xf numFmtId="166" fontId="13" fillId="17" borderId="29" applyNumberFormat="0" applyFont="0" applyBorder="0" applyAlignment="0" applyProtection="0"/>
    <xf numFmtId="166" fontId="13" fillId="17" borderId="29" applyNumberFormat="0" applyFont="0" applyBorder="0" applyAlignment="0" applyProtection="0"/>
    <xf numFmtId="0" fontId="82" fillId="0" borderId="0" applyFont="0" applyFill="0" applyBorder="0" applyAlignment="0" applyProtection="0">
      <alignment horizontal="right"/>
    </xf>
    <xf numFmtId="165" fontId="83" fillId="17" borderId="0" applyNumberFormat="0" applyFont="0" applyAlignment="0"/>
    <xf numFmtId="0" fontId="46" fillId="0" borderId="21" applyNumberFormat="0" applyAlignment="0" applyProtection="0">
      <alignment horizontal="left" vertical="center"/>
    </xf>
    <xf numFmtId="0" fontId="46" fillId="0" borderId="6">
      <alignment horizontal="left" vertical="center"/>
    </xf>
    <xf numFmtId="10" fontId="7" fillId="18" borderId="29" applyNumberFormat="0" applyBorder="0" applyAlignment="0" applyProtection="0"/>
    <xf numFmtId="0" fontId="84" fillId="0" borderId="0" applyNumberFormat="0" applyFill="0" applyBorder="0" applyAlignment="0">
      <protection locked="0"/>
    </xf>
    <xf numFmtId="0" fontId="54" fillId="0" borderId="0"/>
    <xf numFmtId="0" fontId="85" fillId="0" borderId="0" applyNumberFormat="0" applyFill="0" applyBorder="0" applyProtection="0">
      <alignment horizontal="left" vertical="center"/>
    </xf>
    <xf numFmtId="215" fontId="13" fillId="0" borderId="0">
      <alignment horizontal="right"/>
    </xf>
    <xf numFmtId="215" fontId="13" fillId="0" borderId="0">
      <alignment horizontal="right"/>
    </xf>
    <xf numFmtId="216" fontId="13" fillId="0" borderId="0" applyFont="0" applyFill="0" applyBorder="0" applyAlignment="0" applyProtection="0"/>
    <xf numFmtId="217" fontId="13" fillId="0" borderId="0" applyFont="0" applyFill="0" applyBorder="0" applyAlignment="0" applyProtection="0"/>
    <xf numFmtId="218" fontId="13" fillId="0" borderId="0" applyFont="0" applyFill="0" applyBorder="0" applyAlignment="0" applyProtection="0"/>
    <xf numFmtId="219" fontId="13" fillId="0" borderId="0" applyFont="0" applyFill="0" applyBorder="0" applyAlignment="0" applyProtection="0"/>
    <xf numFmtId="220" fontId="7" fillId="18" borderId="0">
      <alignment horizontal="center"/>
    </xf>
    <xf numFmtId="37" fontId="86" fillId="0" borderId="0"/>
    <xf numFmtId="221" fontId="87" fillId="0" borderId="0"/>
    <xf numFmtId="0" fontId="13" fillId="0" borderId="0"/>
    <xf numFmtId="0" fontId="13" fillId="0" borderId="0"/>
    <xf numFmtId="0" fontId="13" fillId="0" borderId="0"/>
    <xf numFmtId="0" fontId="13" fillId="0" borderId="0"/>
    <xf numFmtId="0" fontId="13" fillId="0" borderId="0"/>
    <xf numFmtId="0" fontId="1" fillId="0" borderId="0"/>
    <xf numFmtId="0" fontId="13" fillId="0" borderId="0"/>
    <xf numFmtId="0" fontId="13" fillId="0" borderId="0"/>
    <xf numFmtId="0" fontId="13" fillId="0" borderId="0"/>
    <xf numFmtId="0" fontId="13" fillId="0" borderId="0"/>
    <xf numFmtId="0" fontId="2" fillId="0" borderId="0"/>
    <xf numFmtId="0" fontId="13" fillId="0" borderId="0"/>
    <xf numFmtId="0" fontId="88" fillId="0" borderId="0"/>
    <xf numFmtId="0" fontId="13" fillId="19" borderId="23" applyNumberFormat="0" applyFont="0" applyAlignment="0" applyProtection="0"/>
    <xf numFmtId="0" fontId="13" fillId="19" borderId="23" applyNumberFormat="0" applyFont="0" applyAlignment="0" applyProtection="0"/>
    <xf numFmtId="0" fontId="13" fillId="19" borderId="23" applyNumberFormat="0" applyFont="0" applyAlignment="0" applyProtection="0"/>
    <xf numFmtId="0" fontId="13" fillId="19" borderId="23" applyNumberFormat="0" applyFont="0" applyAlignment="0" applyProtection="0"/>
    <xf numFmtId="0" fontId="13" fillId="19" borderId="23" applyNumberFormat="0" applyFont="0" applyAlignment="0" applyProtection="0"/>
    <xf numFmtId="0" fontId="13" fillId="19" borderId="23" applyNumberFormat="0" applyFont="0" applyAlignment="0" applyProtection="0"/>
    <xf numFmtId="222" fontId="15" fillId="0" borderId="0" applyFont="0" applyFill="0" applyBorder="0" applyProtection="0">
      <alignment horizontal="right"/>
    </xf>
    <xf numFmtId="43" fontId="58" fillId="0" borderId="0" applyFont="0" applyFill="0" applyBorder="0" applyAlignment="0" applyProtection="0"/>
    <xf numFmtId="41" fontId="58" fillId="0" borderId="0" applyFont="0" applyFill="0" applyBorder="0" applyAlignment="0" applyProtection="0"/>
    <xf numFmtId="167" fontId="13" fillId="0" borderId="0"/>
    <xf numFmtId="0" fontId="66" fillId="0" borderId="30">
      <alignment horizontal="left" vertical="center" wrapText="1"/>
    </xf>
    <xf numFmtId="0" fontId="89" fillId="0" borderId="0">
      <alignment horizontal="left"/>
    </xf>
    <xf numFmtId="166" fontId="14" fillId="0" borderId="0"/>
    <xf numFmtId="10" fontId="13" fillId="0" borderId="0" applyFont="0" applyFill="0" applyBorder="0" applyAlignment="0" applyProtection="0"/>
    <xf numFmtId="10"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90" fillId="0" borderId="0" applyFont="0" applyFill="0" applyBorder="0" applyAlignment="0" applyProtection="0"/>
    <xf numFmtId="166" fontId="91" fillId="0" borderId="0"/>
    <xf numFmtId="1" fontId="92" fillId="10" borderId="0">
      <alignment horizontal="center"/>
    </xf>
    <xf numFmtId="223" fontId="55" fillId="10" borderId="0"/>
    <xf numFmtId="224" fontId="7" fillId="0" borderId="0"/>
    <xf numFmtId="0" fontId="93" fillId="0" borderId="0"/>
    <xf numFmtId="0" fontId="66" fillId="0" borderId="27">
      <alignment horizontal="left" vertical="center" wrapText="1"/>
    </xf>
    <xf numFmtId="0" fontId="85" fillId="0" borderId="0" applyNumberFormat="0" applyFill="0" applyBorder="0" applyProtection="0">
      <alignment horizontal="right" vertical="center"/>
    </xf>
    <xf numFmtId="0" fontId="13" fillId="11" borderId="0" applyNumberFormat="0" applyFont="0" applyBorder="0" applyAlignment="0" applyProtection="0"/>
    <xf numFmtId="165" fontId="50" fillId="0" borderId="0"/>
    <xf numFmtId="0" fontId="50" fillId="0" borderId="0"/>
    <xf numFmtId="0" fontId="50" fillId="0" borderId="0"/>
    <xf numFmtId="0" fontId="50" fillId="0" borderId="24">
      <alignment horizontal="centerContinuous"/>
    </xf>
    <xf numFmtId="0" fontId="50" fillId="0" borderId="24">
      <alignment horizontal="centerContinuous"/>
    </xf>
    <xf numFmtId="0" fontId="65" fillId="0" borderId="0">
      <alignment horizontal="left" vertical="center" wrapText="1"/>
    </xf>
    <xf numFmtId="0" fontId="13" fillId="0" borderId="0">
      <alignment vertical="top"/>
    </xf>
    <xf numFmtId="0" fontId="13" fillId="0" borderId="0">
      <alignment vertical="top"/>
    </xf>
    <xf numFmtId="0" fontId="13" fillId="0" borderId="0">
      <alignment vertical="top"/>
    </xf>
    <xf numFmtId="0" fontId="13" fillId="0" borderId="0">
      <alignment vertical="top"/>
    </xf>
    <xf numFmtId="0" fontId="13" fillId="0" borderId="0">
      <alignment vertical="top"/>
    </xf>
    <xf numFmtId="0" fontId="13" fillId="0" borderId="0">
      <alignment vertical="top"/>
    </xf>
    <xf numFmtId="0" fontId="13" fillId="0" borderId="0">
      <alignment vertical="top"/>
    </xf>
    <xf numFmtId="0" fontId="13" fillId="0" borderId="0">
      <alignment vertical="top"/>
    </xf>
    <xf numFmtId="0" fontId="94" fillId="0" borderId="0" applyNumberFormat="0" applyAlignment="0" applyProtection="0"/>
    <xf numFmtId="41" fontId="13" fillId="0" borderId="0" applyFont="0" applyFill="0" applyBorder="0" applyAlignment="0" applyProtection="0"/>
    <xf numFmtId="41" fontId="13" fillId="0" borderId="0" applyFont="0" applyFill="0" applyBorder="0" applyAlignment="0" applyProtection="0"/>
    <xf numFmtId="0" fontId="13" fillId="0" borderId="0">
      <alignment vertical="top"/>
    </xf>
    <xf numFmtId="0" fontId="13" fillId="0" borderId="0">
      <alignment vertical="top"/>
    </xf>
    <xf numFmtId="0" fontId="13" fillId="0" borderId="0">
      <alignment vertical="top"/>
    </xf>
    <xf numFmtId="0" fontId="13" fillId="0" borderId="0">
      <alignment vertical="top"/>
    </xf>
    <xf numFmtId="0" fontId="13" fillId="0" borderId="0">
      <alignment vertical="top"/>
    </xf>
    <xf numFmtId="0" fontId="13" fillId="0" borderId="0">
      <alignment vertical="top"/>
    </xf>
    <xf numFmtId="0" fontId="13" fillId="0" borderId="0">
      <alignment vertical="top"/>
    </xf>
    <xf numFmtId="0" fontId="13" fillId="0" borderId="0">
      <alignment vertical="top"/>
    </xf>
    <xf numFmtId="0" fontId="13" fillId="0" borderId="0">
      <alignment vertical="top"/>
    </xf>
    <xf numFmtId="0" fontId="13" fillId="0" borderId="0">
      <alignment vertical="top"/>
    </xf>
    <xf numFmtId="41" fontId="13" fillId="0" borderId="0" applyFont="0" applyFill="0" applyBorder="0" applyAlignment="0" applyProtection="0"/>
    <xf numFmtId="41" fontId="13" fillId="0" borderId="0" applyFont="0" applyFill="0" applyBorder="0" applyAlignment="0" applyProtection="0"/>
    <xf numFmtId="0" fontId="13" fillId="0" borderId="0">
      <alignment vertical="top"/>
    </xf>
    <xf numFmtId="0" fontId="13" fillId="0" borderId="0">
      <alignment vertical="top"/>
    </xf>
    <xf numFmtId="0" fontId="13" fillId="0" borderId="0">
      <alignment vertical="top"/>
    </xf>
    <xf numFmtId="0" fontId="13" fillId="0" borderId="0">
      <alignment vertical="top"/>
    </xf>
    <xf numFmtId="0" fontId="13" fillId="0" borderId="0">
      <alignment vertical="top"/>
    </xf>
    <xf numFmtId="0" fontId="13" fillId="0" borderId="0">
      <alignment vertical="top"/>
    </xf>
    <xf numFmtId="0" fontId="13" fillId="0" borderId="0">
      <alignment vertical="top"/>
    </xf>
    <xf numFmtId="0" fontId="13" fillId="0" borderId="0">
      <alignment vertical="top"/>
    </xf>
    <xf numFmtId="0" fontId="13" fillId="0" borderId="0">
      <alignment vertical="top"/>
    </xf>
    <xf numFmtId="0" fontId="13" fillId="0" borderId="0">
      <alignment vertical="top"/>
    </xf>
    <xf numFmtId="0" fontId="95" fillId="0" borderId="0">
      <alignment vertical="top"/>
    </xf>
    <xf numFmtId="0" fontId="13" fillId="0" borderId="0"/>
    <xf numFmtId="0" fontId="13" fillId="0" borderId="0"/>
    <xf numFmtId="0" fontId="95" fillId="0" borderId="0">
      <alignment vertical="top"/>
    </xf>
    <xf numFmtId="0" fontId="13" fillId="0" borderId="0">
      <alignment vertical="top"/>
    </xf>
    <xf numFmtId="0" fontId="13" fillId="0" borderId="0">
      <alignment vertical="top"/>
    </xf>
    <xf numFmtId="0" fontId="96" fillId="0" borderId="6" applyNumberFormat="0" applyFill="0" applyProtection="0">
      <alignment horizontal="left" vertical="center"/>
    </xf>
    <xf numFmtId="0" fontId="48" fillId="0" borderId="0">
      <alignment vertical="center"/>
    </xf>
    <xf numFmtId="0" fontId="97" fillId="20" borderId="0" applyNumberFormat="0" applyBorder="0" applyProtection="0">
      <alignment horizontal="left" vertical="center"/>
    </xf>
    <xf numFmtId="0" fontId="98" fillId="1" borderId="0" applyNumberFormat="0" applyBorder="0" applyProtection="0">
      <alignment horizontal="left" vertical="center"/>
    </xf>
    <xf numFmtId="167" fontId="44" fillId="0" borderId="0"/>
    <xf numFmtId="225" fontId="99" fillId="0" borderId="13" applyNumberFormat="0" applyFont="0" applyFill="0" applyAlignment="0" applyProtection="0"/>
    <xf numFmtId="167" fontId="9" fillId="0" borderId="31"/>
    <xf numFmtId="226" fontId="100" fillId="0" borderId="0">
      <alignment horizontal="right"/>
    </xf>
    <xf numFmtId="227" fontId="92" fillId="10" borderId="1" applyBorder="0">
      <alignment horizontal="right" vertical="center"/>
      <protection locked="0"/>
    </xf>
    <xf numFmtId="0" fontId="101" fillId="0" borderId="0" applyNumberFormat="0"/>
    <xf numFmtId="1" fontId="13" fillId="0" borderId="0">
      <alignment horizontal="center"/>
    </xf>
    <xf numFmtId="1" fontId="13" fillId="0" borderId="0">
      <alignment horizontal="center"/>
    </xf>
    <xf numFmtId="0" fontId="13" fillId="0" borderId="0"/>
    <xf numFmtId="0" fontId="13" fillId="0" borderId="0"/>
    <xf numFmtId="0" fontId="13" fillId="0" borderId="0" applyFont="0" applyFill="0" applyBorder="0" applyAlignment="0" applyProtection="0"/>
    <xf numFmtId="0" fontId="102" fillId="0" borderId="0" applyFont="0" applyFill="0" applyBorder="0" applyAlignment="0" applyProtection="0"/>
    <xf numFmtId="0" fontId="103" fillId="0" borderId="0"/>
    <xf numFmtId="44" fontId="103" fillId="0" borderId="0" applyFont="0" applyFill="0" applyBorder="0" applyAlignment="0" applyProtection="0"/>
    <xf numFmtId="0" fontId="104" fillId="0" borderId="0"/>
  </cellStyleXfs>
  <cellXfs count="723">
    <xf numFmtId="0" fontId="0" fillId="0" borderId="0" xfId="0"/>
    <xf numFmtId="0" fontId="2" fillId="0" borderId="0" xfId="0" applyFont="1"/>
    <xf numFmtId="0" fontId="2" fillId="0" borderId="0" xfId="0" applyFont="1" applyAlignment="1">
      <alignment horizontal="right"/>
    </xf>
    <xf numFmtId="165" fontId="2" fillId="0" borderId="0" xfId="0" applyNumberFormat="1" applyFont="1"/>
    <xf numFmtId="9" fontId="2" fillId="0" borderId="0" xfId="1" applyFont="1"/>
    <xf numFmtId="166" fontId="2" fillId="0" borderId="0" xfId="1" applyNumberFormat="1" applyFont="1"/>
    <xf numFmtId="167" fontId="2" fillId="0" borderId="0" xfId="0" applyNumberFormat="1" applyFont="1"/>
    <xf numFmtId="0" fontId="4" fillId="0" borderId="0" xfId="0" applyFont="1"/>
    <xf numFmtId="167" fontId="4" fillId="0" borderId="0" xfId="0" applyNumberFormat="1" applyFont="1"/>
    <xf numFmtId="165" fontId="4" fillId="0" borderId="0" xfId="0" applyNumberFormat="1" applyFont="1"/>
    <xf numFmtId="0" fontId="2" fillId="2" borderId="0" xfId="0" applyFont="1" applyFill="1"/>
    <xf numFmtId="0" fontId="6" fillId="2" borderId="0" xfId="0" applyFont="1" applyFill="1"/>
    <xf numFmtId="7" fontId="4" fillId="0" borderId="0" xfId="0" applyNumberFormat="1" applyFont="1"/>
    <xf numFmtId="165" fontId="3" fillId="0" borderId="0" xfId="0" applyNumberFormat="1" applyFont="1"/>
    <xf numFmtId="0" fontId="2" fillId="0" borderId="0" xfId="0" applyFont="1" applyAlignment="1">
      <alignment horizontal="left" indent="1"/>
    </xf>
    <xf numFmtId="165" fontId="7" fillId="0" borderId="0" xfId="0" applyNumberFormat="1" applyFont="1"/>
    <xf numFmtId="0" fontId="8" fillId="0" borderId="0" xfId="0" applyFont="1"/>
    <xf numFmtId="165" fontId="9" fillId="0" borderId="0" xfId="0" applyNumberFormat="1" applyFont="1"/>
    <xf numFmtId="167" fontId="5" fillId="3" borderId="0" xfId="0" applyNumberFormat="1" applyFont="1" applyFill="1"/>
    <xf numFmtId="9" fontId="5" fillId="3" borderId="0" xfId="1" applyFont="1" applyFill="1"/>
    <xf numFmtId="166" fontId="5" fillId="3" borderId="0" xfId="1" applyNumberFormat="1" applyFont="1" applyFill="1"/>
    <xf numFmtId="0" fontId="2" fillId="0" borderId="0" xfId="0" applyNumberFormat="1" applyFont="1"/>
    <xf numFmtId="0" fontId="2" fillId="0" borderId="1" xfId="0" applyFont="1" applyBorder="1"/>
    <xf numFmtId="0" fontId="2" fillId="0" borderId="0" xfId="0" applyFont="1" applyBorder="1"/>
    <xf numFmtId="0" fontId="2" fillId="0" borderId="2" xfId="0" applyFont="1" applyBorder="1"/>
    <xf numFmtId="167" fontId="2" fillId="0" borderId="1" xfId="0" applyNumberFormat="1" applyFont="1" applyBorder="1"/>
    <xf numFmtId="167" fontId="2" fillId="0" borderId="0" xfId="0" applyNumberFormat="1" applyFont="1" applyBorder="1"/>
    <xf numFmtId="167" fontId="2" fillId="0" borderId="2" xfId="0" applyNumberFormat="1" applyFont="1" applyBorder="1"/>
    <xf numFmtId="166" fontId="2" fillId="0" borderId="0" xfId="1" applyNumberFormat="1" applyFont="1" applyBorder="1"/>
    <xf numFmtId="166" fontId="2" fillId="0" borderId="2" xfId="1" applyNumberFormat="1" applyFont="1" applyBorder="1"/>
    <xf numFmtId="0" fontId="2" fillId="2" borderId="1" xfId="0" applyFont="1" applyFill="1" applyBorder="1"/>
    <xf numFmtId="167" fontId="2" fillId="2" borderId="0" xfId="0" applyNumberFormat="1" applyFont="1" applyFill="1" applyBorder="1"/>
    <xf numFmtId="167" fontId="2" fillId="2" borderId="2" xfId="0" applyNumberFormat="1" applyFont="1" applyFill="1" applyBorder="1"/>
    <xf numFmtId="0" fontId="4" fillId="0" borderId="1" xfId="0" applyFont="1" applyBorder="1"/>
    <xf numFmtId="0" fontId="4" fillId="0" borderId="0" xfId="0" applyFont="1" applyBorder="1"/>
    <xf numFmtId="0" fontId="4" fillId="0" borderId="2" xfId="0" applyFont="1" applyBorder="1"/>
    <xf numFmtId="167" fontId="4" fillId="0" borderId="1" xfId="0" applyNumberFormat="1" applyFont="1" applyBorder="1"/>
    <xf numFmtId="167" fontId="4" fillId="0" borderId="0" xfId="0" applyNumberFormat="1" applyFont="1" applyBorder="1"/>
    <xf numFmtId="167" fontId="4" fillId="0" borderId="2" xfId="0" applyNumberFormat="1" applyFont="1" applyBorder="1"/>
    <xf numFmtId="166" fontId="3" fillId="0" borderId="1" xfId="1" applyNumberFormat="1" applyFont="1" applyBorder="1"/>
    <xf numFmtId="166" fontId="3" fillId="0" borderId="0" xfId="1" applyNumberFormat="1" applyFont="1" applyBorder="1"/>
    <xf numFmtId="166" fontId="3" fillId="0" borderId="2" xfId="1" applyNumberFormat="1" applyFont="1" applyBorder="1"/>
    <xf numFmtId="166" fontId="2" fillId="0" borderId="1" xfId="1" applyNumberFormat="1" applyFont="1" applyBorder="1"/>
    <xf numFmtId="167" fontId="2" fillId="2" borderId="1" xfId="0" applyNumberFormat="1" applyFont="1" applyFill="1" applyBorder="1"/>
    <xf numFmtId="167" fontId="5" fillId="0" borderId="1" xfId="0" applyNumberFormat="1" applyFont="1" applyBorder="1"/>
    <xf numFmtId="167" fontId="5" fillId="0" borderId="0" xfId="0" applyNumberFormat="1" applyFont="1" applyBorder="1"/>
    <xf numFmtId="167" fontId="5" fillId="0" borderId="2" xfId="0" applyNumberFormat="1" applyFont="1" applyBorder="1"/>
    <xf numFmtId="165" fontId="2" fillId="0" borderId="1" xfId="0" applyNumberFormat="1" applyFont="1" applyBorder="1"/>
    <xf numFmtId="165" fontId="2" fillId="0" borderId="0" xfId="0" applyNumberFormat="1" applyFont="1" applyBorder="1"/>
    <xf numFmtId="165" fontId="2" fillId="0" borderId="2" xfId="0" applyNumberFormat="1" applyFont="1" applyBorder="1"/>
    <xf numFmtId="7" fontId="4" fillId="0" borderId="1" xfId="0" applyNumberFormat="1" applyFont="1" applyBorder="1"/>
    <xf numFmtId="7" fontId="4" fillId="0" borderId="0" xfId="0" applyNumberFormat="1" applyFont="1" applyBorder="1"/>
    <xf numFmtId="7" fontId="4" fillId="0" borderId="2" xfId="0" applyNumberFormat="1" applyFont="1" applyBorder="1"/>
    <xf numFmtId="165" fontId="4" fillId="0" borderId="1" xfId="0" applyNumberFormat="1" applyFont="1" applyBorder="1"/>
    <xf numFmtId="165" fontId="4" fillId="0" borderId="0" xfId="0" applyNumberFormat="1" applyFont="1" applyBorder="1"/>
    <xf numFmtId="165" fontId="4" fillId="0" borderId="2" xfId="0" applyNumberFormat="1" applyFont="1" applyBorder="1"/>
    <xf numFmtId="10" fontId="2" fillId="0" borderId="1" xfId="1" applyNumberFormat="1" applyFont="1" applyBorder="1"/>
    <xf numFmtId="7" fontId="4" fillId="0" borderId="0" xfId="0" applyNumberFormat="1" applyFont="1" applyFill="1" applyBorder="1"/>
    <xf numFmtId="7" fontId="4" fillId="0" borderId="2" xfId="0" applyNumberFormat="1" applyFont="1" applyFill="1" applyBorder="1"/>
    <xf numFmtId="0" fontId="2" fillId="2" borderId="0" xfId="0" applyFont="1" applyFill="1" applyBorder="1"/>
    <xf numFmtId="0" fontId="2" fillId="2" borderId="2" xfId="0" applyFont="1" applyFill="1" applyBorder="1"/>
    <xf numFmtId="167" fontId="5" fillId="3" borderId="0" xfId="0" applyNumberFormat="1" applyFont="1" applyFill="1" applyBorder="1"/>
    <xf numFmtId="167" fontId="5" fillId="3" borderId="2" xfId="0" applyNumberFormat="1" applyFont="1" applyFill="1" applyBorder="1"/>
    <xf numFmtId="168" fontId="4" fillId="0" borderId="0" xfId="0" applyNumberFormat="1" applyFont="1" applyBorder="1"/>
    <xf numFmtId="168" fontId="4" fillId="0" borderId="2" xfId="0" applyNumberFormat="1" applyFont="1" applyBorder="1"/>
    <xf numFmtId="7" fontId="4" fillId="0" borderId="1" xfId="0" applyNumberFormat="1" applyFont="1" applyFill="1" applyBorder="1"/>
    <xf numFmtId="167" fontId="5" fillId="3" borderId="1" xfId="0" applyNumberFormat="1" applyFont="1" applyFill="1" applyBorder="1"/>
    <xf numFmtId="168" fontId="4" fillId="0" borderId="1" xfId="0" applyNumberFormat="1" applyFont="1" applyBorder="1"/>
    <xf numFmtId="166" fontId="5" fillId="3" borderId="0" xfId="1" applyNumberFormat="1" applyFont="1" applyFill="1" applyBorder="1"/>
    <xf numFmtId="166" fontId="5" fillId="3" borderId="2" xfId="1" applyNumberFormat="1" applyFont="1" applyFill="1" applyBorder="1"/>
    <xf numFmtId="0" fontId="6" fillId="4" borderId="3" xfId="0" applyFont="1" applyFill="1" applyBorder="1" applyAlignment="1">
      <alignment horizontal="centerContinuous"/>
    </xf>
    <xf numFmtId="164" fontId="6" fillId="4" borderId="3" xfId="0" applyNumberFormat="1" applyFont="1" applyFill="1" applyBorder="1" applyAlignment="1">
      <alignment horizontal="centerContinuous"/>
    </xf>
    <xf numFmtId="0" fontId="6" fillId="4" borderId="4" xfId="0" applyFont="1" applyFill="1" applyBorder="1" applyAlignment="1">
      <alignment horizontal="centerContinuous"/>
    </xf>
    <xf numFmtId="169" fontId="6" fillId="4" borderId="0" xfId="0" applyNumberFormat="1" applyFont="1" applyFill="1" applyBorder="1" applyAlignment="1">
      <alignment horizontal="right"/>
    </xf>
    <xf numFmtId="169" fontId="6" fillId="4" borderId="2" xfId="0" applyNumberFormat="1" applyFont="1" applyFill="1" applyBorder="1" applyAlignment="1">
      <alignment horizontal="right"/>
    </xf>
    <xf numFmtId="0" fontId="6" fillId="4" borderId="0" xfId="0" applyFont="1" applyFill="1"/>
    <xf numFmtId="164" fontId="6" fillId="4" borderId="0" xfId="0" applyNumberFormat="1" applyFont="1" applyFill="1"/>
    <xf numFmtId="9" fontId="2" fillId="0" borderId="2" xfId="1" applyFont="1" applyBorder="1"/>
    <xf numFmtId="5" fontId="2" fillId="0" borderId="2" xfId="0" applyNumberFormat="1" applyFont="1" applyBorder="1"/>
    <xf numFmtId="170" fontId="2" fillId="0" borderId="1" xfId="0" applyNumberFormat="1" applyFont="1" applyBorder="1"/>
    <xf numFmtId="170" fontId="2" fillId="0" borderId="0" xfId="0" applyNumberFormat="1" applyFont="1" applyBorder="1"/>
    <xf numFmtId="7" fontId="2" fillId="0" borderId="1" xfId="0" applyNumberFormat="1" applyFont="1" applyBorder="1"/>
    <xf numFmtId="7" fontId="2" fillId="0" borderId="0" xfId="0" applyNumberFormat="1" applyFont="1" applyBorder="1"/>
    <xf numFmtId="7" fontId="2" fillId="0" borderId="2" xfId="0" applyNumberFormat="1" applyFont="1" applyBorder="1"/>
    <xf numFmtId="7" fontId="2" fillId="0" borderId="0" xfId="0" applyNumberFormat="1" applyFont="1" applyFill="1" applyBorder="1"/>
    <xf numFmtId="7" fontId="2" fillId="0" borderId="2" xfId="0" applyNumberFormat="1" applyFont="1" applyFill="1" applyBorder="1"/>
    <xf numFmtId="7" fontId="2" fillId="0" borderId="1" xfId="0" applyNumberFormat="1" applyFont="1" applyFill="1" applyBorder="1"/>
    <xf numFmtId="9" fontId="4" fillId="0" borderId="0" xfId="1" applyFont="1"/>
    <xf numFmtId="171" fontId="5" fillId="3" borderId="0" xfId="2" applyNumberFormat="1" applyFont="1" applyFill="1"/>
    <xf numFmtId="170" fontId="4" fillId="0" borderId="1" xfId="0" applyNumberFormat="1" applyFont="1" applyBorder="1"/>
    <xf numFmtId="170" fontId="4" fillId="0" borderId="0" xfId="0" applyNumberFormat="1" applyFont="1" applyBorder="1"/>
    <xf numFmtId="170" fontId="4" fillId="0" borderId="2" xfId="0" applyNumberFormat="1" applyFont="1" applyBorder="1"/>
    <xf numFmtId="166" fontId="3" fillId="3" borderId="1" xfId="1" applyNumberFormat="1" applyFont="1" applyFill="1" applyBorder="1"/>
    <xf numFmtId="166" fontId="3" fillId="3" borderId="0" xfId="1" applyNumberFormat="1" applyFont="1" applyFill="1" applyBorder="1"/>
    <xf numFmtId="166" fontId="3" fillId="3" borderId="2" xfId="1" applyNumberFormat="1" applyFont="1" applyFill="1" applyBorder="1"/>
    <xf numFmtId="164" fontId="6" fillId="4" borderId="2" xfId="0" applyNumberFormat="1" applyFont="1" applyFill="1" applyBorder="1"/>
    <xf numFmtId="0" fontId="6" fillId="4" borderId="3" xfId="0" applyFont="1" applyFill="1" applyBorder="1" applyAlignment="1">
      <alignment horizontal="left"/>
    </xf>
    <xf numFmtId="0" fontId="6" fillId="4" borderId="0" xfId="0" applyFont="1" applyFill="1" applyBorder="1" applyAlignment="1">
      <alignment horizontal="left"/>
    </xf>
    <xf numFmtId="0" fontId="2" fillId="0" borderId="1" xfId="0" applyFont="1" applyBorder="1" applyAlignment="1">
      <alignment horizontal="right"/>
    </xf>
    <xf numFmtId="0" fontId="2" fillId="0" borderId="0" xfId="0" applyFont="1" applyBorder="1" applyAlignment="1">
      <alignment horizontal="right"/>
    </xf>
    <xf numFmtId="0" fontId="2" fillId="0" borderId="2" xfId="0" applyFont="1" applyBorder="1" applyAlignment="1">
      <alignment horizontal="right"/>
    </xf>
    <xf numFmtId="165" fontId="3" fillId="0" borderId="1" xfId="0" applyNumberFormat="1" applyFont="1" applyBorder="1"/>
    <xf numFmtId="165" fontId="3" fillId="0" borderId="0" xfId="0" applyNumberFormat="1" applyFont="1" applyBorder="1"/>
    <xf numFmtId="165" fontId="3" fillId="0" borderId="2" xfId="0" applyNumberFormat="1" applyFont="1" applyBorder="1"/>
    <xf numFmtId="5" fontId="5" fillId="0" borderId="2" xfId="0" applyNumberFormat="1" applyFont="1" applyBorder="1"/>
    <xf numFmtId="0" fontId="2" fillId="0" borderId="0" xfId="0" applyFont="1" applyFill="1"/>
    <xf numFmtId="0" fontId="2" fillId="0" borderId="1" xfId="0" applyFont="1" applyFill="1" applyBorder="1"/>
    <xf numFmtId="167" fontId="2" fillId="0" borderId="0" xfId="0" applyNumberFormat="1" applyFont="1" applyFill="1" applyBorder="1"/>
    <xf numFmtId="167" fontId="2" fillId="0" borderId="2" xfId="0" applyNumberFormat="1" applyFont="1" applyFill="1" applyBorder="1"/>
    <xf numFmtId="167" fontId="2" fillId="0" borderId="1" xfId="0" applyNumberFormat="1" applyFont="1" applyFill="1" applyBorder="1"/>
    <xf numFmtId="166" fontId="2" fillId="0" borderId="1" xfId="1" applyNumberFormat="1" applyFont="1" applyFill="1" applyBorder="1"/>
    <xf numFmtId="166" fontId="2" fillId="0" borderId="0" xfId="1" applyNumberFormat="1" applyFont="1" applyFill="1" applyBorder="1"/>
    <xf numFmtId="166" fontId="2" fillId="0" borderId="2" xfId="1" applyNumberFormat="1" applyFont="1" applyFill="1" applyBorder="1"/>
    <xf numFmtId="166" fontId="7" fillId="0" borderId="1" xfId="1" applyNumberFormat="1" applyFont="1" applyFill="1" applyBorder="1"/>
    <xf numFmtId="166" fontId="7" fillId="0" borderId="0" xfId="1" applyNumberFormat="1" applyFont="1" applyFill="1" applyBorder="1"/>
    <xf numFmtId="166" fontId="7" fillId="0" borderId="2" xfId="1" applyNumberFormat="1" applyFont="1" applyFill="1" applyBorder="1"/>
    <xf numFmtId="166" fontId="2" fillId="0" borderId="0" xfId="1" applyNumberFormat="1" applyFont="1" applyFill="1"/>
    <xf numFmtId="166" fontId="2" fillId="0" borderId="0" xfId="0" applyNumberFormat="1" applyFont="1"/>
    <xf numFmtId="166" fontId="3" fillId="0" borderId="0" xfId="1" applyNumberFormat="1" applyFont="1" applyFill="1" applyBorder="1"/>
    <xf numFmtId="166" fontId="3" fillId="0" borderId="2" xfId="1" applyNumberFormat="1" applyFont="1" applyFill="1" applyBorder="1"/>
    <xf numFmtId="0" fontId="2" fillId="0" borderId="0" xfId="0" applyFont="1" applyAlignment="1">
      <alignment horizontal="left" indent="2"/>
    </xf>
    <xf numFmtId="6" fontId="12" fillId="0" borderId="0" xfId="0" applyNumberFormat="1" applyFont="1"/>
    <xf numFmtId="3" fontId="12" fillId="0" borderId="0" xfId="0" applyNumberFormat="1" applyFont="1"/>
    <xf numFmtId="0" fontId="2" fillId="0" borderId="0" xfId="0" applyFont="1" applyFill="1" applyAlignment="1">
      <alignment horizontal="left" indent="2"/>
    </xf>
    <xf numFmtId="166" fontId="3" fillId="0" borderId="1" xfId="1" applyNumberFormat="1" applyFont="1" applyFill="1" applyBorder="1"/>
    <xf numFmtId="166" fontId="5" fillId="0" borderId="0" xfId="1" applyNumberFormat="1" applyFont="1" applyFill="1"/>
    <xf numFmtId="166" fontId="5" fillId="0" borderId="2" xfId="1" applyNumberFormat="1" applyFont="1" applyFill="1" applyBorder="1"/>
    <xf numFmtId="0" fontId="7" fillId="5" borderId="0" xfId="0" applyFont="1" applyFill="1" applyAlignment="1">
      <alignment horizontal="left" vertical="center"/>
    </xf>
    <xf numFmtId="0" fontId="7" fillId="5" borderId="0" xfId="0" applyFont="1" applyFill="1" applyAlignment="1">
      <alignment horizontal="left" vertical="center" indent="1"/>
    </xf>
    <xf numFmtId="0" fontId="9" fillId="5" borderId="0" xfId="0" applyFont="1" applyFill="1" applyAlignment="1">
      <alignment vertical="center"/>
    </xf>
    <xf numFmtId="0" fontId="9" fillId="5" borderId="5" xfId="0" applyFont="1" applyFill="1" applyBorder="1" applyAlignment="1">
      <alignment vertical="center"/>
    </xf>
    <xf numFmtId="0" fontId="9" fillId="5" borderId="6" xfId="0" applyFont="1" applyFill="1" applyBorder="1" applyAlignment="1">
      <alignment vertical="center"/>
    </xf>
    <xf numFmtId="0" fontId="9" fillId="5" borderId="7" xfId="0" applyFont="1" applyFill="1" applyBorder="1" applyAlignment="1">
      <alignment vertical="center"/>
    </xf>
    <xf numFmtId="0" fontId="7" fillId="5" borderId="1" xfId="0" applyFont="1" applyFill="1" applyBorder="1" applyAlignment="1">
      <alignment vertical="center"/>
    </xf>
    <xf numFmtId="0" fontId="7" fillId="5" borderId="0" xfId="0" applyFont="1" applyFill="1" applyBorder="1" applyAlignment="1">
      <alignment vertical="center"/>
    </xf>
    <xf numFmtId="174" fontId="16" fillId="5" borderId="2" xfId="0" applyNumberFormat="1" applyFont="1" applyFill="1" applyBorder="1" applyAlignment="1">
      <alignment vertical="center"/>
    </xf>
    <xf numFmtId="166" fontId="15" fillId="5" borderId="2" xfId="0" applyNumberFormat="1" applyFont="1" applyFill="1" applyBorder="1" applyAlignment="1">
      <alignment horizontal="right" vertical="center"/>
    </xf>
    <xf numFmtId="0" fontId="7" fillId="5" borderId="8" xfId="0" applyFont="1" applyFill="1" applyBorder="1" applyAlignment="1">
      <alignment vertical="center"/>
    </xf>
    <xf numFmtId="0" fontId="7" fillId="5" borderId="3" xfId="0" applyFont="1" applyFill="1" applyBorder="1" applyAlignment="1">
      <alignment vertical="center"/>
    </xf>
    <xf numFmtId="0" fontId="7" fillId="5" borderId="0" xfId="0" applyFont="1" applyFill="1"/>
    <xf numFmtId="0" fontId="7" fillId="5" borderId="0" xfId="0" applyFont="1" applyFill="1" applyAlignment="1">
      <alignment vertical="center"/>
    </xf>
    <xf numFmtId="174" fontId="7" fillId="5" borderId="0" xfId="0" applyNumberFormat="1" applyFont="1" applyFill="1"/>
    <xf numFmtId="0" fontId="7" fillId="6" borderId="0" xfId="7" applyFont="1" applyFill="1" applyAlignment="1">
      <alignment vertical="center"/>
    </xf>
    <xf numFmtId="0" fontId="7" fillId="6" borderId="0" xfId="7" applyFont="1" applyFill="1"/>
    <xf numFmtId="10" fontId="3" fillId="6" borderId="0" xfId="7" applyNumberFormat="1" applyFont="1" applyFill="1" applyAlignment="1">
      <alignment vertical="center"/>
    </xf>
    <xf numFmtId="0" fontId="3" fillId="6" borderId="0" xfId="7" applyFont="1" applyFill="1" applyAlignment="1">
      <alignment vertical="center"/>
    </xf>
    <xf numFmtId="166" fontId="7" fillId="6" borderId="0" xfId="7" applyNumberFormat="1" applyFont="1" applyFill="1" applyAlignment="1">
      <alignment vertical="center"/>
    </xf>
    <xf numFmtId="166" fontId="5" fillId="3" borderId="0" xfId="0" applyNumberFormat="1" applyFont="1" applyFill="1"/>
    <xf numFmtId="9" fontId="3" fillId="3" borderId="0" xfId="1" applyFont="1" applyFill="1"/>
    <xf numFmtId="166" fontId="5" fillId="0" borderId="0" xfId="0" applyNumberFormat="1" applyFont="1" applyFill="1"/>
    <xf numFmtId="165" fontId="2" fillId="3" borderId="0" xfId="0" applyNumberFormat="1" applyFont="1" applyFill="1"/>
    <xf numFmtId="0" fontId="9" fillId="5" borderId="1" xfId="0" applyFont="1" applyFill="1" applyBorder="1" applyAlignment="1">
      <alignment vertical="center"/>
    </xf>
    <xf numFmtId="0" fontId="9" fillId="5" borderId="9" xfId="0" applyNumberFormat="1" applyFont="1" applyFill="1" applyBorder="1" applyAlignment="1">
      <alignment horizontal="right" vertical="center"/>
    </xf>
    <xf numFmtId="164" fontId="9" fillId="5" borderId="9" xfId="0" applyNumberFormat="1" applyFont="1" applyFill="1" applyBorder="1" applyAlignment="1">
      <alignment horizontal="right" vertical="center"/>
    </xf>
    <xf numFmtId="175" fontId="7" fillId="5" borderId="0" xfId="0" applyNumberFormat="1" applyFont="1" applyFill="1" applyAlignment="1">
      <alignment vertical="center"/>
    </xf>
    <xf numFmtId="0" fontId="18" fillId="5" borderId="0" xfId="0" applyFont="1" applyFill="1" applyAlignment="1">
      <alignment horizontal="center" vertical="center"/>
    </xf>
    <xf numFmtId="4" fontId="17" fillId="5" borderId="0" xfId="0" applyNumberFormat="1" applyFont="1" applyFill="1" applyBorder="1" applyAlignment="1">
      <alignment vertical="center"/>
    </xf>
    <xf numFmtId="176" fontId="7" fillId="5" borderId="0" xfId="0" applyNumberFormat="1" applyFont="1" applyFill="1" applyAlignment="1">
      <alignment vertical="center"/>
    </xf>
    <xf numFmtId="37" fontId="18" fillId="5" borderId="0" xfId="0" applyNumberFormat="1" applyFont="1" applyFill="1" applyAlignment="1">
      <alignment vertical="center"/>
    </xf>
    <xf numFmtId="37" fontId="7" fillId="5" borderId="0" xfId="0" applyNumberFormat="1" applyFont="1" applyFill="1" applyAlignment="1">
      <alignment vertical="center"/>
    </xf>
    <xf numFmtId="37" fontId="2" fillId="0" borderId="0" xfId="0" applyNumberFormat="1" applyFont="1"/>
    <xf numFmtId="37" fontId="9" fillId="5" borderId="2" xfId="0" applyNumberFormat="1" applyFont="1" applyFill="1" applyBorder="1" applyAlignment="1">
      <alignment vertical="center"/>
    </xf>
    <xf numFmtId="165" fontId="2" fillId="6" borderId="0" xfId="0" applyNumberFormat="1" applyFont="1" applyFill="1"/>
    <xf numFmtId="0" fontId="2" fillId="0" borderId="0" xfId="0" applyFont="1" applyFill="1" applyAlignment="1">
      <alignment horizontal="left" indent="1"/>
    </xf>
    <xf numFmtId="0" fontId="7" fillId="5" borderId="6" xfId="0" applyFont="1" applyFill="1" applyBorder="1" applyAlignment="1">
      <alignment vertical="center"/>
    </xf>
    <xf numFmtId="0" fontId="7" fillId="5" borderId="7" xfId="0" applyFont="1" applyFill="1" applyBorder="1" applyAlignment="1">
      <alignment vertical="center"/>
    </xf>
    <xf numFmtId="37" fontId="2" fillId="0" borderId="2" xfId="0" applyNumberFormat="1" applyFont="1" applyBorder="1"/>
    <xf numFmtId="37" fontId="4" fillId="0" borderId="2" xfId="0" applyNumberFormat="1" applyFont="1" applyBorder="1"/>
    <xf numFmtId="39" fontId="4" fillId="0" borderId="2" xfId="0" applyNumberFormat="1" applyFont="1" applyBorder="1"/>
    <xf numFmtId="0" fontId="20" fillId="5" borderId="1" xfId="0" applyFont="1" applyFill="1" applyBorder="1" applyAlignment="1">
      <alignment vertical="center"/>
    </xf>
    <xf numFmtId="0" fontId="21" fillId="0" borderId="0" xfId="0" applyFont="1" applyBorder="1"/>
    <xf numFmtId="37" fontId="21" fillId="0" borderId="2" xfId="0" applyNumberFormat="1" applyFont="1" applyBorder="1"/>
    <xf numFmtId="0" fontId="9" fillId="6" borderId="5" xfId="0" applyFont="1" applyFill="1" applyBorder="1" applyAlignment="1">
      <alignment vertical="center"/>
    </xf>
    <xf numFmtId="0" fontId="9" fillId="6" borderId="6" xfId="0" applyFont="1" applyFill="1" applyBorder="1" applyAlignment="1">
      <alignment vertical="center"/>
    </xf>
    <xf numFmtId="174" fontId="9" fillId="6" borderId="7" xfId="0" applyNumberFormat="1" applyFont="1" applyFill="1" applyBorder="1" applyAlignment="1">
      <alignment vertical="center"/>
    </xf>
    <xf numFmtId="0" fontId="22" fillId="0" borderId="0" xfId="0" applyFont="1"/>
    <xf numFmtId="165" fontId="7" fillId="5" borderId="0" xfId="0" applyNumberFormat="1" applyFont="1" applyFill="1" applyAlignment="1">
      <alignment vertical="center"/>
    </xf>
    <xf numFmtId="165" fontId="15" fillId="5" borderId="0" xfId="0" applyNumberFormat="1" applyFont="1" applyFill="1" applyAlignment="1">
      <alignment vertical="center"/>
    </xf>
    <xf numFmtId="174" fontId="15" fillId="5" borderId="0" xfId="0" applyNumberFormat="1" applyFont="1" applyFill="1" applyAlignment="1">
      <alignment horizontal="right" vertical="center"/>
    </xf>
    <xf numFmtId="174" fontId="17" fillId="5" borderId="0" xfId="0" applyNumberFormat="1" applyFont="1" applyFill="1" applyAlignment="1">
      <alignment horizontal="right" vertical="center"/>
    </xf>
    <xf numFmtId="166" fontId="17" fillId="5" borderId="0" xfId="6" applyNumberFormat="1" applyFont="1" applyFill="1" applyAlignment="1">
      <alignment horizontal="right" vertical="center"/>
    </xf>
    <xf numFmtId="174" fontId="3" fillId="5" borderId="0" xfId="0" applyNumberFormat="1" applyFont="1" applyFill="1" applyAlignment="1">
      <alignment horizontal="right" vertical="center"/>
    </xf>
    <xf numFmtId="0" fontId="7" fillId="0" borderId="0" xfId="0" applyFont="1"/>
    <xf numFmtId="0" fontId="6" fillId="4" borderId="6" xfId="0" applyFont="1" applyFill="1" applyBorder="1" applyAlignment="1">
      <alignment vertical="center"/>
    </xf>
    <xf numFmtId="165" fontId="6" fillId="4" borderId="6" xfId="0" applyNumberFormat="1" applyFont="1" applyFill="1" applyBorder="1" applyAlignment="1">
      <alignment vertical="center"/>
    </xf>
    <xf numFmtId="178" fontId="6" fillId="4" borderId="6" xfId="0" applyNumberFormat="1" applyFont="1" applyFill="1" applyBorder="1" applyAlignment="1">
      <alignment horizontal="right" vertical="center"/>
    </xf>
    <xf numFmtId="167" fontId="3" fillId="0" borderId="0" xfId="0" applyNumberFormat="1" applyFont="1"/>
    <xf numFmtId="174" fontId="3" fillId="5" borderId="4" xfId="0" applyNumberFormat="1" applyFont="1" applyFill="1" applyBorder="1" applyAlignment="1">
      <alignment vertical="center"/>
    </xf>
    <xf numFmtId="9" fontId="2" fillId="0" borderId="0" xfId="0" applyNumberFormat="1" applyFont="1"/>
    <xf numFmtId="165" fontId="5" fillId="0" borderId="1" xfId="0" applyNumberFormat="1" applyFont="1" applyFill="1" applyBorder="1"/>
    <xf numFmtId="165" fontId="5" fillId="0" borderId="0" xfId="0" applyNumberFormat="1" applyFont="1" applyFill="1" applyBorder="1"/>
    <xf numFmtId="165" fontId="5" fillId="0" borderId="2" xfId="0" applyNumberFormat="1" applyFont="1" applyFill="1" applyBorder="1"/>
    <xf numFmtId="0" fontId="2" fillId="0" borderId="0" xfId="0" applyFont="1" applyFill="1" applyBorder="1"/>
    <xf numFmtId="0" fontId="2" fillId="0" borderId="2" xfId="0" applyFont="1" applyFill="1" applyBorder="1"/>
    <xf numFmtId="165" fontId="2" fillId="0" borderId="1" xfId="0" applyNumberFormat="1" applyFont="1" applyFill="1" applyBorder="1"/>
    <xf numFmtId="165" fontId="2" fillId="0" borderId="0" xfId="0" applyNumberFormat="1" applyFont="1" applyFill="1" applyBorder="1"/>
    <xf numFmtId="165" fontId="2" fillId="0" borderId="2" xfId="0" applyNumberFormat="1" applyFont="1" applyFill="1" applyBorder="1"/>
    <xf numFmtId="165" fontId="2" fillId="0" borderId="1" xfId="2" applyNumberFormat="1" applyFont="1" applyFill="1" applyBorder="1"/>
    <xf numFmtId="165" fontId="2" fillId="0" borderId="0" xfId="2" applyNumberFormat="1" applyFont="1" applyFill="1" applyBorder="1"/>
    <xf numFmtId="165" fontId="2" fillId="0" borderId="2" xfId="2" applyNumberFormat="1" applyFont="1" applyFill="1" applyBorder="1"/>
    <xf numFmtId="165" fontId="2" fillId="0" borderId="0" xfId="1" applyNumberFormat="1" applyFont="1" applyFill="1"/>
    <xf numFmtId="165" fontId="2" fillId="0" borderId="2" xfId="1" applyNumberFormat="1" applyFont="1" applyFill="1" applyBorder="1"/>
    <xf numFmtId="179" fontId="2" fillId="0" borderId="1" xfId="2" applyNumberFormat="1" applyFont="1" applyFill="1" applyBorder="1"/>
    <xf numFmtId="179" fontId="2" fillId="0" borderId="0" xfId="2" applyNumberFormat="1" applyFont="1" applyFill="1" applyBorder="1"/>
    <xf numFmtId="179" fontId="2" fillId="0" borderId="2" xfId="2" applyNumberFormat="1" applyFont="1" applyFill="1" applyBorder="1"/>
    <xf numFmtId="180" fontId="3" fillId="3" borderId="0" xfId="2" applyNumberFormat="1" applyFont="1" applyFill="1" applyBorder="1"/>
    <xf numFmtId="180" fontId="2" fillId="0" borderId="0" xfId="0" applyNumberFormat="1" applyFont="1" applyBorder="1"/>
    <xf numFmtId="180" fontId="2" fillId="0" borderId="2" xfId="0" applyNumberFormat="1" applyFont="1" applyBorder="1"/>
    <xf numFmtId="165" fontId="2" fillId="0" borderId="0" xfId="0" applyNumberFormat="1" applyFont="1" applyFill="1"/>
    <xf numFmtId="167" fontId="3" fillId="0" borderId="0" xfId="0" applyNumberFormat="1" applyFont="1" applyFill="1" applyBorder="1"/>
    <xf numFmtId="165" fontId="2" fillId="0" borderId="0" xfId="2" applyNumberFormat="1" applyFont="1" applyFill="1"/>
    <xf numFmtId="0" fontId="6" fillId="2" borderId="1" xfId="0" applyFont="1" applyFill="1" applyBorder="1"/>
    <xf numFmtId="0" fontId="6" fillId="2" borderId="0" xfId="0" applyFont="1" applyFill="1" applyBorder="1"/>
    <xf numFmtId="0" fontId="6" fillId="2" borderId="2" xfId="0" applyFont="1" applyFill="1" applyBorder="1"/>
    <xf numFmtId="166" fontId="7" fillId="0" borderId="1" xfId="1" applyNumberFormat="1" applyFont="1" applyBorder="1"/>
    <xf numFmtId="166" fontId="7" fillId="0" borderId="0" xfId="1" applyNumberFormat="1" applyFont="1" applyBorder="1"/>
    <xf numFmtId="166" fontId="7" fillId="0" borderId="2" xfId="1" applyNumberFormat="1" applyFont="1" applyBorder="1"/>
    <xf numFmtId="9" fontId="2" fillId="0" borderId="1" xfId="1" applyFont="1" applyBorder="1"/>
    <xf numFmtId="9" fontId="2" fillId="0" borderId="0" xfId="1" applyFont="1" applyBorder="1"/>
    <xf numFmtId="167" fontId="3" fillId="0" borderId="1" xfId="0" applyNumberFormat="1" applyFont="1" applyFill="1" applyBorder="1"/>
    <xf numFmtId="167" fontId="3" fillId="0" borderId="2" xfId="0" applyNumberFormat="1" applyFont="1" applyFill="1" applyBorder="1"/>
    <xf numFmtId="179" fontId="2" fillId="0" borderId="1" xfId="1" applyNumberFormat="1" applyFont="1" applyFill="1" applyBorder="1"/>
    <xf numFmtId="179" fontId="2" fillId="0" borderId="0" xfId="1" applyNumberFormat="1" applyFont="1" applyFill="1" applyBorder="1"/>
    <xf numFmtId="179" fontId="2" fillId="0" borderId="2" xfId="1" applyNumberFormat="1" applyFont="1" applyFill="1" applyBorder="1"/>
    <xf numFmtId="9" fontId="2" fillId="0" borderId="0" xfId="1" applyFont="1" applyFill="1" applyBorder="1"/>
    <xf numFmtId="167" fontId="4" fillId="0" borderId="0" xfId="0" applyNumberFormat="1" applyFont="1" applyFill="1" applyBorder="1"/>
    <xf numFmtId="37" fontId="2" fillId="0" borderId="0" xfId="0" applyNumberFormat="1" applyFont="1" applyFill="1" applyBorder="1"/>
    <xf numFmtId="180" fontId="3" fillId="0" borderId="0" xfId="2" applyNumberFormat="1" applyFont="1" applyFill="1" applyBorder="1"/>
    <xf numFmtId="180" fontId="3" fillId="0" borderId="2" xfId="2" applyNumberFormat="1" applyFont="1" applyFill="1" applyBorder="1"/>
    <xf numFmtId="39" fontId="4" fillId="0" borderId="1" xfId="0" applyNumberFormat="1" applyFont="1" applyBorder="1"/>
    <xf numFmtId="39" fontId="4" fillId="0" borderId="0" xfId="0" applyNumberFormat="1" applyFont="1" applyBorder="1"/>
    <xf numFmtId="1" fontId="6" fillId="4" borderId="3" xfId="0" applyNumberFormat="1" applyFont="1" applyFill="1" applyBorder="1" applyAlignment="1">
      <alignment horizontal="centerContinuous"/>
    </xf>
    <xf numFmtId="39" fontId="2" fillId="0" borderId="0" xfId="0" applyNumberFormat="1" applyFont="1"/>
    <xf numFmtId="1" fontId="2" fillId="0" borderId="0" xfId="0" applyNumberFormat="1" applyFont="1" applyBorder="1"/>
    <xf numFmtId="166" fontId="2" fillId="0" borderId="1" xfId="1" applyNumberFormat="1" applyFont="1" applyFill="1" applyBorder="1" applyAlignment="1">
      <alignment horizontal="right"/>
    </xf>
    <xf numFmtId="166" fontId="2" fillId="0" borderId="0" xfId="1" applyNumberFormat="1" applyFont="1" applyFill="1" applyBorder="1" applyAlignment="1">
      <alignment horizontal="right"/>
    </xf>
    <xf numFmtId="166" fontId="2" fillId="0" borderId="2" xfId="1" applyNumberFormat="1" applyFont="1" applyFill="1" applyBorder="1" applyAlignment="1">
      <alignment horizontal="right"/>
    </xf>
    <xf numFmtId="37" fontId="3" fillId="0" borderId="2" xfId="0" applyNumberFormat="1" applyFont="1" applyBorder="1"/>
    <xf numFmtId="165" fontId="5" fillId="0" borderId="0" xfId="0" applyNumberFormat="1" applyFont="1"/>
    <xf numFmtId="165" fontId="3" fillId="0" borderId="1" xfId="0" applyNumberFormat="1" applyFont="1" applyFill="1" applyBorder="1"/>
    <xf numFmtId="165" fontId="3" fillId="0" borderId="0" xfId="0" applyNumberFormat="1" applyFont="1" applyFill="1" applyBorder="1"/>
    <xf numFmtId="165" fontId="3" fillId="0" borderId="2" xfId="0" applyNumberFormat="1" applyFont="1" applyFill="1" applyBorder="1"/>
    <xf numFmtId="8" fontId="2" fillId="0" borderId="0" xfId="0" applyNumberFormat="1" applyFont="1"/>
    <xf numFmtId="8" fontId="2" fillId="0" borderId="1" xfId="0" applyNumberFormat="1" applyFont="1" applyBorder="1"/>
    <xf numFmtId="8" fontId="2" fillId="0" borderId="0" xfId="0" applyNumberFormat="1" applyFont="1" applyBorder="1"/>
    <xf numFmtId="8" fontId="2" fillId="0" borderId="2" xfId="0" applyNumberFormat="1" applyFont="1" applyBorder="1"/>
    <xf numFmtId="8" fontId="2" fillId="0" borderId="1" xfId="1" applyNumberFormat="1" applyFont="1" applyBorder="1"/>
    <xf numFmtId="8" fontId="2" fillId="0" borderId="0" xfId="1" applyNumberFormat="1" applyFont="1" applyBorder="1"/>
    <xf numFmtId="8" fontId="2" fillId="0" borderId="2" xfId="1" applyNumberFormat="1" applyFont="1" applyBorder="1"/>
    <xf numFmtId="167" fontId="2" fillId="0" borderId="0" xfId="0" applyNumberFormat="1" applyFont="1" applyBorder="1" applyAlignment="1">
      <alignment horizontal="right"/>
    </xf>
    <xf numFmtId="167" fontId="2" fillId="0" borderId="1" xfId="0" applyNumberFormat="1" applyFont="1" applyBorder="1" applyAlignment="1">
      <alignment horizontal="right"/>
    </xf>
    <xf numFmtId="167" fontId="2" fillId="0" borderId="2" xfId="0" applyNumberFormat="1" applyFont="1" applyBorder="1" applyAlignment="1">
      <alignment horizontal="right"/>
    </xf>
    <xf numFmtId="166" fontId="5" fillId="3" borderId="1" xfId="1" applyNumberFormat="1" applyFont="1" applyFill="1" applyBorder="1"/>
    <xf numFmtId="165" fontId="3" fillId="3" borderId="1" xfId="0" applyNumberFormat="1" applyFont="1" applyFill="1" applyBorder="1"/>
    <xf numFmtId="165" fontId="3" fillId="3" borderId="0" xfId="0" applyNumberFormat="1" applyFont="1" applyFill="1" applyBorder="1"/>
    <xf numFmtId="180" fontId="2" fillId="0" borderId="0" xfId="0" applyNumberFormat="1" applyFont="1" applyFill="1" applyBorder="1"/>
    <xf numFmtId="180" fontId="7" fillId="0" borderId="0" xfId="2" applyNumberFormat="1" applyFont="1" applyFill="1" applyBorder="1"/>
    <xf numFmtId="180" fontId="2" fillId="0" borderId="0" xfId="2" applyNumberFormat="1" applyFont="1" applyBorder="1"/>
    <xf numFmtId="180" fontId="2" fillId="0" borderId="0" xfId="2" applyNumberFormat="1" applyFont="1"/>
    <xf numFmtId="180" fontId="2" fillId="0" borderId="1" xfId="2" applyNumberFormat="1" applyFont="1" applyBorder="1"/>
    <xf numFmtId="180" fontId="2" fillId="0" borderId="2" xfId="2" applyNumberFormat="1" applyFont="1" applyBorder="1"/>
    <xf numFmtId="180" fontId="4" fillId="0" borderId="0" xfId="2" applyNumberFormat="1" applyFont="1"/>
    <xf numFmtId="180" fontId="4" fillId="0" borderId="1" xfId="2" applyNumberFormat="1" applyFont="1" applyBorder="1"/>
    <xf numFmtId="180" fontId="4" fillId="0" borderId="0" xfId="2" applyNumberFormat="1" applyFont="1" applyBorder="1"/>
    <xf numFmtId="180" fontId="4" fillId="0" borderId="2" xfId="2" applyNumberFormat="1" applyFont="1" applyBorder="1"/>
    <xf numFmtId="9" fontId="2" fillId="0" borderId="0" xfId="2" applyNumberFormat="1" applyFont="1" applyBorder="1"/>
    <xf numFmtId="7" fontId="5" fillId="7" borderId="0" xfId="0" applyNumberFormat="1" applyFont="1" applyFill="1" applyBorder="1"/>
    <xf numFmtId="39" fontId="9" fillId="0" borderId="0" xfId="0" applyNumberFormat="1" applyFont="1"/>
    <xf numFmtId="180" fontId="2" fillId="0" borderId="0" xfId="2" applyNumberFormat="1" applyFont="1" applyAlignment="1">
      <alignment horizontal="left" indent="1"/>
    </xf>
    <xf numFmtId="180" fontId="2" fillId="0" borderId="0" xfId="2" applyNumberFormat="1" applyFont="1" applyAlignment="1">
      <alignment horizontal="left" indent="2"/>
    </xf>
    <xf numFmtId="180" fontId="2" fillId="0" borderId="1" xfId="2" applyNumberFormat="1" applyFont="1" applyFill="1" applyBorder="1"/>
    <xf numFmtId="180" fontId="2" fillId="0" borderId="0" xfId="2" applyNumberFormat="1" applyFont="1" applyFill="1" applyBorder="1"/>
    <xf numFmtId="180" fontId="2" fillId="0" borderId="2" xfId="2" applyNumberFormat="1" applyFont="1" applyFill="1" applyBorder="1"/>
    <xf numFmtId="171" fontId="5" fillId="0" borderId="0" xfId="2" applyNumberFormat="1" applyFont="1" applyFill="1" applyBorder="1"/>
    <xf numFmtId="171" fontId="9" fillId="0" borderId="2" xfId="2" applyNumberFormat="1" applyFont="1" applyFill="1" applyBorder="1"/>
    <xf numFmtId="171" fontId="9" fillId="0" borderId="1" xfId="2" applyNumberFormat="1" applyFont="1" applyFill="1" applyBorder="1"/>
    <xf numFmtId="171" fontId="9" fillId="0" borderId="0" xfId="2" applyNumberFormat="1" applyFont="1" applyFill="1" applyBorder="1"/>
    <xf numFmtId="180" fontId="2" fillId="0" borderId="0" xfId="2" applyNumberFormat="1" applyFont="1" applyFill="1"/>
    <xf numFmtId="165" fontId="5" fillId="0" borderId="0" xfId="0" applyNumberFormat="1" applyFont="1" applyFill="1"/>
    <xf numFmtId="180" fontId="2" fillId="0" borderId="0" xfId="2" applyNumberFormat="1" applyFont="1" applyFill="1" applyAlignment="1">
      <alignment horizontal="left" indent="1"/>
    </xf>
    <xf numFmtId="165" fontId="4" fillId="0" borderId="1" xfId="0" applyNumberFormat="1" applyFont="1" applyFill="1" applyBorder="1"/>
    <xf numFmtId="165" fontId="4" fillId="0" borderId="0" xfId="0" applyNumberFormat="1" applyFont="1" applyFill="1" applyBorder="1"/>
    <xf numFmtId="165" fontId="4" fillId="0" borderId="2" xfId="0" applyNumberFormat="1" applyFont="1" applyFill="1" applyBorder="1"/>
    <xf numFmtId="9" fontId="5" fillId="3" borderId="2" xfId="1" applyFont="1" applyFill="1" applyBorder="1"/>
    <xf numFmtId="171" fontId="2" fillId="0" borderId="0" xfId="2" applyNumberFormat="1" applyFont="1" applyFill="1"/>
    <xf numFmtId="171" fontId="2" fillId="0" borderId="2" xfId="2" applyNumberFormat="1" applyFont="1" applyFill="1" applyBorder="1"/>
    <xf numFmtId="171" fontId="2" fillId="0" borderId="1" xfId="2" applyNumberFormat="1" applyFont="1" applyFill="1" applyBorder="1"/>
    <xf numFmtId="171" fontId="2" fillId="0" borderId="0" xfId="2" applyNumberFormat="1" applyFont="1" applyFill="1" applyBorder="1"/>
    <xf numFmtId="165" fontId="7" fillId="0" borderId="0" xfId="0" applyNumberFormat="1" applyFont="1" applyFill="1"/>
    <xf numFmtId="39" fontId="9" fillId="0" borderId="1" xfId="0" applyNumberFormat="1" applyFont="1" applyBorder="1"/>
    <xf numFmtId="39" fontId="9" fillId="0" borderId="0" xfId="0" applyNumberFormat="1" applyFont="1" applyBorder="1"/>
    <xf numFmtId="39" fontId="9" fillId="0" borderId="2" xfId="0" applyNumberFormat="1" applyFont="1" applyBorder="1"/>
    <xf numFmtId="165" fontId="9" fillId="0" borderId="1" xfId="0" applyNumberFormat="1" applyFont="1" applyBorder="1"/>
    <xf numFmtId="165" fontId="9" fillId="0" borderId="0" xfId="0" applyNumberFormat="1" applyFont="1" applyBorder="1"/>
    <xf numFmtId="165" fontId="9" fillId="0" borderId="2" xfId="0" applyNumberFormat="1" applyFont="1" applyBorder="1"/>
    <xf numFmtId="39" fontId="7" fillId="0" borderId="0" xfId="0" applyNumberFormat="1" applyFont="1" applyBorder="1"/>
    <xf numFmtId="39" fontId="7" fillId="0" borderId="2" xfId="0" applyNumberFormat="1" applyFont="1" applyBorder="1"/>
    <xf numFmtId="166" fontId="4" fillId="0" borderId="0" xfId="1" applyNumberFormat="1" applyFont="1" applyBorder="1"/>
    <xf numFmtId="0" fontId="4" fillId="0" borderId="0" xfId="0" applyFont="1" applyFill="1"/>
    <xf numFmtId="0" fontId="23" fillId="0" borderId="1" xfId="0" applyFont="1" applyFill="1" applyBorder="1" applyAlignment="1">
      <alignment horizontal="right"/>
    </xf>
    <xf numFmtId="0" fontId="23" fillId="0" borderId="0" xfId="0" applyFont="1" applyFill="1" applyBorder="1" applyAlignment="1">
      <alignment horizontal="right"/>
    </xf>
    <xf numFmtId="166" fontId="23" fillId="0" borderId="0" xfId="1" applyNumberFormat="1" applyFont="1" applyFill="1" applyBorder="1"/>
    <xf numFmtId="0" fontId="23" fillId="0" borderId="1" xfId="0" applyFont="1" applyFill="1" applyBorder="1"/>
    <xf numFmtId="0" fontId="23" fillId="0" borderId="0" xfId="0" applyFont="1" applyFill="1" applyBorder="1"/>
    <xf numFmtId="179" fontId="24" fillId="0" borderId="0" xfId="2" applyNumberFormat="1" applyFont="1" applyFill="1" applyBorder="1"/>
    <xf numFmtId="166" fontId="25" fillId="0" borderId="0" xfId="1" applyNumberFormat="1" applyFont="1" applyFill="1" applyBorder="1" applyAlignment="1">
      <alignment horizontal="right"/>
    </xf>
    <xf numFmtId="0" fontId="3" fillId="0" borderId="0" xfId="0" applyFont="1"/>
    <xf numFmtId="37" fontId="4" fillId="0" borderId="0" xfId="0" applyNumberFormat="1" applyFont="1" applyFill="1"/>
    <xf numFmtId="8" fontId="4" fillId="0" borderId="0" xfId="0" applyNumberFormat="1" applyFont="1"/>
    <xf numFmtId="8" fontId="4" fillId="0" borderId="1" xfId="0" applyNumberFormat="1" applyFont="1" applyBorder="1"/>
    <xf numFmtId="8" fontId="4" fillId="0" borderId="0" xfId="0" applyNumberFormat="1" applyFont="1" applyBorder="1"/>
    <xf numFmtId="8" fontId="4" fillId="0" borderId="2" xfId="0" applyNumberFormat="1" applyFont="1" applyBorder="1"/>
    <xf numFmtId="166" fontId="4" fillId="0" borderId="1" xfId="1" applyNumberFormat="1" applyFont="1" applyFill="1" applyBorder="1"/>
    <xf numFmtId="166" fontId="4" fillId="0" borderId="0" xfId="1" applyNumberFormat="1" applyFont="1" applyFill="1" applyBorder="1"/>
    <xf numFmtId="8" fontId="4" fillId="0" borderId="0" xfId="2" applyNumberFormat="1" applyFont="1" applyFill="1" applyBorder="1"/>
    <xf numFmtId="8" fontId="4" fillId="0" borderId="1" xfId="2" applyNumberFormat="1" applyFont="1" applyFill="1" applyBorder="1"/>
    <xf numFmtId="8" fontId="4" fillId="0" borderId="2" xfId="2" applyNumberFormat="1" applyFont="1" applyFill="1" applyBorder="1"/>
    <xf numFmtId="0" fontId="4" fillId="0" borderId="1" xfId="0" applyFont="1" applyFill="1" applyBorder="1"/>
    <xf numFmtId="0" fontId="4" fillId="0" borderId="0" xfId="0" applyFont="1" applyFill="1" applyBorder="1"/>
    <xf numFmtId="179" fontId="4" fillId="0" borderId="1" xfId="2" applyNumberFormat="1" applyFont="1" applyFill="1" applyBorder="1"/>
    <xf numFmtId="179" fontId="4" fillId="0" borderId="0" xfId="2" applyNumberFormat="1" applyFont="1" applyFill="1" applyBorder="1"/>
    <xf numFmtId="0" fontId="9" fillId="0" borderId="0" xfId="0" applyFont="1" applyFill="1"/>
    <xf numFmtId="179" fontId="9" fillId="0" borderId="1" xfId="2" applyNumberFormat="1" applyFont="1" applyFill="1" applyBorder="1"/>
    <xf numFmtId="179" fontId="9" fillId="0" borderId="0" xfId="2" applyNumberFormat="1" applyFont="1" applyFill="1" applyBorder="1"/>
    <xf numFmtId="0" fontId="9" fillId="0" borderId="1" xfId="0" applyFont="1" applyFill="1" applyBorder="1"/>
    <xf numFmtId="0" fontId="9" fillId="0" borderId="0" xfId="0" applyFont="1" applyFill="1" applyBorder="1"/>
    <xf numFmtId="166" fontId="9" fillId="0" borderId="0" xfId="1" applyNumberFormat="1" applyFont="1" applyFill="1" applyBorder="1"/>
    <xf numFmtId="8" fontId="9" fillId="0" borderId="0" xfId="1" applyNumberFormat="1" applyFont="1" applyFill="1" applyBorder="1"/>
    <xf numFmtId="8" fontId="9" fillId="0" borderId="2" xfId="1" applyNumberFormat="1" applyFont="1" applyFill="1" applyBorder="1"/>
    <xf numFmtId="8" fontId="9" fillId="0" borderId="1" xfId="1" applyNumberFormat="1" applyFont="1" applyFill="1" applyBorder="1"/>
    <xf numFmtId="9" fontId="2" fillId="0" borderId="2" xfId="2" applyNumberFormat="1" applyFont="1" applyFill="1" applyBorder="1"/>
    <xf numFmtId="9" fontId="2" fillId="0" borderId="1" xfId="2" applyNumberFormat="1" applyFont="1" applyFill="1" applyBorder="1"/>
    <xf numFmtId="9" fontId="2" fillId="0" borderId="0" xfId="2" applyNumberFormat="1" applyFont="1" applyFill="1" applyBorder="1"/>
    <xf numFmtId="165" fontId="6" fillId="2" borderId="0" xfId="0" applyNumberFormat="1" applyFont="1" applyFill="1"/>
    <xf numFmtId="9" fontId="7" fillId="5" borderId="0" xfId="0" applyNumberFormat="1" applyFont="1" applyFill="1" applyAlignment="1">
      <alignment vertical="center"/>
    </xf>
    <xf numFmtId="171" fontId="4" fillId="0" borderId="1" xfId="2" applyNumberFormat="1" applyFont="1" applyFill="1" applyBorder="1"/>
    <xf numFmtId="171" fontId="4" fillId="0" borderId="0" xfId="2" applyNumberFormat="1" applyFont="1" applyFill="1" applyBorder="1"/>
    <xf numFmtId="9" fontId="2" fillId="0" borderId="2" xfId="0" applyNumberFormat="1" applyFont="1" applyBorder="1"/>
    <xf numFmtId="0" fontId="4" fillId="0" borderId="0" xfId="0" applyFont="1" applyAlignment="1">
      <alignment horizontal="left" indent="1"/>
    </xf>
    <xf numFmtId="0" fontId="21" fillId="0" borderId="0" xfId="0" applyFont="1"/>
    <xf numFmtId="165" fontId="21" fillId="0" borderId="1" xfId="0" applyNumberFormat="1" applyFont="1" applyBorder="1"/>
    <xf numFmtId="165" fontId="21" fillId="0" borderId="0" xfId="0" applyNumberFormat="1" applyFont="1" applyBorder="1"/>
    <xf numFmtId="165" fontId="21" fillId="0" borderId="2" xfId="0" applyNumberFormat="1" applyFont="1" applyBorder="1"/>
    <xf numFmtId="165" fontId="21" fillId="0" borderId="0" xfId="0" applyNumberFormat="1" applyFont="1"/>
    <xf numFmtId="2" fontId="4" fillId="0" borderId="0" xfId="0" applyNumberFormat="1" applyFont="1"/>
    <xf numFmtId="2" fontId="4" fillId="0" borderId="1" xfId="0" applyNumberFormat="1" applyFont="1" applyBorder="1"/>
    <xf numFmtId="2" fontId="4" fillId="0" borderId="0" xfId="0" applyNumberFormat="1" applyFont="1" applyBorder="1"/>
    <xf numFmtId="2" fontId="4" fillId="0" borderId="2" xfId="0" applyNumberFormat="1" applyFont="1" applyBorder="1"/>
    <xf numFmtId="2" fontId="4" fillId="0" borderId="0" xfId="0" applyNumberFormat="1" applyFont="1" applyFill="1" applyBorder="1"/>
    <xf numFmtId="2" fontId="4" fillId="0" borderId="2" xfId="0" applyNumberFormat="1" applyFont="1" applyFill="1" applyBorder="1"/>
    <xf numFmtId="0" fontId="20" fillId="5" borderId="0" xfId="0" applyFont="1" applyFill="1" applyAlignment="1">
      <alignment horizontal="left" vertical="center"/>
    </xf>
    <xf numFmtId="171" fontId="2" fillId="0" borderId="0" xfId="2" applyNumberFormat="1" applyFont="1" applyBorder="1"/>
    <xf numFmtId="9" fontId="2" fillId="0" borderId="0" xfId="0" applyNumberFormat="1" applyFont="1" applyBorder="1"/>
    <xf numFmtId="180" fontId="4" fillId="0" borderId="0" xfId="2" applyNumberFormat="1" applyFont="1" applyFill="1" applyBorder="1"/>
    <xf numFmtId="171" fontId="2" fillId="0" borderId="1" xfId="2" applyNumberFormat="1" applyFont="1" applyBorder="1"/>
    <xf numFmtId="179" fontId="4" fillId="0" borderId="2" xfId="2" applyNumberFormat="1" applyFont="1" applyFill="1" applyBorder="1"/>
    <xf numFmtId="9" fontId="2" fillId="0" borderId="0" xfId="0" applyNumberFormat="1" applyFont="1" applyFill="1"/>
    <xf numFmtId="179" fontId="2" fillId="2" borderId="1" xfId="2" applyNumberFormat="1" applyFont="1" applyFill="1" applyBorder="1"/>
    <xf numFmtId="179" fontId="2" fillId="2" borderId="0" xfId="2" applyNumberFormat="1" applyFont="1" applyFill="1" applyBorder="1"/>
    <xf numFmtId="166" fontId="2" fillId="2" borderId="0" xfId="2" applyNumberFormat="1" applyFont="1" applyFill="1" applyBorder="1"/>
    <xf numFmtId="179" fontId="2" fillId="2" borderId="2" xfId="2" applyNumberFormat="1" applyFont="1" applyFill="1" applyBorder="1"/>
    <xf numFmtId="166" fontId="2" fillId="2" borderId="0" xfId="1" applyNumberFormat="1" applyFont="1" applyFill="1" applyBorder="1"/>
    <xf numFmtId="166" fontId="3" fillId="2" borderId="0" xfId="1" applyNumberFormat="1" applyFont="1" applyFill="1" applyBorder="1"/>
    <xf numFmtId="166" fontId="3" fillId="2" borderId="2" xfId="1" applyNumberFormat="1" applyFont="1" applyFill="1" applyBorder="1"/>
    <xf numFmtId="180" fontId="5" fillId="3" borderId="0" xfId="2" applyNumberFormat="1" applyFont="1" applyFill="1"/>
    <xf numFmtId="0" fontId="21" fillId="0" borderId="0" xfId="0" applyFont="1" applyAlignment="1">
      <alignment horizontal="left" indent="1"/>
    </xf>
    <xf numFmtId="0" fontId="2" fillId="0" borderId="10" xfId="0" applyFont="1" applyFill="1" applyBorder="1"/>
    <xf numFmtId="0" fontId="2" fillId="0" borderId="10" xfId="0" applyFont="1" applyBorder="1"/>
    <xf numFmtId="0" fontId="4" fillId="0" borderId="10" xfId="0" applyFont="1" applyFill="1" applyBorder="1"/>
    <xf numFmtId="8" fontId="4" fillId="0" borderId="10" xfId="0" applyNumberFormat="1" applyFont="1" applyBorder="1"/>
    <xf numFmtId="166" fontId="24" fillId="0" borderId="0" xfId="1" applyNumberFormat="1" applyFont="1" applyFill="1" applyBorder="1"/>
    <xf numFmtId="167" fontId="4" fillId="0" borderId="1" xfId="0" applyNumberFormat="1" applyFont="1" applyFill="1" applyBorder="1"/>
    <xf numFmtId="167" fontId="5" fillId="0" borderId="1" xfId="0" applyNumberFormat="1" applyFont="1" applyFill="1" applyBorder="1"/>
    <xf numFmtId="167" fontId="5" fillId="0" borderId="0" xfId="0" applyNumberFormat="1" applyFont="1" applyFill="1" applyBorder="1"/>
    <xf numFmtId="167" fontId="5" fillId="0" borderId="2" xfId="0" applyNumberFormat="1" applyFont="1" applyFill="1" applyBorder="1"/>
    <xf numFmtId="168" fontId="9" fillId="0" borderId="1" xfId="0" applyNumberFormat="1" applyFont="1" applyBorder="1"/>
    <xf numFmtId="168" fontId="9" fillId="0" borderId="0" xfId="0" applyNumberFormat="1" applyFont="1" applyBorder="1"/>
    <xf numFmtId="168" fontId="9" fillId="0" borderId="2" xfId="0" applyNumberFormat="1" applyFont="1" applyBorder="1"/>
    <xf numFmtId="43" fontId="2" fillId="0" borderId="0" xfId="2" applyFont="1" applyFill="1" applyBorder="1"/>
    <xf numFmtId="166" fontId="4" fillId="0" borderId="1" xfId="1" applyNumberFormat="1" applyFont="1" applyBorder="1"/>
    <xf numFmtId="166" fontId="4" fillId="0" borderId="2" xfId="1" applyNumberFormat="1" applyFont="1" applyBorder="1"/>
    <xf numFmtId="180" fontId="7" fillId="0" borderId="2" xfId="2" applyNumberFormat="1" applyFont="1" applyFill="1" applyBorder="1"/>
    <xf numFmtId="174" fontId="3" fillId="6" borderId="0" xfId="7" applyNumberFormat="1" applyFont="1" applyFill="1" applyAlignment="1">
      <alignment horizontal="right" vertical="center"/>
    </xf>
    <xf numFmtId="43" fontId="2" fillId="0" borderId="0" xfId="2" applyFont="1"/>
    <xf numFmtId="0" fontId="4" fillId="0" borderId="0" xfId="0" applyFont="1" applyAlignment="1">
      <alignment horizontal="left"/>
    </xf>
    <xf numFmtId="0" fontId="9" fillId="0" borderId="0" xfId="0" applyFont="1" applyAlignment="1">
      <alignment horizontal="left"/>
    </xf>
    <xf numFmtId="9" fontId="3" fillId="0" borderId="1" xfId="2" applyNumberFormat="1" applyFont="1" applyFill="1" applyBorder="1"/>
    <xf numFmtId="9" fontId="3" fillId="0" borderId="0" xfId="2" applyNumberFormat="1" applyFont="1" applyFill="1" applyBorder="1"/>
    <xf numFmtId="9" fontId="7" fillId="0" borderId="0" xfId="2" applyNumberFormat="1" applyFont="1" applyFill="1" applyBorder="1"/>
    <xf numFmtId="165" fontId="5" fillId="0" borderId="1" xfId="0" applyNumberFormat="1" applyFont="1" applyBorder="1"/>
    <xf numFmtId="165" fontId="5" fillId="0" borderId="0" xfId="0" applyNumberFormat="1" applyFont="1" applyBorder="1"/>
    <xf numFmtId="165" fontId="5" fillId="0" borderId="2" xfId="0" applyNumberFormat="1" applyFont="1" applyBorder="1"/>
    <xf numFmtId="43" fontId="4" fillId="0" borderId="0" xfId="2" applyFont="1"/>
    <xf numFmtId="0" fontId="4" fillId="0" borderId="10" xfId="0" applyFont="1" applyBorder="1"/>
    <xf numFmtId="0" fontId="26" fillId="2" borderId="0" xfId="0" applyFont="1" applyFill="1"/>
    <xf numFmtId="179" fontId="26" fillId="2" borderId="1" xfId="2" applyNumberFormat="1" applyFont="1" applyFill="1" applyBorder="1"/>
    <xf numFmtId="179" fontId="26" fillId="2" borderId="0" xfId="2" applyNumberFormat="1" applyFont="1" applyFill="1" applyBorder="1"/>
    <xf numFmtId="179" fontId="26" fillId="2" borderId="2" xfId="2" applyNumberFormat="1" applyFont="1" applyFill="1" applyBorder="1"/>
    <xf numFmtId="0" fontId="26" fillId="2" borderId="1" xfId="0" applyFont="1" applyFill="1" applyBorder="1"/>
    <xf numFmtId="0" fontId="26" fillId="2" borderId="0" xfId="0" applyFont="1" applyFill="1" applyBorder="1"/>
    <xf numFmtId="166" fontId="26" fillId="2" borderId="0" xfId="1" applyNumberFormat="1" applyFont="1" applyFill="1" applyBorder="1"/>
    <xf numFmtId="166" fontId="26" fillId="2" borderId="2" xfId="1" applyNumberFormat="1" applyFont="1" applyFill="1" applyBorder="1"/>
    <xf numFmtId="0" fontId="9" fillId="7" borderId="0" xfId="0" applyFont="1" applyFill="1"/>
    <xf numFmtId="0" fontId="7" fillId="7" borderId="0" xfId="0" applyFont="1" applyFill="1"/>
    <xf numFmtId="179" fontId="7" fillId="7" borderId="1" xfId="2" applyNumberFormat="1" applyFont="1" applyFill="1" applyBorder="1"/>
    <xf numFmtId="179" fontId="7" fillId="7" borderId="0" xfId="2" applyNumberFormat="1" applyFont="1" applyFill="1" applyBorder="1"/>
    <xf numFmtId="179" fontId="7" fillId="7" borderId="2" xfId="2" applyNumberFormat="1" applyFont="1" applyFill="1" applyBorder="1"/>
    <xf numFmtId="0" fontId="7" fillId="7" borderId="1" xfId="0" applyFont="1" applyFill="1" applyBorder="1"/>
    <xf numFmtId="0" fontId="7" fillId="7" borderId="0" xfId="0" applyFont="1" applyFill="1" applyBorder="1"/>
    <xf numFmtId="166" fontId="7" fillId="7" borderId="0" xfId="1" applyNumberFormat="1" applyFont="1" applyFill="1" applyBorder="1"/>
    <xf numFmtId="166" fontId="7" fillId="7" borderId="2" xfId="1" applyNumberFormat="1" applyFont="1" applyFill="1" applyBorder="1"/>
    <xf numFmtId="0" fontId="7" fillId="7" borderId="0" xfId="0" applyFont="1" applyFill="1" applyAlignment="1">
      <alignment horizontal="left" indent="1"/>
    </xf>
    <xf numFmtId="0" fontId="21" fillId="0" borderId="0" xfId="0" applyFont="1" applyFill="1" applyAlignment="1">
      <alignment horizontal="left" indent="1"/>
    </xf>
    <xf numFmtId="165" fontId="5" fillId="3" borderId="0" xfId="0" applyNumberFormat="1" applyFont="1" applyFill="1"/>
    <xf numFmtId="0" fontId="9" fillId="5" borderId="8" xfId="0" applyFont="1" applyFill="1" applyBorder="1" applyAlignment="1">
      <alignment vertical="center"/>
    </xf>
    <xf numFmtId="0" fontId="4" fillId="0" borderId="3" xfId="0" applyFont="1" applyBorder="1"/>
    <xf numFmtId="8" fontId="4" fillId="0" borderId="4" xfId="0" applyNumberFormat="1" applyFont="1" applyBorder="1"/>
    <xf numFmtId="171" fontId="2" fillId="0" borderId="0" xfId="2" applyNumberFormat="1" applyFont="1"/>
    <xf numFmtId="165" fontId="21" fillId="0" borderId="0" xfId="0" applyNumberFormat="1" applyFont="1" applyFill="1"/>
    <xf numFmtId="9" fontId="7" fillId="0" borderId="1" xfId="2" applyNumberFormat="1" applyFont="1" applyFill="1" applyBorder="1"/>
    <xf numFmtId="9" fontId="7" fillId="0" borderId="2" xfId="2" applyNumberFormat="1" applyFont="1" applyFill="1" applyBorder="1"/>
    <xf numFmtId="9" fontId="3" fillId="0" borderId="2" xfId="2" applyNumberFormat="1" applyFont="1" applyFill="1" applyBorder="1"/>
    <xf numFmtId="43" fontId="4" fillId="0" borderId="1" xfId="2" applyFont="1" applyBorder="1"/>
    <xf numFmtId="43" fontId="4" fillId="0" borderId="0" xfId="2" applyFont="1" applyBorder="1"/>
    <xf numFmtId="43" fontId="4" fillId="0" borderId="2" xfId="2" applyFont="1" applyBorder="1"/>
    <xf numFmtId="167" fontId="4" fillId="0" borderId="2" xfId="0" applyNumberFormat="1" applyFont="1" applyFill="1" applyBorder="1"/>
    <xf numFmtId="0" fontId="21" fillId="0" borderId="0" xfId="0" applyFont="1" applyFill="1"/>
    <xf numFmtId="179" fontId="21" fillId="0" borderId="1" xfId="2" applyNumberFormat="1" applyFont="1" applyFill="1" applyBorder="1"/>
    <xf numFmtId="179" fontId="21" fillId="0" borderId="0" xfId="2" applyNumberFormat="1" applyFont="1" applyFill="1" applyBorder="1"/>
    <xf numFmtId="165" fontId="28" fillId="0" borderId="0" xfId="0" applyNumberFormat="1" applyFont="1" applyBorder="1"/>
    <xf numFmtId="166" fontId="28" fillId="0" borderId="0" xfId="1" applyNumberFormat="1" applyFont="1" applyFill="1" applyBorder="1"/>
    <xf numFmtId="166" fontId="21" fillId="0" borderId="1" xfId="1" applyNumberFormat="1" applyFont="1" applyFill="1" applyBorder="1"/>
    <xf numFmtId="166" fontId="21" fillId="0" borderId="0" xfId="1" applyNumberFormat="1" applyFont="1" applyFill="1" applyBorder="1"/>
    <xf numFmtId="166" fontId="21" fillId="0" borderId="2" xfId="1" applyNumberFormat="1" applyFont="1" applyFill="1" applyBorder="1"/>
    <xf numFmtId="0" fontId="21" fillId="0" borderId="10" xfId="0" applyFont="1" applyFill="1" applyBorder="1"/>
    <xf numFmtId="0" fontId="21" fillId="0" borderId="0" xfId="0" applyFont="1" applyFill="1" applyBorder="1"/>
    <xf numFmtId="0" fontId="27" fillId="0" borderId="0" xfId="0" applyFont="1" applyFill="1" applyAlignment="1">
      <alignment horizontal="left" indent="1"/>
    </xf>
    <xf numFmtId="0" fontId="27" fillId="0" borderId="0" xfId="0" applyFont="1" applyFill="1"/>
    <xf numFmtId="179" fontId="27" fillId="0" borderId="1" xfId="2" applyNumberFormat="1" applyFont="1" applyFill="1" applyBorder="1"/>
    <xf numFmtId="179" fontId="27" fillId="0" borderId="0" xfId="2" applyNumberFormat="1" applyFont="1" applyFill="1" applyBorder="1"/>
    <xf numFmtId="165" fontId="29" fillId="0" borderId="0" xfId="0" applyNumberFormat="1" applyFont="1" applyBorder="1"/>
    <xf numFmtId="166" fontId="29" fillId="0" borderId="0" xfId="1" applyNumberFormat="1" applyFont="1" applyFill="1" applyBorder="1"/>
    <xf numFmtId="0" fontId="27" fillId="0" borderId="10" xfId="0" applyFont="1" applyFill="1" applyBorder="1"/>
    <xf numFmtId="0" fontId="27" fillId="0" borderId="0" xfId="0" applyFont="1" applyFill="1" applyBorder="1"/>
    <xf numFmtId="166" fontId="27" fillId="0" borderId="0" xfId="1" applyNumberFormat="1" applyFont="1" applyFill="1" applyBorder="1"/>
    <xf numFmtId="181" fontId="9" fillId="5" borderId="1" xfId="7" applyNumberFormat="1" applyFont="1" applyFill="1" applyBorder="1" applyAlignment="1">
      <alignment vertical="center"/>
    </xf>
    <xf numFmtId="181" fontId="9" fillId="5" borderId="8" xfId="7" applyNumberFormat="1" applyFont="1" applyFill="1" applyBorder="1" applyAlignment="1">
      <alignment vertical="center"/>
    </xf>
    <xf numFmtId="175" fontId="30" fillId="5" borderId="1" xfId="7" applyNumberFormat="1" applyFont="1" applyFill="1" applyBorder="1" applyAlignment="1">
      <alignment vertical="center"/>
    </xf>
    <xf numFmtId="174" fontId="9" fillId="5" borderId="0" xfId="7" applyNumberFormat="1" applyFont="1" applyFill="1" applyBorder="1" applyAlignment="1">
      <alignment horizontal="center" vertical="center"/>
    </xf>
    <xf numFmtId="174" fontId="31" fillId="6" borderId="11" xfId="7" applyNumberFormat="1" applyFont="1" applyFill="1" applyBorder="1" applyAlignment="1">
      <alignment horizontal="center" vertical="center"/>
    </xf>
    <xf numFmtId="174" fontId="9" fillId="5" borderId="2" xfId="7" applyNumberFormat="1" applyFont="1" applyFill="1" applyBorder="1" applyAlignment="1">
      <alignment horizontal="center" vertical="center"/>
    </xf>
    <xf numFmtId="176" fontId="7" fillId="5" borderId="12" xfId="7" applyNumberFormat="1" applyFont="1" applyFill="1" applyBorder="1" applyAlignment="1">
      <alignment horizontal="center" vertical="center"/>
    </xf>
    <xf numFmtId="176" fontId="7" fillId="5" borderId="13" xfId="7" applyNumberFormat="1" applyFont="1" applyFill="1" applyBorder="1" applyAlignment="1">
      <alignment horizontal="center" vertical="center"/>
    </xf>
    <xf numFmtId="176" fontId="7" fillId="6" borderId="14" xfId="7" applyNumberFormat="1" applyFont="1" applyFill="1" applyBorder="1" applyAlignment="1">
      <alignment horizontal="center" vertical="center"/>
    </xf>
    <xf numFmtId="176" fontId="7" fillId="5" borderId="15" xfId="7" applyNumberFormat="1" applyFont="1" applyFill="1" applyBorder="1" applyAlignment="1">
      <alignment horizontal="center" vertical="center"/>
    </xf>
    <xf numFmtId="181" fontId="31" fillId="6" borderId="16" xfId="7" applyNumberFormat="1" applyFont="1" applyFill="1" applyBorder="1" applyAlignment="1">
      <alignment vertical="center"/>
    </xf>
    <xf numFmtId="176" fontId="7" fillId="6" borderId="16" xfId="7" applyNumberFormat="1" applyFont="1" applyFill="1" applyBorder="1" applyAlignment="1">
      <alignment horizontal="center" vertical="center"/>
    </xf>
    <xf numFmtId="176" fontId="7" fillId="6" borderId="17" xfId="7" applyNumberFormat="1" applyFont="1" applyFill="1" applyBorder="1" applyAlignment="1">
      <alignment horizontal="center" vertical="center"/>
    </xf>
    <xf numFmtId="175" fontId="9" fillId="6" borderId="18" xfId="7" applyNumberFormat="1" applyFont="1" applyFill="1" applyBorder="1" applyAlignment="1">
      <alignment horizontal="center" vertical="center"/>
    </xf>
    <xf numFmtId="176" fontId="7" fillId="6" borderId="19" xfId="7" applyNumberFormat="1" applyFont="1" applyFill="1" applyBorder="1" applyAlignment="1">
      <alignment horizontal="center" vertical="center"/>
    </xf>
    <xf numFmtId="176" fontId="7" fillId="5" borderId="8" xfId="7" applyNumberFormat="1" applyFont="1" applyFill="1" applyBorder="1" applyAlignment="1">
      <alignment horizontal="center" vertical="center"/>
    </xf>
    <xf numFmtId="176" fontId="7" fillId="5" borderId="3" xfId="7" applyNumberFormat="1" applyFont="1" applyFill="1" applyBorder="1" applyAlignment="1">
      <alignment horizontal="center" vertical="center"/>
    </xf>
    <xf numFmtId="176" fontId="7" fillId="6" borderId="20" xfId="7" applyNumberFormat="1" applyFont="1" applyFill="1" applyBorder="1" applyAlignment="1">
      <alignment horizontal="center" vertical="center"/>
    </xf>
    <xf numFmtId="176" fontId="7" fillId="5" borderId="4" xfId="7" applyNumberFormat="1" applyFont="1" applyFill="1" applyBorder="1" applyAlignment="1">
      <alignment horizontal="center" vertical="center"/>
    </xf>
    <xf numFmtId="0" fontId="9" fillId="5" borderId="5" xfId="7" applyFont="1" applyFill="1" applyBorder="1" applyAlignment="1">
      <alignment horizontal="centerContinuous" vertical="center"/>
    </xf>
    <xf numFmtId="0" fontId="9" fillId="5" borderId="6" xfId="7" applyFont="1" applyFill="1" applyBorder="1" applyAlignment="1">
      <alignment horizontal="centerContinuous" vertical="center"/>
    </xf>
    <xf numFmtId="0" fontId="9" fillId="5" borderId="7" xfId="7" applyFont="1" applyFill="1" applyBorder="1" applyAlignment="1">
      <alignment horizontal="centerContinuous" vertical="center"/>
    </xf>
    <xf numFmtId="167" fontId="21" fillId="0" borderId="1" xfId="0" applyNumberFormat="1" applyFont="1" applyFill="1" applyBorder="1"/>
    <xf numFmtId="167" fontId="21" fillId="0" borderId="0" xfId="0" applyNumberFormat="1" applyFont="1" applyFill="1" applyBorder="1"/>
    <xf numFmtId="167" fontId="21" fillId="0" borderId="2" xfId="0" applyNumberFormat="1" applyFont="1" applyBorder="1"/>
    <xf numFmtId="167" fontId="21" fillId="0" borderId="1" xfId="0" applyNumberFormat="1" applyFont="1" applyBorder="1"/>
    <xf numFmtId="167" fontId="21" fillId="0" borderId="0" xfId="0" applyNumberFormat="1" applyFont="1" applyBorder="1"/>
    <xf numFmtId="166" fontId="4" fillId="0" borderId="2" xfId="1" applyNumberFormat="1" applyFont="1" applyFill="1" applyBorder="1"/>
    <xf numFmtId="180" fontId="4" fillId="0" borderId="2" xfId="2" applyNumberFormat="1" applyFont="1" applyFill="1" applyBorder="1"/>
    <xf numFmtId="9" fontId="2" fillId="0" borderId="2" xfId="0" applyNumberFormat="1" applyFont="1" applyFill="1" applyBorder="1"/>
    <xf numFmtId="182" fontId="2" fillId="0" borderId="0" xfId="0" applyNumberFormat="1" applyFont="1"/>
    <xf numFmtId="182" fontId="2" fillId="0" borderId="0" xfId="2" applyNumberFormat="1" applyFont="1"/>
    <xf numFmtId="183" fontId="2" fillId="0" borderId="0" xfId="2" applyNumberFormat="1" applyFont="1"/>
    <xf numFmtId="166" fontId="3" fillId="3" borderId="0" xfId="1" applyNumberFormat="1" applyFont="1" applyFill="1"/>
    <xf numFmtId="0" fontId="9" fillId="5" borderId="0" xfId="0" applyFont="1" applyFill="1"/>
    <xf numFmtId="166" fontId="7" fillId="5" borderId="0" xfId="1" applyNumberFormat="1" applyFont="1" applyFill="1" applyAlignment="1">
      <alignment vertical="center"/>
    </xf>
    <xf numFmtId="165" fontId="19" fillId="5" borderId="0" xfId="0" applyNumberFormat="1" applyFont="1" applyFill="1" applyAlignment="1">
      <alignment vertical="center"/>
    </xf>
    <xf numFmtId="165" fontId="9" fillId="5" borderId="0" xfId="0" applyNumberFormat="1" applyFont="1" applyFill="1" applyAlignment="1">
      <alignment vertical="center"/>
    </xf>
    <xf numFmtId="166" fontId="7" fillId="5" borderId="0" xfId="0" applyNumberFormat="1" applyFont="1" applyFill="1" applyAlignment="1">
      <alignment vertical="center"/>
    </xf>
    <xf numFmtId="165" fontId="3" fillId="0" borderId="0" xfId="0" applyNumberFormat="1" applyFont="1" applyFill="1"/>
    <xf numFmtId="0" fontId="6" fillId="0" borderId="0" xfId="0" applyFont="1" applyFill="1"/>
    <xf numFmtId="0" fontId="7" fillId="0" borderId="0" xfId="0" applyFont="1" applyFill="1" applyAlignment="1">
      <alignment horizontal="left" indent="1"/>
    </xf>
    <xf numFmtId="165" fontId="7" fillId="0" borderId="0" xfId="0" applyNumberFormat="1" applyFont="1" applyBorder="1"/>
    <xf numFmtId="165" fontId="7" fillId="0" borderId="0" xfId="0" applyNumberFormat="1" applyFont="1" applyFill="1" applyBorder="1"/>
    <xf numFmtId="0" fontId="7" fillId="0" borderId="0" xfId="0" applyFont="1" applyFill="1"/>
    <xf numFmtId="0" fontId="7" fillId="0" borderId="0" xfId="0" applyFont="1" applyFill="1" applyAlignment="1">
      <alignment horizontal="left"/>
    </xf>
    <xf numFmtId="0" fontId="9" fillId="0" borderId="0" xfId="0" applyFont="1" applyFill="1" applyAlignment="1">
      <alignment horizontal="left"/>
    </xf>
    <xf numFmtId="7" fontId="3" fillId="0" borderId="0" xfId="0" applyNumberFormat="1" applyFont="1" applyBorder="1"/>
    <xf numFmtId="0" fontId="2" fillId="0" borderId="0" xfId="0" applyFont="1" applyFill="1" applyAlignment="1">
      <alignment horizontal="left"/>
    </xf>
    <xf numFmtId="43" fontId="3" fillId="0" borderId="0" xfId="2" applyFont="1" applyBorder="1"/>
    <xf numFmtId="165" fontId="9" fillId="0" borderId="0" xfId="0" applyNumberFormat="1" applyFont="1" applyFill="1"/>
    <xf numFmtId="37" fontId="21" fillId="0" borderId="2" xfId="0" applyNumberFormat="1" applyFont="1" applyFill="1" applyBorder="1"/>
    <xf numFmtId="43" fontId="2" fillId="0" borderId="0" xfId="2" applyFont="1" applyBorder="1"/>
    <xf numFmtId="43" fontId="3" fillId="0" borderId="0" xfId="2" applyFont="1" applyFill="1" applyBorder="1"/>
    <xf numFmtId="171" fontId="32" fillId="6" borderId="0" xfId="2" applyNumberFormat="1" applyFont="1" applyFill="1" applyBorder="1"/>
    <xf numFmtId="8" fontId="4" fillId="0" borderId="0" xfId="0" applyNumberFormat="1" applyFont="1" applyFill="1" applyBorder="1"/>
    <xf numFmtId="8" fontId="4" fillId="0" borderId="2" xfId="0" applyNumberFormat="1" applyFont="1" applyFill="1" applyBorder="1"/>
    <xf numFmtId="0" fontId="2" fillId="2" borderId="10" xfId="0" applyFont="1" applyFill="1" applyBorder="1"/>
    <xf numFmtId="165" fontId="27" fillId="0" borderId="0" xfId="2" applyNumberFormat="1" applyFont="1" applyFill="1" applyBorder="1"/>
    <xf numFmtId="165" fontId="27" fillId="0" borderId="2" xfId="2" applyNumberFormat="1" applyFont="1" applyFill="1" applyBorder="1"/>
    <xf numFmtId="165" fontId="21" fillId="0" borderId="1" xfId="2" applyNumberFormat="1" applyFont="1" applyFill="1" applyBorder="1"/>
    <xf numFmtId="165" fontId="21" fillId="0" borderId="0" xfId="2" applyNumberFormat="1" applyFont="1" applyFill="1" applyBorder="1"/>
    <xf numFmtId="165" fontId="21" fillId="0" borderId="2" xfId="2" applyNumberFormat="1" applyFont="1" applyFill="1" applyBorder="1"/>
    <xf numFmtId="165" fontId="4" fillId="0" borderId="0" xfId="2" applyNumberFormat="1" applyFont="1" applyFill="1" applyBorder="1"/>
    <xf numFmtId="165" fontId="4" fillId="0" borderId="2" xfId="2" applyNumberFormat="1" applyFont="1" applyFill="1" applyBorder="1"/>
    <xf numFmtId="171" fontId="32" fillId="6" borderId="2" xfId="2" applyNumberFormat="1" applyFont="1" applyFill="1" applyBorder="1"/>
    <xf numFmtId="165" fontId="28" fillId="0" borderId="1" xfId="0" applyNumberFormat="1" applyFont="1" applyBorder="1"/>
    <xf numFmtId="165" fontId="28" fillId="0" borderId="2" xfId="0" applyNumberFormat="1" applyFont="1" applyBorder="1"/>
    <xf numFmtId="184" fontId="4" fillId="0" borderId="0" xfId="0" applyNumberFormat="1" applyFont="1" applyBorder="1"/>
    <xf numFmtId="184" fontId="4" fillId="0" borderId="0" xfId="0" applyNumberFormat="1" applyFont="1" applyFill="1" applyBorder="1"/>
    <xf numFmtId="184" fontId="4" fillId="0" borderId="2" xfId="0" applyNumberFormat="1" applyFont="1" applyBorder="1"/>
    <xf numFmtId="9" fontId="9" fillId="0" borderId="0" xfId="1" applyFont="1" applyFill="1"/>
    <xf numFmtId="164" fontId="6" fillId="2" borderId="0" xfId="0" applyNumberFormat="1" applyFont="1" applyFill="1"/>
    <xf numFmtId="9" fontId="4" fillId="0" borderId="0" xfId="1" applyFont="1" applyAlignment="1">
      <alignment horizontal="center"/>
    </xf>
    <xf numFmtId="9" fontId="2" fillId="0" borderId="0" xfId="1" applyFont="1" applyAlignment="1">
      <alignment horizontal="center"/>
    </xf>
    <xf numFmtId="9" fontId="9" fillId="0" borderId="0" xfId="0" applyNumberFormat="1" applyFont="1" applyFill="1"/>
    <xf numFmtId="165" fontId="28" fillId="0" borderId="0" xfId="0" applyNumberFormat="1" applyFont="1" applyFill="1"/>
    <xf numFmtId="7" fontId="2" fillId="0" borderId="1" xfId="1" applyNumberFormat="1" applyFont="1" applyBorder="1"/>
    <xf numFmtId="7" fontId="2" fillId="0" borderId="0" xfId="1" applyNumberFormat="1" applyFont="1" applyBorder="1"/>
    <xf numFmtId="7" fontId="2" fillId="0" borderId="2" xfId="1" applyNumberFormat="1" applyFont="1" applyBorder="1"/>
    <xf numFmtId="164" fontId="6" fillId="4" borderId="0" xfId="0" applyNumberFormat="1" applyFont="1" applyFill="1" applyAlignment="1">
      <alignment horizontal="center"/>
    </xf>
    <xf numFmtId="171" fontId="4" fillId="0" borderId="0" xfId="2" applyNumberFormat="1" applyFont="1"/>
    <xf numFmtId="0" fontId="26" fillId="0" borderId="0" xfId="0" applyFont="1" applyFill="1"/>
    <xf numFmtId="0" fontId="33" fillId="0" borderId="0" xfId="0" applyFont="1" applyFill="1" applyAlignment="1">
      <alignment horizontal="left" indent="1"/>
    </xf>
    <xf numFmtId="0" fontId="34" fillId="0" borderId="0" xfId="0" applyFont="1"/>
    <xf numFmtId="165" fontId="35" fillId="0" borderId="0" xfId="0" applyNumberFormat="1" applyFont="1" applyBorder="1"/>
    <xf numFmtId="165" fontId="33" fillId="0" borderId="0" xfId="0" applyNumberFormat="1" applyFont="1" applyFill="1" applyBorder="1"/>
    <xf numFmtId="43" fontId="3" fillId="0" borderId="2" xfId="2" applyFont="1" applyFill="1" applyBorder="1"/>
    <xf numFmtId="43" fontId="2" fillId="0" borderId="1" xfId="2" applyFont="1" applyBorder="1" applyAlignment="1">
      <alignment horizontal="right"/>
    </xf>
    <xf numFmtId="43" fontId="2" fillId="0" borderId="1" xfId="2" applyFont="1" applyBorder="1"/>
    <xf numFmtId="43" fontId="2" fillId="0" borderId="2" xfId="2" applyFont="1" applyBorder="1"/>
    <xf numFmtId="0" fontId="20" fillId="0" borderId="0" xfId="0" applyFont="1" applyFill="1"/>
    <xf numFmtId="0" fontId="36" fillId="0" borderId="0" xfId="0" applyFont="1" applyFill="1"/>
    <xf numFmtId="0" fontId="37" fillId="0" borderId="0" xfId="0" applyFont="1" applyFill="1"/>
    <xf numFmtId="9" fontId="2" fillId="0" borderId="0" xfId="2" applyNumberFormat="1" applyFont="1"/>
    <xf numFmtId="9" fontId="21" fillId="0" borderId="1" xfId="0" applyNumberFormat="1" applyFont="1" applyBorder="1"/>
    <xf numFmtId="9" fontId="2" fillId="0" borderId="1" xfId="0" applyNumberFormat="1" applyFont="1" applyBorder="1"/>
    <xf numFmtId="0" fontId="9" fillId="5" borderId="9" xfId="0" applyNumberFormat="1" applyFont="1" applyFill="1" applyBorder="1" applyAlignment="1">
      <alignment horizontal="left" vertical="center"/>
    </xf>
    <xf numFmtId="0" fontId="9" fillId="5" borderId="0" xfId="0" applyNumberFormat="1" applyFont="1" applyFill="1" applyBorder="1" applyAlignment="1">
      <alignment horizontal="right" vertical="center"/>
    </xf>
    <xf numFmtId="164" fontId="9" fillId="5" borderId="0" xfId="0" applyNumberFormat="1" applyFont="1" applyFill="1" applyBorder="1" applyAlignment="1">
      <alignment horizontal="right" vertical="center"/>
    </xf>
    <xf numFmtId="0" fontId="9" fillId="5" borderId="0" xfId="0" applyFont="1" applyFill="1" applyAlignment="1">
      <alignment horizontal="left" vertical="center"/>
    </xf>
    <xf numFmtId="166" fontId="5" fillId="8" borderId="0" xfId="0" applyNumberFormat="1" applyFont="1" applyFill="1"/>
    <xf numFmtId="164" fontId="6" fillId="4" borderId="0" xfId="0" applyNumberFormat="1" applyFont="1" applyFill="1" applyAlignment="1">
      <alignment horizontal="right"/>
    </xf>
    <xf numFmtId="0" fontId="6" fillId="4" borderId="0" xfId="0" applyFont="1" applyFill="1" applyAlignment="1">
      <alignment horizontal="right"/>
    </xf>
    <xf numFmtId="10" fontId="7" fillId="6" borderId="0" xfId="7" applyNumberFormat="1" applyFont="1" applyFill="1" applyAlignment="1">
      <alignment vertical="center"/>
    </xf>
    <xf numFmtId="174" fontId="7" fillId="5" borderId="2" xfId="0" applyNumberFormat="1" applyFont="1" applyFill="1" applyBorder="1" applyAlignment="1">
      <alignment vertical="center"/>
    </xf>
    <xf numFmtId="166" fontId="7" fillId="5" borderId="2" xfId="0" applyNumberFormat="1" applyFont="1" applyFill="1" applyBorder="1" applyAlignment="1">
      <alignment horizontal="right" vertical="center"/>
    </xf>
    <xf numFmtId="4" fontId="15" fillId="5" borderId="0" xfId="0" applyNumberFormat="1" applyFont="1" applyFill="1" applyBorder="1" applyAlignment="1">
      <alignment vertical="center"/>
    </xf>
    <xf numFmtId="0" fontId="6" fillId="4" borderId="5" xfId="0" applyFont="1" applyFill="1" applyBorder="1" applyAlignment="1">
      <alignment vertical="center"/>
    </xf>
    <xf numFmtId="178" fontId="6" fillId="4" borderId="7" xfId="0" applyNumberFormat="1" applyFont="1" applyFill="1" applyBorder="1" applyAlignment="1">
      <alignment horizontal="right" vertical="center"/>
    </xf>
    <xf numFmtId="0" fontId="21" fillId="0" borderId="1" xfId="0" applyFont="1" applyFill="1" applyBorder="1"/>
    <xf numFmtId="165" fontId="3" fillId="6" borderId="0" xfId="0" applyNumberFormat="1" applyFont="1" applyFill="1" applyBorder="1"/>
    <xf numFmtId="165" fontId="3" fillId="6" borderId="2" xfId="0" applyNumberFormat="1" applyFont="1" applyFill="1" applyBorder="1"/>
    <xf numFmtId="166" fontId="3" fillId="6" borderId="0" xfId="1" applyNumberFormat="1" applyFont="1" applyFill="1" applyBorder="1"/>
    <xf numFmtId="165" fontId="28" fillId="6" borderId="0" xfId="0" applyNumberFormat="1" applyFont="1" applyFill="1" applyBorder="1"/>
    <xf numFmtId="165" fontId="28" fillId="6" borderId="2" xfId="0" applyNumberFormat="1" applyFont="1" applyFill="1" applyBorder="1"/>
    <xf numFmtId="0" fontId="8" fillId="0" borderId="0" xfId="0" applyFont="1" applyFill="1"/>
    <xf numFmtId="165" fontId="28" fillId="0" borderId="0" xfId="0" applyNumberFormat="1" applyFont="1"/>
    <xf numFmtId="0" fontId="2" fillId="0" borderId="0" xfId="7" applyFont="1" applyFill="1" applyAlignment="1">
      <alignment vertical="center"/>
    </xf>
    <xf numFmtId="0" fontId="7" fillId="0" borderId="0" xfId="7" applyFont="1" applyFill="1" applyAlignment="1">
      <alignment vertical="center"/>
    </xf>
    <xf numFmtId="186" fontId="7" fillId="0" borderId="0" xfId="7" applyNumberFormat="1" applyFont="1" applyAlignment="1">
      <alignment horizontal="right" vertical="center"/>
    </xf>
    <xf numFmtId="0" fontId="2" fillId="7" borderId="0" xfId="0" applyFont="1" applyFill="1" applyAlignment="1">
      <alignment vertical="center"/>
    </xf>
    <xf numFmtId="0" fontId="7" fillId="0" borderId="0" xfId="7" applyFont="1" applyAlignment="1">
      <alignment vertical="center"/>
    </xf>
    <xf numFmtId="166" fontId="7" fillId="0" borderId="0" xfId="7" applyNumberFormat="1" applyFont="1" applyAlignment="1">
      <alignment horizontal="right" vertical="center"/>
    </xf>
    <xf numFmtId="0" fontId="7" fillId="0" borderId="0" xfId="8" applyFont="1" applyFill="1" applyBorder="1" applyAlignment="1">
      <alignment vertical="center"/>
    </xf>
    <xf numFmtId="177" fontId="7" fillId="0" borderId="0" xfId="8" applyNumberFormat="1" applyFont="1" applyFill="1" applyBorder="1" applyAlignment="1">
      <alignment horizontal="right"/>
    </xf>
    <xf numFmtId="16" fontId="2" fillId="0" borderId="0" xfId="0" applyNumberFormat="1" applyFont="1"/>
    <xf numFmtId="9" fontId="2" fillId="0" borderId="0" xfId="2" applyNumberFormat="1" applyFont="1" applyFill="1"/>
    <xf numFmtId="43" fontId="2" fillId="0" borderId="0" xfId="2" applyNumberFormat="1" applyFont="1"/>
    <xf numFmtId="12" fontId="2" fillId="0" borderId="0" xfId="2" applyNumberFormat="1" applyFont="1" applyFill="1"/>
    <xf numFmtId="43" fontId="2" fillId="0" borderId="0" xfId="2" applyNumberFormat="1" applyFont="1" applyFill="1"/>
    <xf numFmtId="183" fontId="2" fillId="0" borderId="0" xfId="2" applyNumberFormat="1" applyFont="1" applyFill="1"/>
    <xf numFmtId="182" fontId="7" fillId="0" borderId="0" xfId="0" applyNumberFormat="1" applyFont="1" applyBorder="1"/>
    <xf numFmtId="9" fontId="3" fillId="6" borderId="0" xfId="0" applyNumberFormat="1" applyFont="1" applyFill="1"/>
    <xf numFmtId="0" fontId="2" fillId="6" borderId="0" xfId="0" applyFont="1" applyFill="1"/>
    <xf numFmtId="9" fontId="2" fillId="6" borderId="0" xfId="0" applyNumberFormat="1" applyFont="1" applyFill="1"/>
    <xf numFmtId="37" fontId="9" fillId="5" borderId="0" xfId="0" applyNumberFormat="1" applyFont="1" applyFill="1" applyAlignment="1">
      <alignment vertical="center"/>
    </xf>
    <xf numFmtId="0" fontId="8" fillId="0" borderId="0" xfId="0" quotePrefix="1" applyFont="1" applyAlignment="1">
      <alignment horizontal="right"/>
    </xf>
    <xf numFmtId="9" fontId="2" fillId="0" borderId="0" xfId="1" applyFont="1" applyAlignment="1">
      <alignment horizontal="right"/>
    </xf>
    <xf numFmtId="171" fontId="2" fillId="0" borderId="0" xfId="2" applyNumberFormat="1" applyFont="1" applyAlignment="1">
      <alignment horizontal="right"/>
    </xf>
    <xf numFmtId="165" fontId="2" fillId="0" borderId="0" xfId="0" applyNumberFormat="1" applyFont="1" applyAlignment="1">
      <alignment horizontal="right"/>
    </xf>
    <xf numFmtId="165" fontId="7" fillId="0" borderId="0" xfId="0" applyNumberFormat="1" applyFont="1" applyFill="1" applyAlignment="1">
      <alignment horizontal="right"/>
    </xf>
    <xf numFmtId="183" fontId="4" fillId="0" borderId="0" xfId="2" applyNumberFormat="1" applyFont="1"/>
    <xf numFmtId="183" fontId="3" fillId="0" borderId="0" xfId="2" applyNumberFormat="1" applyFont="1"/>
    <xf numFmtId="49" fontId="0" fillId="0" borderId="0" xfId="0" applyNumberFormat="1"/>
    <xf numFmtId="0" fontId="4" fillId="0" borderId="0" xfId="0" applyFont="1" applyFill="1" applyAlignment="1">
      <alignment horizontal="left"/>
    </xf>
    <xf numFmtId="164" fontId="6" fillId="4" borderId="0" xfId="0" quotePrefix="1" applyNumberFormat="1" applyFont="1" applyFill="1" applyAlignment="1">
      <alignment horizontal="center"/>
    </xf>
    <xf numFmtId="0" fontId="2" fillId="12" borderId="0" xfId="0" applyFont="1" applyFill="1"/>
    <xf numFmtId="165" fontId="2" fillId="0" borderId="1" xfId="0" applyNumberFormat="1" applyFont="1" applyBorder="1" applyAlignment="1">
      <alignment horizontal="right"/>
    </xf>
    <xf numFmtId="165" fontId="2" fillId="0" borderId="0" xfId="0" applyNumberFormat="1" applyFont="1" applyBorder="1" applyAlignment="1">
      <alignment horizontal="right"/>
    </xf>
    <xf numFmtId="165" fontId="2" fillId="0" borderId="2" xfId="0" applyNumberFormat="1" applyFont="1" applyBorder="1" applyAlignment="1">
      <alignment horizontal="right"/>
    </xf>
    <xf numFmtId="182" fontId="2" fillId="0" borderId="0" xfId="0" applyNumberFormat="1" applyFont="1" applyBorder="1" applyAlignment="1">
      <alignment horizontal="right"/>
    </xf>
    <xf numFmtId="191" fontId="2" fillId="0" borderId="0" xfId="0" applyNumberFormat="1" applyFont="1"/>
    <xf numFmtId="182" fontId="2" fillId="0" borderId="1" xfId="0" applyNumberFormat="1" applyFont="1" applyBorder="1" applyAlignment="1">
      <alignment horizontal="right"/>
    </xf>
    <xf numFmtId="182" fontId="2" fillId="0" borderId="2" xfId="0" applyNumberFormat="1" applyFont="1" applyBorder="1" applyAlignment="1">
      <alignment horizontal="right"/>
    </xf>
    <xf numFmtId="0" fontId="4" fillId="0" borderId="0" xfId="29" applyFont="1" applyFill="1"/>
    <xf numFmtId="0" fontId="3" fillId="13" borderId="18" xfId="29" applyFont="1" applyFill="1" applyBorder="1" applyAlignment="1">
      <alignment horizontal="right"/>
    </xf>
    <xf numFmtId="0" fontId="2" fillId="0" borderId="0" xfId="29" applyFont="1" applyFill="1"/>
    <xf numFmtId="14" fontId="3" fillId="13" borderId="18" xfId="30" applyNumberFormat="1" applyFont="1" applyFill="1" applyBorder="1"/>
    <xf numFmtId="14" fontId="7" fillId="0" borderId="0" xfId="30" applyNumberFormat="1" applyFont="1" applyAlignment="1">
      <alignment horizontal="right"/>
    </xf>
    <xf numFmtId="14" fontId="2" fillId="0" borderId="0" xfId="29" applyNumberFormat="1" applyFont="1" applyFill="1"/>
    <xf numFmtId="0" fontId="2" fillId="0" borderId="0" xfId="29" applyFont="1" applyFill="1" applyBorder="1"/>
    <xf numFmtId="0" fontId="52" fillId="4" borderId="0" xfId="29" applyFont="1" applyFill="1" applyBorder="1" applyAlignment="1"/>
    <xf numFmtId="14" fontId="6" fillId="4" borderId="0" xfId="29" applyNumberFormat="1" applyFont="1" applyFill="1" applyBorder="1" applyAlignment="1">
      <alignment horizontal="right"/>
    </xf>
    <xf numFmtId="0" fontId="4" fillId="4" borderId="0" xfId="29" applyFont="1" applyFill="1" applyBorder="1" applyAlignment="1">
      <alignment horizontal="right"/>
    </xf>
    <xf numFmtId="0" fontId="9" fillId="8" borderId="0" xfId="29" applyFont="1" applyFill="1" applyBorder="1"/>
    <xf numFmtId="0" fontId="9" fillId="8" borderId="0" xfId="29" applyFont="1" applyFill="1" applyBorder="1" applyAlignment="1">
      <alignment horizontal="right"/>
    </xf>
    <xf numFmtId="0" fontId="2" fillId="0" borderId="0" xfId="29" applyFont="1" applyFill="1" applyBorder="1" applyAlignment="1">
      <alignment horizontal="right"/>
    </xf>
    <xf numFmtId="184" fontId="2" fillId="0" borderId="0" xfId="29" applyNumberFormat="1" applyFont="1" applyFill="1" applyBorder="1" applyAlignment="1">
      <alignment horizontal="right"/>
    </xf>
    <xf numFmtId="0" fontId="2" fillId="0" borderId="0" xfId="29" applyFont="1" applyFill="1" applyAlignment="1">
      <alignment horizontal="right"/>
    </xf>
    <xf numFmtId="0" fontId="2" fillId="0" borderId="0" xfId="29" applyFont="1" applyFill="1" applyBorder="1" applyAlignment="1">
      <alignment horizontal="left" indent="1"/>
    </xf>
    <xf numFmtId="166" fontId="2" fillId="0" borderId="0" xfId="29" applyNumberFormat="1" applyFont="1" applyFill="1" applyBorder="1" applyAlignment="1">
      <alignment horizontal="right"/>
    </xf>
    <xf numFmtId="168" fontId="2" fillId="0" borderId="0" xfId="29" applyNumberFormat="1" applyFont="1" applyFill="1" applyBorder="1"/>
    <xf numFmtId="168" fontId="2" fillId="0" borderId="0" xfId="29" applyNumberFormat="1" applyFont="1" applyFill="1" applyBorder="1" applyAlignment="1">
      <alignment horizontal="right"/>
    </xf>
    <xf numFmtId="168" fontId="2" fillId="0" borderId="0" xfId="29" applyNumberFormat="1" applyFont="1" applyFill="1" applyAlignment="1">
      <alignment horizontal="right"/>
    </xf>
    <xf numFmtId="168" fontId="2" fillId="0" borderId="0" xfId="29" applyNumberFormat="1" applyFont="1" applyFill="1"/>
    <xf numFmtId="0" fontId="2" fillId="0" borderId="0" xfId="29" applyFont="1" applyFill="1" applyAlignment="1"/>
    <xf numFmtId="0" fontId="2" fillId="0" borderId="0" xfId="29" applyFont="1" applyFill="1" applyBorder="1" applyAlignment="1"/>
    <xf numFmtId="0" fontId="26" fillId="0" borderId="0" xfId="29" applyFont="1" applyFill="1" applyBorder="1" applyAlignment="1"/>
    <xf numFmtId="9" fontId="2" fillId="0" borderId="0" xfId="31" applyNumberFormat="1" applyFont="1" applyFill="1" applyBorder="1" applyAlignment="1">
      <alignment horizontal="right"/>
    </xf>
    <xf numFmtId="9" fontId="2" fillId="0" borderId="0" xfId="31" applyFont="1" applyFill="1" applyBorder="1" applyAlignment="1">
      <alignment horizontal="right"/>
    </xf>
    <xf numFmtId="0" fontId="34" fillId="0" borderId="0" xfId="29" applyFont="1" applyFill="1" applyBorder="1" applyAlignment="1">
      <alignment horizontal="left" indent="1"/>
    </xf>
    <xf numFmtId="192" fontId="2" fillId="0" borderId="0" xfId="29" applyNumberFormat="1" applyFont="1" applyFill="1" applyAlignment="1">
      <alignment horizontal="right"/>
    </xf>
    <xf numFmtId="9" fontId="2" fillId="0" borderId="0" xfId="29" applyNumberFormat="1" applyFont="1" applyFill="1"/>
    <xf numFmtId="0" fontId="53" fillId="0" borderId="0" xfId="7" applyFont="1"/>
    <xf numFmtId="37" fontId="4" fillId="0" borderId="2" xfId="0" applyNumberFormat="1" applyFont="1" applyFill="1" applyBorder="1"/>
    <xf numFmtId="165" fontId="7" fillId="0" borderId="2" xfId="0" applyNumberFormat="1" applyFont="1" applyFill="1" applyBorder="1"/>
    <xf numFmtId="180" fontId="5" fillId="0" borderId="1" xfId="2" applyNumberFormat="1" applyFont="1" applyFill="1" applyBorder="1"/>
    <xf numFmtId="167" fontId="9" fillId="0" borderId="0" xfId="0" applyNumberFormat="1" applyFont="1" applyBorder="1"/>
    <xf numFmtId="167" fontId="9" fillId="0" borderId="1" xfId="0" applyNumberFormat="1" applyFont="1" applyBorder="1"/>
    <xf numFmtId="171" fontId="4" fillId="0" borderId="2" xfId="2" applyNumberFormat="1" applyFont="1" applyFill="1" applyBorder="1"/>
    <xf numFmtId="171" fontId="2" fillId="0" borderId="2" xfId="2" applyNumberFormat="1" applyFont="1" applyBorder="1"/>
    <xf numFmtId="171" fontId="7" fillId="7" borderId="0" xfId="2" applyNumberFormat="1" applyFont="1" applyFill="1" applyBorder="1"/>
    <xf numFmtId="6" fontId="4" fillId="0" borderId="4" xfId="0" applyNumberFormat="1" applyFont="1" applyBorder="1"/>
    <xf numFmtId="0" fontId="2" fillId="0" borderId="33" xfId="0" applyFont="1" applyBorder="1"/>
    <xf numFmtId="165" fontId="2" fillId="0" borderId="3" xfId="0" applyNumberFormat="1" applyFont="1" applyBorder="1"/>
    <xf numFmtId="165" fontId="2" fillId="0" borderId="33" xfId="0" applyNumberFormat="1" applyFont="1" applyBorder="1"/>
    <xf numFmtId="165" fontId="2" fillId="0" borderId="4" xfId="0" applyNumberFormat="1" applyFont="1" applyBorder="1"/>
    <xf numFmtId="0" fontId="2" fillId="0" borderId="3" xfId="0" applyFont="1" applyBorder="1"/>
    <xf numFmtId="0" fontId="2" fillId="0" borderId="4" xfId="0" applyFont="1" applyBorder="1"/>
    <xf numFmtId="166" fontId="7" fillId="7" borderId="0" xfId="2" applyNumberFormat="1" applyFont="1" applyFill="1" applyBorder="1"/>
    <xf numFmtId="37" fontId="4" fillId="0" borderId="0" xfId="0" applyNumberFormat="1" applyFont="1"/>
    <xf numFmtId="37" fontId="2" fillId="0" borderId="1" xfId="0" applyNumberFormat="1" applyFont="1" applyBorder="1"/>
    <xf numFmtId="37" fontId="2" fillId="0" borderId="0" xfId="0" applyNumberFormat="1" applyFont="1" applyBorder="1"/>
    <xf numFmtId="37" fontId="4" fillId="0" borderId="1" xfId="0" applyNumberFormat="1" applyFont="1" applyBorder="1"/>
    <xf numFmtId="37" fontId="4" fillId="0" borderId="0" xfId="0" applyNumberFormat="1" applyFont="1" applyBorder="1"/>
    <xf numFmtId="37" fontId="4" fillId="0" borderId="0" xfId="0" applyNumberFormat="1" applyFont="1" applyFill="1" applyBorder="1"/>
    <xf numFmtId="230" fontId="3" fillId="6" borderId="0" xfId="7" applyNumberFormat="1" applyFont="1" applyFill="1" applyAlignment="1">
      <alignment vertical="center"/>
    </xf>
    <xf numFmtId="167" fontId="2" fillId="0" borderId="33" xfId="0" applyNumberFormat="1" applyFont="1" applyBorder="1"/>
    <xf numFmtId="167" fontId="2" fillId="0" borderId="3" xfId="0" applyNumberFormat="1" applyFont="1" applyBorder="1"/>
    <xf numFmtId="167" fontId="2" fillId="0" borderId="32" xfId="0" applyNumberFormat="1" applyFont="1" applyBorder="1"/>
    <xf numFmtId="0" fontId="2" fillId="0" borderId="32" xfId="0" applyFont="1" applyBorder="1"/>
    <xf numFmtId="182" fontId="4" fillId="0" borderId="0" xfId="0" applyNumberFormat="1" applyFont="1"/>
    <xf numFmtId="222" fontId="22" fillId="0" borderId="0" xfId="0" applyNumberFormat="1" applyFont="1"/>
    <xf numFmtId="43" fontId="22" fillId="0" borderId="0" xfId="0" applyNumberFormat="1" applyFont="1"/>
    <xf numFmtId="231" fontId="22" fillId="0" borderId="0" xfId="0" applyNumberFormat="1" applyFont="1"/>
    <xf numFmtId="7" fontId="2" fillId="0" borderId="0" xfId="1" applyNumberFormat="1" applyFont="1" applyFill="1" applyBorder="1"/>
    <xf numFmtId="7" fontId="5" fillId="0" borderId="0" xfId="0" applyNumberFormat="1" applyFont="1" applyBorder="1"/>
    <xf numFmtId="180" fontId="5" fillId="0" borderId="0" xfId="2" applyNumberFormat="1" applyFont="1" applyFill="1" applyBorder="1"/>
    <xf numFmtId="39" fontId="4" fillId="0" borderId="0" xfId="0" applyNumberFormat="1" applyFont="1"/>
    <xf numFmtId="171" fontId="21" fillId="0" borderId="0" xfId="2" applyNumberFormat="1" applyFont="1" applyFill="1" applyBorder="1"/>
    <xf numFmtId="171" fontId="21" fillId="0" borderId="1" xfId="2" applyNumberFormat="1" applyFont="1" applyFill="1" applyBorder="1"/>
    <xf numFmtId="171" fontId="21" fillId="0" borderId="2" xfId="2" applyNumberFormat="1" applyFont="1" applyFill="1" applyBorder="1"/>
    <xf numFmtId="165" fontId="2" fillId="0" borderId="0" xfId="2" applyNumberFormat="1" applyFont="1"/>
    <xf numFmtId="166" fontId="2" fillId="0" borderId="0" xfId="0" applyNumberFormat="1" applyFont="1" applyFill="1"/>
    <xf numFmtId="0" fontId="13" fillId="0" borderId="0" xfId="239"/>
    <xf numFmtId="9" fontId="3" fillId="3" borderId="2" xfId="1" applyFont="1" applyFill="1" applyBorder="1"/>
    <xf numFmtId="43" fontId="2" fillId="0" borderId="0" xfId="0" applyNumberFormat="1" applyFont="1"/>
    <xf numFmtId="222" fontId="2" fillId="0" borderId="0" xfId="0" applyNumberFormat="1" applyFont="1"/>
    <xf numFmtId="165" fontId="4" fillId="0" borderId="0" xfId="0" applyNumberFormat="1" applyFont="1" applyFill="1"/>
    <xf numFmtId="171" fontId="4" fillId="0" borderId="2" xfId="0" applyNumberFormat="1" applyFont="1" applyBorder="1"/>
    <xf numFmtId="9" fontId="2" fillId="0" borderId="0" xfId="0" applyNumberFormat="1" applyFont="1" applyFill="1" applyBorder="1"/>
    <xf numFmtId="9" fontId="2" fillId="0" borderId="1" xfId="0" applyNumberFormat="1" applyFont="1" applyFill="1" applyBorder="1"/>
    <xf numFmtId="232" fontId="2" fillId="0" borderId="0" xfId="0" applyNumberFormat="1" applyFont="1"/>
    <xf numFmtId="232" fontId="2" fillId="0" borderId="0" xfId="0" applyNumberFormat="1" applyFont="1" applyFill="1"/>
    <xf numFmtId="37" fontId="2" fillId="0" borderId="0" xfId="0" applyNumberFormat="1" applyFont="1" applyFill="1"/>
    <xf numFmtId="37" fontId="2" fillId="0" borderId="0" xfId="2" applyNumberFormat="1" applyFont="1" applyFill="1"/>
    <xf numFmtId="9" fontId="4" fillId="0" borderId="0" xfId="0" applyNumberFormat="1" applyFont="1"/>
    <xf numFmtId="166" fontId="2" fillId="0" borderId="0" xfId="2" applyNumberFormat="1" applyFont="1"/>
    <xf numFmtId="7" fontId="5" fillId="0" borderId="2" xfId="0" applyNumberFormat="1" applyFont="1" applyFill="1" applyBorder="1"/>
    <xf numFmtId="180" fontId="2" fillId="0" borderId="0" xfId="1" applyNumberFormat="1" applyFont="1" applyBorder="1"/>
    <xf numFmtId="180" fontId="5" fillId="0" borderId="0" xfId="0" applyNumberFormat="1" applyFont="1"/>
    <xf numFmtId="9" fontId="4" fillId="0" borderId="0" xfId="2" applyNumberFormat="1" applyFont="1" applyBorder="1"/>
    <xf numFmtId="9" fontId="4" fillId="0" borderId="2" xfId="2" applyNumberFormat="1" applyFont="1" applyBorder="1"/>
    <xf numFmtId="165" fontId="7" fillId="0" borderId="1" xfId="0" applyNumberFormat="1" applyFont="1" applyFill="1" applyBorder="1"/>
    <xf numFmtId="7" fontId="5" fillId="0" borderId="0" xfId="0" applyNumberFormat="1" applyFont="1" applyFill="1"/>
    <xf numFmtId="0" fontId="0" fillId="0" borderId="0" xfId="0" applyAlignment="1">
      <alignment vertical="center"/>
    </xf>
    <xf numFmtId="180" fontId="2" fillId="0" borderId="0" xfId="0" applyNumberFormat="1" applyFont="1"/>
    <xf numFmtId="0" fontId="8" fillId="0" borderId="0" xfId="0" applyFont="1" applyAlignment="1">
      <alignment horizontal="center"/>
    </xf>
    <xf numFmtId="165" fontId="8" fillId="0" borderId="0" xfId="0" applyNumberFormat="1" applyFont="1"/>
    <xf numFmtId="8" fontId="2" fillId="0" borderId="0" xfId="2" applyNumberFormat="1" applyFont="1" applyFill="1" applyBorder="1"/>
    <xf numFmtId="8" fontId="3" fillId="0" borderId="0" xfId="1" applyNumberFormat="1" applyFont="1" applyFill="1" applyBorder="1"/>
    <xf numFmtId="0" fontId="13" fillId="21" borderId="0" xfId="347" applyFont="1" applyFill="1" applyAlignment="1">
      <alignment vertical="top"/>
    </xf>
    <xf numFmtId="0" fontId="13" fillId="21" borderId="0" xfId="239" applyFill="1" applyAlignment="1">
      <alignment vertical="top"/>
    </xf>
    <xf numFmtId="0" fontId="13" fillId="21" borderId="0" xfId="239" applyFill="1"/>
    <xf numFmtId="0" fontId="105" fillId="21" borderId="0" xfId="347" applyFont="1" applyFill="1" applyAlignment="1">
      <alignment horizontal="left" vertical="top"/>
    </xf>
    <xf numFmtId="0" fontId="13" fillId="21" borderId="0" xfId="239" applyFont="1" applyFill="1" applyAlignment="1">
      <alignment vertical="top"/>
    </xf>
    <xf numFmtId="0" fontId="106" fillId="21" borderId="0" xfId="347" applyFont="1" applyFill="1" applyAlignment="1">
      <alignment vertical="top"/>
    </xf>
    <xf numFmtId="0" fontId="0" fillId="21" borderId="0" xfId="0" applyFill="1" applyAlignment="1">
      <alignment vertical="top"/>
    </xf>
    <xf numFmtId="0" fontId="107" fillId="21" borderId="0" xfId="0" applyFont="1" applyFill="1" applyAlignment="1">
      <alignment vertical="top"/>
    </xf>
    <xf numFmtId="0" fontId="108" fillId="21" borderId="0" xfId="0" applyFont="1" applyFill="1" applyAlignment="1">
      <alignment vertical="top"/>
    </xf>
    <xf numFmtId="0" fontId="108" fillId="21" borderId="0" xfId="0" applyFont="1" applyFill="1" applyAlignment="1">
      <alignment vertical="top"/>
    </xf>
    <xf numFmtId="0" fontId="107" fillId="21" borderId="0" xfId="0" applyFont="1" applyFill="1" applyAlignment="1">
      <alignment vertical="top"/>
    </xf>
    <xf numFmtId="0" fontId="0" fillId="21" borderId="0" xfId="0" applyFill="1" applyAlignment="1">
      <alignment vertical="top"/>
    </xf>
    <xf numFmtId="0" fontId="0" fillId="21" borderId="38" xfId="0" applyFill="1" applyBorder="1" applyAlignment="1">
      <alignment vertical="top"/>
    </xf>
    <xf numFmtId="0" fontId="107" fillId="21" borderId="34" xfId="0" applyFont="1" applyFill="1" applyBorder="1" applyAlignment="1">
      <alignment vertical="top"/>
    </xf>
    <xf numFmtId="0" fontId="107" fillId="21" borderId="35" xfId="0" applyFont="1" applyFill="1" applyBorder="1" applyAlignment="1">
      <alignment vertical="top"/>
    </xf>
    <xf numFmtId="0" fontId="107" fillId="21" borderId="36" xfId="0" applyFont="1" applyFill="1" applyBorder="1" applyAlignment="1">
      <alignment vertical="top"/>
    </xf>
    <xf numFmtId="0" fontId="107" fillId="21" borderId="37" xfId="0" applyFont="1" applyFill="1" applyBorder="1" applyAlignment="1">
      <alignment vertical="top"/>
    </xf>
    <xf numFmtId="9" fontId="107" fillId="21" borderId="34" xfId="0" applyNumberFormat="1" applyFont="1" applyFill="1" applyBorder="1" applyAlignment="1">
      <alignment vertical="top"/>
    </xf>
    <xf numFmtId="3" fontId="107" fillId="21" borderId="34" xfId="0" applyNumberFormat="1" applyFont="1" applyFill="1" applyBorder="1" applyAlignment="1">
      <alignment vertical="top"/>
    </xf>
    <xf numFmtId="0" fontId="0" fillId="21" borderId="39" xfId="0" applyFill="1" applyBorder="1" applyAlignment="1">
      <alignment vertical="top"/>
    </xf>
    <xf numFmtId="2" fontId="13" fillId="0" borderId="0" xfId="239" applyNumberFormat="1" applyAlignment="1">
      <alignment horizontal="left"/>
    </xf>
    <xf numFmtId="0" fontId="13" fillId="0" borderId="0" xfId="239" applyNumberFormat="1" applyAlignment="1">
      <alignment horizontal="left"/>
    </xf>
    <xf numFmtId="1" fontId="13" fillId="0" borderId="0" xfId="239" applyNumberFormat="1" applyAlignment="1">
      <alignment horizontal="left"/>
    </xf>
    <xf numFmtId="0" fontId="13" fillId="0" borderId="0" xfId="239" applyFont="1"/>
    <xf numFmtId="238" fontId="13" fillId="0" borderId="0" xfId="239" applyNumberFormat="1" applyAlignment="1">
      <alignment horizontal="left"/>
    </xf>
    <xf numFmtId="49" fontId="13" fillId="0" borderId="0" xfId="239" applyNumberFormat="1"/>
  </cellXfs>
  <cellStyles count="348">
    <cellStyle name="-" xfId="32"/>
    <cellStyle name="$ 1 decimal" xfId="33"/>
    <cellStyle name="$_AA - BenefitsBonus " xfId="34"/>
    <cellStyle name="%" xfId="35"/>
    <cellStyle name="% 2" xfId="36"/>
    <cellStyle name="% 2 2" xfId="37"/>
    <cellStyle name="% 3" xfId="38"/>
    <cellStyle name="% 3 2" xfId="39"/>
    <cellStyle name="% 3 2 2" xfId="40"/>
    <cellStyle name="% 3 3" xfId="41"/>
    <cellStyle name="% 4" xfId="42"/>
    <cellStyle name="******************************************" xfId="43"/>
    <cellStyle name="?Q\?1@" xfId="44"/>
    <cellStyle name="?Q\?1@ 2" xfId="45"/>
    <cellStyle name="_AA - BenefitsBonus " xfId="46"/>
    <cellStyle name="_AA - BenefitsBonus  2" xfId="47"/>
    <cellStyle name="_Comma_AA - BenefitsBonus " xfId="48"/>
    <cellStyle name="_Comma_AA - BenefitsBonus  2" xfId="49"/>
    <cellStyle name="_Currency_AA - BenefitsBonus " xfId="50"/>
    <cellStyle name="_Currency_AA - BenefitsBonus  2" xfId="51"/>
    <cellStyle name="_CurrencySpace_AA - BenefitsBonus " xfId="52"/>
    <cellStyle name="_CurrencySpace_AA - BenefitsBonus  2" xfId="53"/>
    <cellStyle name="_FACEBOOK_model" xfId="54"/>
    <cellStyle name="_FACEBOOK_model 2" xfId="55"/>
    <cellStyle name="_GOOG_model" xfId="56"/>
    <cellStyle name="_GOOG_model 2" xfId="57"/>
    <cellStyle name="—_GS_Cash " xfId="58"/>
    <cellStyle name="_MM_model" xfId="59"/>
    <cellStyle name="_MM_model 2" xfId="60"/>
    <cellStyle name="_MM_model 2 2" xfId="61"/>
    <cellStyle name="_MM_model 3" xfId="62"/>
    <cellStyle name="_MM_model 3 2" xfId="63"/>
    <cellStyle name="_MM_model 3 2 2" xfId="64"/>
    <cellStyle name="_MM_model 3 3" xfId="65"/>
    <cellStyle name="_MM_model 4" xfId="66"/>
    <cellStyle name="_Multiple_AA - BenefitsBonus " xfId="67"/>
    <cellStyle name="_Multiple_AA - BenefitsBonus  2" xfId="68"/>
    <cellStyle name="_MultipleSpace_AA - BenefitsBonus " xfId="69"/>
    <cellStyle name="_MultipleSpace_AA - BenefitsBonus  2" xfId="70"/>
    <cellStyle name="_Percent_AA - BenefitsBonus " xfId="71"/>
    <cellStyle name="_Percent_AA - BenefitsBonus  2" xfId="72"/>
    <cellStyle name="_PercentSpace_AA - BenefitsBonus " xfId="73"/>
    <cellStyle name="_PercentSpace_AA - BenefitsBonus  2" xfId="74"/>
    <cellStyle name="_PF Quarterly Financial Model " xfId="75"/>
    <cellStyle name="_RRS1" xfId="76"/>
    <cellStyle name="_RRS1 2" xfId="77"/>
    <cellStyle name="_RRS15" xfId="78"/>
    <cellStyle name="_RRS15 2" xfId="79"/>
    <cellStyle name="_RRS20" xfId="80"/>
    <cellStyle name="_RRS20 2" xfId="81"/>
    <cellStyle name="_RRS3" xfId="82"/>
    <cellStyle name="_RRS3 2" xfId="83"/>
    <cellStyle name="_RRS35" xfId="84"/>
    <cellStyle name="_RRS35 2" xfId="85"/>
    <cellStyle name="_RRS4" xfId="86"/>
    <cellStyle name="_RRS4 2" xfId="87"/>
    <cellStyle name="_RRS6" xfId="88"/>
    <cellStyle name="_RRS6 2" xfId="89"/>
    <cellStyle name="_SUMMARY " xfId="20"/>
    <cellStyle name="_SUMMARY  2" xfId="90"/>
    <cellStyle name="_SUMMARY  2 2" xfId="91"/>
    <cellStyle name="_SUMMARY  3" xfId="92"/>
    <cellStyle name="_SUMMARY  3 2" xfId="93"/>
    <cellStyle name="_SUMMARY  3 2 2" xfId="94"/>
    <cellStyle name="_SUMMARY  3 3" xfId="95"/>
    <cellStyle name="_SUMMARY _RRST1" xfId="96"/>
    <cellStyle name="_Wireline Tel Forecast " xfId="97"/>
    <cellStyle name="_Wireline Tel Forecast  2" xfId="98"/>
    <cellStyle name="’Ê‰Ý [0.00]_GE 3 MINIMUM" xfId="99"/>
    <cellStyle name="’Ê‰Ý_GE 3 MINIMUM" xfId="100"/>
    <cellStyle name="£ BP" xfId="101"/>
    <cellStyle name="¥ JY" xfId="102"/>
    <cellStyle name="=C:\WINNT35\SYSTEM32\COMMAND.COM" xfId="103"/>
    <cellStyle name="=C:\WINNT35\SYSTEM32\COMMAND.COM 2" xfId="104"/>
    <cellStyle name="=C:\WINNT35\SYSTEM32\COMMAND.COM 2 2" xfId="105"/>
    <cellStyle name="=C:\WINNT35\SYSTEM32\COMMAND.COM 3" xfId="106"/>
    <cellStyle name="=C:\WINNT35\SYSTEM32\COMMAND.COM 3 2" xfId="107"/>
    <cellStyle name="=C:\WINNT35\SYSTEM32\COMMAND.COM 3 2 2" xfId="108"/>
    <cellStyle name="=C:\WINNT35\SYSTEM32\COMMAND.COM 3 3" xfId="109"/>
    <cellStyle name="=C:\WINNT35\SYSTEM32\COMMAND.COM 4" xfId="110"/>
    <cellStyle name="•W€_Comparables" xfId="111"/>
    <cellStyle name="•W_GE 3 MINIMUM" xfId="112"/>
    <cellStyle name="0" xfId="113"/>
    <cellStyle name="0%" xfId="114"/>
    <cellStyle name="0% 2" xfId="115"/>
    <cellStyle name="0.0" xfId="116"/>
    <cellStyle name="0.0%" xfId="117"/>
    <cellStyle name="0.0_Book4" xfId="118"/>
    <cellStyle name="0.00" xfId="119"/>
    <cellStyle name="0.00%" xfId="120"/>
    <cellStyle name="0.00_Book4" xfId="121"/>
    <cellStyle name="0_Book4" xfId="122"/>
    <cellStyle name="0_Capex &amp; Depreciation " xfId="21"/>
    <cellStyle name="0_Capex &amp; Depreciation _RRST1" xfId="123"/>
    <cellStyle name="0_Capex &amp; Depreciation _RRST3" xfId="124"/>
    <cellStyle name="0_SmartChart_B1035" xfId="125"/>
    <cellStyle name="0_SmartChart_B1200" xfId="126"/>
    <cellStyle name="0_SmartChart_C1035" xfId="127"/>
    <cellStyle name="0_SmartChart_O1200" xfId="128"/>
    <cellStyle name="0_Valuing BP " xfId="22"/>
    <cellStyle name="0_Valuing BP _RRST1" xfId="129"/>
    <cellStyle name="0_Valuing BP _RRST3" xfId="130"/>
    <cellStyle name="0_Wireline Tel Forecast " xfId="131"/>
    <cellStyle name="1,comma" xfId="132"/>
    <cellStyle name="1,comma 2" xfId="133"/>
    <cellStyle name="3232" xfId="134"/>
    <cellStyle name="3232 2" xfId="135"/>
    <cellStyle name="752131" xfId="136"/>
    <cellStyle name="Acctg" xfId="137"/>
    <cellStyle name="ÅëÈ­ [0]_cover " xfId="138"/>
    <cellStyle name="ÅëÈ­_cover " xfId="139"/>
    <cellStyle name="ales" xfId="140"/>
    <cellStyle name="ÄÞ¸¶ [0]_cover " xfId="141"/>
    <cellStyle name="ÄÞ¸¶_cover " xfId="142"/>
    <cellStyle name="Band 2" xfId="143"/>
    <cellStyle name="bch" xfId="144"/>
    <cellStyle name="bci" xfId="145"/>
    <cellStyle name="Blue" xfId="146"/>
    <cellStyle name="Bold/Border" xfId="147"/>
    <cellStyle name="Bullet" xfId="148"/>
    <cellStyle name="c_HardInc " xfId="23"/>
    <cellStyle name="c_HardInc _RRST1" xfId="149"/>
    <cellStyle name="c_HardInc _RRST3" xfId="150"/>
    <cellStyle name="C￥AØ_¿μ¾÷CoE² " xfId="151"/>
    <cellStyle name="Ç¥ÁØ_cover " xfId="152"/>
    <cellStyle name="C05_Style E Text" xfId="153"/>
    <cellStyle name="cell" xfId="154"/>
    <cellStyle name="Cents" xfId="155"/>
    <cellStyle name="ch" xfId="156"/>
    <cellStyle name="Changeable" xfId="157"/>
    <cellStyle name="Colhead_left" xfId="158"/>
    <cellStyle name="ColumnHeadings" xfId="159"/>
    <cellStyle name="ColumnHeadings2" xfId="160"/>
    <cellStyle name="Comma" xfId="2" builtinId="3"/>
    <cellStyle name="Comma  - Style1" xfId="161"/>
    <cellStyle name="Comma  - Style2" xfId="162"/>
    <cellStyle name="Comma  - Style3" xfId="163"/>
    <cellStyle name="Comma  - Style4" xfId="164"/>
    <cellStyle name="Comma  - Style5" xfId="165"/>
    <cellStyle name="Comma  - Style6" xfId="166"/>
    <cellStyle name="Comma  - Style7" xfId="167"/>
    <cellStyle name="Comma  - Style8" xfId="168"/>
    <cellStyle name="comma (1)" xfId="4"/>
    <cellStyle name="comma (1) 2" xfId="169"/>
    <cellStyle name="comma (1)_DiscoveryCommunications WIP" xfId="170"/>
    <cellStyle name="Comma [1]" xfId="171"/>
    <cellStyle name="Comma 2" xfId="172"/>
    <cellStyle name="Comma 2 2" xfId="173"/>
    <cellStyle name="Comma 3" xfId="174"/>
    <cellStyle name="Comma 3 2" xfId="175"/>
    <cellStyle name="Comma 3 2 2" xfId="176"/>
    <cellStyle name="Comma 3 3" xfId="177"/>
    <cellStyle name="Comma 4" xfId="178"/>
    <cellStyle name="Comma 5" xfId="179"/>
    <cellStyle name="Comma 5 2" xfId="180"/>
    <cellStyle name="CommaU [0]" xfId="181"/>
    <cellStyle name="CommaU [1]" xfId="182"/>
    <cellStyle name="CommaU [2]" xfId="183"/>
    <cellStyle name="Comment" xfId="184"/>
    <cellStyle name="CompanyName" xfId="185"/>
    <cellStyle name="Currency (1)" xfId="5"/>
    <cellStyle name="Currency [1]" xfId="186"/>
    <cellStyle name="Currency 2" xfId="19"/>
    <cellStyle name="Currency 2 2" xfId="187"/>
    <cellStyle name="Currency 2 2 2" xfId="188"/>
    <cellStyle name="Currency 2 3" xfId="189"/>
    <cellStyle name="Currency 3" xfId="28"/>
    <cellStyle name="Currency 3 2" xfId="190"/>
    <cellStyle name="Currency 4" xfId="191"/>
    <cellStyle name="Currency 5" xfId="346"/>
    <cellStyle name="d_yield_AA - BenefitsBonus " xfId="192"/>
    <cellStyle name="d_yield_AA - BenefitsBonus  2" xfId="193"/>
    <cellStyle name="dah" xfId="194"/>
    <cellStyle name="dan" xfId="195"/>
    <cellStyle name="Dash" xfId="196"/>
    <cellStyle name="Date" xfId="197"/>
    <cellStyle name="Date2" xfId="198"/>
    <cellStyle name="Decimal" xfId="199"/>
    <cellStyle name="decimal 1" xfId="200"/>
    <cellStyle name="Decimal_Book4" xfId="201"/>
    <cellStyle name="Dollar" xfId="202"/>
    <cellStyle name="Dollars" xfId="203"/>
    <cellStyle name="Euro" xfId="204"/>
    <cellStyle name="Euro 2" xfId="205"/>
    <cellStyle name="Fail" xfId="10"/>
    <cellStyle name="FieldName" xfId="206"/>
    <cellStyle name="FiscalPeriod" xfId="11"/>
    <cellStyle name="Fixed" xfId="207"/>
    <cellStyle name="Footnote" xfId="208"/>
    <cellStyle name="Formula" xfId="209"/>
    <cellStyle name="g_rate_AA - BenefitsBonus " xfId="210"/>
    <cellStyle name="g_rate_AA - BenefitsBonus  2" xfId="211"/>
    <cellStyle name="G02 Table Text" xfId="212"/>
    <cellStyle name="G04_Main head" xfId="213"/>
    <cellStyle name="G05 Tab Head Bold" xfId="214"/>
    <cellStyle name="G05 Tab Head Bold 2" xfId="215"/>
    <cellStyle name="G05 Tab Head Light" xfId="216"/>
    <cellStyle name="G05 Tab Head Light 2" xfId="217"/>
    <cellStyle name="Green" xfId="218"/>
    <cellStyle name="Grey" xfId="219"/>
    <cellStyle name="hard no" xfId="220"/>
    <cellStyle name="hard no 2" xfId="221"/>
    <cellStyle name="Hard Percent_2005 TDS Mgmt Summaries MASTER " xfId="222"/>
    <cellStyle name="hardno" xfId="223"/>
    <cellStyle name="Header1" xfId="224"/>
    <cellStyle name="Header2" xfId="225"/>
    <cellStyle name="Hidden" xfId="12"/>
    <cellStyle name="Input [yellow]" xfId="226"/>
    <cellStyle name="InputBlueFont" xfId="227"/>
    <cellStyle name="Integer" xfId="228"/>
    <cellStyle name="KP_Normal" xfId="229"/>
    <cellStyle name="m_AA - BenefitsBonus " xfId="230"/>
    <cellStyle name="m_AA - BenefitsBonus  2" xfId="231"/>
    <cellStyle name="MetricLabel" xfId="13"/>
    <cellStyle name="MetricLabelBlue" xfId="14"/>
    <cellStyle name="MetricValue" xfId="15"/>
    <cellStyle name="Millares [0]_ " xfId="232"/>
    <cellStyle name="Millares_ " xfId="233"/>
    <cellStyle name="Moneda [0]_ " xfId="234"/>
    <cellStyle name="Moneda_ " xfId="235"/>
    <cellStyle name="MonthYears" xfId="236"/>
    <cellStyle name="no dec" xfId="237"/>
    <cellStyle name="Normal" xfId="0" builtinId="0"/>
    <cellStyle name="Normal - Style1" xfId="238"/>
    <cellStyle name="Normal 11" xfId="239"/>
    <cellStyle name="Normal 16" xfId="7"/>
    <cellStyle name="Normal 2" xfId="3"/>
    <cellStyle name="Normal 2 2" xfId="30"/>
    <cellStyle name="Normal 2 2 2" xfId="240"/>
    <cellStyle name="Normal 2 3" xfId="241"/>
    <cellStyle name="Normal 2 4" xfId="8"/>
    <cellStyle name="Normal 3" xfId="9"/>
    <cellStyle name="Normal 3 2" xfId="242"/>
    <cellStyle name="Normal 4" xfId="17"/>
    <cellStyle name="Normal 4 2" xfId="29"/>
    <cellStyle name="Normal 4 3" xfId="243"/>
    <cellStyle name="Normal 5" xfId="244"/>
    <cellStyle name="Normal 5 2" xfId="245"/>
    <cellStyle name="Normal 6" xfId="246"/>
    <cellStyle name="Normal 6 2" xfId="247"/>
    <cellStyle name="Normal 7" xfId="248"/>
    <cellStyle name="Normal 7 2" xfId="249"/>
    <cellStyle name="Normal 8" xfId="250"/>
    <cellStyle name="Normal 9" xfId="345"/>
    <cellStyle name="Normal Bold" xfId="251"/>
    <cellStyle name="Normal_DisclaimerSheet Samples" xfId="347"/>
    <cellStyle name="Note 2" xfId="252"/>
    <cellStyle name="Note 2 2" xfId="253"/>
    <cellStyle name="Note 3" xfId="254"/>
    <cellStyle name="Note 3 2" xfId="255"/>
    <cellStyle name="Note 3 2 2" xfId="256"/>
    <cellStyle name="Note 3 3" xfId="257"/>
    <cellStyle name="number" xfId="258"/>
    <cellStyle name="Œ…‹æØ‚è [0.00]_GE 3 MINIMUM" xfId="259"/>
    <cellStyle name="Œ…‹æØ‚è_GE 3 MINIMUM" xfId="260"/>
    <cellStyle name="Onedec_FT Valuation " xfId="261"/>
    <cellStyle name="orh" xfId="262"/>
    <cellStyle name="outh America" xfId="263"/>
    <cellStyle name="p " xfId="24"/>
    <cellStyle name="Pass" xfId="16"/>
    <cellStyle name="Percent" xfId="1" builtinId="5"/>
    <cellStyle name="Percent (1)" xfId="264"/>
    <cellStyle name="Percent [2]" xfId="265"/>
    <cellStyle name="Percent [2] 2" xfId="266"/>
    <cellStyle name="Percent 2" xfId="267"/>
    <cellStyle name="Percent 2 2" xfId="31"/>
    <cellStyle name="Percent 2 3" xfId="268"/>
    <cellStyle name="Percent 3" xfId="269"/>
    <cellStyle name="Percent 3 2" xfId="6"/>
    <cellStyle name="Percent 3 2 2" xfId="270"/>
    <cellStyle name="Percent 3 3" xfId="271"/>
    <cellStyle name="Percent 4" xfId="272"/>
    <cellStyle name="Percent 5" xfId="273"/>
    <cellStyle name="Percent 5 2" xfId="274"/>
    <cellStyle name="Percent 6" xfId="275"/>
    <cellStyle name="Percent[1]" xfId="276"/>
    <cellStyle name="ProtectedDates" xfId="277"/>
    <cellStyle name="q_AA - BenefitsBonus " xfId="278"/>
    <cellStyle name="RED" xfId="279"/>
    <cellStyle name="Restruct" xfId="280"/>
    <cellStyle name="rh" xfId="281"/>
    <cellStyle name="Right" xfId="282"/>
    <cellStyle name="RRSInstruction" xfId="18"/>
    <cellStyle name="RRSInstruction 2" xfId="283"/>
    <cellStyle name="s_DCFLBO Code_Wireline Tel Forecast " xfId="284"/>
    <cellStyle name="s_HardInc " xfId="25"/>
    <cellStyle name="s_HardInc _RRST1" xfId="285"/>
    <cellStyle name="s_HardInc _RRST3" xfId="286"/>
    <cellStyle name="s_Valuation " xfId="26"/>
    <cellStyle name="s_Valuation _RRST1" xfId="287"/>
    <cellStyle name="s_Valuation _RRST3" xfId="288"/>
    <cellStyle name="srh" xfId="289"/>
    <cellStyle name="ssp " xfId="27"/>
    <cellStyle name="Style 1" xfId="290"/>
    <cellStyle name="Style 1 2" xfId="291"/>
    <cellStyle name="Style 1 2 2" xfId="292"/>
    <cellStyle name="Style 1 3" xfId="293"/>
    <cellStyle name="Style 1 3 2" xfId="294"/>
    <cellStyle name="Style 1 3 2 2" xfId="295"/>
    <cellStyle name="Style 1 3 3" xfId="296"/>
    <cellStyle name="Style 1 4" xfId="297"/>
    <cellStyle name="Style 10" xfId="298"/>
    <cellStyle name="Style 11" xfId="299"/>
    <cellStyle name="Style 11 2" xfId="300"/>
    <cellStyle name="Style 12" xfId="301"/>
    <cellStyle name="Style 12 2" xfId="302"/>
    <cellStyle name="Style 2" xfId="303"/>
    <cellStyle name="Style 2 2" xfId="304"/>
    <cellStyle name="Style 2 2 2" xfId="305"/>
    <cellStyle name="Style 2 3" xfId="306"/>
    <cellStyle name="Style 2 3 2" xfId="307"/>
    <cellStyle name="Style 2 3 2 2" xfId="308"/>
    <cellStyle name="Style 2 3 3" xfId="309"/>
    <cellStyle name="Style 2 4" xfId="310"/>
    <cellStyle name="Style 3" xfId="311"/>
    <cellStyle name="Style 3 2" xfId="312"/>
    <cellStyle name="Style 4" xfId="313"/>
    <cellStyle name="Style 4 2" xfId="314"/>
    <cellStyle name="Style 4 2 2" xfId="315"/>
    <cellStyle name="Style 4 3" xfId="316"/>
    <cellStyle name="Style 4 3 2" xfId="317"/>
    <cellStyle name="Style 4 3 2 2" xfId="318"/>
    <cellStyle name="Style 4 3 3" xfId="319"/>
    <cellStyle name="Style 4 4" xfId="320"/>
    <cellStyle name="Style 5" xfId="321"/>
    <cellStyle name="Style 5 2" xfId="322"/>
    <cellStyle name="Style 6" xfId="323"/>
    <cellStyle name="Style 7" xfId="324"/>
    <cellStyle name="Style 7 2" xfId="325"/>
    <cellStyle name="Style 8" xfId="326"/>
    <cellStyle name="Style 9" xfId="327"/>
    <cellStyle name="Style 9 2" xfId="328"/>
    <cellStyle name="Subtotal_left" xfId="329"/>
    <cellStyle name="textbold" xfId="330"/>
    <cellStyle name="title1" xfId="331"/>
    <cellStyle name="title2" xfId="332"/>
    <cellStyle name="Titles" xfId="333"/>
    <cellStyle name="Top Line" xfId="334"/>
    <cellStyle name="Totals" xfId="335"/>
    <cellStyle name="underline 1 decimal" xfId="336"/>
    <cellStyle name="UnProtectedCalc" xfId="337"/>
    <cellStyle name="Upload Only" xfId="338"/>
    <cellStyle name="Year" xfId="339"/>
    <cellStyle name="Year 2" xfId="340"/>
    <cellStyle name="쬞\?1@" xfId="341"/>
    <cellStyle name="쬞\?1@ 2" xfId="342"/>
    <cellStyle name="콤마 [0]_ 2팀층별 " xfId="343"/>
    <cellStyle name="콤마_ 2팀층별 " xfId="344"/>
  </cellStyles>
  <dxfs count="0"/>
  <tableStyles count="0" defaultTableStyle="TableStyleMedium2" defaultPivotStyle="PivotStyleLight16"/>
  <colors>
    <mruColors>
      <color rgb="FF0000FF"/>
      <color rgb="FF137CB1"/>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v>-185.8</v>
        <stp/>
        <stp>7a662957-0112-49b7-be13-8627ba23c1a6</stp>
        <tr r="F23" s="20"/>
      </tp>
      <tp>
        <v>-749.1</v>
        <stp/>
        <stp>7872be41-f46a-4c5a-8601-31310f77a514</stp>
        <tr r="M23" s="20"/>
      </tp>
      <tp t="s">
        <v>-$0.15</v>
        <stp/>
        <stp>ff483660-165d-43c9-a5d0-67eb0ac6ab0a</stp>
        <tr r="E25" s="20"/>
      </tp>
      <tp>
        <v>0.36</v>
        <stp/>
        <stp>564451e5-5b3f-44f0-b2f2-b8064f01d0b6</stp>
        <tr r="J22" s="20"/>
      </tp>
      <tp>
        <v>0.14499999999999999</v>
        <stp/>
        <stp>8f1d6929-d739-4b80-a438-0100b7ab349b</stp>
        <tr r="M22" s="20"/>
      </tp>
      <tp>
        <v>-187.5</v>
        <stp/>
        <stp>36511fc6-6bf8-4e52-8999-fd8106aa5304</stp>
        <tr r="D23" s="20"/>
      </tp>
      <tp>
        <v>0.251</v>
        <stp/>
        <stp>3537189d-c730-4083-bf4f-8bddad706c4f</stp>
        <tr r="E22" s="20"/>
      </tp>
      <tp>
        <v>336.5</v>
        <stp/>
        <stp>884bca50-a89d-4aa7-8ab9-090438020ac0</stp>
        <tr r="J20" s="20"/>
      </tp>
      <tp>
        <v>-325.3</v>
        <stp/>
        <stp>b70d7791-a3f0-4d18-8220-2dd122ff73a3</stp>
        <tr r="O23" s="20"/>
      </tp>
      <tp t="s">
        <v>-$0.38</v>
        <stp/>
        <stp>69cbc656-fb9d-44b5-94d4-62adf2b1365d</stp>
        <tr r="O25" s="20"/>
      </tp>
      <tp>
        <v>0.47600000000000003</v>
        <stp/>
        <stp>28235cea-4ac1-47c4-8a44-a6682b9b9570</stp>
        <tr r="K22" s="20"/>
      </tp>
      <tp t="s">
        <v>-$0.15</v>
        <stp/>
        <stp>59dd0ad2-b8fc-4a11-9a54-2ddb8fee7246</stp>
        <tr r="I25" s="20"/>
      </tp>
      <tp>
        <v>0.60699999999999998</v>
        <stp/>
        <stp>69b3fdd8-740d-4407-bf5a-2df107ab4453</stp>
        <tr r="P22" s="20"/>
      </tp>
      <tp t="s">
        <v>-$0.65</v>
        <stp/>
        <stp>f2bb6096-f61d-4966-8cb1-99e9aee77c22</stp>
        <tr r="M25" s="20"/>
      </tp>
      <tp>
        <v>-604</v>
        <stp/>
        <stp>be3c7b76-274f-41a8-9699-db105b993448</stp>
        <tr r="N23" s="20"/>
      </tp>
      <tp t="s">
        <v>-$0.10</v>
        <stp/>
        <stp>83f60343-07a9-4d26-a952-85a31b2e2d9c</stp>
        <tr r="K25" s="20"/>
      </tp>
      <tp>
        <v>-192.1</v>
        <stp/>
        <stp>02fe93fb-7ddc-4f06-97f8-2811392bffe4</stp>
        <tr r="H23" s="20"/>
      </tp>
      <tp>
        <v>0.51900000000000002</v>
        <stp/>
        <stp>012dce17-57d0-4552-93f8-7a0c9a25474a</stp>
        <tr r="O22" s="20"/>
      </tp>
      <tp>
        <v>-191.9</v>
        <stp/>
        <stp>b7361857-4320-4602-8a90-0612c233c735</stp>
        <tr r="E23" s="20"/>
      </tp>
      <tp>
        <v>252.9</v>
        <stp/>
        <stp>0fc125ee-4a84-4725-802e-15631d35f5ed</stp>
        <tr r="F20" s="20"/>
      </tp>
      <tp t="s">
        <v>-$0.06</v>
        <stp/>
        <stp>c7fbff67-5045-454e-859d-64a9090cc034</stp>
        <tr r="P25" s="20"/>
      </tp>
      <tp>
        <v>-171.4</v>
        <stp/>
        <stp>5ce4a50a-cd61-4e04-ba91-b4ba506eb9d5</stp>
        <tr r="I23" s="20"/>
      </tp>
      <tp>
        <v>2001.5</v>
        <stp/>
        <stp>9c614ef6-81ff-4d57-8958-5906a71557c6</stp>
        <tr r="O20" s="20"/>
      </tp>
      <tp t="s">
        <v>-$0.19</v>
        <stp/>
        <stp>b05109e4-db33-4bb7-a1f1-188b0de23f51</stp>
        <tr r="C25" s="20"/>
      </tp>
      <tp t="s">
        <v>-$0.16</v>
        <stp/>
        <stp>1ee07104-72e5-45f3-b825-661b276ebeb5</stp>
        <tr r="F25" s="20"/>
      </tp>
      <tp>
        <v>-5.0000000000000001E-3</v>
        <stp/>
        <stp>626766b3-f12c-412d-89ec-6ac9ca346d65</stp>
        <tr r="C22" s="20"/>
      </tp>
      <tp>
        <v>29.3</v>
        <stp/>
        <stp>3367ea55-5804-4eb4-a3b9-e18e1b06de74</stp>
        <tr r="P23" s="20"/>
      </tp>
      <tp>
        <v>1321.3</v>
        <stp/>
        <stp>80223bc9-3e14-4fdf-b805-7a60a8a1463d</stp>
        <tr r="N20" s="20"/>
      </tp>
      <tp>
        <v>0.37799999999999995</v>
        <stp/>
        <stp>5673e304-e30c-4d84-80cc-1715aa4e0819</stp>
        <tr r="N22" s="20"/>
      </tp>
      <tp t="s">
        <v>-$0.17</v>
        <stp/>
        <stp>9dd655b4-b226-4763-b6b0-6bdb38755adb</stp>
        <tr r="H25" s="20"/>
      </tp>
      <tp>
        <v>2895.3</v>
        <stp/>
        <stp>47552afc-5f42-46d9-ac76-127b642b113e</stp>
        <tr r="P20" s="20"/>
      </tp>
      <tp>
        <v>243.6</v>
        <stp/>
        <stp>413fc210-f5d7-43de-8b7b-f7219c341805</stp>
        <tr r="H20" s="20"/>
      </tp>
      <tp>
        <v>-149.19999999999999</v>
        <stp/>
        <stp>59d35398-1b6b-4aff-ad68-3ff3cf859004</stp>
        <tr r="J23" s="20"/>
      </tp>
      <tp>
        <v>0.255</v>
        <stp/>
        <stp>df1002d3-7dbc-40c3-9293-991472781997</stp>
        <tr r="H22" s="20"/>
      </tp>
      <tp>
        <v>0.14199999999999999</v>
        <stp/>
        <stp>ef108297-5bb5-4725-8128-f1fdb81b8343</stp>
        <tr r="D22" s="20"/>
      </tp>
      <tp>
        <v>237.8</v>
        <stp/>
        <stp>9e9432f1-ba3b-47e4-9392-ca12c7083368</stp>
        <tr r="E20" s="20"/>
      </tp>
      <tp>
        <v>443.8</v>
        <stp/>
        <stp>199d050d-228b-490a-8f0f-b15e24abe43c</stp>
        <tr r="K20" s="20"/>
      </tp>
      <tp>
        <v>-179.4</v>
        <stp/>
        <stp>ce47126e-e0c3-471f-b601-069bb9035567</stp>
        <tr r="C23" s="20"/>
      </tp>
      <tp t="s">
        <v>-$0.13</v>
        <stp/>
        <stp>bf79e463-ed77-49a7-a5a2-ee50a94cebb8</stp>
        <tr r="J25" s="20"/>
      </tp>
      <tp t="s">
        <v>-$0.55</v>
        <stp/>
        <stp>a69238d1-3ffa-4208-9393-ef066d574a23</stp>
        <tr r="N25" s="20"/>
      </tp>
      <tp>
        <v>186.2</v>
        <stp/>
        <stp>0fd08548-c9b3-435a-8365-6fef92fb6c4c</stp>
        <tr r="D20" s="20"/>
      </tp>
      <tp t="s">
        <v>-$0.14</v>
        <stp/>
        <stp>1c59e4e7-3854-404c-b947-f192439aaa27</stp>
        <tr r="D25" s="20"/>
      </tp>
      <tp>
        <v>0.34299999999999997</v>
        <stp/>
        <stp>9a5254de-5ff1-43f0-91c1-9e28e1e1e677</stp>
        <tr r="I22" s="20"/>
      </tp>
      <tp>
        <v>252.9</v>
        <stp/>
        <stp>e65585fb-982b-439f-b496-d46983ed231f</stp>
        <tr r="C20" s="20"/>
      </tp>
      <tp>
        <v>791.7</v>
        <stp/>
        <stp>9aac799d-29b3-4525-9b0e-a813c6f1b5f4</stp>
        <tr r="M20" s="20"/>
      </tp>
      <tp>
        <v>0.24399999999999999</v>
        <stp/>
        <stp>c37ebe52-426c-47ba-abeb-7d17b4c49c4e</stp>
        <tr r="F22" s="20"/>
      </tp>
      <tp>
        <v>292.7</v>
        <stp/>
        <stp>fc16be0f-5cd4-4e1e-bb16-460435bcb204</stp>
        <tr r="I20" s="20"/>
      </tp>
      <tp>
        <v>-99.4</v>
        <stp/>
        <stp>a33b6d4f-d998-461f-a129-091259fb500c</stp>
        <tr r="K23" s="20"/>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theme/theme1.xml" Type="http://schemas.openxmlformats.org/officeDocument/2006/relationships/theme"/>
<Relationship Id="rId14" Target="styles.xml" Type="http://schemas.openxmlformats.org/officeDocument/2006/relationships/styles"/>
<Relationship Id="rId15" Target="sharedStrings.xml" Type="http://schemas.openxmlformats.org/officeDocument/2006/relationships/sharedStrings"/>
<Relationship Id="rId16" Target="calcChain.xml" Type="http://schemas.openxmlformats.org/officeDocument/2006/relationships/calcChain"/>
<Relationship Id="rId17" Target="volatileDependencies.xml" Type="http://schemas.openxmlformats.org/officeDocument/2006/relationships/volatileDependencies"/>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320" b="0" i="0" u="none" strike="noStrike" baseline="0">
                <a:solidFill>
                  <a:srgbClr val="333333"/>
                </a:solidFill>
                <a:latin typeface="Arial"/>
                <a:ea typeface="Arial"/>
                <a:cs typeface="Arial"/>
              </a:defRPr>
            </a:pPr>
            <a:r>
              <a:rPr lang="en-US"/>
              <a:t>Morgan Stanley Research vs Consensus Estimates</a:t>
            </a:r>
          </a:p>
        </c:rich>
      </c:tx>
      <c:layout>
        <c:manualLayout>
          <c:xMode val="edge"/>
          <c:yMode val="edge"/>
          <c:x val="0"/>
          <c:y val="0"/>
        </c:manualLayout>
      </c:layout>
      <c:overlay val="0"/>
      <c:spPr>
        <a:noFill/>
        <a:ln w="25400">
          <a:noFill/>
        </a:ln>
        <a:extLst>
          <a:ext uri="{909E8E84-426E-40DD-AFC4-6F175D3DCCD1}">
            <a14:hiddenFill xmlns:a14="http://schemas.microsoft.com/office/drawing/2010/main">
              <a:noFill/>
            </a14:hiddenFill>
          </a:ext>
        </a:extLst>
      </c:spPr>
    </c:title>
    <c:autoTitleDeleted val="0"/>
    <c:plotArea>
      <c:layout>
        <c:manualLayout>
          <c:xMode val="edge"/>
          <c:yMode val="edge"/>
          <c:x val="2.0410753937546611E-3"/>
          <c:y val="0.10551786326031572"/>
          <c:w val="0.98642691219380463"/>
          <c:h val="0.77461569054240254"/>
        </c:manualLayout>
      </c:layout>
      <c:barChart>
        <c:barDir val="col"/>
        <c:grouping val="clustered"/>
        <c:varyColors val="0"/>
        <c:ser>
          <c:idx val="0"/>
          <c:order val="0"/>
          <c:tx>
            <c:strRef>
              <c:f>'MS v Con'!$B$29</c:f>
              <c:strCache>
                <c:ptCount val="1"/>
                <c:pt idx="0">
                  <c:v>Revenue</c:v>
                </c:pt>
              </c:strCache>
            </c:strRef>
          </c:tx>
          <c:spPr>
            <a:solidFill>
              <a:srgbClr val="137CB1"/>
            </a:solidFill>
            <a:ln w="25400">
              <a:noFill/>
            </a:ln>
          </c:spPr>
          <c:invertIfNegative val="0"/>
          <c:dLbls>
            <c:txPr>
              <a:bodyPr/>
              <a:lstStyle/>
              <a:p>
                <a:pPr>
                  <a:defRPr sz="1100" b="0" i="0" u="none" strike="noStrike" baseline="0">
                    <a:solidFill>
                      <a:srgbClr val="333333"/>
                    </a:solidFill>
                    <a:latin typeface="Arial"/>
                    <a:ea typeface="Arial"/>
                    <a:cs typeface="Arial"/>
                  </a:defRPr>
                </a:pPr>
                <a:endParaRPr lang="en-US"/>
              </a:p>
            </c:txPr>
            <c:dLblPos val="outEnd"/>
            <c:showLegendKey val="0"/>
            <c:showVal val="1"/>
            <c:showCatName val="0"/>
            <c:showSerName val="0"/>
            <c:showPercent val="0"/>
            <c:showBubbleSize val="0"/>
            <c:showLeaderLines val="0"/>
          </c:dLbls>
          <c:cat>
            <c:strRef>
              <c:f>'MS v Con'!$M$27:$O$27</c:f>
              <c:strCache>
                <c:ptCount val="3"/>
                <c:pt idx="0">
                  <c:v>2017</c:v>
                </c:pt>
                <c:pt idx="1">
                  <c:v>2018</c:v>
                </c:pt>
                <c:pt idx="2">
                  <c:v>2019</c:v>
                </c:pt>
              </c:strCache>
            </c:strRef>
          </c:cat>
          <c:val>
            <c:numRef>
              <c:f>'MS v Con'!$M$29:$O$29</c:f>
              <c:numCache>
                <c:formatCode>0%</c:formatCode>
                <c:ptCount val="3"/>
                <c:pt idx="0">
                  <c:v>4.1996968548692573E-2</c:v>
                </c:pt>
                <c:pt idx="1">
                  <c:v>-6.2816922727616398E-3</c:v>
                </c:pt>
                <c:pt idx="2">
                  <c:v>-1.6055562566641351E-2</c:v>
                </c:pt>
              </c:numCache>
            </c:numRef>
          </c:val>
        </c:ser>
        <c:dLbls>
          <c:showLegendKey val="0"/>
          <c:showVal val="0"/>
          <c:showCatName val="0"/>
          <c:showSerName val="0"/>
          <c:showPercent val="0"/>
          <c:showBubbleSize val="0"/>
        </c:dLbls>
        <c:gapWidth val="60"/>
        <c:axId val="601778816"/>
        <c:axId val="633459072"/>
      </c:barChart>
      <c:catAx>
        <c:axId val="601778816"/>
        <c:scaling>
          <c:orientation val="minMax"/>
        </c:scaling>
        <c:delete val="0"/>
        <c:axPos val="b"/>
        <c:numFmt formatCode="General" sourceLinked="1"/>
        <c:majorTickMark val="none"/>
        <c:minorTickMark val="none"/>
        <c:tickLblPos val="low"/>
        <c:spPr>
          <a:ln w="12700">
            <a:solidFill>
              <a:srgbClr val="808080"/>
            </a:solidFill>
            <a:prstDash val="solid"/>
          </a:ln>
        </c:spPr>
        <c:txPr>
          <a:bodyPr rot="0" vert="horz"/>
          <a:lstStyle/>
          <a:p>
            <a:pPr>
              <a:defRPr sz="1100" b="0" i="0" u="none" strike="noStrike" baseline="0">
                <a:solidFill>
                  <a:srgbClr val="333333"/>
                </a:solidFill>
                <a:latin typeface="Arial"/>
                <a:ea typeface="Arial"/>
                <a:cs typeface="Arial"/>
              </a:defRPr>
            </a:pPr>
            <a:endParaRPr lang="en-US"/>
          </a:p>
        </c:txPr>
        <c:crossAx val="633459072"/>
        <c:crosses val="autoZero"/>
        <c:auto val="1"/>
        <c:lblAlgn val="ctr"/>
        <c:lblOffset val="100"/>
        <c:tickLblSkip val="1"/>
        <c:tickMarkSkip val="1"/>
        <c:noMultiLvlLbl val="0"/>
      </c:catAx>
      <c:valAx>
        <c:axId val="633459072"/>
        <c:scaling>
          <c:orientation val="minMax"/>
        </c:scaling>
        <c:delete val="0"/>
        <c:axPos val="l"/>
        <c:numFmt formatCode="0%" sourceLinked="1"/>
        <c:majorTickMark val="none"/>
        <c:minorTickMark val="none"/>
        <c:tickLblPos val="nextTo"/>
        <c:spPr>
          <a:ln w="9525">
            <a:noFill/>
          </a:ln>
        </c:spPr>
        <c:txPr>
          <a:bodyPr rot="0" vert="horz"/>
          <a:lstStyle/>
          <a:p>
            <a:pPr>
              <a:defRPr sz="1100" b="0" i="0" u="none" strike="noStrike" baseline="0">
                <a:solidFill>
                  <a:srgbClr val="333333"/>
                </a:solidFill>
                <a:latin typeface="Arial"/>
                <a:ea typeface="Arial"/>
                <a:cs typeface="Arial"/>
              </a:defRPr>
            </a:pPr>
            <a:endParaRPr lang="en-US"/>
          </a:p>
        </c:txPr>
        <c:crossAx val="601778816"/>
        <c:crosses val="autoZero"/>
        <c:crossBetween val="between"/>
      </c:valAx>
      <c:spPr>
        <a:noFill/>
        <a:ln w="25400">
          <a:noFill/>
        </a:ln>
      </c:spPr>
    </c:plotArea>
    <c:legend>
      <c:legendPos val="r"/>
      <c:layout>
        <c:manualLayout>
          <c:xMode val="edge"/>
          <c:yMode val="edge"/>
          <c:x val="8.4033613445378148E-3"/>
          <c:y val="0.90647506561679791"/>
          <c:w val="0.91596709234875051"/>
          <c:h val="7.1942548848060617E-2"/>
        </c:manualLayout>
      </c:layout>
      <c:overlay val="0"/>
      <c:spPr>
        <a:noFill/>
        <a:ln w="25400">
          <a:noFill/>
        </a:ln>
        <a:extLst>
          <a:ext uri="{909E8E84-426E-40DD-AFC4-6F175D3DCCD1}">
            <a14:hiddenFill xmlns:a14="http://schemas.microsoft.com/office/drawing/2010/main">
              <a:noFill/>
            </a14:hiddenFill>
          </a:ext>
        </a:extLst>
      </c:spPr>
      <c:txPr>
        <a:bodyPr/>
        <a:lstStyle/>
        <a:p>
          <a:pPr>
            <a:defRPr sz="1100" b="0" i="0" u="none" strike="noStrike" baseline="0">
              <a:solidFill>
                <a:srgbClr val="333333"/>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100" b="0" i="0" u="none" strike="noStrike" baseline="0">
          <a:solidFill>
            <a:srgbClr val="333333"/>
          </a:solidFill>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320" b="0" i="0" u="none" strike="noStrike" baseline="0">
                <a:solidFill>
                  <a:srgbClr val="333333"/>
                </a:solidFill>
                <a:latin typeface="Arial"/>
                <a:ea typeface="Arial"/>
                <a:cs typeface="Arial"/>
              </a:defRPr>
            </a:pPr>
            <a:r>
              <a:rPr lang="en-US"/>
              <a:t>Morgan Stanley Research vs Consensus Estimates</a:t>
            </a:r>
          </a:p>
        </c:rich>
      </c:tx>
      <c:layout>
        <c:manualLayout>
          <c:xMode val="edge"/>
          <c:yMode val="edge"/>
          <c:x val="0"/>
          <c:y val="0"/>
        </c:manualLayout>
      </c:layout>
      <c:overlay val="0"/>
      <c:spPr>
        <a:noFill/>
        <a:ln w="25400">
          <a:noFill/>
        </a:ln>
        <a:extLst>
          <a:ext uri="{909E8E84-426E-40DD-AFC4-6F175D3DCCD1}">
            <a14:hiddenFill xmlns:a14="http://schemas.microsoft.com/office/drawing/2010/main">
              <a:noFill/>
            </a14:hiddenFill>
          </a:ext>
        </a:extLst>
      </c:spPr>
    </c:title>
    <c:autoTitleDeleted val="0"/>
    <c:plotArea>
      <c:layout>
        <c:manualLayout>
          <c:xMode val="edge"/>
          <c:yMode val="edge"/>
          <c:x val="2.0410753937546611E-3"/>
          <c:y val="0.10551786326031572"/>
          <c:w val="0.98642691219380463"/>
          <c:h val="0.77461569054240254"/>
        </c:manualLayout>
      </c:layout>
      <c:barChart>
        <c:barDir val="col"/>
        <c:grouping val="clustered"/>
        <c:varyColors val="0"/>
        <c:ser>
          <c:idx val="0"/>
          <c:order val="0"/>
          <c:tx>
            <c:strRef>
              <c:f>'MS v Con'!$I$38</c:f>
              <c:strCache>
                <c:ptCount val="1"/>
              </c:strCache>
            </c:strRef>
          </c:tx>
          <c:spPr>
            <a:solidFill>
              <a:schemeClr val="accent2"/>
            </a:solidFill>
            <a:ln w="25400">
              <a:noFill/>
            </a:ln>
          </c:spPr>
          <c:invertIfNegative val="0"/>
          <c:dLbls>
            <c:txPr>
              <a:bodyPr/>
              <a:lstStyle/>
              <a:p>
                <a:pPr>
                  <a:defRPr sz="1100" b="0" i="0" u="none" strike="noStrike" baseline="0">
                    <a:solidFill>
                      <a:srgbClr val="333333"/>
                    </a:solidFill>
                    <a:latin typeface="Arial"/>
                    <a:ea typeface="Arial"/>
                    <a:cs typeface="Arial"/>
                  </a:defRPr>
                </a:pPr>
                <a:endParaRPr lang="en-US"/>
              </a:p>
            </c:txPr>
            <c:dLblPos val="outEnd"/>
            <c:showLegendKey val="0"/>
            <c:showVal val="1"/>
            <c:showCatName val="0"/>
            <c:showSerName val="0"/>
            <c:showPercent val="0"/>
            <c:showBubbleSize val="0"/>
            <c:showLeaderLines val="0"/>
          </c:dLbls>
          <c:cat>
            <c:numRef>
              <c:f>'MS v Con'!$J$37:$L$37</c:f>
              <c:numCache>
                <c:formatCode>m/d/yyyy</c:formatCode>
                <c:ptCount val="3"/>
              </c:numCache>
            </c:numRef>
          </c:cat>
          <c:val>
            <c:numRef>
              <c:f>'MS v Con'!$J$38:$L$38</c:f>
              <c:numCache>
                <c:formatCode>0%</c:formatCode>
                <c:ptCount val="3"/>
              </c:numCache>
            </c:numRef>
          </c:val>
        </c:ser>
        <c:dLbls>
          <c:showLegendKey val="0"/>
          <c:showVal val="0"/>
          <c:showCatName val="0"/>
          <c:showSerName val="0"/>
          <c:showPercent val="0"/>
          <c:showBubbleSize val="0"/>
        </c:dLbls>
        <c:gapWidth val="60"/>
        <c:axId val="601699072"/>
        <c:axId val="601700608"/>
      </c:barChart>
      <c:catAx>
        <c:axId val="601699072"/>
        <c:scaling>
          <c:orientation val="minMax"/>
        </c:scaling>
        <c:delete val="0"/>
        <c:axPos val="b"/>
        <c:numFmt formatCode="m/d/yyyy" sourceLinked="1"/>
        <c:majorTickMark val="none"/>
        <c:minorTickMark val="none"/>
        <c:tickLblPos val="low"/>
        <c:spPr>
          <a:ln w="12700">
            <a:solidFill>
              <a:srgbClr val="808080"/>
            </a:solidFill>
            <a:prstDash val="solid"/>
          </a:ln>
        </c:spPr>
        <c:txPr>
          <a:bodyPr rot="0" vert="horz"/>
          <a:lstStyle/>
          <a:p>
            <a:pPr>
              <a:defRPr sz="1100" b="0" i="0" u="none" strike="noStrike" baseline="0">
                <a:solidFill>
                  <a:srgbClr val="333333"/>
                </a:solidFill>
                <a:latin typeface="Arial"/>
                <a:ea typeface="Arial"/>
                <a:cs typeface="Arial"/>
              </a:defRPr>
            </a:pPr>
            <a:endParaRPr lang="en-US"/>
          </a:p>
        </c:txPr>
        <c:crossAx val="601700608"/>
        <c:crosses val="autoZero"/>
        <c:auto val="1"/>
        <c:lblAlgn val="ctr"/>
        <c:lblOffset val="100"/>
        <c:tickLblSkip val="1"/>
        <c:tickMarkSkip val="1"/>
        <c:noMultiLvlLbl val="0"/>
      </c:catAx>
      <c:valAx>
        <c:axId val="601700608"/>
        <c:scaling>
          <c:orientation val="minMax"/>
        </c:scaling>
        <c:delete val="0"/>
        <c:axPos val="l"/>
        <c:numFmt formatCode="0%" sourceLinked="1"/>
        <c:majorTickMark val="none"/>
        <c:minorTickMark val="none"/>
        <c:tickLblPos val="nextTo"/>
        <c:spPr>
          <a:ln w="9525">
            <a:noFill/>
          </a:ln>
        </c:spPr>
        <c:txPr>
          <a:bodyPr rot="0" vert="horz"/>
          <a:lstStyle/>
          <a:p>
            <a:pPr>
              <a:defRPr sz="1100" b="0" i="0" u="none" strike="noStrike" baseline="0">
                <a:solidFill>
                  <a:srgbClr val="333333"/>
                </a:solidFill>
                <a:latin typeface="Arial"/>
                <a:ea typeface="Arial"/>
                <a:cs typeface="Arial"/>
              </a:defRPr>
            </a:pPr>
            <a:endParaRPr lang="en-US"/>
          </a:p>
        </c:txPr>
        <c:crossAx val="601699072"/>
        <c:crosses val="autoZero"/>
        <c:crossBetween val="between"/>
      </c:valAx>
      <c:spPr>
        <a:noFill/>
        <a:ln w="25400">
          <a:noFill/>
        </a:ln>
      </c:spPr>
    </c:plotArea>
    <c:legend>
      <c:legendPos val="b"/>
      <c:overlay val="0"/>
      <c:spPr>
        <a:noFill/>
        <a:ln w="25400">
          <a:noFill/>
        </a:ln>
        <a:extLst>
          <a:ext uri="{909E8E84-426E-40DD-AFC4-6F175D3DCCD1}">
            <a14:hiddenFill xmlns:a14="http://schemas.microsoft.com/office/drawing/2010/main">
              <a:noFill/>
            </a14:hiddenFill>
          </a:ext>
        </a:extLst>
      </c:spPr>
      <c:txPr>
        <a:bodyPr/>
        <a:lstStyle/>
        <a:p>
          <a:pPr>
            <a:defRPr sz="1100" b="0" i="0" u="none" strike="noStrike" baseline="0">
              <a:solidFill>
                <a:srgbClr val="333333"/>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100" b="0" i="0" u="none" strike="noStrike" baseline="0">
          <a:solidFill>
            <a:srgbClr val="333333"/>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charts/chart1.xml" Type="http://schemas.openxmlformats.org/officeDocument/2006/relationships/chart"/>
<Relationship Id="rId2" Target="../charts/chart2.xml" Type="http://schemas.openxmlformats.org/officeDocument/2006/relationships/chart"/>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168</xdr:row>
      <xdr:rowOff>0</xdr:rowOff>
    </xdr:from>
    <xdr:to>
      <xdr:col>7</xdr:col>
      <xdr:colOff>390525</xdr:colOff>
      <xdr:row>188</xdr:row>
      <xdr:rowOff>19050</xdr:rowOff>
    </xdr:to>
    <xdr:pic>
      <xdr:nvPicPr>
        <xdr:cNvPr id="60417" name="Picture 1" descr="C:\Users\alaxandw\AppData\Local\Temp\MercuryPriceRatingHistoryChart\SNAP.N_2018_04_19_01_20_35.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06052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17</xdr:col>
      <xdr:colOff>57150</xdr:colOff>
      <xdr:row>8</xdr:row>
      <xdr:rowOff>38100</xdr:rowOff>
    </xdr:from>
    <xdr:to>
      <xdr:col>25</xdr:col>
      <xdr:colOff>9525</xdr:colOff>
      <xdr:row>32</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34</xdr:row>
      <xdr:rowOff>0</xdr:rowOff>
    </xdr:from>
    <xdr:to>
      <xdr:col>24</xdr:col>
      <xdr:colOff>664679</xdr:colOff>
      <xdr:row>57</xdr:row>
      <xdr:rowOff>91109</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Research">
      <a:dk1>
        <a:sysClr val="windowText" lastClr="000000"/>
      </a:dk1>
      <a:lt1>
        <a:sysClr val="window" lastClr="FFFFFF"/>
      </a:lt1>
      <a:dk2>
        <a:srgbClr val="003366"/>
      </a:dk2>
      <a:lt2>
        <a:srgbClr val="C6D9E2"/>
      </a:lt2>
      <a:accent1>
        <a:srgbClr val="137CB1"/>
      </a:accent1>
      <a:accent2>
        <a:srgbClr val="EACC80"/>
      </a:accent2>
      <a:accent3>
        <a:srgbClr val="4AAC6B"/>
      </a:accent3>
      <a:accent4>
        <a:srgbClr val="A8D7E2"/>
      </a:accent4>
      <a:accent5>
        <a:srgbClr val="E58061"/>
      </a:accent5>
      <a:accent6>
        <a:srgbClr val="BCE3A1"/>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6.vml" Type="http://schemas.openxmlformats.org/officeDocument/2006/relationships/vmlDrawing"/>
<Relationship Id="rId3" Target="../comments6.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385"/>
  <sheetViews>
    <sheetView showGridLines="0" tabSelected="1" workbookViewId="0">
      <selection activeCell="Z1" sqref="Z1"/>
    </sheetView>
  </sheetViews>
  <sheetFormatPr defaultRowHeight="12.75"/>
  <cols>
    <col min="1" max="1" width="25.7109375" style="699" customWidth="1"/>
    <col min="2" max="5" width="9.140625" style="699"/>
    <col min="6" max="6" width="18.7109375" style="699" customWidth="1"/>
    <col min="7" max="256" width="9.140625" style="699"/>
    <col min="257" max="257" width="100.7109375" style="699" customWidth="1"/>
    <col min="258" max="512" width="9.140625" style="699"/>
    <col min="513" max="513" width="100.7109375" style="699" customWidth="1"/>
    <col min="514" max="768" width="9.140625" style="699"/>
    <col min="769" max="769" width="100.7109375" style="699" customWidth="1"/>
    <col min="770" max="1024" width="9.140625" style="699"/>
    <col min="1025" max="1025" width="100.7109375" style="699" customWidth="1"/>
    <col min="1026" max="1280" width="9.140625" style="699"/>
    <col min="1281" max="1281" width="100.7109375" style="699" customWidth="1"/>
    <col min="1282" max="1536" width="9.140625" style="699"/>
    <col min="1537" max="1537" width="100.7109375" style="699" customWidth="1"/>
    <col min="1538" max="1792" width="9.140625" style="699"/>
    <col min="1793" max="1793" width="100.7109375" style="699" customWidth="1"/>
    <col min="1794" max="2048" width="9.140625" style="699"/>
    <col min="2049" max="2049" width="100.7109375" style="699" customWidth="1"/>
    <col min="2050" max="2304" width="9.140625" style="699"/>
    <col min="2305" max="2305" width="100.7109375" style="699" customWidth="1"/>
    <col min="2306" max="2560" width="9.140625" style="699"/>
    <col min="2561" max="2561" width="100.7109375" style="699" customWidth="1"/>
    <col min="2562" max="2816" width="9.140625" style="699"/>
    <col min="2817" max="2817" width="100.7109375" style="699" customWidth="1"/>
    <col min="2818" max="3072" width="9.140625" style="699"/>
    <col min="3073" max="3073" width="100.7109375" style="699" customWidth="1"/>
    <col min="3074" max="3328" width="9.140625" style="699"/>
    <col min="3329" max="3329" width="100.7109375" style="699" customWidth="1"/>
    <col min="3330" max="3584" width="9.140625" style="699"/>
    <col min="3585" max="3585" width="100.7109375" style="699" customWidth="1"/>
    <col min="3586" max="3840" width="9.140625" style="699"/>
    <col min="3841" max="3841" width="100.7109375" style="699" customWidth="1"/>
    <col min="3842" max="4096" width="9.140625" style="699"/>
    <col min="4097" max="4097" width="100.7109375" style="699" customWidth="1"/>
    <col min="4098" max="4352" width="9.140625" style="699"/>
    <col min="4353" max="4353" width="100.7109375" style="699" customWidth="1"/>
    <col min="4354" max="4608" width="9.140625" style="699"/>
    <col min="4609" max="4609" width="100.7109375" style="699" customWidth="1"/>
    <col min="4610" max="4864" width="9.140625" style="699"/>
    <col min="4865" max="4865" width="100.7109375" style="699" customWidth="1"/>
    <col min="4866" max="5120" width="9.140625" style="699"/>
    <col min="5121" max="5121" width="100.7109375" style="699" customWidth="1"/>
    <col min="5122" max="5376" width="9.140625" style="699"/>
    <col min="5377" max="5377" width="100.7109375" style="699" customWidth="1"/>
    <col min="5378" max="5632" width="9.140625" style="699"/>
    <col min="5633" max="5633" width="100.7109375" style="699" customWidth="1"/>
    <col min="5634" max="5888" width="9.140625" style="699"/>
    <col min="5889" max="5889" width="100.7109375" style="699" customWidth="1"/>
    <col min="5890" max="6144" width="9.140625" style="699"/>
    <col min="6145" max="6145" width="100.7109375" style="699" customWidth="1"/>
    <col min="6146" max="6400" width="9.140625" style="699"/>
    <col min="6401" max="6401" width="100.7109375" style="699" customWidth="1"/>
    <col min="6402" max="6656" width="9.140625" style="699"/>
    <col min="6657" max="6657" width="100.7109375" style="699" customWidth="1"/>
    <col min="6658" max="6912" width="9.140625" style="699"/>
    <col min="6913" max="6913" width="100.7109375" style="699" customWidth="1"/>
    <col min="6914" max="7168" width="9.140625" style="699"/>
    <col min="7169" max="7169" width="100.7109375" style="699" customWidth="1"/>
    <col min="7170" max="7424" width="9.140625" style="699"/>
    <col min="7425" max="7425" width="100.7109375" style="699" customWidth="1"/>
    <col min="7426" max="7680" width="9.140625" style="699"/>
    <col min="7681" max="7681" width="100.7109375" style="699" customWidth="1"/>
    <col min="7682" max="7936" width="9.140625" style="699"/>
    <col min="7937" max="7937" width="100.7109375" style="699" customWidth="1"/>
    <col min="7938" max="8192" width="9.140625" style="699"/>
    <col min="8193" max="8193" width="100.7109375" style="699" customWidth="1"/>
    <col min="8194" max="8448" width="9.140625" style="699"/>
    <col min="8449" max="8449" width="100.7109375" style="699" customWidth="1"/>
    <col min="8450" max="8704" width="9.140625" style="699"/>
    <col min="8705" max="8705" width="100.7109375" style="699" customWidth="1"/>
    <col min="8706" max="8960" width="9.140625" style="699"/>
    <col min="8961" max="8961" width="100.7109375" style="699" customWidth="1"/>
    <col min="8962" max="9216" width="9.140625" style="699"/>
    <col min="9217" max="9217" width="100.7109375" style="699" customWidth="1"/>
    <col min="9218" max="9472" width="9.140625" style="699"/>
    <col min="9473" max="9473" width="100.7109375" style="699" customWidth="1"/>
    <col min="9474" max="9728" width="9.140625" style="699"/>
    <col min="9729" max="9729" width="100.7109375" style="699" customWidth="1"/>
    <col min="9730" max="9984" width="9.140625" style="699"/>
    <col min="9985" max="9985" width="100.7109375" style="699" customWidth="1"/>
    <col min="9986" max="10240" width="9.140625" style="699"/>
    <col min="10241" max="10241" width="100.7109375" style="699" customWidth="1"/>
    <col min="10242" max="10496" width="9.140625" style="699"/>
    <col min="10497" max="10497" width="100.7109375" style="699" customWidth="1"/>
    <col min="10498" max="10752" width="9.140625" style="699"/>
    <col min="10753" max="10753" width="100.7109375" style="699" customWidth="1"/>
    <col min="10754" max="11008" width="9.140625" style="699"/>
    <col min="11009" max="11009" width="100.7109375" style="699" customWidth="1"/>
    <col min="11010" max="11264" width="9.140625" style="699"/>
    <col min="11265" max="11265" width="100.7109375" style="699" customWidth="1"/>
    <col min="11266" max="11520" width="9.140625" style="699"/>
    <col min="11521" max="11521" width="100.7109375" style="699" customWidth="1"/>
    <col min="11522" max="11776" width="9.140625" style="699"/>
    <col min="11777" max="11777" width="100.7109375" style="699" customWidth="1"/>
    <col min="11778" max="12032" width="9.140625" style="699"/>
    <col min="12033" max="12033" width="100.7109375" style="699" customWidth="1"/>
    <col min="12034" max="12288" width="9.140625" style="699"/>
    <col min="12289" max="12289" width="100.7109375" style="699" customWidth="1"/>
    <col min="12290" max="12544" width="9.140625" style="699"/>
    <col min="12545" max="12545" width="100.7109375" style="699" customWidth="1"/>
    <col min="12546" max="12800" width="9.140625" style="699"/>
    <col min="12801" max="12801" width="100.7109375" style="699" customWidth="1"/>
    <col min="12802" max="13056" width="9.140625" style="699"/>
    <col min="13057" max="13057" width="100.7109375" style="699" customWidth="1"/>
    <col min="13058" max="13312" width="9.140625" style="699"/>
    <col min="13313" max="13313" width="100.7109375" style="699" customWidth="1"/>
    <col min="13314" max="13568" width="9.140625" style="699"/>
    <col min="13569" max="13569" width="100.7109375" style="699" customWidth="1"/>
    <col min="13570" max="13824" width="9.140625" style="699"/>
    <col min="13825" max="13825" width="100.7109375" style="699" customWidth="1"/>
    <col min="13826" max="14080" width="9.140625" style="699"/>
    <col min="14081" max="14081" width="100.7109375" style="699" customWidth="1"/>
    <col min="14082" max="14336" width="9.140625" style="699"/>
    <col min="14337" max="14337" width="100.7109375" style="699" customWidth="1"/>
    <col min="14338" max="14592" width="9.140625" style="699"/>
    <col min="14593" max="14593" width="100.7109375" style="699" customWidth="1"/>
    <col min="14594" max="14848" width="9.140625" style="699"/>
    <col min="14849" max="14849" width="100.7109375" style="699" customWidth="1"/>
    <col min="14850" max="15104" width="9.140625" style="699"/>
    <col min="15105" max="15105" width="100.7109375" style="699" customWidth="1"/>
    <col min="15106" max="15360" width="9.140625" style="699"/>
    <col min="15361" max="15361" width="100.7109375" style="699" customWidth="1"/>
    <col min="15362" max="15616" width="9.140625" style="699"/>
    <col min="15617" max="15617" width="100.7109375" style="699" customWidth="1"/>
    <col min="15618" max="15872" width="9.140625" style="699"/>
    <col min="15873" max="15873" width="100.7109375" style="699" customWidth="1"/>
    <col min="15874" max="16128" width="9.140625" style="699"/>
    <col min="16129" max="16129" width="100.7109375" style="699" customWidth="1"/>
    <col min="16130" max="16384" width="9.140625" style="699"/>
  </cols>
  <sheetData>
    <row r="1" spans="1:8" ht="30" customHeight="1">
      <c r="A1" s="697"/>
      <c r="B1" s="698"/>
      <c r="C1" s="698"/>
      <c r="D1" s="698"/>
      <c r="E1" s="698"/>
      <c r="F1" s="698"/>
      <c r="G1" s="698"/>
      <c r="H1" s="698"/>
    </row>
    <row r="2" spans="1:8" ht="14.25">
      <c r="A2" s="700" t="s">
        <v>463</v>
      </c>
      <c r="B2" s="698"/>
      <c r="C2" s="698"/>
      <c r="D2" s="698"/>
      <c r="E2" s="698"/>
      <c r="F2" s="698"/>
      <c r="G2" s="698"/>
      <c r="H2" s="698"/>
    </row>
    <row r="3" spans="1:8" ht="14.25">
      <c r="A3" s="700" t="s">
        <v>464</v>
      </c>
      <c r="B3" s="698"/>
      <c r="C3" s="698"/>
      <c r="D3" s="698"/>
      <c r="E3" s="698"/>
      <c r="F3" s="698"/>
      <c r="G3" s="698"/>
      <c r="H3" s="698"/>
    </row>
    <row r="4" spans="1:8" ht="14.25">
      <c r="A4" s="700" t="s">
        <v>221</v>
      </c>
      <c r="B4" s="698"/>
      <c r="C4" s="698"/>
      <c r="D4" s="698"/>
      <c r="E4" s="698"/>
      <c r="F4" s="698"/>
      <c r="G4" s="698"/>
      <c r="H4" s="698"/>
    </row>
    <row r="5" spans="1:8" ht="14.25">
      <c r="A5" s="700" t="s">
        <v>465</v>
      </c>
      <c r="B5" s="698"/>
      <c r="C5" s="698"/>
      <c r="D5" s="698"/>
      <c r="E5" s="698"/>
      <c r="F5" s="698"/>
      <c r="G5" s="698"/>
      <c r="H5" s="698"/>
    </row>
    <row r="6" spans="1:8" ht="14.25">
      <c r="A6" s="700"/>
      <c r="B6" s="698"/>
      <c r="C6" s="698"/>
      <c r="D6" s="698"/>
      <c r="E6" s="698"/>
      <c r="F6" s="698"/>
      <c r="G6" s="698"/>
      <c r="H6" s="698"/>
    </row>
    <row r="7" spans="1:8">
      <c r="A7" s="697" t="s">
        <v>466</v>
      </c>
      <c r="B7" s="698"/>
      <c r="C7" s="698"/>
      <c r="D7" s="698"/>
      <c r="E7" s="698"/>
      <c r="F7" s="698"/>
      <c r="G7" s="698"/>
      <c r="H7" s="698"/>
    </row>
    <row r="8" spans="1:8">
      <c r="A8" s="697" t="s">
        <v>467</v>
      </c>
      <c r="B8" s="698"/>
      <c r="C8" s="698"/>
      <c r="D8" s="698"/>
      <c r="E8" s="698"/>
      <c r="F8" s="698"/>
      <c r="G8" s="698"/>
      <c r="H8" s="698"/>
    </row>
    <row r="9" spans="1:8">
      <c r="A9" s="697"/>
      <c r="B9" s="698"/>
      <c r="C9" s="698"/>
      <c r="D9" s="698"/>
      <c r="E9" s="698"/>
      <c r="F9" s="698"/>
      <c r="G9" s="698"/>
      <c r="H9" s="698"/>
    </row>
    <row r="10" spans="1:8">
      <c r="A10" s="701" t="s">
        <v>468</v>
      </c>
      <c r="B10" s="698"/>
      <c r="C10" s="698"/>
      <c r="D10" s="698"/>
      <c r="E10" s="698"/>
      <c r="F10" s="698"/>
      <c r="G10" s="698"/>
      <c r="H10" s="698"/>
    </row>
    <row r="11" spans="1:8">
      <c r="A11" s="701" t="s">
        <v>469</v>
      </c>
      <c r="B11" s="698"/>
      <c r="C11" s="698"/>
      <c r="D11" s="698"/>
      <c r="E11" s="698"/>
      <c r="F11" s="698"/>
      <c r="G11" s="698"/>
      <c r="H11" s="698"/>
    </row>
    <row r="12" spans="1:8">
      <c r="A12" s="701" t="s">
        <v>470</v>
      </c>
      <c r="B12" s="698"/>
      <c r="C12" s="698"/>
      <c r="D12" s="698"/>
      <c r="E12" s="698"/>
      <c r="F12" s="698"/>
      <c r="G12" s="698"/>
      <c r="H12" s="698"/>
    </row>
    <row r="13" spans="1:8">
      <c r="A13" s="701" t="s">
        <v>471</v>
      </c>
      <c r="B13" s="698"/>
      <c r="C13" s="698"/>
      <c r="D13" s="698"/>
      <c r="E13" s="698"/>
      <c r="F13" s="698"/>
      <c r="G13" s="698"/>
      <c r="H13" s="698"/>
    </row>
    <row r="14" spans="1:8">
      <c r="A14" s="701" t="s">
        <v>472</v>
      </c>
      <c r="B14" s="698"/>
      <c r="C14" s="698"/>
      <c r="D14" s="698"/>
      <c r="E14" s="698"/>
      <c r="F14" s="698"/>
      <c r="G14" s="698"/>
      <c r="H14" s="698"/>
    </row>
    <row r="15" spans="1:8">
      <c r="A15" s="701" t="s">
        <v>473</v>
      </c>
      <c r="B15" s="698"/>
      <c r="C15" s="698"/>
      <c r="D15" s="698"/>
      <c r="E15" s="698"/>
      <c r="F15" s="698"/>
      <c r="G15" s="698"/>
      <c r="H15" s="698"/>
    </row>
    <row r="16" spans="1:8">
      <c r="A16" s="701"/>
      <c r="B16" s="698"/>
      <c r="C16" s="698"/>
      <c r="D16" s="698"/>
      <c r="E16" s="698"/>
      <c r="F16" s="698"/>
      <c r="G16" s="698"/>
      <c r="H16" s="698"/>
    </row>
    <row r="17" spans="1:8">
      <c r="A17" s="701" t="s">
        <v>460</v>
      </c>
      <c r="B17" s="698"/>
      <c r="C17" s="698"/>
      <c r="D17" s="698"/>
      <c r="E17" s="698"/>
      <c r="F17" s="698"/>
      <c r="G17" s="698"/>
      <c r="H17" s="698"/>
    </row>
    <row r="18" spans="1:8">
      <c r="A18" s="701"/>
      <c r="B18" s="698"/>
      <c r="C18" s="698"/>
      <c r="D18" s="698"/>
      <c r="E18" s="698"/>
      <c r="F18" s="698"/>
      <c r="G18" s="698"/>
      <c r="H18" s="698"/>
    </row>
    <row r="19" spans="1:8">
      <c r="A19" s="701" t="s">
        <v>461</v>
      </c>
      <c r="B19" s="698"/>
      <c r="C19" s="698"/>
      <c r="D19" s="698"/>
      <c r="E19" s="698"/>
      <c r="F19" s="698"/>
      <c r="G19" s="698"/>
      <c r="H19" s="698"/>
    </row>
    <row r="20" spans="1:8">
      <c r="A20" s="697"/>
      <c r="B20" s="698"/>
      <c r="C20" s="698"/>
      <c r="D20" s="698"/>
      <c r="E20" s="698"/>
      <c r="F20" s="698"/>
      <c r="G20" s="698"/>
      <c r="H20" s="698"/>
    </row>
    <row r="21" spans="1:8">
      <c r="A21" s="702" t="s">
        <v>462</v>
      </c>
      <c r="B21" s="698"/>
      <c r="C21" s="698"/>
      <c r="D21" s="698"/>
      <c r="E21" s="698"/>
      <c r="F21" s="698"/>
      <c r="G21" s="698"/>
      <c r="H21" s="698"/>
    </row>
    <row r="22" spans="1:8" ht="15">
      <c r="A22" s="703"/>
      <c r="B22" s="703"/>
      <c r="C22" s="703"/>
      <c r="D22" s="703"/>
      <c r="E22" s="703"/>
      <c r="F22" s="703"/>
      <c r="G22" s="703"/>
      <c r="H22" s="703"/>
    </row>
    <row r="23" spans="1:8" ht="15">
      <c r="A23" s="704" t="s">
        <v>748</v>
      </c>
      <c r="B23" s="703"/>
      <c r="C23" s="703"/>
      <c r="D23" s="703"/>
      <c r="E23" s="703"/>
      <c r="F23" s="703"/>
      <c r="G23" s="703"/>
      <c r="H23" s="703"/>
    </row>
    <row r="24" spans="1:8" ht="15">
      <c r="A24" s="704" t="s">
        <v>749</v>
      </c>
      <c r="B24" s="703"/>
      <c r="C24" s="703"/>
      <c r="D24" s="703"/>
      <c r="E24" s="703"/>
      <c r="F24" s="703"/>
      <c r="G24" s="703"/>
      <c r="H24" s="703"/>
    </row>
    <row r="25" spans="1:8" ht="15">
      <c r="A25" s="704" t="s">
        <v>750</v>
      </c>
      <c r="B25" s="703"/>
      <c r="C25" s="703"/>
      <c r="D25" s="703"/>
      <c r="E25" s="703"/>
      <c r="F25" s="703"/>
      <c r="G25" s="703"/>
      <c r="H25" s="703"/>
    </row>
    <row r="26" spans="1:8" ht="15">
      <c r="A26" s="704" t="s">
        <v>751</v>
      </c>
      <c r="B26" s="703"/>
      <c r="C26" s="703"/>
      <c r="D26" s="703"/>
      <c r="E26" s="703"/>
      <c r="F26" s="703"/>
      <c r="G26" s="703"/>
      <c r="H26" s="703"/>
    </row>
    <row r="27" spans="1:8" ht="15">
      <c r="A27" s="703"/>
      <c r="B27" s="703"/>
      <c r="C27" s="703"/>
      <c r="D27" s="703"/>
      <c r="E27" s="703"/>
      <c r="F27" s="703"/>
      <c r="G27" s="703"/>
      <c r="H27" s="703"/>
    </row>
    <row r="28" spans="1:8" ht="15">
      <c r="A28" s="703"/>
      <c r="B28" s="703"/>
      <c r="C28" s="703"/>
      <c r="D28" s="703"/>
      <c r="E28" s="703"/>
      <c r="F28" s="703"/>
      <c r="G28" s="703"/>
      <c r="H28" s="703"/>
    </row>
    <row r="29" spans="1:8" ht="15">
      <c r="A29" s="704" t="s">
        <v>743</v>
      </c>
      <c r="B29" s="703"/>
      <c r="C29" s="703"/>
      <c r="D29" s="703"/>
      <c r="E29" s="703"/>
      <c r="F29" s="703"/>
      <c r="G29" s="703"/>
      <c r="H29" s="703"/>
    </row>
    <row r="30" spans="1:8" ht="15">
      <c r="A30" s="704" t="s">
        <v>744</v>
      </c>
      <c r="B30" s="703"/>
      <c r="C30" s="703"/>
      <c r="D30" s="703"/>
      <c r="E30" s="703"/>
      <c r="F30" s="703"/>
      <c r="G30" s="703"/>
      <c r="H30" s="703"/>
    </row>
    <row r="31" spans="1:8" ht="15">
      <c r="A31" s="704" t="s">
        <v>745</v>
      </c>
      <c r="B31" s="703"/>
      <c r="C31" s="703"/>
      <c r="D31" s="703"/>
      <c r="E31" s="703"/>
      <c r="F31" s="703"/>
      <c r="G31" s="703"/>
      <c r="H31" s="703"/>
    </row>
    <row r="32" spans="1:8" ht="15">
      <c r="A32" s="704" t="s">
        <v>746</v>
      </c>
      <c r="B32" s="703"/>
      <c r="C32" s="703"/>
      <c r="D32" s="703"/>
      <c r="E32" s="703"/>
      <c r="F32" s="703"/>
      <c r="G32" s="703"/>
      <c r="H32" s="703"/>
    </row>
    <row r="33" spans="1:8" ht="15">
      <c r="A33" s="704" t="s">
        <v>747</v>
      </c>
      <c r="B33" s="703"/>
      <c r="C33" s="703"/>
      <c r="D33" s="703"/>
      <c r="E33" s="703"/>
      <c r="F33" s="703"/>
      <c r="G33" s="703"/>
      <c r="H33" s="703"/>
    </row>
    <row r="34" spans="1:8" ht="15">
      <c r="A34" s="703"/>
      <c r="B34" s="703"/>
      <c r="C34" s="703"/>
      <c r="D34" s="703"/>
      <c r="E34" s="703"/>
      <c r="F34" s="703"/>
      <c r="G34" s="703"/>
      <c r="H34" s="703"/>
    </row>
    <row r="35" spans="1:8" ht="15">
      <c r="A35" s="704" t="s">
        <v>739</v>
      </c>
      <c r="B35" s="703"/>
      <c r="C35" s="703"/>
      <c r="D35" s="703"/>
      <c r="E35" s="703"/>
      <c r="F35" s="703"/>
      <c r="G35" s="703"/>
      <c r="H35" s="703"/>
    </row>
    <row r="36" spans="1:8" ht="15">
      <c r="A36" s="704" t="s">
        <v>740</v>
      </c>
      <c r="B36" s="703"/>
      <c r="C36" s="703"/>
      <c r="D36" s="703"/>
      <c r="E36" s="703"/>
      <c r="F36" s="703"/>
      <c r="G36" s="703"/>
      <c r="H36" s="703"/>
    </row>
    <row r="37" spans="1:8" ht="15">
      <c r="A37" s="704" t="s">
        <v>741</v>
      </c>
      <c r="B37" s="703"/>
      <c r="C37" s="703"/>
      <c r="D37" s="703"/>
      <c r="E37" s="703"/>
      <c r="F37" s="703"/>
      <c r="G37" s="703"/>
      <c r="H37" s="703"/>
    </row>
    <row r="38" spans="1:8" ht="15">
      <c r="A38" s="704" t="s">
        <v>742</v>
      </c>
      <c r="B38" s="703"/>
      <c r="C38" s="703"/>
      <c r="D38" s="703"/>
      <c r="E38" s="703"/>
      <c r="F38" s="703"/>
      <c r="G38" s="703"/>
      <c r="H38" s="703"/>
    </row>
    <row r="39" spans="1:8" ht="15">
      <c r="A39" s="703"/>
      <c r="B39" s="703"/>
      <c r="C39" s="703"/>
      <c r="D39" s="703"/>
      <c r="E39" s="703"/>
      <c r="F39" s="703"/>
      <c r="G39" s="703"/>
      <c r="H39" s="703"/>
    </row>
    <row r="40" spans="1:8" ht="15">
      <c r="A40" s="704" t="s">
        <v>733</v>
      </c>
      <c r="B40" s="703"/>
      <c r="C40" s="703"/>
      <c r="D40" s="703"/>
      <c r="E40" s="703"/>
      <c r="F40" s="703"/>
      <c r="G40" s="703"/>
      <c r="H40" s="703"/>
    </row>
    <row r="41" spans="1:8" ht="15">
      <c r="A41" s="704" t="s">
        <v>734</v>
      </c>
      <c r="B41" s="703"/>
      <c r="C41" s="703"/>
      <c r="D41" s="703"/>
      <c r="E41" s="703"/>
      <c r="F41" s="703"/>
      <c r="G41" s="703"/>
      <c r="H41" s="703"/>
    </row>
    <row r="42" spans="1:8" ht="15">
      <c r="A42" s="704" t="s">
        <v>735</v>
      </c>
      <c r="B42" s="703"/>
      <c r="C42" s="703"/>
      <c r="D42" s="703"/>
      <c r="E42" s="703"/>
      <c r="F42" s="703"/>
      <c r="G42" s="703"/>
      <c r="H42" s="703"/>
    </row>
    <row r="43" spans="1:8" ht="15">
      <c r="A43" s="704" t="s">
        <v>736</v>
      </c>
      <c r="B43" s="703"/>
      <c r="C43" s="703"/>
      <c r="D43" s="703"/>
      <c r="E43" s="703"/>
      <c r="F43" s="703"/>
      <c r="G43" s="703"/>
      <c r="H43" s="703"/>
    </row>
    <row r="44" spans="1:8" ht="15">
      <c r="A44" s="704" t="s">
        <v>737</v>
      </c>
      <c r="B44" s="703"/>
      <c r="C44" s="703"/>
      <c r="D44" s="703"/>
      <c r="E44" s="703"/>
      <c r="F44" s="703"/>
      <c r="G44" s="703"/>
      <c r="H44" s="703"/>
    </row>
    <row r="45" spans="1:8" ht="15">
      <c r="A45" s="704" t="s">
        <v>738</v>
      </c>
      <c r="B45" s="703"/>
      <c r="C45" s="703"/>
      <c r="D45" s="703"/>
      <c r="E45" s="703"/>
      <c r="F45" s="703"/>
      <c r="G45" s="703"/>
      <c r="H45" s="703"/>
    </row>
    <row r="46" spans="1:8" ht="15">
      <c r="A46" s="703"/>
      <c r="B46" s="703"/>
      <c r="C46" s="703"/>
      <c r="D46" s="703"/>
      <c r="E46" s="703"/>
      <c r="F46" s="703"/>
      <c r="G46" s="703"/>
      <c r="H46" s="703"/>
    </row>
    <row r="47" spans="1:8" ht="15.75">
      <c r="A47" s="705" t="s">
        <v>474</v>
      </c>
      <c r="B47" s="703"/>
      <c r="C47" s="703"/>
      <c r="D47" s="703"/>
      <c r="E47" s="703"/>
      <c r="F47" s="703"/>
      <c r="G47" s="703"/>
      <c r="H47" s="703"/>
    </row>
    <row r="48" spans="1:8" ht="15">
      <c r="A48" s="703"/>
      <c r="B48" s="703"/>
      <c r="C48" s="703"/>
      <c r="D48" s="703"/>
      <c r="E48" s="703"/>
      <c r="F48" s="703"/>
      <c r="G48" s="703"/>
      <c r="H48" s="703"/>
    </row>
    <row r="49" spans="1:8" ht="15">
      <c r="A49" s="704" t="s">
        <v>729</v>
      </c>
      <c r="B49" s="703"/>
      <c r="C49" s="703"/>
      <c r="D49" s="703"/>
      <c r="E49" s="703"/>
      <c r="F49" s="703"/>
      <c r="G49" s="703"/>
      <c r="H49" s="703"/>
    </row>
    <row r="50" spans="1:8" ht="15">
      <c r="A50" s="704" t="s">
        <v>730</v>
      </c>
      <c r="B50" s="703"/>
      <c r="C50" s="703"/>
      <c r="D50" s="703"/>
      <c r="E50" s="703"/>
      <c r="F50" s="703"/>
      <c r="G50" s="703"/>
      <c r="H50" s="703"/>
    </row>
    <row r="51" spans="1:8" ht="15">
      <c r="A51" s="704" t="s">
        <v>731</v>
      </c>
      <c r="B51" s="703"/>
      <c r="C51" s="703"/>
      <c r="D51" s="703"/>
      <c r="E51" s="703"/>
      <c r="F51" s="703"/>
      <c r="G51" s="703"/>
      <c r="H51" s="703"/>
    </row>
    <row r="52" spans="1:8" ht="15">
      <c r="A52" s="704" t="s">
        <v>732</v>
      </c>
      <c r="B52" s="703"/>
      <c r="C52" s="703"/>
      <c r="D52" s="703"/>
      <c r="E52" s="703"/>
      <c r="F52" s="703"/>
      <c r="G52" s="703"/>
      <c r="H52" s="703"/>
    </row>
    <row r="53" spans="1:8" ht="15">
      <c r="A53" s="703"/>
      <c r="B53" s="703"/>
      <c r="C53" s="703"/>
      <c r="D53" s="703"/>
      <c r="E53" s="703"/>
      <c r="F53" s="703"/>
      <c r="G53" s="703"/>
      <c r="H53" s="703"/>
    </row>
    <row r="54" spans="1:8" ht="15">
      <c r="A54" s="704" t="s">
        <v>475</v>
      </c>
      <c r="B54" s="703"/>
      <c r="C54" s="703"/>
      <c r="D54" s="703"/>
      <c r="E54" s="703"/>
      <c r="F54" s="703"/>
      <c r="G54" s="703"/>
      <c r="H54" s="703"/>
    </row>
    <row r="55" spans="1:8" ht="15">
      <c r="A55" s="703"/>
      <c r="B55" s="703"/>
      <c r="C55" s="703"/>
      <c r="D55" s="703"/>
      <c r="E55" s="703"/>
      <c r="F55" s="703"/>
      <c r="G55" s="703"/>
      <c r="H55" s="703"/>
    </row>
    <row r="56" spans="1:8" ht="15.75">
      <c r="A56" s="705" t="s">
        <v>476</v>
      </c>
      <c r="B56" s="703"/>
      <c r="C56" s="703"/>
      <c r="D56" s="703"/>
      <c r="E56" s="703"/>
      <c r="F56" s="703"/>
      <c r="G56" s="703"/>
      <c r="H56" s="703"/>
    </row>
    <row r="57" spans="1:8" ht="15">
      <c r="A57" s="703"/>
      <c r="B57" s="703"/>
      <c r="C57" s="703"/>
      <c r="D57" s="703"/>
      <c r="E57" s="703"/>
      <c r="F57" s="703"/>
      <c r="G57" s="703"/>
      <c r="H57" s="703"/>
    </row>
    <row r="58" spans="1:8" ht="15">
      <c r="A58" s="704" t="s">
        <v>727</v>
      </c>
      <c r="B58" s="703"/>
      <c r="C58" s="703"/>
      <c r="D58" s="703"/>
      <c r="E58" s="703"/>
      <c r="F58" s="703"/>
      <c r="G58" s="703"/>
      <c r="H58" s="703"/>
    </row>
    <row r="59" spans="1:8" ht="15">
      <c r="A59" s="704" t="s">
        <v>728</v>
      </c>
      <c r="B59" s="703"/>
      <c r="C59" s="703"/>
      <c r="D59" s="703"/>
      <c r="E59" s="703"/>
      <c r="F59" s="703"/>
      <c r="G59" s="703"/>
      <c r="H59" s="703"/>
    </row>
    <row r="60" spans="1:8" ht="15">
      <c r="A60" s="703"/>
      <c r="B60" s="703"/>
      <c r="C60" s="703"/>
      <c r="D60" s="703"/>
      <c r="E60" s="703"/>
      <c r="F60" s="703"/>
      <c r="G60" s="703"/>
      <c r="H60" s="703"/>
    </row>
    <row r="61" spans="1:8" ht="15.75">
      <c r="A61" s="705" t="s">
        <v>477</v>
      </c>
      <c r="B61" s="703"/>
      <c r="C61" s="703"/>
      <c r="D61" s="703"/>
      <c r="E61" s="703"/>
      <c r="F61" s="703"/>
      <c r="G61" s="703"/>
      <c r="H61" s="703"/>
    </row>
    <row r="62" spans="1:8" ht="15">
      <c r="A62" s="703"/>
      <c r="B62" s="703"/>
      <c r="C62" s="703"/>
      <c r="D62" s="703"/>
      <c r="E62" s="703"/>
      <c r="F62" s="703"/>
      <c r="G62" s="703"/>
      <c r="H62" s="703"/>
    </row>
    <row r="63" spans="1:8" ht="15">
      <c r="A63" s="704" t="s">
        <v>725</v>
      </c>
      <c r="B63" s="703"/>
      <c r="C63" s="703"/>
      <c r="D63" s="703"/>
      <c r="E63" s="703"/>
      <c r="F63" s="703"/>
      <c r="G63" s="703"/>
      <c r="H63" s="703"/>
    </row>
    <row r="64" spans="1:8" ht="15">
      <c r="A64" s="704" t="s">
        <v>726</v>
      </c>
      <c r="B64" s="703"/>
      <c r="C64" s="703"/>
      <c r="D64" s="703"/>
      <c r="E64" s="703"/>
      <c r="F64" s="703"/>
      <c r="G64" s="703"/>
      <c r="H64" s="703"/>
    </row>
    <row r="65" spans="1:8" ht="15">
      <c r="A65" s="703"/>
      <c r="B65" s="703"/>
      <c r="C65" s="703"/>
      <c r="D65" s="703"/>
      <c r="E65" s="703"/>
      <c r="F65" s="703"/>
      <c r="G65" s="703"/>
      <c r="H65" s="703"/>
    </row>
    <row r="66" spans="1:8" ht="15">
      <c r="A66" s="704" t="s">
        <v>723</v>
      </c>
      <c r="B66" s="703"/>
      <c r="C66" s="703"/>
      <c r="D66" s="703"/>
      <c r="E66" s="703"/>
      <c r="F66" s="703"/>
      <c r="G66" s="703"/>
      <c r="H66" s="703"/>
    </row>
    <row r="67" spans="1:8" ht="15">
      <c r="A67" s="704" t="s">
        <v>724</v>
      </c>
      <c r="B67" s="703"/>
      <c r="C67" s="703"/>
      <c r="D67" s="703"/>
      <c r="E67" s="703"/>
      <c r="F67" s="703"/>
      <c r="G67" s="703"/>
      <c r="H67" s="703"/>
    </row>
    <row r="68" spans="1:8" ht="15">
      <c r="A68" s="703"/>
      <c r="B68" s="703"/>
      <c r="C68" s="703"/>
      <c r="D68" s="703"/>
      <c r="E68" s="703"/>
      <c r="F68" s="703"/>
      <c r="G68" s="703"/>
      <c r="H68" s="703"/>
    </row>
    <row r="69" spans="1:8" ht="15">
      <c r="A69" s="704" t="s">
        <v>721</v>
      </c>
      <c r="B69" s="703"/>
      <c r="C69" s="703"/>
      <c r="D69" s="703"/>
      <c r="E69" s="703"/>
      <c r="F69" s="703"/>
      <c r="G69" s="703"/>
      <c r="H69" s="703"/>
    </row>
    <row r="70" spans="1:8" ht="15">
      <c r="A70" s="704" t="s">
        <v>722</v>
      </c>
      <c r="B70" s="703"/>
      <c r="C70" s="703"/>
      <c r="D70" s="703"/>
      <c r="E70" s="703"/>
      <c r="F70" s="703"/>
      <c r="G70" s="703"/>
      <c r="H70" s="703"/>
    </row>
    <row r="71" spans="1:8" ht="15">
      <c r="A71" s="703"/>
      <c r="B71" s="703"/>
      <c r="C71" s="703"/>
      <c r="D71" s="703"/>
      <c r="E71" s="703"/>
      <c r="F71" s="703"/>
      <c r="G71" s="703"/>
      <c r="H71" s="703"/>
    </row>
    <row r="72" spans="1:8" ht="15">
      <c r="A72" s="704" t="s">
        <v>716</v>
      </c>
      <c r="B72" s="703"/>
      <c r="C72" s="703"/>
      <c r="D72" s="703"/>
      <c r="E72" s="703"/>
      <c r="F72" s="703"/>
      <c r="G72" s="703"/>
      <c r="H72" s="703"/>
    </row>
    <row r="73" spans="1:8" ht="15">
      <c r="A73" s="704" t="s">
        <v>717</v>
      </c>
      <c r="B73" s="703"/>
      <c r="C73" s="703"/>
      <c r="D73" s="703"/>
      <c r="E73" s="703"/>
      <c r="F73" s="703"/>
      <c r="G73" s="703"/>
      <c r="H73" s="703"/>
    </row>
    <row r="74" spans="1:8" ht="15">
      <c r="A74" s="704" t="s">
        <v>718</v>
      </c>
      <c r="B74" s="703"/>
      <c r="C74" s="703"/>
      <c r="D74" s="703"/>
      <c r="E74" s="703"/>
      <c r="F74" s="703"/>
      <c r="G74" s="703"/>
      <c r="H74" s="703"/>
    </row>
    <row r="75" spans="1:8" ht="15">
      <c r="A75" s="704" t="s">
        <v>719</v>
      </c>
      <c r="B75" s="703"/>
      <c r="C75" s="703"/>
      <c r="D75" s="703"/>
      <c r="E75" s="703"/>
      <c r="F75" s="703"/>
      <c r="G75" s="703"/>
      <c r="H75" s="703"/>
    </row>
    <row r="76" spans="1:8" ht="15">
      <c r="A76" s="704" t="s">
        <v>720</v>
      </c>
      <c r="B76" s="703"/>
      <c r="C76" s="703"/>
      <c r="D76" s="703"/>
      <c r="E76" s="703"/>
      <c r="F76" s="703"/>
      <c r="G76" s="703"/>
      <c r="H76" s="703"/>
    </row>
    <row r="77" spans="1:8" ht="15">
      <c r="A77" s="704" t="s">
        <v>603</v>
      </c>
      <c r="B77" s="703"/>
      <c r="C77" s="703"/>
      <c r="D77" s="703"/>
      <c r="E77" s="703"/>
      <c r="F77" s="703"/>
      <c r="G77" s="703"/>
      <c r="H77" s="703"/>
    </row>
    <row r="78" spans="1:8" ht="15">
      <c r="A78" s="703"/>
      <c r="B78" s="703"/>
      <c r="C78" s="703"/>
      <c r="D78" s="703"/>
      <c r="E78" s="703"/>
      <c r="F78" s="703"/>
      <c r="G78" s="703"/>
      <c r="H78" s="703"/>
    </row>
    <row r="79" spans="1:8" ht="15">
      <c r="A79" s="704" t="s">
        <v>709</v>
      </c>
      <c r="B79" s="703"/>
      <c r="C79" s="703"/>
      <c r="D79" s="703"/>
      <c r="E79" s="703"/>
      <c r="F79" s="703"/>
      <c r="G79" s="703"/>
      <c r="H79" s="703"/>
    </row>
    <row r="80" spans="1:8" ht="15">
      <c r="A80" s="704" t="s">
        <v>710</v>
      </c>
      <c r="B80" s="703"/>
      <c r="C80" s="703"/>
      <c r="D80" s="703"/>
      <c r="E80" s="703"/>
      <c r="F80" s="703"/>
      <c r="G80" s="703"/>
      <c r="H80" s="703"/>
    </row>
    <row r="81" spans="1:8" ht="15">
      <c r="A81" s="704" t="s">
        <v>711</v>
      </c>
      <c r="B81" s="703"/>
      <c r="C81" s="703"/>
      <c r="D81" s="703"/>
      <c r="E81" s="703"/>
      <c r="F81" s="703"/>
      <c r="G81" s="703"/>
      <c r="H81" s="703"/>
    </row>
    <row r="82" spans="1:8" ht="15">
      <c r="A82" s="704" t="s">
        <v>712</v>
      </c>
      <c r="B82" s="703"/>
      <c r="C82" s="703"/>
      <c r="D82" s="703"/>
      <c r="E82" s="703"/>
      <c r="F82" s="703"/>
      <c r="G82" s="703"/>
      <c r="H82" s="703"/>
    </row>
    <row r="83" spans="1:8" ht="15">
      <c r="A83" s="704" t="s">
        <v>713</v>
      </c>
      <c r="B83" s="703"/>
      <c r="C83" s="703"/>
      <c r="D83" s="703"/>
      <c r="E83" s="703"/>
      <c r="F83" s="703"/>
      <c r="G83" s="703"/>
      <c r="H83" s="703"/>
    </row>
    <row r="84" spans="1:8" ht="15">
      <c r="A84" s="704" t="s">
        <v>714</v>
      </c>
      <c r="B84" s="703"/>
      <c r="C84" s="703"/>
      <c r="D84" s="703"/>
      <c r="E84" s="703"/>
      <c r="F84" s="703"/>
      <c r="G84" s="703"/>
      <c r="H84" s="703"/>
    </row>
    <row r="85" spans="1:8" ht="15">
      <c r="A85" s="704" t="s">
        <v>715</v>
      </c>
      <c r="B85" s="703"/>
      <c r="C85" s="703"/>
      <c r="D85" s="703"/>
      <c r="E85" s="703"/>
      <c r="F85" s="703"/>
      <c r="G85" s="703"/>
      <c r="H85" s="703"/>
    </row>
    <row r="86" spans="1:8" ht="15">
      <c r="A86" s="703"/>
      <c r="B86" s="703"/>
      <c r="C86" s="703"/>
      <c r="D86" s="703"/>
      <c r="E86" s="703"/>
      <c r="F86" s="703"/>
      <c r="G86" s="703"/>
      <c r="H86" s="703"/>
    </row>
    <row r="87" spans="1:8" ht="15">
      <c r="A87" s="704" t="s">
        <v>707</v>
      </c>
      <c r="B87" s="703"/>
      <c r="C87" s="703"/>
      <c r="D87" s="703"/>
      <c r="E87" s="703"/>
      <c r="F87" s="703"/>
      <c r="G87" s="703"/>
      <c r="H87" s="703"/>
    </row>
    <row r="88" spans="1:8" ht="15">
      <c r="A88" s="704" t="s">
        <v>708</v>
      </c>
      <c r="B88" s="703"/>
      <c r="C88" s="703"/>
      <c r="D88" s="703"/>
      <c r="E88" s="703"/>
      <c r="F88" s="703"/>
      <c r="G88" s="703"/>
      <c r="H88" s="703"/>
    </row>
    <row r="89" spans="1:8" ht="15">
      <c r="A89" s="703"/>
      <c r="B89" s="703"/>
      <c r="C89" s="703"/>
      <c r="D89" s="703"/>
      <c r="E89" s="703"/>
      <c r="F89" s="703"/>
      <c r="G89" s="703"/>
      <c r="H89" s="703"/>
    </row>
    <row r="90" spans="1:8" ht="15.75">
      <c r="A90" s="705" t="s">
        <v>478</v>
      </c>
      <c r="B90" s="703"/>
      <c r="C90" s="703"/>
      <c r="D90" s="703"/>
      <c r="E90" s="703"/>
      <c r="F90" s="703"/>
      <c r="G90" s="703"/>
      <c r="H90" s="703"/>
    </row>
    <row r="91" spans="1:8" ht="15">
      <c r="A91" s="703"/>
      <c r="B91" s="703"/>
      <c r="C91" s="703"/>
      <c r="D91" s="703"/>
      <c r="E91" s="703"/>
      <c r="F91" s="703"/>
      <c r="G91" s="703"/>
      <c r="H91" s="703"/>
    </row>
    <row r="92" spans="1:8" ht="15">
      <c r="A92" s="704" t="s">
        <v>698</v>
      </c>
      <c r="B92" s="703"/>
      <c r="C92" s="703"/>
      <c r="D92" s="703"/>
      <c r="E92" s="703"/>
      <c r="F92" s="703"/>
      <c r="G92" s="703"/>
      <c r="H92" s="703"/>
    </row>
    <row r="93" spans="1:8" ht="15">
      <c r="A93" s="704" t="s">
        <v>699</v>
      </c>
      <c r="B93" s="703"/>
      <c r="C93" s="703"/>
      <c r="D93" s="703"/>
      <c r="E93" s="703"/>
      <c r="F93" s="703"/>
      <c r="G93" s="703"/>
      <c r="H93" s="703"/>
    </row>
    <row r="94" spans="1:8" ht="15">
      <c r="A94" s="704" t="s">
        <v>700</v>
      </c>
      <c r="B94" s="703"/>
      <c r="C94" s="703"/>
      <c r="D94" s="703"/>
      <c r="E94" s="703"/>
      <c r="F94" s="703"/>
      <c r="G94" s="703"/>
      <c r="H94" s="703"/>
    </row>
    <row r="95" spans="1:8" ht="15">
      <c r="A95" s="704" t="s">
        <v>701</v>
      </c>
      <c r="B95" s="703"/>
      <c r="C95" s="703"/>
      <c r="D95" s="703"/>
      <c r="E95" s="703"/>
      <c r="F95" s="703"/>
      <c r="G95" s="703"/>
      <c r="H95" s="703"/>
    </row>
    <row r="96" spans="1:8" ht="15">
      <c r="A96" s="704" t="s">
        <v>702</v>
      </c>
      <c r="B96" s="703"/>
      <c r="C96" s="703"/>
      <c r="D96" s="703"/>
      <c r="E96" s="703"/>
      <c r="F96" s="703"/>
      <c r="G96" s="703"/>
      <c r="H96" s="703"/>
    </row>
    <row r="97" spans="1:8" ht="15">
      <c r="A97" s="704" t="s">
        <v>703</v>
      </c>
      <c r="B97" s="703"/>
      <c r="C97" s="703"/>
      <c r="D97" s="703"/>
      <c r="E97" s="703"/>
      <c r="F97" s="703"/>
      <c r="G97" s="703"/>
      <c r="H97" s="703"/>
    </row>
    <row r="98" spans="1:8" ht="15">
      <c r="A98" s="704" t="s">
        <v>704</v>
      </c>
      <c r="B98" s="703"/>
      <c r="C98" s="703"/>
      <c r="D98" s="703"/>
      <c r="E98" s="703"/>
      <c r="F98" s="703"/>
      <c r="G98" s="703"/>
      <c r="H98" s="703"/>
    </row>
    <row r="99" spans="1:8" ht="15">
      <c r="A99" s="704" t="s">
        <v>705</v>
      </c>
      <c r="B99" s="703"/>
      <c r="C99" s="703"/>
      <c r="D99" s="703"/>
      <c r="E99" s="703"/>
      <c r="F99" s="703"/>
      <c r="G99" s="703"/>
      <c r="H99" s="703"/>
    </row>
    <row r="100" spans="1:8" ht="15">
      <c r="A100" s="704" t="s">
        <v>706</v>
      </c>
      <c r="B100" s="703"/>
      <c r="C100" s="703"/>
      <c r="D100" s="703"/>
      <c r="E100" s="703"/>
      <c r="F100" s="703"/>
      <c r="G100" s="703"/>
      <c r="H100" s="703"/>
    </row>
    <row r="101" spans="1:8" ht="15">
      <c r="A101" s="703"/>
      <c r="B101" s="703"/>
      <c r="C101" s="703"/>
      <c r="D101" s="703"/>
      <c r="E101" s="703"/>
      <c r="F101" s="703"/>
      <c r="G101" s="703"/>
      <c r="H101" s="703"/>
    </row>
    <row r="102" spans="1:8" ht="15.75">
      <c r="A102" s="706" t="s">
        <v>479</v>
      </c>
      <c r="B102" s="706"/>
      <c r="C102" s="706"/>
      <c r="D102" s="706"/>
      <c r="E102" s="706"/>
      <c r="F102" s="706"/>
      <c r="G102" s="706"/>
      <c r="H102" s="706"/>
    </row>
    <row r="103" spans="1:8">
      <c r="A103" s="707" t="s">
        <v>480</v>
      </c>
      <c r="B103" s="707"/>
      <c r="C103" s="707"/>
      <c r="D103" s="707"/>
      <c r="E103" s="707"/>
      <c r="F103" s="707"/>
      <c r="G103" s="707"/>
      <c r="H103" s="707"/>
    </row>
    <row r="104" spans="1:8" ht="15">
      <c r="A104" s="708"/>
      <c r="B104" s="708"/>
      <c r="C104" s="708"/>
      <c r="D104" s="708"/>
      <c r="E104" s="708"/>
      <c r="F104" s="708"/>
      <c r="G104" s="708"/>
      <c r="H104" s="708"/>
    </row>
    <row r="105" spans="1:8">
      <c r="A105" s="707" t="s">
        <v>696</v>
      </c>
      <c r="B105" s="707"/>
      <c r="C105" s="707"/>
      <c r="D105" s="707"/>
      <c r="E105" s="707"/>
      <c r="F105" s="707"/>
      <c r="G105" s="707"/>
      <c r="H105" s="707"/>
    </row>
    <row r="106" spans="1:8">
      <c r="A106" s="704" t="s">
        <v>697</v>
      </c>
      <c r="B106" s="704"/>
      <c r="C106" s="704"/>
      <c r="D106" s="704"/>
      <c r="E106" s="704"/>
      <c r="F106" s="704"/>
      <c r="G106" s="704"/>
      <c r="H106" s="704"/>
    </row>
    <row r="107" spans="1:8" ht="15">
      <c r="A107" s="708"/>
      <c r="B107" s="708"/>
      <c r="C107" s="708"/>
      <c r="D107" s="708"/>
      <c r="E107" s="708"/>
      <c r="F107" s="708"/>
      <c r="G107" s="708"/>
      <c r="H107" s="708"/>
    </row>
    <row r="108" spans="1:8">
      <c r="A108" s="707" t="s">
        <v>689</v>
      </c>
      <c r="B108" s="707"/>
      <c r="C108" s="707"/>
      <c r="D108" s="707"/>
      <c r="E108" s="707"/>
      <c r="F108" s="707"/>
      <c r="G108" s="707"/>
      <c r="H108" s="707"/>
    </row>
    <row r="109" spans="1:8">
      <c r="A109" s="704" t="s">
        <v>690</v>
      </c>
      <c r="B109" s="704"/>
      <c r="C109" s="704"/>
      <c r="D109" s="704"/>
      <c r="E109" s="704"/>
      <c r="F109" s="704"/>
      <c r="G109" s="704"/>
      <c r="H109" s="704"/>
    </row>
    <row r="110" spans="1:8">
      <c r="A110" s="704" t="s">
        <v>691</v>
      </c>
      <c r="B110" s="704"/>
      <c r="C110" s="704"/>
      <c r="D110" s="704"/>
      <c r="E110" s="704"/>
      <c r="F110" s="704"/>
      <c r="G110" s="704"/>
      <c r="H110" s="704"/>
    </row>
    <row r="111" spans="1:8">
      <c r="A111" s="704" t="s">
        <v>692</v>
      </c>
      <c r="B111" s="704"/>
      <c r="C111" s="704"/>
      <c r="D111" s="704"/>
      <c r="E111" s="704"/>
      <c r="F111" s="704"/>
      <c r="G111" s="704"/>
      <c r="H111" s="704"/>
    </row>
    <row r="112" spans="1:8">
      <c r="A112" s="704" t="s">
        <v>693</v>
      </c>
      <c r="B112" s="704"/>
      <c r="C112" s="704"/>
      <c r="D112" s="704"/>
      <c r="E112" s="704"/>
      <c r="F112" s="704"/>
      <c r="G112" s="704"/>
      <c r="H112" s="704"/>
    </row>
    <row r="113" spans="1:8">
      <c r="A113" s="704" t="s">
        <v>694</v>
      </c>
      <c r="B113" s="704"/>
      <c r="C113" s="704"/>
      <c r="D113" s="704"/>
      <c r="E113" s="704"/>
      <c r="F113" s="704"/>
      <c r="G113" s="704"/>
      <c r="H113" s="704"/>
    </row>
    <row r="114" spans="1:8">
      <c r="A114" s="704" t="s">
        <v>695</v>
      </c>
      <c r="B114" s="704"/>
      <c r="C114" s="704"/>
      <c r="D114" s="704"/>
      <c r="E114" s="704"/>
      <c r="F114" s="704"/>
      <c r="G114" s="704"/>
      <c r="H114" s="704"/>
    </row>
    <row r="115" spans="1:8" ht="15">
      <c r="A115" s="709"/>
      <c r="B115" s="709"/>
      <c r="C115" s="709"/>
      <c r="D115" s="709"/>
      <c r="E115" s="709"/>
      <c r="F115" s="709"/>
      <c r="G115" s="709"/>
      <c r="H115" s="709"/>
    </row>
    <row r="116" spans="1:8">
      <c r="A116" s="710"/>
      <c r="B116" s="711" t="s">
        <v>481</v>
      </c>
      <c r="C116" s="712"/>
      <c r="D116" s="711" t="s">
        <v>482</v>
      </c>
      <c r="E116" s="713"/>
      <c r="F116" s="712"/>
      <c r="G116" s="711" t="s">
        <v>483</v>
      </c>
      <c r="H116" s="712"/>
    </row>
    <row r="117" spans="1:8">
      <c r="A117" s="710" t="s">
        <v>484</v>
      </c>
      <c r="B117" s="710" t="s">
        <v>422</v>
      </c>
      <c r="C117" s="710" t="s">
        <v>485</v>
      </c>
      <c r="D117" s="710" t="s">
        <v>422</v>
      </c>
      <c r="E117" s="710" t="s">
        <v>486</v>
      </c>
      <c r="F117" s="710" t="s">
        <v>487</v>
      </c>
      <c r="G117" s="710" t="s">
        <v>422</v>
      </c>
      <c r="H117" s="710" t="s">
        <v>488</v>
      </c>
    </row>
    <row r="118" spans="1:8">
      <c r="A118" s="710" t="s">
        <v>489</v>
      </c>
      <c r="B118" s="710">
        <v>1189</v>
      </c>
      <c r="C118" s="714">
        <v>0.38</v>
      </c>
      <c r="D118" s="710">
        <v>315</v>
      </c>
      <c r="E118" s="714">
        <v>0.41</v>
      </c>
      <c r="F118" s="714">
        <v>0.26</v>
      </c>
      <c r="G118" s="710">
        <v>555</v>
      </c>
      <c r="H118" s="714">
        <v>0.39</v>
      </c>
    </row>
    <row r="119" spans="1:8">
      <c r="A119" s="710" t="s">
        <v>490</v>
      </c>
      <c r="B119" s="710">
        <v>1355</v>
      </c>
      <c r="C119" s="714">
        <v>0.43</v>
      </c>
      <c r="D119" s="710">
        <v>364</v>
      </c>
      <c r="E119" s="714">
        <v>0.47</v>
      </c>
      <c r="F119" s="714">
        <v>0.27</v>
      </c>
      <c r="G119" s="710">
        <v>644</v>
      </c>
      <c r="H119" s="714">
        <v>0.45</v>
      </c>
    </row>
    <row r="120" spans="1:8">
      <c r="A120" s="710" t="s">
        <v>491</v>
      </c>
      <c r="B120" s="710">
        <v>53</v>
      </c>
      <c r="C120" s="714">
        <v>0.02</v>
      </c>
      <c r="D120" s="710">
        <v>4</v>
      </c>
      <c r="E120" s="714">
        <v>0.01</v>
      </c>
      <c r="F120" s="714">
        <v>0.08</v>
      </c>
      <c r="G120" s="710">
        <v>7</v>
      </c>
      <c r="H120" s="714">
        <v>0</v>
      </c>
    </row>
    <row r="121" spans="1:8">
      <c r="A121" s="710" t="s">
        <v>492</v>
      </c>
      <c r="B121" s="710">
        <v>545</v>
      </c>
      <c r="C121" s="714">
        <v>0.17</v>
      </c>
      <c r="D121" s="710">
        <v>84</v>
      </c>
      <c r="E121" s="714">
        <v>0.11</v>
      </c>
      <c r="F121" s="714">
        <v>0.15</v>
      </c>
      <c r="G121" s="710">
        <v>214</v>
      </c>
      <c r="H121" s="714">
        <v>0.15</v>
      </c>
    </row>
    <row r="122" spans="1:8">
      <c r="A122" s="710" t="s">
        <v>220</v>
      </c>
      <c r="B122" s="715">
        <v>3142</v>
      </c>
      <c r="C122" s="710"/>
      <c r="D122" s="710">
        <v>767</v>
      </c>
      <c r="E122" s="710"/>
      <c r="F122" s="710"/>
      <c r="G122" s="710">
        <v>1420</v>
      </c>
      <c r="H122" s="710"/>
    </row>
    <row r="123" spans="1:8" ht="15">
      <c r="A123" s="716"/>
      <c r="B123" s="716"/>
      <c r="C123" s="716"/>
      <c r="D123" s="716"/>
      <c r="E123" s="716"/>
      <c r="F123" s="716"/>
      <c r="G123" s="716"/>
      <c r="H123" s="716"/>
    </row>
    <row r="124" spans="1:8">
      <c r="A124" s="707" t="s">
        <v>685</v>
      </c>
      <c r="B124" s="707"/>
      <c r="C124" s="707"/>
      <c r="D124" s="707"/>
      <c r="E124" s="707"/>
      <c r="F124" s="707"/>
      <c r="G124" s="707"/>
      <c r="H124" s="707"/>
    </row>
    <row r="125" spans="1:8">
      <c r="A125" s="704" t="s">
        <v>686</v>
      </c>
      <c r="B125" s="704"/>
      <c r="C125" s="704"/>
      <c r="D125" s="704"/>
      <c r="E125" s="704"/>
      <c r="F125" s="704"/>
      <c r="G125" s="704"/>
      <c r="H125" s="704"/>
    </row>
    <row r="126" spans="1:8">
      <c r="A126" s="704" t="s">
        <v>687</v>
      </c>
      <c r="B126" s="704"/>
      <c r="C126" s="704"/>
      <c r="D126" s="704"/>
      <c r="E126" s="704"/>
      <c r="F126" s="704"/>
      <c r="G126" s="704"/>
      <c r="H126" s="704"/>
    </row>
    <row r="127" spans="1:8">
      <c r="A127" s="704" t="s">
        <v>688</v>
      </c>
      <c r="B127" s="704"/>
      <c r="C127" s="704"/>
      <c r="D127" s="704"/>
      <c r="E127" s="704"/>
      <c r="F127" s="704"/>
      <c r="G127" s="704"/>
      <c r="H127" s="704"/>
    </row>
    <row r="128" spans="1:8" ht="15">
      <c r="A128" s="703"/>
      <c r="B128" s="703"/>
      <c r="C128" s="703"/>
      <c r="D128" s="703"/>
      <c r="E128" s="703"/>
      <c r="F128" s="703"/>
      <c r="G128" s="703"/>
      <c r="H128" s="703"/>
    </row>
    <row r="129" spans="1:8" ht="15.75">
      <c r="A129" s="705" t="s">
        <v>493</v>
      </c>
      <c r="B129" s="703"/>
      <c r="C129" s="703"/>
      <c r="D129" s="703"/>
      <c r="E129" s="703"/>
      <c r="F129" s="703"/>
      <c r="G129" s="703"/>
      <c r="H129" s="703"/>
    </row>
    <row r="130" spans="1:8" ht="15">
      <c r="A130" s="703"/>
      <c r="B130" s="703"/>
      <c r="C130" s="703"/>
      <c r="D130" s="703"/>
      <c r="E130" s="703"/>
      <c r="F130" s="703"/>
      <c r="G130" s="703"/>
      <c r="H130" s="703"/>
    </row>
    <row r="131" spans="1:8" ht="15">
      <c r="A131" s="704" t="s">
        <v>683</v>
      </c>
      <c r="B131" s="703"/>
      <c r="C131" s="703"/>
      <c r="D131" s="703"/>
      <c r="E131" s="703"/>
      <c r="F131" s="703"/>
      <c r="G131" s="703"/>
      <c r="H131" s="703"/>
    </row>
    <row r="132" spans="1:8" ht="15">
      <c r="A132" s="704" t="s">
        <v>684</v>
      </c>
      <c r="B132" s="703"/>
      <c r="C132" s="703"/>
      <c r="D132" s="703"/>
      <c r="E132" s="703"/>
      <c r="F132" s="703"/>
      <c r="G132" s="703"/>
      <c r="H132" s="703"/>
    </row>
    <row r="133" spans="1:8" ht="15">
      <c r="A133" s="703"/>
      <c r="B133" s="703"/>
      <c r="C133" s="703"/>
      <c r="D133" s="703"/>
      <c r="E133" s="703"/>
      <c r="F133" s="703"/>
      <c r="G133" s="703"/>
      <c r="H133" s="703"/>
    </row>
    <row r="134" spans="1:8" ht="15">
      <c r="A134" s="704" t="s">
        <v>680</v>
      </c>
      <c r="B134" s="703"/>
      <c r="C134" s="703"/>
      <c r="D134" s="703"/>
      <c r="E134" s="703"/>
      <c r="F134" s="703"/>
      <c r="G134" s="703"/>
      <c r="H134" s="703"/>
    </row>
    <row r="135" spans="1:8" ht="15">
      <c r="A135" s="704" t="s">
        <v>681</v>
      </c>
      <c r="B135" s="703"/>
      <c r="C135" s="703"/>
      <c r="D135" s="703"/>
      <c r="E135" s="703"/>
      <c r="F135" s="703"/>
      <c r="G135" s="703"/>
      <c r="H135" s="703"/>
    </row>
    <row r="136" spans="1:8" ht="15">
      <c r="A136" s="704" t="s">
        <v>682</v>
      </c>
      <c r="B136" s="703"/>
      <c r="C136" s="703"/>
      <c r="D136" s="703"/>
      <c r="E136" s="703"/>
      <c r="F136" s="703"/>
      <c r="G136" s="703"/>
      <c r="H136" s="703"/>
    </row>
    <row r="137" spans="1:8" ht="15">
      <c r="A137" s="703"/>
      <c r="B137" s="703"/>
      <c r="C137" s="703"/>
      <c r="D137" s="703"/>
      <c r="E137" s="703"/>
      <c r="F137" s="703"/>
      <c r="G137" s="703"/>
      <c r="H137" s="703"/>
    </row>
    <row r="138" spans="1:8" ht="15">
      <c r="A138" s="704" t="s">
        <v>677</v>
      </c>
      <c r="B138" s="703"/>
      <c r="C138" s="703"/>
      <c r="D138" s="703"/>
      <c r="E138" s="703"/>
      <c r="F138" s="703"/>
      <c r="G138" s="703"/>
      <c r="H138" s="703"/>
    </row>
    <row r="139" spans="1:8" ht="15">
      <c r="A139" s="704" t="s">
        <v>678</v>
      </c>
      <c r="B139" s="703"/>
      <c r="C139" s="703"/>
      <c r="D139" s="703"/>
      <c r="E139" s="703"/>
      <c r="F139" s="703"/>
      <c r="G139" s="703"/>
      <c r="H139" s="703"/>
    </row>
    <row r="140" spans="1:8" ht="15">
      <c r="A140" s="704" t="s">
        <v>679</v>
      </c>
      <c r="B140" s="703"/>
      <c r="C140" s="703"/>
      <c r="D140" s="703"/>
      <c r="E140" s="703"/>
      <c r="F140" s="703"/>
      <c r="G140" s="703"/>
      <c r="H140" s="703"/>
    </row>
    <row r="141" spans="1:8" ht="15">
      <c r="A141" s="703"/>
      <c r="B141" s="703"/>
      <c r="C141" s="703"/>
      <c r="D141" s="703"/>
      <c r="E141" s="703"/>
      <c r="F141" s="703"/>
      <c r="G141" s="703"/>
      <c r="H141" s="703"/>
    </row>
    <row r="142" spans="1:8" ht="15">
      <c r="A142" s="704" t="s">
        <v>674</v>
      </c>
      <c r="B142" s="703"/>
      <c r="C142" s="703"/>
      <c r="D142" s="703"/>
      <c r="E142" s="703"/>
      <c r="F142" s="703"/>
      <c r="G142" s="703"/>
      <c r="H142" s="703"/>
    </row>
    <row r="143" spans="1:8" ht="15">
      <c r="A143" s="704" t="s">
        <v>675</v>
      </c>
      <c r="B143" s="703"/>
      <c r="C143" s="703"/>
      <c r="D143" s="703"/>
      <c r="E143" s="703"/>
      <c r="F143" s="703"/>
      <c r="G143" s="703"/>
      <c r="H143" s="703"/>
    </row>
    <row r="144" spans="1:8" ht="15">
      <c r="A144" s="704" t="s">
        <v>676</v>
      </c>
      <c r="B144" s="703"/>
      <c r="C144" s="703"/>
      <c r="D144" s="703"/>
      <c r="E144" s="703"/>
      <c r="F144" s="703"/>
      <c r="G144" s="703"/>
      <c r="H144" s="703"/>
    </row>
    <row r="145" spans="1:8" ht="15">
      <c r="A145" s="703"/>
      <c r="B145" s="703"/>
      <c r="C145" s="703"/>
      <c r="D145" s="703"/>
      <c r="E145" s="703"/>
      <c r="F145" s="703"/>
      <c r="G145" s="703"/>
      <c r="H145" s="703"/>
    </row>
    <row r="146" spans="1:8" ht="15">
      <c r="A146" s="704" t="s">
        <v>672</v>
      </c>
      <c r="B146" s="703"/>
      <c r="C146" s="703"/>
      <c r="D146" s="703"/>
      <c r="E146" s="703"/>
      <c r="F146" s="703"/>
      <c r="G146" s="703"/>
      <c r="H146" s="703"/>
    </row>
    <row r="147" spans="1:8" ht="15">
      <c r="A147" s="704" t="s">
        <v>673</v>
      </c>
      <c r="B147" s="703"/>
      <c r="C147" s="703"/>
      <c r="D147" s="703"/>
      <c r="E147" s="703"/>
      <c r="F147" s="703"/>
      <c r="G147" s="703"/>
      <c r="H147" s="703"/>
    </row>
    <row r="148" spans="1:8" ht="15">
      <c r="A148" s="703"/>
      <c r="B148" s="703"/>
      <c r="C148" s="703"/>
      <c r="D148" s="703"/>
      <c r="E148" s="703"/>
      <c r="F148" s="703"/>
      <c r="G148" s="703"/>
      <c r="H148" s="703"/>
    </row>
    <row r="149" spans="1:8" ht="15.75">
      <c r="A149" s="705" t="s">
        <v>494</v>
      </c>
      <c r="B149" s="703"/>
      <c r="C149" s="703"/>
      <c r="D149" s="703"/>
      <c r="E149" s="703"/>
      <c r="F149" s="703"/>
      <c r="G149" s="703"/>
      <c r="H149" s="703"/>
    </row>
    <row r="150" spans="1:8" ht="15">
      <c r="A150" s="703"/>
      <c r="B150" s="703"/>
      <c r="C150" s="703"/>
      <c r="D150" s="703"/>
      <c r="E150" s="703"/>
      <c r="F150" s="703"/>
      <c r="G150" s="703"/>
      <c r="H150" s="703"/>
    </row>
    <row r="151" spans="1:8" ht="15">
      <c r="A151" s="704" t="s">
        <v>670</v>
      </c>
      <c r="B151" s="703"/>
      <c r="C151" s="703"/>
      <c r="D151" s="703"/>
      <c r="E151" s="703"/>
      <c r="F151" s="703"/>
      <c r="G151" s="703"/>
      <c r="H151" s="703"/>
    </row>
    <row r="152" spans="1:8" ht="15">
      <c r="A152" s="704" t="s">
        <v>671</v>
      </c>
      <c r="B152" s="703"/>
      <c r="C152" s="703"/>
      <c r="D152" s="703"/>
      <c r="E152" s="703"/>
      <c r="F152" s="703"/>
      <c r="G152" s="703"/>
      <c r="H152" s="703"/>
    </row>
    <row r="153" spans="1:8" ht="15">
      <c r="A153" s="703"/>
      <c r="B153" s="703"/>
      <c r="C153" s="703"/>
      <c r="D153" s="703"/>
      <c r="E153" s="703"/>
      <c r="F153" s="703"/>
      <c r="G153" s="703"/>
      <c r="H153" s="703"/>
    </row>
    <row r="154" spans="1:8" ht="15">
      <c r="A154" s="704" t="s">
        <v>668</v>
      </c>
      <c r="B154" s="703"/>
      <c r="C154" s="703"/>
      <c r="D154" s="703"/>
      <c r="E154" s="703"/>
      <c r="F154" s="703"/>
      <c r="G154" s="703"/>
      <c r="H154" s="703"/>
    </row>
    <row r="155" spans="1:8" ht="15">
      <c r="A155" s="704" t="s">
        <v>669</v>
      </c>
      <c r="B155" s="703"/>
      <c r="C155" s="703"/>
      <c r="D155" s="703"/>
      <c r="E155" s="703"/>
      <c r="F155" s="703"/>
      <c r="G155" s="703"/>
      <c r="H155" s="703"/>
    </row>
    <row r="156" spans="1:8" ht="15">
      <c r="A156" s="703"/>
      <c r="B156" s="703"/>
      <c r="C156" s="703"/>
      <c r="D156" s="703"/>
      <c r="E156" s="703"/>
      <c r="F156" s="703"/>
      <c r="G156" s="703"/>
      <c r="H156" s="703"/>
    </row>
    <row r="157" spans="1:8" ht="15">
      <c r="A157" s="704" t="s">
        <v>666</v>
      </c>
      <c r="B157" s="703"/>
      <c r="C157" s="703"/>
      <c r="D157" s="703"/>
      <c r="E157" s="703"/>
      <c r="F157" s="703"/>
      <c r="G157" s="703"/>
      <c r="H157" s="703"/>
    </row>
    <row r="158" spans="1:8" ht="15">
      <c r="A158" s="704" t="s">
        <v>667</v>
      </c>
      <c r="B158" s="703"/>
      <c r="C158" s="703"/>
      <c r="D158" s="703"/>
      <c r="E158" s="703"/>
      <c r="F158" s="703"/>
      <c r="G158" s="703"/>
      <c r="H158" s="703"/>
    </row>
    <row r="159" spans="1:8" ht="15">
      <c r="A159" s="703"/>
      <c r="B159" s="703"/>
      <c r="C159" s="703"/>
      <c r="D159" s="703"/>
      <c r="E159" s="703"/>
      <c r="F159" s="703"/>
      <c r="G159" s="703"/>
      <c r="H159" s="703"/>
    </row>
    <row r="160" spans="1:8" ht="15">
      <c r="A160" s="704" t="s">
        <v>663</v>
      </c>
      <c r="B160" s="703"/>
      <c r="C160" s="703"/>
      <c r="D160" s="703"/>
      <c r="E160" s="703"/>
      <c r="F160" s="703"/>
      <c r="G160" s="703"/>
      <c r="H160" s="703"/>
    </row>
    <row r="161" spans="1:8" ht="15">
      <c r="A161" s="704" t="s">
        <v>664</v>
      </c>
      <c r="B161" s="703"/>
      <c r="C161" s="703"/>
      <c r="D161" s="703"/>
      <c r="E161" s="703"/>
      <c r="F161" s="703"/>
      <c r="G161" s="703"/>
      <c r="H161" s="703"/>
    </row>
    <row r="162" spans="1:8" ht="15">
      <c r="A162" s="704" t="s">
        <v>665</v>
      </c>
      <c r="B162" s="703"/>
      <c r="C162" s="703"/>
      <c r="D162" s="703"/>
      <c r="E162" s="703"/>
      <c r="F162" s="703"/>
      <c r="G162" s="703"/>
      <c r="H162" s="703"/>
    </row>
    <row r="163" spans="1:8" ht="15">
      <c r="A163" s="703"/>
      <c r="B163" s="703"/>
      <c r="C163" s="703"/>
      <c r="D163" s="703"/>
      <c r="E163" s="703"/>
      <c r="F163" s="703"/>
      <c r="G163" s="703"/>
      <c r="H163" s="703"/>
    </row>
    <row r="164" spans="1:8" ht="15">
      <c r="A164" s="703"/>
      <c r="B164" s="703"/>
      <c r="C164" s="703"/>
      <c r="D164" s="703"/>
      <c r="E164" s="703"/>
      <c r="F164" s="703"/>
      <c r="G164" s="703"/>
      <c r="H164" s="703"/>
    </row>
    <row r="165" spans="1:8" ht="15">
      <c r="A165" s="704" t="s">
        <v>495</v>
      </c>
      <c r="B165" s="703"/>
      <c r="C165" s="703"/>
      <c r="D165" s="703"/>
      <c r="E165" s="703"/>
      <c r="F165" s="703"/>
      <c r="G165" s="703"/>
      <c r="H165" s="703"/>
    </row>
    <row r="166" spans="1:8" ht="15">
      <c r="A166" s="703"/>
      <c r="B166" s="703"/>
      <c r="C166" s="703"/>
      <c r="D166" s="703"/>
      <c r="E166" s="703"/>
      <c r="F166" s="703"/>
      <c r="G166" s="703"/>
      <c r="H166" s="703"/>
    </row>
    <row r="167" spans="1:8" ht="15.75">
      <c r="A167" s="705" t="s">
        <v>496</v>
      </c>
      <c r="B167" s="703"/>
      <c r="C167" s="703"/>
      <c r="D167" s="703"/>
      <c r="E167" s="703"/>
      <c r="F167" s="703"/>
      <c r="G167" s="703"/>
      <c r="H167" s="703"/>
    </row>
    <row r="168" spans="1:8" ht="15">
      <c r="A168" s="703"/>
      <c r="B168" s="703"/>
      <c r="C168" s="703"/>
      <c r="D168" s="703"/>
      <c r="E168" s="703"/>
      <c r="F168" s="703"/>
      <c r="G168" s="703"/>
      <c r="H168" s="703"/>
    </row>
    <row r="169" spans="1:8" ht="15">
      <c r="A169" s="703"/>
      <c r="B169" s="703"/>
      <c r="C169" s="703"/>
      <c r="D169" s="703"/>
      <c r="E169" s="703"/>
      <c r="F169" s="703"/>
      <c r="G169" s="703"/>
      <c r="H169" s="703"/>
    </row>
    <row r="170" spans="1:8" ht="15">
      <c r="A170" s="703"/>
      <c r="B170" s="703"/>
      <c r="C170" s="703"/>
      <c r="D170" s="703"/>
      <c r="E170" s="703"/>
      <c r="F170" s="703"/>
      <c r="G170" s="703"/>
      <c r="H170" s="703"/>
    </row>
    <row r="171" spans="1:8" ht="15">
      <c r="A171" s="703"/>
      <c r="B171" s="703"/>
      <c r="C171" s="703"/>
      <c r="D171" s="703"/>
      <c r="E171" s="703"/>
      <c r="F171" s="703"/>
      <c r="G171" s="703"/>
      <c r="H171" s="703"/>
    </row>
    <row r="172" spans="1:8" ht="15">
      <c r="A172" s="703"/>
      <c r="B172" s="703"/>
      <c r="C172" s="703"/>
      <c r="D172" s="703"/>
      <c r="E172" s="703"/>
      <c r="F172" s="703"/>
      <c r="G172" s="703"/>
      <c r="H172" s="703"/>
    </row>
    <row r="173" spans="1:8" ht="15">
      <c r="A173" s="703"/>
      <c r="B173" s="703"/>
      <c r="C173" s="703"/>
      <c r="D173" s="703"/>
      <c r="E173" s="703"/>
      <c r="F173" s="703"/>
      <c r="G173" s="703"/>
      <c r="H173" s="703"/>
    </row>
    <row r="174" spans="1:8" ht="15">
      <c r="A174" s="703"/>
      <c r="B174" s="703"/>
      <c r="C174" s="703"/>
      <c r="D174" s="703"/>
      <c r="E174" s="703"/>
      <c r="F174" s="703"/>
      <c r="G174" s="703"/>
      <c r="H174" s="703"/>
    </row>
    <row r="175" spans="1:8" ht="15">
      <c r="A175" s="703"/>
      <c r="B175" s="703"/>
      <c r="C175" s="703"/>
      <c r="D175" s="703"/>
      <c r="E175" s="703"/>
      <c r="F175" s="703"/>
      <c r="G175" s="703"/>
      <c r="H175" s="703"/>
    </row>
    <row r="176" spans="1:8" ht="15">
      <c r="A176" s="703"/>
      <c r="B176" s="703"/>
      <c r="C176" s="703"/>
      <c r="D176" s="703"/>
      <c r="E176" s="703"/>
      <c r="F176" s="703"/>
      <c r="G176" s="703"/>
      <c r="H176" s="703"/>
    </row>
    <row r="177" spans="1:8" ht="15">
      <c r="A177" s="703"/>
      <c r="B177" s="703"/>
      <c r="C177" s="703"/>
      <c r="D177" s="703"/>
      <c r="E177" s="703"/>
      <c r="F177" s="703"/>
      <c r="G177" s="703"/>
      <c r="H177" s="703"/>
    </row>
    <row r="178" spans="1:8" ht="15">
      <c r="A178" s="703"/>
      <c r="B178" s="703"/>
      <c r="C178" s="703"/>
      <c r="D178" s="703"/>
      <c r="E178" s="703"/>
      <c r="F178" s="703"/>
      <c r="G178" s="703"/>
      <c r="H178" s="703"/>
    </row>
    <row r="179" spans="1:8" ht="15">
      <c r="A179" s="703"/>
      <c r="B179" s="703"/>
      <c r="C179" s="703"/>
      <c r="D179" s="703"/>
      <c r="E179" s="703"/>
      <c r="F179" s="703"/>
      <c r="G179" s="703"/>
      <c r="H179" s="703"/>
    </row>
    <row r="180" spans="1:8" ht="15">
      <c r="A180" s="703"/>
      <c r="B180" s="703"/>
      <c r="C180" s="703"/>
      <c r="D180" s="703"/>
      <c r="E180" s="703"/>
      <c r="F180" s="703"/>
      <c r="G180" s="703"/>
      <c r="H180" s="703"/>
    </row>
    <row r="181" spans="1:8" ht="15">
      <c r="A181" s="703"/>
      <c r="B181" s="703"/>
      <c r="C181" s="703"/>
      <c r="D181" s="703"/>
      <c r="E181" s="703"/>
      <c r="F181" s="703"/>
      <c r="G181" s="703"/>
      <c r="H181" s="703"/>
    </row>
    <row r="182" spans="1:8" ht="15">
      <c r="A182" s="703"/>
      <c r="B182" s="703"/>
      <c r="C182" s="703"/>
      <c r="D182" s="703"/>
      <c r="E182" s="703"/>
      <c r="F182" s="703"/>
      <c r="G182" s="703"/>
      <c r="H182" s="703"/>
    </row>
    <row r="183" spans="1:8" ht="15">
      <c r="A183" s="703"/>
      <c r="B183" s="703"/>
      <c r="C183" s="703"/>
      <c r="D183" s="703"/>
      <c r="E183" s="703"/>
      <c r="F183" s="703"/>
      <c r="G183" s="703"/>
      <c r="H183" s="703"/>
    </row>
    <row r="184" spans="1:8" ht="15">
      <c r="A184" s="703"/>
      <c r="B184" s="703"/>
      <c r="C184" s="703"/>
      <c r="D184" s="703"/>
      <c r="E184" s="703"/>
      <c r="F184" s="703"/>
      <c r="G184" s="703"/>
      <c r="H184" s="703"/>
    </row>
    <row r="185" spans="1:8" ht="15">
      <c r="A185" s="703"/>
      <c r="B185" s="703"/>
      <c r="C185" s="703"/>
      <c r="D185" s="703"/>
      <c r="E185" s="703"/>
      <c r="F185" s="703"/>
      <c r="G185" s="703"/>
      <c r="H185" s="703"/>
    </row>
    <row r="186" spans="1:8" ht="15">
      <c r="A186" s="703"/>
      <c r="B186" s="703"/>
      <c r="C186" s="703"/>
      <c r="D186" s="703"/>
      <c r="E186" s="703"/>
      <c r="F186" s="703"/>
      <c r="G186" s="703"/>
      <c r="H186" s="703"/>
    </row>
    <row r="187" spans="1:8" ht="15">
      <c r="A187" s="703"/>
      <c r="B187" s="703"/>
      <c r="C187" s="703"/>
      <c r="D187" s="703"/>
      <c r="E187" s="703"/>
      <c r="F187" s="703"/>
      <c r="G187" s="703"/>
      <c r="H187" s="703"/>
    </row>
    <row r="188" spans="1:8" ht="15">
      <c r="A188" s="703"/>
      <c r="B188" s="703"/>
      <c r="C188" s="703"/>
      <c r="D188" s="703"/>
      <c r="E188" s="703"/>
      <c r="F188" s="703"/>
      <c r="G188" s="703"/>
      <c r="H188" s="703"/>
    </row>
    <row r="189" spans="1:8" ht="15">
      <c r="A189" s="703"/>
      <c r="B189" s="703"/>
      <c r="C189" s="703"/>
      <c r="D189" s="703"/>
      <c r="E189" s="703"/>
      <c r="F189" s="703"/>
      <c r="G189" s="703"/>
      <c r="H189" s="703"/>
    </row>
    <row r="190" spans="1:8" ht="15">
      <c r="A190" s="703"/>
      <c r="B190" s="703"/>
      <c r="C190" s="703"/>
      <c r="D190" s="703"/>
      <c r="E190" s="703"/>
      <c r="F190" s="703"/>
      <c r="G190" s="703"/>
      <c r="H190" s="703"/>
    </row>
    <row r="191" spans="1:8" ht="15">
      <c r="A191" s="703"/>
      <c r="B191" s="703"/>
      <c r="C191" s="703"/>
      <c r="D191" s="703"/>
      <c r="E191" s="703"/>
      <c r="F191" s="703"/>
      <c r="G191" s="703"/>
      <c r="H191" s="703"/>
    </row>
    <row r="192" spans="1:8" ht="15">
      <c r="A192" s="703"/>
      <c r="B192" s="703"/>
      <c r="C192" s="703"/>
      <c r="D192" s="703"/>
      <c r="E192" s="703"/>
      <c r="F192" s="703"/>
      <c r="G192" s="703"/>
      <c r="H192" s="703"/>
    </row>
    <row r="193" spans="1:8" ht="15">
      <c r="A193" s="703"/>
      <c r="B193" s="703"/>
      <c r="C193" s="703"/>
      <c r="D193" s="703"/>
      <c r="E193" s="703"/>
      <c r="F193" s="703"/>
      <c r="G193" s="703"/>
      <c r="H193" s="703"/>
    </row>
    <row r="194" spans="1:8" ht="15.75">
      <c r="A194" s="705" t="s">
        <v>497</v>
      </c>
      <c r="B194" s="703"/>
      <c r="C194" s="703"/>
      <c r="D194" s="703"/>
      <c r="E194" s="703"/>
      <c r="F194" s="703"/>
      <c r="G194" s="703"/>
      <c r="H194" s="703"/>
    </row>
    <row r="195" spans="1:8" ht="15">
      <c r="A195" s="703"/>
      <c r="B195" s="703"/>
      <c r="C195" s="703"/>
      <c r="D195" s="703"/>
      <c r="E195" s="703"/>
      <c r="F195" s="703"/>
      <c r="G195" s="703"/>
      <c r="H195" s="703"/>
    </row>
    <row r="196" spans="1:8" ht="15">
      <c r="A196" s="704" t="s">
        <v>658</v>
      </c>
      <c r="B196" s="703"/>
      <c r="C196" s="703"/>
      <c r="D196" s="703"/>
      <c r="E196" s="703"/>
      <c r="F196" s="703"/>
      <c r="G196" s="703"/>
      <c r="H196" s="703"/>
    </row>
    <row r="197" spans="1:8" ht="15">
      <c r="A197" s="704" t="s">
        <v>659</v>
      </c>
      <c r="B197" s="703"/>
      <c r="C197" s="703"/>
      <c r="D197" s="703"/>
      <c r="E197" s="703"/>
      <c r="F197" s="703"/>
      <c r="G197" s="703"/>
      <c r="H197" s="703"/>
    </row>
    <row r="198" spans="1:8" ht="15">
      <c r="A198" s="704" t="s">
        <v>660</v>
      </c>
      <c r="B198" s="703"/>
      <c r="C198" s="703"/>
      <c r="D198" s="703"/>
      <c r="E198" s="703"/>
      <c r="F198" s="703"/>
      <c r="G198" s="703"/>
      <c r="H198" s="703"/>
    </row>
    <row r="199" spans="1:8" ht="15">
      <c r="A199" s="704" t="s">
        <v>661</v>
      </c>
      <c r="B199" s="703"/>
      <c r="C199" s="703"/>
      <c r="D199" s="703"/>
      <c r="E199" s="703"/>
      <c r="F199" s="703"/>
      <c r="G199" s="703"/>
      <c r="H199" s="703"/>
    </row>
    <row r="200" spans="1:8" ht="15">
      <c r="A200" s="704" t="s">
        <v>662</v>
      </c>
      <c r="B200" s="703"/>
      <c r="C200" s="703"/>
      <c r="D200" s="703"/>
      <c r="E200" s="703"/>
      <c r="F200" s="703"/>
      <c r="G200" s="703"/>
      <c r="H200" s="703"/>
    </row>
    <row r="201" spans="1:8" ht="15">
      <c r="A201" s="703"/>
      <c r="B201" s="703"/>
      <c r="C201" s="703"/>
      <c r="D201" s="703"/>
      <c r="E201" s="703"/>
      <c r="F201" s="703"/>
      <c r="G201" s="703"/>
      <c r="H201" s="703"/>
    </row>
    <row r="202" spans="1:8" ht="15">
      <c r="A202" s="704" t="s">
        <v>655</v>
      </c>
      <c r="B202" s="703"/>
      <c r="C202" s="703"/>
      <c r="D202" s="703"/>
      <c r="E202" s="703"/>
      <c r="F202" s="703"/>
      <c r="G202" s="703"/>
      <c r="H202" s="703"/>
    </row>
    <row r="203" spans="1:8" ht="15">
      <c r="A203" s="704" t="s">
        <v>656</v>
      </c>
      <c r="B203" s="703"/>
      <c r="C203" s="703"/>
      <c r="D203" s="703"/>
      <c r="E203" s="703"/>
      <c r="F203" s="703"/>
      <c r="G203" s="703"/>
      <c r="H203" s="703"/>
    </row>
    <row r="204" spans="1:8" ht="15">
      <c r="A204" s="704" t="s">
        <v>657</v>
      </c>
      <c r="B204" s="703"/>
      <c r="C204" s="703"/>
      <c r="D204" s="703"/>
      <c r="E204" s="703"/>
      <c r="F204" s="703"/>
      <c r="G204" s="703"/>
      <c r="H204" s="703"/>
    </row>
    <row r="205" spans="1:8" ht="15.75">
      <c r="A205" s="705" t="s">
        <v>498</v>
      </c>
      <c r="B205" s="703"/>
      <c r="C205" s="703"/>
      <c r="D205" s="703"/>
      <c r="E205" s="703"/>
      <c r="F205" s="703"/>
      <c r="G205" s="703"/>
      <c r="H205" s="703"/>
    </row>
    <row r="206" spans="1:8" ht="15">
      <c r="A206" s="703"/>
      <c r="B206" s="703"/>
      <c r="C206" s="703"/>
      <c r="D206" s="703"/>
      <c r="E206" s="703"/>
      <c r="F206" s="703"/>
      <c r="G206" s="703"/>
      <c r="H206" s="703"/>
    </row>
    <row r="207" spans="1:8" ht="15">
      <c r="A207" s="704" t="s">
        <v>653</v>
      </c>
      <c r="B207" s="703"/>
      <c r="C207" s="703"/>
      <c r="D207" s="703"/>
      <c r="E207" s="703"/>
      <c r="F207" s="703"/>
      <c r="G207" s="703"/>
      <c r="H207" s="703"/>
    </row>
    <row r="208" spans="1:8" ht="15">
      <c r="A208" s="704" t="s">
        <v>654</v>
      </c>
      <c r="B208" s="703"/>
      <c r="C208" s="703"/>
      <c r="D208" s="703"/>
      <c r="E208" s="703"/>
      <c r="F208" s="703"/>
      <c r="G208" s="703"/>
      <c r="H208" s="703"/>
    </row>
    <row r="209" spans="1:8" ht="15">
      <c r="A209" s="703"/>
      <c r="B209" s="703"/>
      <c r="C209" s="703"/>
      <c r="D209" s="703"/>
      <c r="E209" s="703"/>
      <c r="F209" s="703"/>
      <c r="G209" s="703"/>
      <c r="H209" s="703"/>
    </row>
    <row r="210" spans="1:8" ht="15">
      <c r="A210" s="704" t="s">
        <v>646</v>
      </c>
      <c r="B210" s="703"/>
      <c r="C210" s="703"/>
      <c r="D210" s="703"/>
      <c r="E210" s="703"/>
      <c r="F210" s="703"/>
      <c r="G210" s="703"/>
      <c r="H210" s="703"/>
    </row>
    <row r="211" spans="1:8" ht="15">
      <c r="A211" s="704" t="s">
        <v>647</v>
      </c>
      <c r="B211" s="703"/>
      <c r="C211" s="703"/>
      <c r="D211" s="703"/>
      <c r="E211" s="703"/>
      <c r="F211" s="703"/>
      <c r="G211" s="703"/>
      <c r="H211" s="703"/>
    </row>
    <row r="212" spans="1:8" ht="15">
      <c r="A212" s="704" t="s">
        <v>648</v>
      </c>
      <c r="B212" s="703"/>
      <c r="C212" s="703"/>
      <c r="D212" s="703"/>
      <c r="E212" s="703"/>
      <c r="F212" s="703"/>
      <c r="G212" s="703"/>
      <c r="H212" s="703"/>
    </row>
    <row r="213" spans="1:8" ht="15">
      <c r="A213" s="704" t="s">
        <v>649</v>
      </c>
      <c r="B213" s="703"/>
      <c r="C213" s="703"/>
      <c r="D213" s="703"/>
      <c r="E213" s="703"/>
      <c r="F213" s="703"/>
      <c r="G213" s="703"/>
      <c r="H213" s="703"/>
    </row>
    <row r="214" spans="1:8" ht="15">
      <c r="A214" s="704" t="s">
        <v>650</v>
      </c>
      <c r="B214" s="703"/>
      <c r="C214" s="703"/>
      <c r="D214" s="703"/>
      <c r="E214" s="703"/>
      <c r="F214" s="703"/>
      <c r="G214" s="703"/>
      <c r="H214" s="703"/>
    </row>
    <row r="215" spans="1:8" ht="15">
      <c r="A215" s="704" t="s">
        <v>651</v>
      </c>
      <c r="B215" s="703"/>
      <c r="C215" s="703"/>
      <c r="D215" s="703"/>
      <c r="E215" s="703"/>
      <c r="F215" s="703"/>
      <c r="G215" s="703"/>
      <c r="H215" s="703"/>
    </row>
    <row r="216" spans="1:8" ht="15">
      <c r="A216" s="704" t="s">
        <v>652</v>
      </c>
      <c r="B216" s="703"/>
      <c r="C216" s="703"/>
      <c r="D216" s="703"/>
      <c r="E216" s="703"/>
      <c r="F216" s="703"/>
      <c r="G216" s="703"/>
      <c r="H216" s="703"/>
    </row>
    <row r="217" spans="1:8" ht="15">
      <c r="A217" s="703"/>
      <c r="B217" s="703"/>
      <c r="C217" s="703"/>
      <c r="D217" s="703"/>
      <c r="E217" s="703"/>
      <c r="F217" s="703"/>
      <c r="G217" s="703"/>
      <c r="H217" s="703"/>
    </row>
    <row r="218" spans="1:8" ht="15">
      <c r="A218" s="704" t="s">
        <v>643</v>
      </c>
      <c r="B218" s="703"/>
      <c r="C218" s="703"/>
      <c r="D218" s="703"/>
      <c r="E218" s="703"/>
      <c r="F218" s="703"/>
      <c r="G218" s="703"/>
      <c r="H218" s="703"/>
    </row>
    <row r="219" spans="1:8" ht="15">
      <c r="A219" s="704" t="s">
        <v>644</v>
      </c>
      <c r="B219" s="703"/>
      <c r="C219" s="703"/>
      <c r="D219" s="703"/>
      <c r="E219" s="703"/>
      <c r="F219" s="703"/>
      <c r="G219" s="703"/>
      <c r="H219" s="703"/>
    </row>
    <row r="220" spans="1:8" ht="15">
      <c r="A220" s="704" t="s">
        <v>645</v>
      </c>
      <c r="B220" s="703"/>
      <c r="C220" s="703"/>
      <c r="D220" s="703"/>
      <c r="E220" s="703"/>
      <c r="F220" s="703"/>
      <c r="G220" s="703"/>
      <c r="H220" s="703"/>
    </row>
    <row r="221" spans="1:8" ht="15">
      <c r="A221" s="703"/>
      <c r="B221" s="703"/>
      <c r="C221" s="703"/>
      <c r="D221" s="703"/>
      <c r="E221" s="703"/>
      <c r="F221" s="703"/>
      <c r="G221" s="703"/>
      <c r="H221" s="703"/>
    </row>
    <row r="222" spans="1:8" ht="15">
      <c r="A222" s="704" t="s">
        <v>638</v>
      </c>
      <c r="B222" s="703"/>
      <c r="C222" s="703"/>
      <c r="D222" s="703"/>
      <c r="E222" s="703"/>
      <c r="F222" s="703"/>
      <c r="G222" s="703"/>
      <c r="H222" s="703"/>
    </row>
    <row r="223" spans="1:8" ht="15">
      <c r="A223" s="704" t="s">
        <v>639</v>
      </c>
      <c r="B223" s="703"/>
      <c r="C223" s="703"/>
      <c r="D223" s="703"/>
      <c r="E223" s="703"/>
      <c r="F223" s="703"/>
      <c r="G223" s="703"/>
      <c r="H223" s="703"/>
    </row>
    <row r="224" spans="1:8" ht="15">
      <c r="A224" s="704" t="s">
        <v>640</v>
      </c>
      <c r="B224" s="703"/>
      <c r="C224" s="703"/>
      <c r="D224" s="703"/>
      <c r="E224" s="703"/>
      <c r="F224" s="703"/>
      <c r="G224" s="703"/>
      <c r="H224" s="703"/>
    </row>
    <row r="225" spans="1:8" ht="15">
      <c r="A225" s="704" t="s">
        <v>641</v>
      </c>
      <c r="B225" s="703"/>
      <c r="C225" s="703"/>
      <c r="D225" s="703"/>
      <c r="E225" s="703"/>
      <c r="F225" s="703"/>
      <c r="G225" s="703"/>
      <c r="H225" s="703"/>
    </row>
    <row r="226" spans="1:8" ht="15">
      <c r="A226" s="704" t="s">
        <v>642</v>
      </c>
      <c r="B226" s="703"/>
      <c r="C226" s="703"/>
      <c r="D226" s="703"/>
      <c r="E226" s="703"/>
      <c r="F226" s="703"/>
      <c r="G226" s="703"/>
      <c r="H226" s="703"/>
    </row>
    <row r="227" spans="1:8" ht="15">
      <c r="A227" s="703"/>
      <c r="B227" s="703"/>
      <c r="C227" s="703"/>
      <c r="D227" s="703"/>
      <c r="E227" s="703"/>
      <c r="F227" s="703"/>
      <c r="G227" s="703"/>
      <c r="H227" s="703"/>
    </row>
    <row r="228" spans="1:8" ht="15">
      <c r="A228" s="704" t="s">
        <v>632</v>
      </c>
      <c r="B228" s="703"/>
      <c r="C228" s="703"/>
      <c r="D228" s="703"/>
      <c r="E228" s="703"/>
      <c r="F228" s="703"/>
      <c r="G228" s="703"/>
      <c r="H228" s="703"/>
    </row>
    <row r="229" spans="1:8" ht="15">
      <c r="A229" s="704" t="s">
        <v>633</v>
      </c>
      <c r="B229" s="703"/>
      <c r="C229" s="703"/>
      <c r="D229" s="703"/>
      <c r="E229" s="703"/>
      <c r="F229" s="703"/>
      <c r="G229" s="703"/>
      <c r="H229" s="703"/>
    </row>
    <row r="230" spans="1:8" ht="15">
      <c r="A230" s="704" t="s">
        <v>634</v>
      </c>
      <c r="B230" s="703"/>
      <c r="C230" s="703"/>
      <c r="D230" s="703"/>
      <c r="E230" s="703"/>
      <c r="F230" s="703"/>
      <c r="G230" s="703"/>
      <c r="H230" s="703"/>
    </row>
    <row r="231" spans="1:8" ht="15">
      <c r="A231" s="704" t="s">
        <v>635</v>
      </c>
      <c r="B231" s="703"/>
      <c r="C231" s="703"/>
      <c r="D231" s="703"/>
      <c r="E231" s="703"/>
      <c r="F231" s="703"/>
      <c r="G231" s="703"/>
      <c r="H231" s="703"/>
    </row>
    <row r="232" spans="1:8" ht="15">
      <c r="A232" s="704" t="s">
        <v>636</v>
      </c>
      <c r="B232" s="703"/>
      <c r="C232" s="703"/>
      <c r="D232" s="703"/>
      <c r="E232" s="703"/>
      <c r="F232" s="703"/>
      <c r="G232" s="703"/>
      <c r="H232" s="703"/>
    </row>
    <row r="233" spans="1:8" ht="15">
      <c r="A233" s="704" t="s">
        <v>637</v>
      </c>
      <c r="B233" s="703"/>
      <c r="C233" s="703"/>
      <c r="D233" s="703"/>
      <c r="E233" s="703"/>
      <c r="F233" s="703"/>
      <c r="G233" s="703"/>
      <c r="H233" s="703"/>
    </row>
    <row r="234" spans="1:8" ht="15">
      <c r="A234" s="703"/>
      <c r="B234" s="703"/>
      <c r="C234" s="703"/>
      <c r="D234" s="703"/>
      <c r="E234" s="703"/>
      <c r="F234" s="703"/>
      <c r="G234" s="703"/>
      <c r="H234" s="703"/>
    </row>
    <row r="235" spans="1:8" ht="15">
      <c r="A235" s="704" t="s">
        <v>622</v>
      </c>
      <c r="B235" s="703"/>
      <c r="C235" s="703"/>
      <c r="D235" s="703"/>
      <c r="E235" s="703"/>
      <c r="F235" s="703"/>
      <c r="G235" s="703"/>
      <c r="H235" s="703"/>
    </row>
    <row r="236" spans="1:8" ht="15">
      <c r="A236" s="704" t="s">
        <v>623</v>
      </c>
      <c r="B236" s="703"/>
      <c r="C236" s="703"/>
      <c r="D236" s="703"/>
      <c r="E236" s="703"/>
      <c r="F236" s="703"/>
      <c r="G236" s="703"/>
      <c r="H236" s="703"/>
    </row>
    <row r="237" spans="1:8" ht="15">
      <c r="A237" s="704" t="s">
        <v>624</v>
      </c>
      <c r="B237" s="703"/>
      <c r="C237" s="703"/>
      <c r="D237" s="703"/>
      <c r="E237" s="703"/>
      <c r="F237" s="703"/>
      <c r="G237" s="703"/>
      <c r="H237" s="703"/>
    </row>
    <row r="238" spans="1:8" ht="15">
      <c r="A238" s="704" t="s">
        <v>625</v>
      </c>
      <c r="B238" s="703"/>
      <c r="C238" s="703"/>
      <c r="D238" s="703"/>
      <c r="E238" s="703"/>
      <c r="F238" s="703"/>
      <c r="G238" s="703"/>
      <c r="H238" s="703"/>
    </row>
    <row r="239" spans="1:8" ht="15">
      <c r="A239" s="704" t="s">
        <v>626</v>
      </c>
      <c r="B239" s="703"/>
      <c r="C239" s="703"/>
      <c r="D239" s="703"/>
      <c r="E239" s="703"/>
      <c r="F239" s="703"/>
      <c r="G239" s="703"/>
      <c r="H239" s="703"/>
    </row>
    <row r="240" spans="1:8" ht="15">
      <c r="A240" s="704" t="s">
        <v>627</v>
      </c>
      <c r="B240" s="703"/>
      <c r="C240" s="703"/>
      <c r="D240" s="703"/>
      <c r="E240" s="703"/>
      <c r="F240" s="703"/>
      <c r="G240" s="703"/>
      <c r="H240" s="703"/>
    </row>
    <row r="241" spans="1:8" ht="15">
      <c r="A241" s="704" t="s">
        <v>628</v>
      </c>
      <c r="B241" s="703"/>
      <c r="C241" s="703"/>
      <c r="D241" s="703"/>
      <c r="E241" s="703"/>
      <c r="F241" s="703"/>
      <c r="G241" s="703"/>
      <c r="H241" s="703"/>
    </row>
    <row r="242" spans="1:8" ht="15">
      <c r="A242" s="704" t="s">
        <v>629</v>
      </c>
      <c r="B242" s="703"/>
      <c r="C242" s="703"/>
      <c r="D242" s="703"/>
      <c r="E242" s="703"/>
      <c r="F242" s="703"/>
      <c r="G242" s="703"/>
      <c r="H242" s="703"/>
    </row>
    <row r="243" spans="1:8" ht="15">
      <c r="A243" s="704" t="s">
        <v>630</v>
      </c>
      <c r="B243" s="703"/>
      <c r="C243" s="703"/>
      <c r="D243" s="703"/>
      <c r="E243" s="703"/>
      <c r="F243" s="703"/>
      <c r="G243" s="703"/>
      <c r="H243" s="703"/>
    </row>
    <row r="244" spans="1:8" ht="15">
      <c r="A244" s="704" t="s">
        <v>631</v>
      </c>
      <c r="B244" s="703"/>
      <c r="C244" s="703"/>
      <c r="D244" s="703"/>
      <c r="E244" s="703"/>
      <c r="F244" s="703"/>
      <c r="G244" s="703"/>
      <c r="H244" s="703"/>
    </row>
    <row r="245" spans="1:8" ht="15">
      <c r="A245" s="703"/>
      <c r="B245" s="703"/>
      <c r="C245" s="703"/>
      <c r="D245" s="703"/>
      <c r="E245" s="703"/>
      <c r="F245" s="703"/>
      <c r="G245" s="703"/>
      <c r="H245" s="703"/>
    </row>
    <row r="246" spans="1:8" ht="15">
      <c r="A246" s="704" t="s">
        <v>620</v>
      </c>
      <c r="B246" s="703"/>
      <c r="C246" s="703"/>
      <c r="D246" s="703"/>
      <c r="E246" s="703"/>
      <c r="F246" s="703"/>
      <c r="G246" s="703"/>
      <c r="H246" s="703"/>
    </row>
    <row r="247" spans="1:8" ht="15">
      <c r="A247" s="704" t="s">
        <v>621</v>
      </c>
      <c r="B247" s="703"/>
      <c r="C247" s="703"/>
      <c r="D247" s="703"/>
      <c r="E247" s="703"/>
      <c r="F247" s="703"/>
      <c r="G247" s="703"/>
      <c r="H247" s="703"/>
    </row>
    <row r="248" spans="1:8" ht="15">
      <c r="A248" s="703"/>
      <c r="B248" s="703"/>
      <c r="C248" s="703"/>
      <c r="D248" s="703"/>
      <c r="E248" s="703"/>
      <c r="F248" s="703"/>
      <c r="G248" s="703"/>
      <c r="H248" s="703"/>
    </row>
    <row r="249" spans="1:8" ht="15">
      <c r="A249" s="704" t="s">
        <v>604</v>
      </c>
      <c r="B249" s="703"/>
      <c r="C249" s="703"/>
      <c r="D249" s="703"/>
      <c r="E249" s="703"/>
      <c r="F249" s="703"/>
      <c r="G249" s="703"/>
      <c r="H249" s="703"/>
    </row>
    <row r="250" spans="1:8" ht="15">
      <c r="A250" s="704" t="s">
        <v>605</v>
      </c>
      <c r="B250" s="703"/>
      <c r="C250" s="703"/>
      <c r="D250" s="703"/>
      <c r="E250" s="703"/>
      <c r="F250" s="703"/>
      <c r="G250" s="703"/>
      <c r="H250" s="703"/>
    </row>
    <row r="251" spans="1:8" ht="15">
      <c r="A251" s="704" t="s">
        <v>606</v>
      </c>
      <c r="B251" s="703"/>
      <c r="C251" s="703"/>
      <c r="D251" s="703"/>
      <c r="E251" s="703"/>
      <c r="F251" s="703"/>
      <c r="G251" s="703"/>
      <c r="H251" s="703"/>
    </row>
    <row r="252" spans="1:8" ht="15">
      <c r="A252" s="704" t="s">
        <v>607</v>
      </c>
      <c r="B252" s="703"/>
      <c r="C252" s="703"/>
      <c r="D252" s="703"/>
      <c r="E252" s="703"/>
      <c r="F252" s="703"/>
      <c r="G252" s="703"/>
      <c r="H252" s="703"/>
    </row>
    <row r="253" spans="1:8" ht="15">
      <c r="A253" s="704" t="s">
        <v>608</v>
      </c>
      <c r="B253" s="703"/>
      <c r="C253" s="703"/>
      <c r="D253" s="703"/>
      <c r="E253" s="703"/>
      <c r="F253" s="703"/>
      <c r="G253" s="703"/>
      <c r="H253" s="703"/>
    </row>
    <row r="254" spans="1:8" ht="15">
      <c r="A254" s="704" t="s">
        <v>609</v>
      </c>
      <c r="B254" s="703"/>
      <c r="C254" s="703"/>
      <c r="D254" s="703"/>
      <c r="E254" s="703"/>
      <c r="F254" s="703"/>
      <c r="G254" s="703"/>
      <c r="H254" s="703"/>
    </row>
    <row r="255" spans="1:8" ht="15">
      <c r="A255" s="704" t="s">
        <v>610</v>
      </c>
      <c r="B255" s="703"/>
      <c r="C255" s="703"/>
      <c r="D255" s="703"/>
      <c r="E255" s="703"/>
      <c r="F255" s="703"/>
      <c r="G255" s="703"/>
      <c r="H255" s="703"/>
    </row>
    <row r="256" spans="1:8" ht="15">
      <c r="A256" s="704" t="s">
        <v>611</v>
      </c>
      <c r="B256" s="703"/>
      <c r="C256" s="703"/>
      <c r="D256" s="703"/>
      <c r="E256" s="703"/>
      <c r="F256" s="703"/>
      <c r="G256" s="703"/>
      <c r="H256" s="703"/>
    </row>
    <row r="257" spans="1:8" ht="15">
      <c r="A257" s="704" t="s">
        <v>612</v>
      </c>
      <c r="B257" s="703"/>
      <c r="C257" s="703"/>
      <c r="D257" s="703"/>
      <c r="E257" s="703"/>
      <c r="F257" s="703"/>
      <c r="G257" s="703"/>
      <c r="H257" s="703"/>
    </row>
    <row r="258" spans="1:8" ht="15">
      <c r="A258" s="704" t="s">
        <v>613</v>
      </c>
      <c r="B258" s="703"/>
      <c r="C258" s="703"/>
      <c r="D258" s="703"/>
      <c r="E258" s="703"/>
      <c r="F258" s="703"/>
      <c r="G258" s="703"/>
      <c r="H258" s="703"/>
    </row>
    <row r="259" spans="1:8" ht="15">
      <c r="A259" s="704" t="s">
        <v>614</v>
      </c>
      <c r="B259" s="703"/>
      <c r="C259" s="703"/>
      <c r="D259" s="703"/>
      <c r="E259" s="703"/>
      <c r="F259" s="703"/>
      <c r="G259" s="703"/>
      <c r="H259" s="703"/>
    </row>
    <row r="260" spans="1:8" ht="15">
      <c r="A260" s="704" t="s">
        <v>615</v>
      </c>
      <c r="B260" s="703"/>
      <c r="C260" s="703"/>
      <c r="D260" s="703"/>
      <c r="E260" s="703"/>
      <c r="F260" s="703"/>
      <c r="G260" s="703"/>
      <c r="H260" s="703"/>
    </row>
    <row r="261" spans="1:8" ht="15">
      <c r="A261" s="704" t="s">
        <v>616</v>
      </c>
      <c r="B261" s="703"/>
      <c r="C261" s="703"/>
      <c r="D261" s="703"/>
      <c r="E261" s="703"/>
      <c r="F261" s="703"/>
      <c r="G261" s="703"/>
      <c r="H261" s="703"/>
    </row>
    <row r="262" spans="1:8" ht="15">
      <c r="A262" s="704" t="s">
        <v>617</v>
      </c>
      <c r="B262" s="703"/>
      <c r="C262" s="703"/>
      <c r="D262" s="703"/>
      <c r="E262" s="703"/>
      <c r="F262" s="703"/>
      <c r="G262" s="703"/>
      <c r="H262" s="703"/>
    </row>
    <row r="263" spans="1:8" ht="15">
      <c r="A263" s="704" t="s">
        <v>618</v>
      </c>
      <c r="B263" s="703"/>
      <c r="C263" s="703"/>
      <c r="D263" s="703"/>
      <c r="E263" s="703"/>
      <c r="F263" s="703"/>
      <c r="G263" s="703"/>
      <c r="H263" s="703"/>
    </row>
    <row r="264" spans="1:8" ht="15">
      <c r="A264" s="704" t="s">
        <v>619</v>
      </c>
      <c r="B264" s="703"/>
      <c r="C264" s="703"/>
      <c r="D264" s="703"/>
      <c r="E264" s="703"/>
      <c r="F264" s="703"/>
      <c r="G264" s="703"/>
      <c r="H264" s="703"/>
    </row>
    <row r="265" spans="1:8" ht="15">
      <c r="A265" s="703"/>
      <c r="B265" s="703"/>
      <c r="C265" s="703"/>
      <c r="D265" s="703"/>
      <c r="E265" s="703"/>
      <c r="F265" s="703"/>
      <c r="G265" s="703"/>
      <c r="H265" s="703"/>
    </row>
    <row r="266" spans="1:8" ht="15">
      <c r="A266" s="704" t="s">
        <v>597</v>
      </c>
      <c r="B266" s="703"/>
      <c r="C266" s="703"/>
      <c r="D266" s="703"/>
      <c r="E266" s="703"/>
      <c r="F266" s="703"/>
      <c r="G266" s="703"/>
      <c r="H266" s="703"/>
    </row>
    <row r="267" spans="1:8" ht="15">
      <c r="A267" s="704" t="s">
        <v>598</v>
      </c>
      <c r="B267" s="703"/>
      <c r="C267" s="703"/>
      <c r="D267" s="703"/>
      <c r="E267" s="703"/>
      <c r="F267" s="703"/>
      <c r="G267" s="703"/>
      <c r="H267" s="703"/>
    </row>
    <row r="268" spans="1:8" ht="15">
      <c r="A268" s="704" t="s">
        <v>599</v>
      </c>
      <c r="B268" s="703"/>
      <c r="C268" s="703"/>
      <c r="D268" s="703"/>
      <c r="E268" s="703"/>
      <c r="F268" s="703"/>
      <c r="G268" s="703"/>
      <c r="H268" s="703"/>
    </row>
    <row r="269" spans="1:8" ht="15">
      <c r="A269" s="704" t="s">
        <v>600</v>
      </c>
      <c r="B269" s="703"/>
      <c r="C269" s="703"/>
      <c r="D269" s="703"/>
      <c r="E269" s="703"/>
      <c r="F269" s="703"/>
      <c r="G269" s="703"/>
      <c r="H269" s="703"/>
    </row>
    <row r="270" spans="1:8" ht="15">
      <c r="A270" s="704" t="s">
        <v>601</v>
      </c>
      <c r="B270" s="703"/>
      <c r="C270" s="703"/>
      <c r="D270" s="703"/>
      <c r="E270" s="703"/>
      <c r="F270" s="703"/>
      <c r="G270" s="703"/>
      <c r="H270" s="703"/>
    </row>
    <row r="271" spans="1:8" ht="15">
      <c r="A271" s="704" t="s">
        <v>602</v>
      </c>
      <c r="B271" s="703"/>
      <c r="C271" s="703"/>
      <c r="D271" s="703"/>
      <c r="E271" s="703"/>
      <c r="F271" s="703"/>
      <c r="G271" s="703"/>
      <c r="H271" s="703"/>
    </row>
    <row r="272" spans="1:8" ht="15">
      <c r="A272" s="704" t="s">
        <v>603</v>
      </c>
      <c r="B272" s="703"/>
      <c r="C272" s="703"/>
      <c r="D272" s="703"/>
      <c r="E272" s="703"/>
      <c r="F272" s="703"/>
      <c r="G272" s="703"/>
      <c r="H272" s="703"/>
    </row>
    <row r="273" spans="1:8" ht="15">
      <c r="A273" s="703"/>
      <c r="B273" s="703"/>
      <c r="C273" s="703"/>
      <c r="D273" s="703"/>
      <c r="E273" s="703"/>
      <c r="F273" s="703"/>
      <c r="G273" s="703"/>
      <c r="H273" s="703"/>
    </row>
    <row r="274" spans="1:8" ht="15">
      <c r="A274" s="704" t="s">
        <v>588</v>
      </c>
      <c r="B274" s="703"/>
      <c r="C274" s="703"/>
      <c r="D274" s="703"/>
      <c r="E274" s="703"/>
      <c r="F274" s="703"/>
      <c r="G274" s="703"/>
      <c r="H274" s="703"/>
    </row>
    <row r="275" spans="1:8" ht="15">
      <c r="A275" s="704" t="s">
        <v>589</v>
      </c>
      <c r="B275" s="703"/>
      <c r="C275" s="703"/>
      <c r="D275" s="703"/>
      <c r="E275" s="703"/>
      <c r="F275" s="703"/>
      <c r="G275" s="703"/>
      <c r="H275" s="703"/>
    </row>
    <row r="276" spans="1:8" ht="15">
      <c r="A276" s="704" t="s">
        <v>590</v>
      </c>
      <c r="B276" s="703"/>
      <c r="C276" s="703"/>
      <c r="D276" s="703"/>
      <c r="E276" s="703"/>
      <c r="F276" s="703"/>
      <c r="G276" s="703"/>
      <c r="H276" s="703"/>
    </row>
    <row r="277" spans="1:8" ht="15">
      <c r="A277" s="704" t="s">
        <v>591</v>
      </c>
      <c r="B277" s="703"/>
      <c r="C277" s="703"/>
      <c r="D277" s="703"/>
      <c r="E277" s="703"/>
      <c r="F277" s="703"/>
      <c r="G277" s="703"/>
      <c r="H277" s="703"/>
    </row>
    <row r="278" spans="1:8" ht="15">
      <c r="A278" s="704" t="s">
        <v>592</v>
      </c>
      <c r="B278" s="703"/>
      <c r="C278" s="703"/>
      <c r="D278" s="703"/>
      <c r="E278" s="703"/>
      <c r="F278" s="703"/>
      <c r="G278" s="703"/>
      <c r="H278" s="703"/>
    </row>
    <row r="279" spans="1:8" ht="15">
      <c r="A279" s="704" t="s">
        <v>593</v>
      </c>
      <c r="B279" s="703"/>
      <c r="C279" s="703"/>
      <c r="D279" s="703"/>
      <c r="E279" s="703"/>
      <c r="F279" s="703"/>
      <c r="G279" s="703"/>
      <c r="H279" s="703"/>
    </row>
    <row r="280" spans="1:8" ht="15">
      <c r="A280" s="704" t="s">
        <v>594</v>
      </c>
      <c r="B280" s="703"/>
      <c r="C280" s="703"/>
      <c r="D280" s="703"/>
      <c r="E280" s="703"/>
      <c r="F280" s="703"/>
      <c r="G280" s="703"/>
      <c r="H280" s="703"/>
    </row>
    <row r="281" spans="1:8" ht="15">
      <c r="A281" s="704" t="s">
        <v>595</v>
      </c>
      <c r="B281" s="703"/>
      <c r="C281" s="703"/>
      <c r="D281" s="703"/>
      <c r="E281" s="703"/>
      <c r="F281" s="703"/>
      <c r="G281" s="703"/>
      <c r="H281" s="703"/>
    </row>
    <row r="282" spans="1:8" ht="15">
      <c r="A282" s="704" t="s">
        <v>596</v>
      </c>
      <c r="B282" s="703"/>
      <c r="C282" s="703"/>
      <c r="D282" s="703"/>
      <c r="E282" s="703"/>
      <c r="F282" s="703"/>
      <c r="G282" s="703"/>
      <c r="H282" s="703"/>
    </row>
    <row r="283" spans="1:8" ht="15">
      <c r="A283" s="703"/>
      <c r="B283" s="703"/>
      <c r="C283" s="703"/>
      <c r="D283" s="703"/>
      <c r="E283" s="703"/>
      <c r="F283" s="703"/>
      <c r="G283" s="703"/>
      <c r="H283" s="703"/>
    </row>
    <row r="284" spans="1:8" ht="15">
      <c r="A284" s="704" t="s">
        <v>581</v>
      </c>
      <c r="B284" s="703"/>
      <c r="C284" s="703"/>
      <c r="D284" s="703"/>
      <c r="E284" s="703"/>
      <c r="F284" s="703"/>
      <c r="G284" s="703"/>
      <c r="H284" s="703"/>
    </row>
    <row r="285" spans="1:8" ht="15">
      <c r="A285" s="704" t="s">
        <v>582</v>
      </c>
      <c r="B285" s="703"/>
      <c r="C285" s="703"/>
      <c r="D285" s="703"/>
      <c r="E285" s="703"/>
      <c r="F285" s="703"/>
      <c r="G285" s="703"/>
      <c r="H285" s="703"/>
    </row>
    <row r="286" spans="1:8" ht="15">
      <c r="A286" s="704" t="s">
        <v>583</v>
      </c>
      <c r="B286" s="703"/>
      <c r="C286" s="703"/>
      <c r="D286" s="703"/>
      <c r="E286" s="703"/>
      <c r="F286" s="703"/>
      <c r="G286" s="703"/>
      <c r="H286" s="703"/>
    </row>
    <row r="287" spans="1:8" ht="15">
      <c r="A287" s="704" t="s">
        <v>584</v>
      </c>
      <c r="B287" s="703"/>
      <c r="C287" s="703"/>
      <c r="D287" s="703"/>
      <c r="E287" s="703"/>
      <c r="F287" s="703"/>
      <c r="G287" s="703"/>
      <c r="H287" s="703"/>
    </row>
    <row r="288" spans="1:8" ht="15">
      <c r="A288" s="704" t="s">
        <v>585</v>
      </c>
      <c r="B288" s="703"/>
      <c r="C288" s="703"/>
      <c r="D288" s="703"/>
      <c r="E288" s="703"/>
      <c r="F288" s="703"/>
      <c r="G288" s="703"/>
      <c r="H288" s="703"/>
    </row>
    <row r="289" spans="1:8" ht="15">
      <c r="A289" s="704" t="s">
        <v>586</v>
      </c>
      <c r="B289" s="703"/>
      <c r="C289" s="703"/>
      <c r="D289" s="703"/>
      <c r="E289" s="703"/>
      <c r="F289" s="703"/>
      <c r="G289" s="703"/>
      <c r="H289" s="703"/>
    </row>
    <row r="290" spans="1:8" ht="15">
      <c r="A290" s="704" t="s">
        <v>587</v>
      </c>
      <c r="B290" s="703"/>
      <c r="C290" s="703"/>
      <c r="D290" s="703"/>
      <c r="E290" s="703"/>
      <c r="F290" s="703"/>
      <c r="G290" s="703"/>
      <c r="H290" s="703"/>
    </row>
    <row r="291" spans="1:8" ht="15">
      <c r="A291" s="703"/>
      <c r="B291" s="703"/>
      <c r="C291" s="703"/>
      <c r="D291" s="703"/>
      <c r="E291" s="703"/>
      <c r="F291" s="703"/>
      <c r="G291" s="703"/>
      <c r="H291" s="703"/>
    </row>
    <row r="292" spans="1:8" ht="15">
      <c r="A292" s="704" t="s">
        <v>578</v>
      </c>
      <c r="B292" s="703"/>
      <c r="C292" s="703"/>
      <c r="D292" s="703"/>
      <c r="E292" s="703"/>
      <c r="F292" s="703"/>
      <c r="G292" s="703"/>
      <c r="H292" s="703"/>
    </row>
    <row r="293" spans="1:8" ht="15">
      <c r="A293" s="704" t="s">
        <v>579</v>
      </c>
      <c r="B293" s="703"/>
      <c r="C293" s="703"/>
      <c r="D293" s="703"/>
      <c r="E293" s="703"/>
      <c r="F293" s="703"/>
      <c r="G293" s="703"/>
      <c r="H293" s="703"/>
    </row>
    <row r="294" spans="1:8" ht="15">
      <c r="A294" s="704" t="s">
        <v>580</v>
      </c>
      <c r="B294" s="703"/>
      <c r="C294" s="703"/>
      <c r="D294" s="703"/>
      <c r="E294" s="703"/>
      <c r="F294" s="703"/>
      <c r="G294" s="703"/>
      <c r="H294" s="703"/>
    </row>
    <row r="295" spans="1:8" ht="15">
      <c r="A295" s="703"/>
      <c r="B295" s="703"/>
      <c r="C295" s="703"/>
      <c r="D295" s="703"/>
      <c r="E295" s="703"/>
      <c r="F295" s="703"/>
      <c r="G295" s="703"/>
      <c r="H295" s="703"/>
    </row>
    <row r="296" spans="1:8" ht="15">
      <c r="A296" s="704" t="s">
        <v>576</v>
      </c>
      <c r="B296" s="703"/>
      <c r="C296" s="703"/>
      <c r="D296" s="703"/>
      <c r="E296" s="703"/>
      <c r="F296" s="703"/>
      <c r="G296" s="703"/>
      <c r="H296" s="703"/>
    </row>
    <row r="297" spans="1:8" ht="15">
      <c r="A297" s="704" t="s">
        <v>577</v>
      </c>
      <c r="B297" s="703"/>
      <c r="C297" s="703"/>
      <c r="D297" s="703"/>
      <c r="E297" s="703"/>
      <c r="F297" s="703"/>
      <c r="G297" s="703"/>
      <c r="H297" s="703"/>
    </row>
    <row r="298" spans="1:8" ht="15">
      <c r="A298" s="703"/>
      <c r="B298" s="703"/>
      <c r="C298" s="703"/>
      <c r="D298" s="703"/>
      <c r="E298" s="703"/>
      <c r="F298" s="703"/>
      <c r="G298" s="703"/>
      <c r="H298" s="703"/>
    </row>
    <row r="299" spans="1:8" ht="15">
      <c r="A299" s="704" t="s">
        <v>563</v>
      </c>
      <c r="B299" s="703"/>
      <c r="C299" s="703"/>
      <c r="D299" s="703"/>
      <c r="E299" s="703"/>
      <c r="F299" s="703"/>
      <c r="G299" s="703"/>
      <c r="H299" s="703"/>
    </row>
    <row r="300" spans="1:8" ht="15">
      <c r="A300" s="704" t="s">
        <v>564</v>
      </c>
      <c r="B300" s="703"/>
      <c r="C300" s="703"/>
      <c r="D300" s="703"/>
      <c r="E300" s="703"/>
      <c r="F300" s="703"/>
      <c r="G300" s="703"/>
      <c r="H300" s="703"/>
    </row>
    <row r="301" spans="1:8" ht="15">
      <c r="A301" s="704" t="s">
        <v>565</v>
      </c>
      <c r="B301" s="703"/>
      <c r="C301" s="703"/>
      <c r="D301" s="703"/>
      <c r="E301" s="703"/>
      <c r="F301" s="703"/>
      <c r="G301" s="703"/>
      <c r="H301" s="703"/>
    </row>
    <row r="302" spans="1:8" ht="15">
      <c r="A302" s="704" t="s">
        <v>566</v>
      </c>
      <c r="B302" s="703"/>
      <c r="C302" s="703"/>
      <c r="D302" s="703"/>
      <c r="E302" s="703"/>
      <c r="F302" s="703"/>
      <c r="G302" s="703"/>
      <c r="H302" s="703"/>
    </row>
    <row r="303" spans="1:8" ht="15">
      <c r="A303" s="704" t="s">
        <v>567</v>
      </c>
      <c r="B303" s="703"/>
      <c r="C303" s="703"/>
      <c r="D303" s="703"/>
      <c r="E303" s="703"/>
      <c r="F303" s="703"/>
      <c r="G303" s="703"/>
      <c r="H303" s="703"/>
    </row>
    <row r="304" spans="1:8" ht="15">
      <c r="A304" s="704" t="s">
        <v>568</v>
      </c>
      <c r="B304" s="703"/>
      <c r="C304" s="703"/>
      <c r="D304" s="703"/>
      <c r="E304" s="703"/>
      <c r="F304" s="703"/>
      <c r="G304" s="703"/>
      <c r="H304" s="703"/>
    </row>
    <row r="305" spans="1:8" ht="15">
      <c r="A305" s="704" t="s">
        <v>569</v>
      </c>
      <c r="B305" s="703"/>
      <c r="C305" s="703"/>
      <c r="D305" s="703"/>
      <c r="E305" s="703"/>
      <c r="F305" s="703"/>
      <c r="G305" s="703"/>
      <c r="H305" s="703"/>
    </row>
    <row r="306" spans="1:8" ht="15">
      <c r="A306" s="704" t="s">
        <v>570</v>
      </c>
      <c r="B306" s="703"/>
      <c r="C306" s="703"/>
      <c r="D306" s="703"/>
      <c r="E306" s="703"/>
      <c r="F306" s="703"/>
      <c r="G306" s="703"/>
      <c r="H306" s="703"/>
    </row>
    <row r="307" spans="1:8" ht="15">
      <c r="A307" s="704" t="s">
        <v>571</v>
      </c>
      <c r="B307" s="703"/>
      <c r="C307" s="703"/>
      <c r="D307" s="703"/>
      <c r="E307" s="703"/>
      <c r="F307" s="703"/>
      <c r="G307" s="703"/>
      <c r="H307" s="703"/>
    </row>
    <row r="308" spans="1:8" ht="15">
      <c r="A308" s="704" t="s">
        <v>572</v>
      </c>
      <c r="B308" s="703"/>
      <c r="C308" s="703"/>
      <c r="D308" s="703"/>
      <c r="E308" s="703"/>
      <c r="F308" s="703"/>
      <c r="G308" s="703"/>
      <c r="H308" s="703"/>
    </row>
    <row r="309" spans="1:8" ht="15">
      <c r="A309" s="704" t="s">
        <v>573</v>
      </c>
      <c r="B309" s="703"/>
      <c r="C309" s="703"/>
      <c r="D309" s="703"/>
      <c r="E309" s="703"/>
      <c r="F309" s="703"/>
      <c r="G309" s="703"/>
      <c r="H309" s="703"/>
    </row>
    <row r="310" spans="1:8" ht="15">
      <c r="A310" s="704" t="s">
        <v>574</v>
      </c>
      <c r="B310" s="703"/>
      <c r="C310" s="703"/>
      <c r="D310" s="703"/>
      <c r="E310" s="703"/>
      <c r="F310" s="703"/>
      <c r="G310" s="703"/>
      <c r="H310" s="703"/>
    </row>
    <row r="311" spans="1:8" ht="15">
      <c r="A311" s="704" t="s">
        <v>575</v>
      </c>
      <c r="B311" s="703"/>
      <c r="C311" s="703"/>
      <c r="D311" s="703"/>
      <c r="E311" s="703"/>
      <c r="F311" s="703"/>
      <c r="G311" s="703"/>
      <c r="H311" s="703"/>
    </row>
    <row r="312" spans="1:8" ht="15">
      <c r="A312" s="703"/>
      <c r="B312" s="703"/>
      <c r="C312" s="703"/>
      <c r="D312" s="703"/>
      <c r="E312" s="703"/>
      <c r="F312" s="703"/>
      <c r="G312" s="703"/>
      <c r="H312" s="703"/>
    </row>
    <row r="313" spans="1:8" ht="15">
      <c r="A313" s="704" t="s">
        <v>555</v>
      </c>
      <c r="B313" s="703"/>
      <c r="C313" s="703"/>
      <c r="D313" s="703"/>
      <c r="E313" s="703"/>
      <c r="F313" s="703"/>
      <c r="G313" s="703"/>
      <c r="H313" s="703"/>
    </row>
    <row r="314" spans="1:8" ht="15">
      <c r="A314" s="704" t="s">
        <v>556</v>
      </c>
      <c r="B314" s="703"/>
      <c r="C314" s="703"/>
      <c r="D314" s="703"/>
      <c r="E314" s="703"/>
      <c r="F314" s="703"/>
      <c r="G314" s="703"/>
      <c r="H314" s="703"/>
    </row>
    <row r="315" spans="1:8" ht="15">
      <c r="A315" s="704" t="s">
        <v>557</v>
      </c>
      <c r="B315" s="703"/>
      <c r="C315" s="703"/>
      <c r="D315" s="703"/>
      <c r="E315" s="703"/>
      <c r="F315" s="703"/>
      <c r="G315" s="703"/>
      <c r="H315" s="703"/>
    </row>
    <row r="316" spans="1:8" ht="15">
      <c r="A316" s="704" t="s">
        <v>558</v>
      </c>
      <c r="B316" s="703"/>
      <c r="C316" s="703"/>
      <c r="D316" s="703"/>
      <c r="E316" s="703"/>
      <c r="F316" s="703"/>
      <c r="G316" s="703"/>
      <c r="H316" s="703"/>
    </row>
    <row r="317" spans="1:8" ht="15">
      <c r="A317" s="704" t="s">
        <v>559</v>
      </c>
      <c r="B317" s="703"/>
      <c r="C317" s="703"/>
      <c r="D317" s="703"/>
      <c r="E317" s="703"/>
      <c r="F317" s="703"/>
      <c r="G317" s="703"/>
      <c r="H317" s="703"/>
    </row>
    <row r="318" spans="1:8" ht="15">
      <c r="A318" s="704" t="s">
        <v>560</v>
      </c>
      <c r="B318" s="703"/>
      <c r="C318" s="703"/>
      <c r="D318" s="703"/>
      <c r="E318" s="703"/>
      <c r="F318" s="703"/>
      <c r="G318" s="703"/>
      <c r="H318" s="703"/>
    </row>
    <row r="319" spans="1:8" ht="15">
      <c r="A319" s="704" t="s">
        <v>561</v>
      </c>
      <c r="B319" s="703"/>
      <c r="C319" s="703"/>
      <c r="D319" s="703"/>
      <c r="E319" s="703"/>
      <c r="F319" s="703"/>
      <c r="G319" s="703"/>
      <c r="H319" s="703"/>
    </row>
    <row r="320" spans="1:8" ht="15">
      <c r="A320" s="704" t="s">
        <v>562</v>
      </c>
      <c r="B320" s="703"/>
      <c r="C320" s="703"/>
      <c r="D320" s="703"/>
      <c r="E320" s="703"/>
      <c r="F320" s="703"/>
      <c r="G320" s="703"/>
      <c r="H320" s="703"/>
    </row>
    <row r="321" spans="1:8" ht="15">
      <c r="A321" s="703"/>
      <c r="B321" s="703"/>
      <c r="C321" s="703"/>
      <c r="D321" s="703"/>
      <c r="E321" s="703"/>
      <c r="F321" s="703"/>
      <c r="G321" s="703"/>
      <c r="H321" s="703"/>
    </row>
    <row r="322" spans="1:8" ht="15">
      <c r="A322" s="704" t="s">
        <v>520</v>
      </c>
      <c r="B322" s="703"/>
      <c r="C322" s="703"/>
      <c r="D322" s="703"/>
      <c r="E322" s="703"/>
      <c r="F322" s="703"/>
      <c r="G322" s="703"/>
      <c r="H322" s="703"/>
    </row>
    <row r="323" spans="1:8" ht="15">
      <c r="A323" s="704" t="s">
        <v>521</v>
      </c>
      <c r="B323" s="703"/>
      <c r="C323" s="703"/>
      <c r="D323" s="703"/>
      <c r="E323" s="703"/>
      <c r="F323" s="703"/>
      <c r="G323" s="703"/>
      <c r="H323" s="703"/>
    </row>
    <row r="324" spans="1:8" ht="15">
      <c r="A324" s="704" t="s">
        <v>522</v>
      </c>
      <c r="B324" s="703"/>
      <c r="C324" s="703"/>
      <c r="D324" s="703"/>
      <c r="E324" s="703"/>
      <c r="F324" s="703"/>
      <c r="G324" s="703"/>
      <c r="H324" s="703"/>
    </row>
    <row r="325" spans="1:8" ht="15">
      <c r="A325" s="704" t="s">
        <v>523</v>
      </c>
      <c r="B325" s="703"/>
      <c r="C325" s="703"/>
      <c r="D325" s="703"/>
      <c r="E325" s="703"/>
      <c r="F325" s="703"/>
      <c r="G325" s="703"/>
      <c r="H325" s="703"/>
    </row>
    <row r="326" spans="1:8" ht="15">
      <c r="A326" s="704" t="s">
        <v>524</v>
      </c>
      <c r="B326" s="703"/>
      <c r="C326" s="703"/>
      <c r="D326" s="703"/>
      <c r="E326" s="703"/>
      <c r="F326" s="703"/>
      <c r="G326" s="703"/>
      <c r="H326" s="703"/>
    </row>
    <row r="327" spans="1:8" ht="15">
      <c r="A327" s="704" t="s">
        <v>525</v>
      </c>
      <c r="B327" s="703"/>
      <c r="C327" s="703"/>
      <c r="D327" s="703"/>
      <c r="E327" s="703"/>
      <c r="F327" s="703"/>
      <c r="G327" s="703"/>
      <c r="H327" s="703"/>
    </row>
    <row r="328" spans="1:8" ht="15">
      <c r="A328" s="704" t="s">
        <v>526</v>
      </c>
      <c r="B328" s="703"/>
      <c r="C328" s="703"/>
      <c r="D328" s="703"/>
      <c r="E328" s="703"/>
      <c r="F328" s="703"/>
      <c r="G328" s="703"/>
      <c r="H328" s="703"/>
    </row>
    <row r="329" spans="1:8" ht="15">
      <c r="A329" s="704" t="s">
        <v>527</v>
      </c>
      <c r="B329" s="703"/>
      <c r="C329" s="703"/>
      <c r="D329" s="703"/>
      <c r="E329" s="703"/>
      <c r="F329" s="703"/>
      <c r="G329" s="703"/>
      <c r="H329" s="703"/>
    </row>
    <row r="330" spans="1:8" ht="15">
      <c r="A330" s="704" t="s">
        <v>528</v>
      </c>
      <c r="B330" s="703"/>
      <c r="C330" s="703"/>
      <c r="D330" s="703"/>
      <c r="E330" s="703"/>
      <c r="F330" s="703"/>
      <c r="G330" s="703"/>
      <c r="H330" s="703"/>
    </row>
    <row r="331" spans="1:8" ht="15">
      <c r="A331" s="704" t="s">
        <v>529</v>
      </c>
      <c r="B331" s="703"/>
      <c r="C331" s="703"/>
      <c r="D331" s="703"/>
      <c r="E331" s="703"/>
      <c r="F331" s="703"/>
      <c r="G331" s="703"/>
      <c r="H331" s="703"/>
    </row>
    <row r="332" spans="1:8" ht="15">
      <c r="A332" s="704" t="s">
        <v>530</v>
      </c>
      <c r="B332" s="703"/>
      <c r="C332" s="703"/>
      <c r="D332" s="703"/>
      <c r="E332" s="703"/>
      <c r="F332" s="703"/>
      <c r="G332" s="703"/>
      <c r="H332" s="703"/>
    </row>
    <row r="333" spans="1:8" ht="15">
      <c r="A333" s="704" t="s">
        <v>531</v>
      </c>
      <c r="B333" s="703"/>
      <c r="C333" s="703"/>
      <c r="D333" s="703"/>
      <c r="E333" s="703"/>
      <c r="F333" s="703"/>
      <c r="G333" s="703"/>
      <c r="H333" s="703"/>
    </row>
    <row r="334" spans="1:8" ht="15">
      <c r="A334" s="704" t="s">
        <v>532</v>
      </c>
      <c r="B334" s="703"/>
      <c r="C334" s="703"/>
      <c r="D334" s="703"/>
      <c r="E334" s="703"/>
      <c r="F334" s="703"/>
      <c r="G334" s="703"/>
      <c r="H334" s="703"/>
    </row>
    <row r="335" spans="1:8" ht="15">
      <c r="A335" s="704" t="s">
        <v>533</v>
      </c>
      <c r="B335" s="703"/>
      <c r="C335" s="703"/>
      <c r="D335" s="703"/>
      <c r="E335" s="703"/>
      <c r="F335" s="703"/>
      <c r="G335" s="703"/>
      <c r="H335" s="703"/>
    </row>
    <row r="336" spans="1:8" ht="15">
      <c r="A336" s="704" t="s">
        <v>534</v>
      </c>
      <c r="B336" s="703"/>
      <c r="C336" s="703"/>
      <c r="D336" s="703"/>
      <c r="E336" s="703"/>
      <c r="F336" s="703"/>
      <c r="G336" s="703"/>
      <c r="H336" s="703"/>
    </row>
    <row r="337" spans="1:8" ht="15">
      <c r="A337" s="704" t="s">
        <v>535</v>
      </c>
      <c r="B337" s="703"/>
      <c r="C337" s="703"/>
      <c r="D337" s="703"/>
      <c r="E337" s="703"/>
      <c r="F337" s="703"/>
      <c r="G337" s="703"/>
      <c r="H337" s="703"/>
    </row>
    <row r="338" spans="1:8" ht="15">
      <c r="A338" s="704" t="s">
        <v>536</v>
      </c>
      <c r="B338" s="703"/>
      <c r="C338" s="703"/>
      <c r="D338" s="703"/>
      <c r="E338" s="703"/>
      <c r="F338" s="703"/>
      <c r="G338" s="703"/>
      <c r="H338" s="703"/>
    </row>
    <row r="339" spans="1:8" ht="15">
      <c r="A339" s="704" t="s">
        <v>537</v>
      </c>
      <c r="B339" s="703"/>
      <c r="C339" s="703"/>
      <c r="D339" s="703"/>
      <c r="E339" s="703"/>
      <c r="F339" s="703"/>
      <c r="G339" s="703"/>
      <c r="H339" s="703"/>
    </row>
    <row r="340" spans="1:8" ht="15">
      <c r="A340" s="704" t="s">
        <v>538</v>
      </c>
      <c r="B340" s="703"/>
      <c r="C340" s="703"/>
      <c r="D340" s="703"/>
      <c r="E340" s="703"/>
      <c r="F340" s="703"/>
      <c r="G340" s="703"/>
      <c r="H340" s="703"/>
    </row>
    <row r="341" spans="1:8" ht="15">
      <c r="A341" s="704" t="s">
        <v>539</v>
      </c>
      <c r="B341" s="703"/>
      <c r="C341" s="703"/>
      <c r="D341" s="703"/>
      <c r="E341" s="703"/>
      <c r="F341" s="703"/>
      <c r="G341" s="703"/>
      <c r="H341" s="703"/>
    </row>
    <row r="342" spans="1:8" ht="15">
      <c r="A342" s="704" t="s">
        <v>540</v>
      </c>
      <c r="B342" s="703"/>
      <c r="C342" s="703"/>
      <c r="D342" s="703"/>
      <c r="E342" s="703"/>
      <c r="F342" s="703"/>
      <c r="G342" s="703"/>
      <c r="H342" s="703"/>
    </row>
    <row r="343" spans="1:8" ht="15">
      <c r="A343" s="704" t="s">
        <v>541</v>
      </c>
      <c r="B343" s="703"/>
      <c r="C343" s="703"/>
      <c r="D343" s="703"/>
      <c r="E343" s="703"/>
      <c r="F343" s="703"/>
      <c r="G343" s="703"/>
      <c r="H343" s="703"/>
    </row>
    <row r="344" spans="1:8" ht="15">
      <c r="A344" s="704" t="s">
        <v>542</v>
      </c>
      <c r="B344" s="703"/>
      <c r="C344" s="703"/>
      <c r="D344" s="703"/>
      <c r="E344" s="703"/>
      <c r="F344" s="703"/>
      <c r="G344" s="703"/>
      <c r="H344" s="703"/>
    </row>
    <row r="345" spans="1:8" ht="15">
      <c r="A345" s="704" t="s">
        <v>543</v>
      </c>
      <c r="B345" s="703"/>
      <c r="C345" s="703"/>
      <c r="D345" s="703"/>
      <c r="E345" s="703"/>
      <c r="F345" s="703"/>
      <c r="G345" s="703"/>
      <c r="H345" s="703"/>
    </row>
    <row r="346" spans="1:8" ht="15">
      <c r="A346" s="704" t="s">
        <v>544</v>
      </c>
      <c r="B346" s="703"/>
      <c r="C346" s="703"/>
      <c r="D346" s="703"/>
      <c r="E346" s="703"/>
      <c r="F346" s="703"/>
      <c r="G346" s="703"/>
      <c r="H346" s="703"/>
    </row>
    <row r="347" spans="1:8" ht="15">
      <c r="A347" s="704" t="s">
        <v>545</v>
      </c>
      <c r="B347" s="703"/>
      <c r="C347" s="703"/>
      <c r="D347" s="703"/>
      <c r="E347" s="703"/>
      <c r="F347" s="703"/>
      <c r="G347" s="703"/>
      <c r="H347" s="703"/>
    </row>
    <row r="348" spans="1:8" ht="15">
      <c r="A348" s="704" t="s">
        <v>546</v>
      </c>
      <c r="B348" s="703"/>
      <c r="C348" s="703"/>
      <c r="D348" s="703"/>
      <c r="E348" s="703"/>
      <c r="F348" s="703"/>
      <c r="G348" s="703"/>
      <c r="H348" s="703"/>
    </row>
    <row r="349" spans="1:8" ht="15">
      <c r="A349" s="704" t="s">
        <v>547</v>
      </c>
      <c r="B349" s="703"/>
      <c r="C349" s="703"/>
      <c r="D349" s="703"/>
      <c r="E349" s="703"/>
      <c r="F349" s="703"/>
      <c r="G349" s="703"/>
      <c r="H349" s="703"/>
    </row>
    <row r="350" spans="1:8" ht="15">
      <c r="A350" s="704" t="s">
        <v>548</v>
      </c>
      <c r="B350" s="703"/>
      <c r="C350" s="703"/>
      <c r="D350" s="703"/>
      <c r="E350" s="703"/>
      <c r="F350" s="703"/>
      <c r="G350" s="703"/>
      <c r="H350" s="703"/>
    </row>
    <row r="351" spans="1:8" ht="15">
      <c r="A351" s="704" t="s">
        <v>549</v>
      </c>
      <c r="B351" s="703"/>
      <c r="C351" s="703"/>
      <c r="D351" s="703"/>
      <c r="E351" s="703"/>
      <c r="F351" s="703"/>
      <c r="G351" s="703"/>
      <c r="H351" s="703"/>
    </row>
    <row r="352" spans="1:8" ht="15">
      <c r="A352" s="704" t="s">
        <v>550</v>
      </c>
      <c r="B352" s="703"/>
      <c r="C352" s="703"/>
      <c r="D352" s="703"/>
      <c r="E352" s="703"/>
      <c r="F352" s="703"/>
      <c r="G352" s="703"/>
      <c r="H352" s="703"/>
    </row>
    <row r="353" spans="1:8" ht="15">
      <c r="A353" s="704" t="s">
        <v>551</v>
      </c>
      <c r="B353" s="703"/>
      <c r="C353" s="703"/>
      <c r="D353" s="703"/>
      <c r="E353" s="703"/>
      <c r="F353" s="703"/>
      <c r="G353" s="703"/>
      <c r="H353" s="703"/>
    </row>
    <row r="354" spans="1:8" ht="15">
      <c r="A354" s="704" t="s">
        <v>552</v>
      </c>
      <c r="B354" s="703"/>
      <c r="C354" s="703"/>
      <c r="D354" s="703"/>
      <c r="E354" s="703"/>
      <c r="F354" s="703"/>
      <c r="G354" s="703"/>
      <c r="H354" s="703"/>
    </row>
    <row r="355" spans="1:8" ht="15">
      <c r="A355" s="704" t="s">
        <v>553</v>
      </c>
      <c r="B355" s="703"/>
      <c r="C355" s="703"/>
      <c r="D355" s="703"/>
      <c r="E355" s="703"/>
      <c r="F355" s="703"/>
      <c r="G355" s="703"/>
      <c r="H355" s="703"/>
    </row>
    <row r="356" spans="1:8" ht="15">
      <c r="A356" s="704" t="s">
        <v>554</v>
      </c>
      <c r="B356" s="703"/>
      <c r="C356" s="703"/>
      <c r="D356" s="703"/>
      <c r="E356" s="703"/>
      <c r="F356" s="703"/>
      <c r="G356" s="703"/>
      <c r="H356" s="703"/>
    </row>
    <row r="357" spans="1:8" ht="15">
      <c r="A357" s="703"/>
      <c r="B357" s="703"/>
      <c r="C357" s="703"/>
      <c r="D357" s="703"/>
      <c r="E357" s="703"/>
      <c r="F357" s="703"/>
      <c r="G357" s="703"/>
      <c r="H357" s="703"/>
    </row>
    <row r="358" spans="1:8" ht="15">
      <c r="A358" s="704" t="s">
        <v>512</v>
      </c>
      <c r="B358" s="703"/>
      <c r="C358" s="703"/>
      <c r="D358" s="703"/>
      <c r="E358" s="703"/>
      <c r="F358" s="703"/>
      <c r="G358" s="703"/>
      <c r="H358" s="703"/>
    </row>
    <row r="359" spans="1:8" ht="15">
      <c r="A359" s="704" t="s">
        <v>516</v>
      </c>
      <c r="B359" s="703"/>
      <c r="C359" s="703"/>
      <c r="D359" s="703"/>
      <c r="E359" s="703"/>
      <c r="F359" s="703"/>
      <c r="G359" s="703"/>
      <c r="H359" s="703"/>
    </row>
    <row r="360" spans="1:8" ht="15">
      <c r="A360" s="704" t="s">
        <v>517</v>
      </c>
      <c r="B360" s="703"/>
      <c r="C360" s="703"/>
      <c r="D360" s="703"/>
      <c r="E360" s="703"/>
      <c r="F360" s="703"/>
      <c r="G360" s="703"/>
      <c r="H360" s="703"/>
    </row>
    <row r="361" spans="1:8" ht="15">
      <c r="A361" s="704" t="s">
        <v>518</v>
      </c>
      <c r="B361" s="703"/>
      <c r="C361" s="703"/>
      <c r="D361" s="703"/>
      <c r="E361" s="703"/>
      <c r="F361" s="703"/>
      <c r="G361" s="703"/>
      <c r="H361" s="703"/>
    </row>
    <row r="362" spans="1:8" ht="15">
      <c r="A362" s="704" t="s">
        <v>519</v>
      </c>
      <c r="B362" s="703"/>
      <c r="C362" s="703"/>
      <c r="D362" s="703"/>
      <c r="E362" s="703"/>
      <c r="F362" s="703"/>
      <c r="G362" s="703"/>
      <c r="H362" s="703"/>
    </row>
    <row r="363" spans="1:8" ht="15">
      <c r="A363" s="703"/>
      <c r="B363" s="703"/>
      <c r="C363" s="703"/>
      <c r="D363" s="703"/>
      <c r="E363" s="703"/>
      <c r="F363" s="703"/>
      <c r="G363" s="703"/>
      <c r="H363" s="703"/>
    </row>
    <row r="364" spans="1:8" ht="15">
      <c r="A364" s="704" t="s">
        <v>512</v>
      </c>
      <c r="B364" s="703"/>
      <c r="C364" s="703"/>
      <c r="D364" s="703"/>
      <c r="E364" s="703"/>
      <c r="F364" s="703"/>
      <c r="G364" s="703"/>
      <c r="H364" s="703"/>
    </row>
    <row r="365" spans="1:8" ht="15">
      <c r="A365" s="704" t="s">
        <v>513</v>
      </c>
      <c r="B365" s="703"/>
      <c r="C365" s="703"/>
      <c r="D365" s="703"/>
      <c r="E365" s="703"/>
      <c r="F365" s="703"/>
      <c r="G365" s="703"/>
      <c r="H365" s="703"/>
    </row>
    <row r="366" spans="1:8" ht="15">
      <c r="A366" s="704" t="s">
        <v>514</v>
      </c>
      <c r="B366" s="703"/>
      <c r="C366" s="703"/>
      <c r="D366" s="703"/>
      <c r="E366" s="703"/>
      <c r="F366" s="703"/>
      <c r="G366" s="703"/>
      <c r="H366" s="703"/>
    </row>
    <row r="367" spans="1:8" ht="15">
      <c r="A367" s="704" t="s">
        <v>515</v>
      </c>
      <c r="B367" s="703"/>
      <c r="C367" s="703"/>
      <c r="D367" s="703"/>
      <c r="E367" s="703"/>
      <c r="F367" s="703"/>
      <c r="G367" s="703"/>
      <c r="H367" s="703"/>
    </row>
    <row r="368" spans="1:8" ht="15">
      <c r="A368" s="703"/>
      <c r="B368" s="703"/>
      <c r="C368" s="703"/>
      <c r="D368" s="703"/>
      <c r="E368" s="703"/>
      <c r="F368" s="703"/>
      <c r="G368" s="703"/>
      <c r="H368" s="703"/>
    </row>
    <row r="369" spans="1:8" ht="15">
      <c r="A369" s="704" t="s">
        <v>506</v>
      </c>
      <c r="B369" s="703"/>
      <c r="C369" s="703"/>
      <c r="D369" s="703"/>
      <c r="E369" s="703"/>
      <c r="F369" s="703"/>
      <c r="G369" s="703"/>
      <c r="H369" s="703"/>
    </row>
    <row r="370" spans="1:8" ht="15">
      <c r="A370" s="704" t="s">
        <v>507</v>
      </c>
      <c r="B370" s="703"/>
      <c r="C370" s="703"/>
      <c r="D370" s="703"/>
      <c r="E370" s="703"/>
      <c r="F370" s="703"/>
      <c r="G370" s="703"/>
      <c r="H370" s="703"/>
    </row>
    <row r="371" spans="1:8" ht="15">
      <c r="A371" s="704" t="s">
        <v>508</v>
      </c>
      <c r="B371" s="703"/>
      <c r="C371" s="703"/>
      <c r="D371" s="703"/>
      <c r="E371" s="703"/>
      <c r="F371" s="703"/>
      <c r="G371" s="703"/>
      <c r="H371" s="703"/>
    </row>
    <row r="372" spans="1:8" ht="15">
      <c r="A372" s="704" t="s">
        <v>509</v>
      </c>
      <c r="B372" s="703"/>
      <c r="C372" s="703"/>
      <c r="D372" s="703"/>
      <c r="E372" s="703"/>
      <c r="F372" s="703"/>
      <c r="G372" s="703"/>
      <c r="H372" s="703"/>
    </row>
    <row r="373" spans="1:8" ht="15">
      <c r="A373" s="704" t="s">
        <v>510</v>
      </c>
      <c r="B373" s="703"/>
      <c r="C373" s="703"/>
      <c r="D373" s="703"/>
      <c r="E373" s="703"/>
      <c r="F373" s="703"/>
      <c r="G373" s="703"/>
      <c r="H373" s="703"/>
    </row>
    <row r="374" spans="1:8" ht="15">
      <c r="A374" s="704" t="s">
        <v>511</v>
      </c>
      <c r="B374" s="703"/>
      <c r="C374" s="703"/>
      <c r="D374" s="703"/>
      <c r="E374" s="703"/>
      <c r="F374" s="703"/>
      <c r="G374" s="703"/>
      <c r="H374" s="703"/>
    </row>
    <row r="375" spans="1:8" ht="15">
      <c r="A375" s="703"/>
      <c r="B375" s="703"/>
      <c r="C375" s="703"/>
      <c r="D375" s="703"/>
      <c r="E375" s="703"/>
      <c r="F375" s="703"/>
      <c r="G375" s="703"/>
      <c r="H375" s="703"/>
    </row>
    <row r="376" spans="1:8" ht="15">
      <c r="A376" s="704" t="s">
        <v>501</v>
      </c>
      <c r="B376" s="703"/>
      <c r="C376" s="703"/>
      <c r="D376" s="703"/>
      <c r="E376" s="703"/>
      <c r="F376" s="703"/>
      <c r="G376" s="703"/>
      <c r="H376" s="703"/>
    </row>
    <row r="377" spans="1:8" ht="15">
      <c r="A377" s="704" t="s">
        <v>502</v>
      </c>
      <c r="B377" s="703"/>
      <c r="C377" s="703"/>
      <c r="D377" s="703"/>
      <c r="E377" s="703"/>
      <c r="F377" s="703"/>
      <c r="G377" s="703"/>
      <c r="H377" s="703"/>
    </row>
    <row r="378" spans="1:8" ht="15">
      <c r="A378" s="704" t="s">
        <v>503</v>
      </c>
      <c r="B378" s="703"/>
      <c r="C378" s="703"/>
      <c r="D378" s="703"/>
      <c r="E378" s="703"/>
      <c r="F378" s="703"/>
      <c r="G378" s="703"/>
      <c r="H378" s="703"/>
    </row>
    <row r="379" spans="1:8" ht="15">
      <c r="A379" s="704" t="s">
        <v>504</v>
      </c>
      <c r="B379" s="703"/>
      <c r="C379" s="703"/>
      <c r="D379" s="703"/>
      <c r="E379" s="703"/>
      <c r="F379" s="703"/>
      <c r="G379" s="703"/>
      <c r="H379" s="703"/>
    </row>
    <row r="380" spans="1:8" ht="15">
      <c r="A380" s="704" t="s">
        <v>505</v>
      </c>
      <c r="B380" s="703"/>
      <c r="C380" s="703"/>
      <c r="D380" s="703"/>
      <c r="E380" s="703"/>
      <c r="F380" s="703"/>
      <c r="G380" s="703"/>
      <c r="H380" s="703"/>
    </row>
    <row r="381" spans="1:8" ht="15">
      <c r="A381" s="703"/>
      <c r="B381" s="703"/>
      <c r="C381" s="703"/>
      <c r="D381" s="703"/>
      <c r="E381" s="703"/>
      <c r="F381" s="703"/>
      <c r="G381" s="703"/>
      <c r="H381" s="703"/>
    </row>
    <row r="382" spans="1:8" ht="15">
      <c r="A382" s="704" t="s">
        <v>499</v>
      </c>
      <c r="B382" s="703"/>
      <c r="C382" s="703"/>
      <c r="D382" s="703"/>
      <c r="E382" s="703"/>
      <c r="F382" s="703"/>
      <c r="G382" s="703"/>
      <c r="H382" s="703"/>
    </row>
    <row r="383" spans="1:8" ht="15">
      <c r="A383" s="704" t="s">
        <v>500</v>
      </c>
      <c r="B383" s="703"/>
      <c r="C383" s="703"/>
      <c r="D383" s="703"/>
      <c r="E383" s="703"/>
      <c r="F383" s="703"/>
      <c r="G383" s="703"/>
      <c r="H383" s="703"/>
    </row>
    <row r="385" spans="1:1">
      <c r="A385" s="699" t="s">
        <v>752</v>
      </c>
    </row>
  </sheetData>
  <mergeCells count="12">
    <mergeCell ref="A123:H123"/>
    <mergeCell ref="A124:H124"/>
    <mergeCell ref="B116:C116"/>
    <mergeCell ref="D116:F116"/>
    <mergeCell ref="G116:H116"/>
    <mergeCell ref="A102:H102"/>
    <mergeCell ref="A103:H103"/>
    <mergeCell ref="A104:H104"/>
    <mergeCell ref="A105:H105"/>
    <mergeCell ref="A107:H107"/>
    <mergeCell ref="A108:H108"/>
    <mergeCell ref="A115:H115"/>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U40"/>
  <sheetViews>
    <sheetView showGridLines="0" zoomScale="115" zoomScaleNormal="115" workbookViewId="0">
      <selection activeCell="E44" sqref="E44"/>
    </sheetView>
  </sheetViews>
  <sheetFormatPr defaultColWidth="10.7109375" defaultRowHeight="11.25" outlineLevelRow="1" outlineLevelCol="1"/>
  <cols>
    <col min="1" max="1" width="7.5703125" style="602" customWidth="1"/>
    <col min="2" max="2" width="16" style="602" customWidth="1"/>
    <col min="3" max="5" width="7.85546875" style="602" customWidth="1" outlineLevel="1"/>
    <col min="6" max="6" width="8.7109375" style="602" customWidth="1" outlineLevel="1"/>
    <col min="7" max="7" width="3.7109375" style="602" customWidth="1" outlineLevel="1"/>
    <col min="8" max="10" width="7.85546875" style="602" customWidth="1"/>
    <col min="11" max="11" width="8.7109375" style="602" customWidth="1"/>
    <col min="12" max="12" width="3.7109375" style="602" customWidth="1"/>
    <col min="13" max="13" width="8.7109375" style="602" customWidth="1" outlineLevel="1"/>
    <col min="14" max="16" width="8.7109375" style="602" bestFit="1" customWidth="1"/>
    <col min="17" max="262" width="10.7109375" style="602"/>
    <col min="263" max="263" width="7.5703125" style="602" customWidth="1"/>
    <col min="264" max="264" width="16" style="602" customWidth="1"/>
    <col min="265" max="267" width="7.85546875" style="602" bestFit="1" customWidth="1"/>
    <col min="268" max="268" width="8.7109375" style="602" bestFit="1" customWidth="1"/>
    <col min="269" max="269" width="3.7109375" style="602" customWidth="1"/>
    <col min="270" max="272" width="8.7109375" style="602" bestFit="1" customWidth="1"/>
    <col min="273" max="518" width="10.7109375" style="602"/>
    <col min="519" max="519" width="7.5703125" style="602" customWidth="1"/>
    <col min="520" max="520" width="16" style="602" customWidth="1"/>
    <col min="521" max="523" width="7.85546875" style="602" bestFit="1" customWidth="1"/>
    <col min="524" max="524" width="8.7109375" style="602" bestFit="1" customWidth="1"/>
    <col min="525" max="525" width="3.7109375" style="602" customWidth="1"/>
    <col min="526" max="528" width="8.7109375" style="602" bestFit="1" customWidth="1"/>
    <col min="529" max="774" width="10.7109375" style="602"/>
    <col min="775" max="775" width="7.5703125" style="602" customWidth="1"/>
    <col min="776" max="776" width="16" style="602" customWidth="1"/>
    <col min="777" max="779" width="7.85546875" style="602" bestFit="1" customWidth="1"/>
    <col min="780" max="780" width="8.7109375" style="602" bestFit="1" customWidth="1"/>
    <col min="781" max="781" width="3.7109375" style="602" customWidth="1"/>
    <col min="782" max="784" width="8.7109375" style="602" bestFit="1" customWidth="1"/>
    <col min="785" max="1030" width="10.7109375" style="602"/>
    <col min="1031" max="1031" width="7.5703125" style="602" customWidth="1"/>
    <col min="1032" max="1032" width="16" style="602" customWidth="1"/>
    <col min="1033" max="1035" width="7.85546875" style="602" bestFit="1" customWidth="1"/>
    <col min="1036" max="1036" width="8.7109375" style="602" bestFit="1" customWidth="1"/>
    <col min="1037" max="1037" width="3.7109375" style="602" customWidth="1"/>
    <col min="1038" max="1040" width="8.7109375" style="602" bestFit="1" customWidth="1"/>
    <col min="1041" max="1286" width="10.7109375" style="602"/>
    <col min="1287" max="1287" width="7.5703125" style="602" customWidth="1"/>
    <col min="1288" max="1288" width="16" style="602" customWidth="1"/>
    <col min="1289" max="1291" width="7.85546875" style="602" bestFit="1" customWidth="1"/>
    <col min="1292" max="1292" width="8.7109375" style="602" bestFit="1" customWidth="1"/>
    <col min="1293" max="1293" width="3.7109375" style="602" customWidth="1"/>
    <col min="1294" max="1296" width="8.7109375" style="602" bestFit="1" customWidth="1"/>
    <col min="1297" max="1542" width="10.7109375" style="602"/>
    <col min="1543" max="1543" width="7.5703125" style="602" customWidth="1"/>
    <col min="1544" max="1544" width="16" style="602" customWidth="1"/>
    <col min="1545" max="1547" width="7.85546875" style="602" bestFit="1" customWidth="1"/>
    <col min="1548" max="1548" width="8.7109375" style="602" bestFit="1" customWidth="1"/>
    <col min="1549" max="1549" width="3.7109375" style="602" customWidth="1"/>
    <col min="1550" max="1552" width="8.7109375" style="602" bestFit="1" customWidth="1"/>
    <col min="1553" max="1798" width="10.7109375" style="602"/>
    <col min="1799" max="1799" width="7.5703125" style="602" customWidth="1"/>
    <col min="1800" max="1800" width="16" style="602" customWidth="1"/>
    <col min="1801" max="1803" width="7.85546875" style="602" bestFit="1" customWidth="1"/>
    <col min="1804" max="1804" width="8.7109375" style="602" bestFit="1" customWidth="1"/>
    <col min="1805" max="1805" width="3.7109375" style="602" customWidth="1"/>
    <col min="1806" max="1808" width="8.7109375" style="602" bestFit="1" customWidth="1"/>
    <col min="1809" max="2054" width="10.7109375" style="602"/>
    <col min="2055" max="2055" width="7.5703125" style="602" customWidth="1"/>
    <col min="2056" max="2056" width="16" style="602" customWidth="1"/>
    <col min="2057" max="2059" width="7.85546875" style="602" bestFit="1" customWidth="1"/>
    <col min="2060" max="2060" width="8.7109375" style="602" bestFit="1" customWidth="1"/>
    <col min="2061" max="2061" width="3.7109375" style="602" customWidth="1"/>
    <col min="2062" max="2064" width="8.7109375" style="602" bestFit="1" customWidth="1"/>
    <col min="2065" max="2310" width="10.7109375" style="602"/>
    <col min="2311" max="2311" width="7.5703125" style="602" customWidth="1"/>
    <col min="2312" max="2312" width="16" style="602" customWidth="1"/>
    <col min="2313" max="2315" width="7.85546875" style="602" bestFit="1" customWidth="1"/>
    <col min="2316" max="2316" width="8.7109375" style="602" bestFit="1" customWidth="1"/>
    <col min="2317" max="2317" width="3.7109375" style="602" customWidth="1"/>
    <col min="2318" max="2320" width="8.7109375" style="602" bestFit="1" customWidth="1"/>
    <col min="2321" max="2566" width="10.7109375" style="602"/>
    <col min="2567" max="2567" width="7.5703125" style="602" customWidth="1"/>
    <col min="2568" max="2568" width="16" style="602" customWidth="1"/>
    <col min="2569" max="2571" width="7.85546875" style="602" bestFit="1" customWidth="1"/>
    <col min="2572" max="2572" width="8.7109375" style="602" bestFit="1" customWidth="1"/>
    <col min="2573" max="2573" width="3.7109375" style="602" customWidth="1"/>
    <col min="2574" max="2576" width="8.7109375" style="602" bestFit="1" customWidth="1"/>
    <col min="2577" max="2822" width="10.7109375" style="602"/>
    <col min="2823" max="2823" width="7.5703125" style="602" customWidth="1"/>
    <col min="2824" max="2824" width="16" style="602" customWidth="1"/>
    <col min="2825" max="2827" width="7.85546875" style="602" bestFit="1" customWidth="1"/>
    <col min="2828" max="2828" width="8.7109375" style="602" bestFit="1" customWidth="1"/>
    <col min="2829" max="2829" width="3.7109375" style="602" customWidth="1"/>
    <col min="2830" max="2832" width="8.7109375" style="602" bestFit="1" customWidth="1"/>
    <col min="2833" max="3078" width="10.7109375" style="602"/>
    <col min="3079" max="3079" width="7.5703125" style="602" customWidth="1"/>
    <col min="3080" max="3080" width="16" style="602" customWidth="1"/>
    <col min="3081" max="3083" width="7.85546875" style="602" bestFit="1" customWidth="1"/>
    <col min="3084" max="3084" width="8.7109375" style="602" bestFit="1" customWidth="1"/>
    <col min="3085" max="3085" width="3.7109375" style="602" customWidth="1"/>
    <col min="3086" max="3088" width="8.7109375" style="602" bestFit="1" customWidth="1"/>
    <col min="3089" max="3334" width="10.7109375" style="602"/>
    <col min="3335" max="3335" width="7.5703125" style="602" customWidth="1"/>
    <col min="3336" max="3336" width="16" style="602" customWidth="1"/>
    <col min="3337" max="3339" width="7.85546875" style="602" bestFit="1" customWidth="1"/>
    <col min="3340" max="3340" width="8.7109375" style="602" bestFit="1" customWidth="1"/>
    <col min="3341" max="3341" width="3.7109375" style="602" customWidth="1"/>
    <col min="3342" max="3344" width="8.7109375" style="602" bestFit="1" customWidth="1"/>
    <col min="3345" max="3590" width="10.7109375" style="602"/>
    <col min="3591" max="3591" width="7.5703125" style="602" customWidth="1"/>
    <col min="3592" max="3592" width="16" style="602" customWidth="1"/>
    <col min="3593" max="3595" width="7.85546875" style="602" bestFit="1" customWidth="1"/>
    <col min="3596" max="3596" width="8.7109375" style="602" bestFit="1" customWidth="1"/>
    <col min="3597" max="3597" width="3.7109375" style="602" customWidth="1"/>
    <col min="3598" max="3600" width="8.7109375" style="602" bestFit="1" customWidth="1"/>
    <col min="3601" max="3846" width="10.7109375" style="602"/>
    <col min="3847" max="3847" width="7.5703125" style="602" customWidth="1"/>
    <col min="3848" max="3848" width="16" style="602" customWidth="1"/>
    <col min="3849" max="3851" width="7.85546875" style="602" bestFit="1" customWidth="1"/>
    <col min="3852" max="3852" width="8.7109375" style="602" bestFit="1" customWidth="1"/>
    <col min="3853" max="3853" width="3.7109375" style="602" customWidth="1"/>
    <col min="3854" max="3856" width="8.7109375" style="602" bestFit="1" customWidth="1"/>
    <col min="3857" max="4102" width="10.7109375" style="602"/>
    <col min="4103" max="4103" width="7.5703125" style="602" customWidth="1"/>
    <col min="4104" max="4104" width="16" style="602" customWidth="1"/>
    <col min="4105" max="4107" width="7.85546875" style="602" bestFit="1" customWidth="1"/>
    <col min="4108" max="4108" width="8.7109375" style="602" bestFit="1" customWidth="1"/>
    <col min="4109" max="4109" width="3.7109375" style="602" customWidth="1"/>
    <col min="4110" max="4112" width="8.7109375" style="602" bestFit="1" customWidth="1"/>
    <col min="4113" max="4358" width="10.7109375" style="602"/>
    <col min="4359" max="4359" width="7.5703125" style="602" customWidth="1"/>
    <col min="4360" max="4360" width="16" style="602" customWidth="1"/>
    <col min="4361" max="4363" width="7.85546875" style="602" bestFit="1" customWidth="1"/>
    <col min="4364" max="4364" width="8.7109375" style="602" bestFit="1" customWidth="1"/>
    <col min="4365" max="4365" width="3.7109375" style="602" customWidth="1"/>
    <col min="4366" max="4368" width="8.7109375" style="602" bestFit="1" customWidth="1"/>
    <col min="4369" max="4614" width="10.7109375" style="602"/>
    <col min="4615" max="4615" width="7.5703125" style="602" customWidth="1"/>
    <col min="4616" max="4616" width="16" style="602" customWidth="1"/>
    <col min="4617" max="4619" width="7.85546875" style="602" bestFit="1" customWidth="1"/>
    <col min="4620" max="4620" width="8.7109375" style="602" bestFit="1" customWidth="1"/>
    <col min="4621" max="4621" width="3.7109375" style="602" customWidth="1"/>
    <col min="4622" max="4624" width="8.7109375" style="602" bestFit="1" customWidth="1"/>
    <col min="4625" max="4870" width="10.7109375" style="602"/>
    <col min="4871" max="4871" width="7.5703125" style="602" customWidth="1"/>
    <col min="4872" max="4872" width="16" style="602" customWidth="1"/>
    <col min="4873" max="4875" width="7.85546875" style="602" bestFit="1" customWidth="1"/>
    <col min="4876" max="4876" width="8.7109375" style="602" bestFit="1" customWidth="1"/>
    <col min="4877" max="4877" width="3.7109375" style="602" customWidth="1"/>
    <col min="4878" max="4880" width="8.7109375" style="602" bestFit="1" customWidth="1"/>
    <col min="4881" max="5126" width="10.7109375" style="602"/>
    <col min="5127" max="5127" width="7.5703125" style="602" customWidth="1"/>
    <col min="5128" max="5128" width="16" style="602" customWidth="1"/>
    <col min="5129" max="5131" width="7.85546875" style="602" bestFit="1" customWidth="1"/>
    <col min="5132" max="5132" width="8.7109375" style="602" bestFit="1" customWidth="1"/>
    <col min="5133" max="5133" width="3.7109375" style="602" customWidth="1"/>
    <col min="5134" max="5136" width="8.7109375" style="602" bestFit="1" customWidth="1"/>
    <col min="5137" max="5382" width="10.7109375" style="602"/>
    <col min="5383" max="5383" width="7.5703125" style="602" customWidth="1"/>
    <col min="5384" max="5384" width="16" style="602" customWidth="1"/>
    <col min="5385" max="5387" width="7.85546875" style="602" bestFit="1" customWidth="1"/>
    <col min="5388" max="5388" width="8.7109375" style="602" bestFit="1" customWidth="1"/>
    <col min="5389" max="5389" width="3.7109375" style="602" customWidth="1"/>
    <col min="5390" max="5392" width="8.7109375" style="602" bestFit="1" customWidth="1"/>
    <col min="5393" max="5638" width="10.7109375" style="602"/>
    <col min="5639" max="5639" width="7.5703125" style="602" customWidth="1"/>
    <col min="5640" max="5640" width="16" style="602" customWidth="1"/>
    <col min="5641" max="5643" width="7.85546875" style="602" bestFit="1" customWidth="1"/>
    <col min="5644" max="5644" width="8.7109375" style="602" bestFit="1" customWidth="1"/>
    <col min="5645" max="5645" width="3.7109375" style="602" customWidth="1"/>
    <col min="5646" max="5648" width="8.7109375" style="602" bestFit="1" customWidth="1"/>
    <col min="5649" max="5894" width="10.7109375" style="602"/>
    <col min="5895" max="5895" width="7.5703125" style="602" customWidth="1"/>
    <col min="5896" max="5896" width="16" style="602" customWidth="1"/>
    <col min="5897" max="5899" width="7.85546875" style="602" bestFit="1" customWidth="1"/>
    <col min="5900" max="5900" width="8.7109375" style="602" bestFit="1" customWidth="1"/>
    <col min="5901" max="5901" width="3.7109375" style="602" customWidth="1"/>
    <col min="5902" max="5904" width="8.7109375" style="602" bestFit="1" customWidth="1"/>
    <col min="5905" max="6150" width="10.7109375" style="602"/>
    <col min="6151" max="6151" width="7.5703125" style="602" customWidth="1"/>
    <col min="6152" max="6152" width="16" style="602" customWidth="1"/>
    <col min="6153" max="6155" width="7.85546875" style="602" bestFit="1" customWidth="1"/>
    <col min="6156" max="6156" width="8.7109375" style="602" bestFit="1" customWidth="1"/>
    <col min="6157" max="6157" width="3.7109375" style="602" customWidth="1"/>
    <col min="6158" max="6160" width="8.7109375" style="602" bestFit="1" customWidth="1"/>
    <col min="6161" max="6406" width="10.7109375" style="602"/>
    <col min="6407" max="6407" width="7.5703125" style="602" customWidth="1"/>
    <col min="6408" max="6408" width="16" style="602" customWidth="1"/>
    <col min="6409" max="6411" width="7.85546875" style="602" bestFit="1" customWidth="1"/>
    <col min="6412" max="6412" width="8.7109375" style="602" bestFit="1" customWidth="1"/>
    <col min="6413" max="6413" width="3.7109375" style="602" customWidth="1"/>
    <col min="6414" max="6416" width="8.7109375" style="602" bestFit="1" customWidth="1"/>
    <col min="6417" max="6662" width="10.7109375" style="602"/>
    <col min="6663" max="6663" width="7.5703125" style="602" customWidth="1"/>
    <col min="6664" max="6664" width="16" style="602" customWidth="1"/>
    <col min="6665" max="6667" width="7.85546875" style="602" bestFit="1" customWidth="1"/>
    <col min="6668" max="6668" width="8.7109375" style="602" bestFit="1" customWidth="1"/>
    <col min="6669" max="6669" width="3.7109375" style="602" customWidth="1"/>
    <col min="6670" max="6672" width="8.7109375" style="602" bestFit="1" customWidth="1"/>
    <col min="6673" max="6918" width="10.7109375" style="602"/>
    <col min="6919" max="6919" width="7.5703125" style="602" customWidth="1"/>
    <col min="6920" max="6920" width="16" style="602" customWidth="1"/>
    <col min="6921" max="6923" width="7.85546875" style="602" bestFit="1" customWidth="1"/>
    <col min="6924" max="6924" width="8.7109375" style="602" bestFit="1" customWidth="1"/>
    <col min="6925" max="6925" width="3.7109375" style="602" customWidth="1"/>
    <col min="6926" max="6928" width="8.7109375" style="602" bestFit="1" customWidth="1"/>
    <col min="6929" max="7174" width="10.7109375" style="602"/>
    <col min="7175" max="7175" width="7.5703125" style="602" customWidth="1"/>
    <col min="7176" max="7176" width="16" style="602" customWidth="1"/>
    <col min="7177" max="7179" width="7.85546875" style="602" bestFit="1" customWidth="1"/>
    <col min="7180" max="7180" width="8.7109375" style="602" bestFit="1" customWidth="1"/>
    <col min="7181" max="7181" width="3.7109375" style="602" customWidth="1"/>
    <col min="7182" max="7184" width="8.7109375" style="602" bestFit="1" customWidth="1"/>
    <col min="7185" max="7430" width="10.7109375" style="602"/>
    <col min="7431" max="7431" width="7.5703125" style="602" customWidth="1"/>
    <col min="7432" max="7432" width="16" style="602" customWidth="1"/>
    <col min="7433" max="7435" width="7.85546875" style="602" bestFit="1" customWidth="1"/>
    <col min="7436" max="7436" width="8.7109375" style="602" bestFit="1" customWidth="1"/>
    <col min="7437" max="7437" width="3.7109375" style="602" customWidth="1"/>
    <col min="7438" max="7440" width="8.7109375" style="602" bestFit="1" customWidth="1"/>
    <col min="7441" max="7686" width="10.7109375" style="602"/>
    <col min="7687" max="7687" width="7.5703125" style="602" customWidth="1"/>
    <col min="7688" max="7688" width="16" style="602" customWidth="1"/>
    <col min="7689" max="7691" width="7.85546875" style="602" bestFit="1" customWidth="1"/>
    <col min="7692" max="7692" width="8.7109375" style="602" bestFit="1" customWidth="1"/>
    <col min="7693" max="7693" width="3.7109375" style="602" customWidth="1"/>
    <col min="7694" max="7696" width="8.7109375" style="602" bestFit="1" customWidth="1"/>
    <col min="7697" max="7942" width="10.7109375" style="602"/>
    <col min="7943" max="7943" width="7.5703125" style="602" customWidth="1"/>
    <col min="7944" max="7944" width="16" style="602" customWidth="1"/>
    <col min="7945" max="7947" width="7.85546875" style="602" bestFit="1" customWidth="1"/>
    <col min="7948" max="7948" width="8.7109375" style="602" bestFit="1" customWidth="1"/>
    <col min="7949" max="7949" width="3.7109375" style="602" customWidth="1"/>
    <col min="7950" max="7952" width="8.7109375" style="602" bestFit="1" customWidth="1"/>
    <col min="7953" max="8198" width="10.7109375" style="602"/>
    <col min="8199" max="8199" width="7.5703125" style="602" customWidth="1"/>
    <col min="8200" max="8200" width="16" style="602" customWidth="1"/>
    <col min="8201" max="8203" width="7.85546875" style="602" bestFit="1" customWidth="1"/>
    <col min="8204" max="8204" width="8.7109375" style="602" bestFit="1" customWidth="1"/>
    <col min="8205" max="8205" width="3.7109375" style="602" customWidth="1"/>
    <col min="8206" max="8208" width="8.7109375" style="602" bestFit="1" customWidth="1"/>
    <col min="8209" max="8454" width="10.7109375" style="602"/>
    <col min="8455" max="8455" width="7.5703125" style="602" customWidth="1"/>
    <col min="8456" max="8456" width="16" style="602" customWidth="1"/>
    <col min="8457" max="8459" width="7.85546875" style="602" bestFit="1" customWidth="1"/>
    <col min="8460" max="8460" width="8.7109375" style="602" bestFit="1" customWidth="1"/>
    <col min="8461" max="8461" width="3.7109375" style="602" customWidth="1"/>
    <col min="8462" max="8464" width="8.7109375" style="602" bestFit="1" customWidth="1"/>
    <col min="8465" max="8710" width="10.7109375" style="602"/>
    <col min="8711" max="8711" width="7.5703125" style="602" customWidth="1"/>
    <col min="8712" max="8712" width="16" style="602" customWidth="1"/>
    <col min="8713" max="8715" width="7.85546875" style="602" bestFit="1" customWidth="1"/>
    <col min="8716" max="8716" width="8.7109375" style="602" bestFit="1" customWidth="1"/>
    <col min="8717" max="8717" width="3.7109375" style="602" customWidth="1"/>
    <col min="8718" max="8720" width="8.7109375" style="602" bestFit="1" customWidth="1"/>
    <col min="8721" max="8966" width="10.7109375" style="602"/>
    <col min="8967" max="8967" width="7.5703125" style="602" customWidth="1"/>
    <col min="8968" max="8968" width="16" style="602" customWidth="1"/>
    <col min="8969" max="8971" width="7.85546875" style="602" bestFit="1" customWidth="1"/>
    <col min="8972" max="8972" width="8.7109375" style="602" bestFit="1" customWidth="1"/>
    <col min="8973" max="8973" width="3.7109375" style="602" customWidth="1"/>
    <col min="8974" max="8976" width="8.7109375" style="602" bestFit="1" customWidth="1"/>
    <col min="8977" max="9222" width="10.7109375" style="602"/>
    <col min="9223" max="9223" width="7.5703125" style="602" customWidth="1"/>
    <col min="9224" max="9224" width="16" style="602" customWidth="1"/>
    <col min="9225" max="9227" width="7.85546875" style="602" bestFit="1" customWidth="1"/>
    <col min="9228" max="9228" width="8.7109375" style="602" bestFit="1" customWidth="1"/>
    <col min="9229" max="9229" width="3.7109375" style="602" customWidth="1"/>
    <col min="9230" max="9232" width="8.7109375" style="602" bestFit="1" customWidth="1"/>
    <col min="9233" max="9478" width="10.7109375" style="602"/>
    <col min="9479" max="9479" width="7.5703125" style="602" customWidth="1"/>
    <col min="9480" max="9480" width="16" style="602" customWidth="1"/>
    <col min="9481" max="9483" width="7.85546875" style="602" bestFit="1" customWidth="1"/>
    <col min="9484" max="9484" width="8.7109375" style="602" bestFit="1" customWidth="1"/>
    <col min="9485" max="9485" width="3.7109375" style="602" customWidth="1"/>
    <col min="9486" max="9488" width="8.7109375" style="602" bestFit="1" customWidth="1"/>
    <col min="9489" max="9734" width="10.7109375" style="602"/>
    <col min="9735" max="9735" width="7.5703125" style="602" customWidth="1"/>
    <col min="9736" max="9736" width="16" style="602" customWidth="1"/>
    <col min="9737" max="9739" width="7.85546875" style="602" bestFit="1" customWidth="1"/>
    <col min="9740" max="9740" width="8.7109375" style="602" bestFit="1" customWidth="1"/>
    <col min="9741" max="9741" width="3.7109375" style="602" customWidth="1"/>
    <col min="9742" max="9744" width="8.7109375" style="602" bestFit="1" customWidth="1"/>
    <col min="9745" max="9990" width="10.7109375" style="602"/>
    <col min="9991" max="9991" width="7.5703125" style="602" customWidth="1"/>
    <col min="9992" max="9992" width="16" style="602" customWidth="1"/>
    <col min="9993" max="9995" width="7.85546875" style="602" bestFit="1" customWidth="1"/>
    <col min="9996" max="9996" width="8.7109375" style="602" bestFit="1" customWidth="1"/>
    <col min="9997" max="9997" width="3.7109375" style="602" customWidth="1"/>
    <col min="9998" max="10000" width="8.7109375" style="602" bestFit="1" customWidth="1"/>
    <col min="10001" max="10246" width="10.7109375" style="602"/>
    <col min="10247" max="10247" width="7.5703125" style="602" customWidth="1"/>
    <col min="10248" max="10248" width="16" style="602" customWidth="1"/>
    <col min="10249" max="10251" width="7.85546875" style="602" bestFit="1" customWidth="1"/>
    <col min="10252" max="10252" width="8.7109375" style="602" bestFit="1" customWidth="1"/>
    <col min="10253" max="10253" width="3.7109375" style="602" customWidth="1"/>
    <col min="10254" max="10256" width="8.7109375" style="602" bestFit="1" customWidth="1"/>
    <col min="10257" max="10502" width="10.7109375" style="602"/>
    <col min="10503" max="10503" width="7.5703125" style="602" customWidth="1"/>
    <col min="10504" max="10504" width="16" style="602" customWidth="1"/>
    <col min="10505" max="10507" width="7.85546875" style="602" bestFit="1" customWidth="1"/>
    <col min="10508" max="10508" width="8.7109375" style="602" bestFit="1" customWidth="1"/>
    <col min="10509" max="10509" width="3.7109375" style="602" customWidth="1"/>
    <col min="10510" max="10512" width="8.7109375" style="602" bestFit="1" customWidth="1"/>
    <col min="10513" max="10758" width="10.7109375" style="602"/>
    <col min="10759" max="10759" width="7.5703125" style="602" customWidth="1"/>
    <col min="10760" max="10760" width="16" style="602" customWidth="1"/>
    <col min="10761" max="10763" width="7.85546875" style="602" bestFit="1" customWidth="1"/>
    <col min="10764" max="10764" width="8.7109375" style="602" bestFit="1" customWidth="1"/>
    <col min="10765" max="10765" width="3.7109375" style="602" customWidth="1"/>
    <col min="10766" max="10768" width="8.7109375" style="602" bestFit="1" customWidth="1"/>
    <col min="10769" max="11014" width="10.7109375" style="602"/>
    <col min="11015" max="11015" width="7.5703125" style="602" customWidth="1"/>
    <col min="11016" max="11016" width="16" style="602" customWidth="1"/>
    <col min="11017" max="11019" width="7.85546875" style="602" bestFit="1" customWidth="1"/>
    <col min="11020" max="11020" width="8.7109375" style="602" bestFit="1" customWidth="1"/>
    <col min="11021" max="11021" width="3.7109375" style="602" customWidth="1"/>
    <col min="11022" max="11024" width="8.7109375" style="602" bestFit="1" customWidth="1"/>
    <col min="11025" max="11270" width="10.7109375" style="602"/>
    <col min="11271" max="11271" width="7.5703125" style="602" customWidth="1"/>
    <col min="11272" max="11272" width="16" style="602" customWidth="1"/>
    <col min="11273" max="11275" width="7.85546875" style="602" bestFit="1" customWidth="1"/>
    <col min="11276" max="11276" width="8.7109375" style="602" bestFit="1" customWidth="1"/>
    <col min="11277" max="11277" width="3.7109375" style="602" customWidth="1"/>
    <col min="11278" max="11280" width="8.7109375" style="602" bestFit="1" customWidth="1"/>
    <col min="11281" max="11526" width="10.7109375" style="602"/>
    <col min="11527" max="11527" width="7.5703125" style="602" customWidth="1"/>
    <col min="11528" max="11528" width="16" style="602" customWidth="1"/>
    <col min="11529" max="11531" width="7.85546875" style="602" bestFit="1" customWidth="1"/>
    <col min="11532" max="11532" width="8.7109375" style="602" bestFit="1" customWidth="1"/>
    <col min="11533" max="11533" width="3.7109375" style="602" customWidth="1"/>
    <col min="11534" max="11536" width="8.7109375" style="602" bestFit="1" customWidth="1"/>
    <col min="11537" max="11782" width="10.7109375" style="602"/>
    <col min="11783" max="11783" width="7.5703125" style="602" customWidth="1"/>
    <col min="11784" max="11784" width="16" style="602" customWidth="1"/>
    <col min="11785" max="11787" width="7.85546875" style="602" bestFit="1" customWidth="1"/>
    <col min="11788" max="11788" width="8.7109375" style="602" bestFit="1" customWidth="1"/>
    <col min="11789" max="11789" width="3.7109375" style="602" customWidth="1"/>
    <col min="11790" max="11792" width="8.7109375" style="602" bestFit="1" customWidth="1"/>
    <col min="11793" max="12038" width="10.7109375" style="602"/>
    <col min="12039" max="12039" width="7.5703125" style="602" customWidth="1"/>
    <col min="12040" max="12040" width="16" style="602" customWidth="1"/>
    <col min="12041" max="12043" width="7.85546875" style="602" bestFit="1" customWidth="1"/>
    <col min="12044" max="12044" width="8.7109375" style="602" bestFit="1" customWidth="1"/>
    <col min="12045" max="12045" width="3.7109375" style="602" customWidth="1"/>
    <col min="12046" max="12048" width="8.7109375" style="602" bestFit="1" customWidth="1"/>
    <col min="12049" max="12294" width="10.7109375" style="602"/>
    <col min="12295" max="12295" width="7.5703125" style="602" customWidth="1"/>
    <col min="12296" max="12296" width="16" style="602" customWidth="1"/>
    <col min="12297" max="12299" width="7.85546875" style="602" bestFit="1" customWidth="1"/>
    <col min="12300" max="12300" width="8.7109375" style="602" bestFit="1" customWidth="1"/>
    <col min="12301" max="12301" width="3.7109375" style="602" customWidth="1"/>
    <col min="12302" max="12304" width="8.7109375" style="602" bestFit="1" customWidth="1"/>
    <col min="12305" max="12550" width="10.7109375" style="602"/>
    <col min="12551" max="12551" width="7.5703125" style="602" customWidth="1"/>
    <col min="12552" max="12552" width="16" style="602" customWidth="1"/>
    <col min="12553" max="12555" width="7.85546875" style="602" bestFit="1" customWidth="1"/>
    <col min="12556" max="12556" width="8.7109375" style="602" bestFit="1" customWidth="1"/>
    <col min="12557" max="12557" width="3.7109375" style="602" customWidth="1"/>
    <col min="12558" max="12560" width="8.7109375" style="602" bestFit="1" customWidth="1"/>
    <col min="12561" max="12806" width="10.7109375" style="602"/>
    <col min="12807" max="12807" width="7.5703125" style="602" customWidth="1"/>
    <col min="12808" max="12808" width="16" style="602" customWidth="1"/>
    <col min="12809" max="12811" width="7.85546875" style="602" bestFit="1" customWidth="1"/>
    <col min="12812" max="12812" width="8.7109375" style="602" bestFit="1" customWidth="1"/>
    <col min="12813" max="12813" width="3.7109375" style="602" customWidth="1"/>
    <col min="12814" max="12816" width="8.7109375" style="602" bestFit="1" customWidth="1"/>
    <col min="12817" max="13062" width="10.7109375" style="602"/>
    <col min="13063" max="13063" width="7.5703125" style="602" customWidth="1"/>
    <col min="13064" max="13064" width="16" style="602" customWidth="1"/>
    <col min="13065" max="13067" width="7.85546875" style="602" bestFit="1" customWidth="1"/>
    <col min="13068" max="13068" width="8.7109375" style="602" bestFit="1" customWidth="1"/>
    <col min="13069" max="13069" width="3.7109375" style="602" customWidth="1"/>
    <col min="13070" max="13072" width="8.7109375" style="602" bestFit="1" customWidth="1"/>
    <col min="13073" max="13318" width="10.7109375" style="602"/>
    <col min="13319" max="13319" width="7.5703125" style="602" customWidth="1"/>
    <col min="13320" max="13320" width="16" style="602" customWidth="1"/>
    <col min="13321" max="13323" width="7.85546875" style="602" bestFit="1" customWidth="1"/>
    <col min="13324" max="13324" width="8.7109375" style="602" bestFit="1" customWidth="1"/>
    <col min="13325" max="13325" width="3.7109375" style="602" customWidth="1"/>
    <col min="13326" max="13328" width="8.7109375" style="602" bestFit="1" customWidth="1"/>
    <col min="13329" max="13574" width="10.7109375" style="602"/>
    <col min="13575" max="13575" width="7.5703125" style="602" customWidth="1"/>
    <col min="13576" max="13576" width="16" style="602" customWidth="1"/>
    <col min="13577" max="13579" width="7.85546875" style="602" bestFit="1" customWidth="1"/>
    <col min="13580" max="13580" width="8.7109375" style="602" bestFit="1" customWidth="1"/>
    <col min="13581" max="13581" width="3.7109375" style="602" customWidth="1"/>
    <col min="13582" max="13584" width="8.7109375" style="602" bestFit="1" customWidth="1"/>
    <col min="13585" max="13830" width="10.7109375" style="602"/>
    <col min="13831" max="13831" width="7.5703125" style="602" customWidth="1"/>
    <col min="13832" max="13832" width="16" style="602" customWidth="1"/>
    <col min="13833" max="13835" width="7.85546875" style="602" bestFit="1" customWidth="1"/>
    <col min="13836" max="13836" width="8.7109375" style="602" bestFit="1" customWidth="1"/>
    <col min="13837" max="13837" width="3.7109375" style="602" customWidth="1"/>
    <col min="13838" max="13840" width="8.7109375" style="602" bestFit="1" customWidth="1"/>
    <col min="13841" max="14086" width="10.7109375" style="602"/>
    <col min="14087" max="14087" width="7.5703125" style="602" customWidth="1"/>
    <col min="14088" max="14088" width="16" style="602" customWidth="1"/>
    <col min="14089" max="14091" width="7.85546875" style="602" bestFit="1" customWidth="1"/>
    <col min="14092" max="14092" width="8.7109375" style="602" bestFit="1" customWidth="1"/>
    <col min="14093" max="14093" width="3.7109375" style="602" customWidth="1"/>
    <col min="14094" max="14096" width="8.7109375" style="602" bestFit="1" customWidth="1"/>
    <col min="14097" max="14342" width="10.7109375" style="602"/>
    <col min="14343" max="14343" width="7.5703125" style="602" customWidth="1"/>
    <col min="14344" max="14344" width="16" style="602" customWidth="1"/>
    <col min="14345" max="14347" width="7.85546875" style="602" bestFit="1" customWidth="1"/>
    <col min="14348" max="14348" width="8.7109375" style="602" bestFit="1" customWidth="1"/>
    <col min="14349" max="14349" width="3.7109375" style="602" customWidth="1"/>
    <col min="14350" max="14352" width="8.7109375" style="602" bestFit="1" customWidth="1"/>
    <col min="14353" max="14598" width="10.7109375" style="602"/>
    <col min="14599" max="14599" width="7.5703125" style="602" customWidth="1"/>
    <col min="14600" max="14600" width="16" style="602" customWidth="1"/>
    <col min="14601" max="14603" width="7.85546875" style="602" bestFit="1" customWidth="1"/>
    <col min="14604" max="14604" width="8.7109375" style="602" bestFit="1" customWidth="1"/>
    <col min="14605" max="14605" width="3.7109375" style="602" customWidth="1"/>
    <col min="14606" max="14608" width="8.7109375" style="602" bestFit="1" customWidth="1"/>
    <col min="14609" max="14854" width="10.7109375" style="602"/>
    <col min="14855" max="14855" width="7.5703125" style="602" customWidth="1"/>
    <col min="14856" max="14856" width="16" style="602" customWidth="1"/>
    <col min="14857" max="14859" width="7.85546875" style="602" bestFit="1" customWidth="1"/>
    <col min="14860" max="14860" width="8.7109375" style="602" bestFit="1" customWidth="1"/>
    <col min="14861" max="14861" width="3.7109375" style="602" customWidth="1"/>
    <col min="14862" max="14864" width="8.7109375" style="602" bestFit="1" customWidth="1"/>
    <col min="14865" max="15110" width="10.7109375" style="602"/>
    <col min="15111" max="15111" width="7.5703125" style="602" customWidth="1"/>
    <col min="15112" max="15112" width="16" style="602" customWidth="1"/>
    <col min="15113" max="15115" width="7.85546875" style="602" bestFit="1" customWidth="1"/>
    <col min="15116" max="15116" width="8.7109375" style="602" bestFit="1" customWidth="1"/>
    <col min="15117" max="15117" width="3.7109375" style="602" customWidth="1"/>
    <col min="15118" max="15120" width="8.7109375" style="602" bestFit="1" customWidth="1"/>
    <col min="15121" max="15366" width="10.7109375" style="602"/>
    <col min="15367" max="15367" width="7.5703125" style="602" customWidth="1"/>
    <col min="15368" max="15368" width="16" style="602" customWidth="1"/>
    <col min="15369" max="15371" width="7.85546875" style="602" bestFit="1" customWidth="1"/>
    <col min="15372" max="15372" width="8.7109375" style="602" bestFit="1" customWidth="1"/>
    <col min="15373" max="15373" width="3.7109375" style="602" customWidth="1"/>
    <col min="15374" max="15376" width="8.7109375" style="602" bestFit="1" customWidth="1"/>
    <col min="15377" max="15622" width="10.7109375" style="602"/>
    <col min="15623" max="15623" width="7.5703125" style="602" customWidth="1"/>
    <col min="15624" max="15624" width="16" style="602" customWidth="1"/>
    <col min="15625" max="15627" width="7.85546875" style="602" bestFit="1" customWidth="1"/>
    <col min="15628" max="15628" width="8.7109375" style="602" bestFit="1" customWidth="1"/>
    <col min="15629" max="15629" width="3.7109375" style="602" customWidth="1"/>
    <col min="15630" max="15632" width="8.7109375" style="602" bestFit="1" customWidth="1"/>
    <col min="15633" max="15878" width="10.7109375" style="602"/>
    <col min="15879" max="15879" width="7.5703125" style="602" customWidth="1"/>
    <col min="15880" max="15880" width="16" style="602" customWidth="1"/>
    <col min="15881" max="15883" width="7.85546875" style="602" bestFit="1" customWidth="1"/>
    <col min="15884" max="15884" width="8.7109375" style="602" bestFit="1" customWidth="1"/>
    <col min="15885" max="15885" width="3.7109375" style="602" customWidth="1"/>
    <col min="15886" max="15888" width="8.7109375" style="602" bestFit="1" customWidth="1"/>
    <col min="15889" max="16134" width="10.7109375" style="602"/>
    <col min="16135" max="16135" width="7.5703125" style="602" customWidth="1"/>
    <col min="16136" max="16136" width="16" style="602" customWidth="1"/>
    <col min="16137" max="16139" width="7.85546875" style="602" bestFit="1" customWidth="1"/>
    <col min="16140" max="16140" width="8.7109375" style="602" bestFit="1" customWidth="1"/>
    <col min="16141" max="16141" width="3.7109375" style="602" customWidth="1"/>
    <col min="16142" max="16144" width="8.7109375" style="602" bestFit="1" customWidth="1"/>
    <col min="16145" max="16384" width="10.7109375" style="602"/>
  </cols>
  <sheetData>
    <row r="2" spans="2:21">
      <c r="B2" s="600" t="s">
        <v>419</v>
      </c>
      <c r="C2" s="601" t="s">
        <v>427</v>
      </c>
      <c r="H2" s="601" t="s">
        <v>427</v>
      </c>
    </row>
    <row r="4" spans="2:21">
      <c r="B4" s="600" t="s">
        <v>430</v>
      </c>
      <c r="C4" s="603">
        <v>42825</v>
      </c>
      <c r="D4" s="604">
        <f>+EOMONTH(C4,3)</f>
        <v>42916</v>
      </c>
      <c r="E4" s="604">
        <f>+EOMONTH(D4,3)</f>
        <v>43008</v>
      </c>
      <c r="F4" s="604">
        <f>+EOMONTH(E4,3)</f>
        <v>43100</v>
      </c>
      <c r="H4" s="603">
        <v>43190</v>
      </c>
      <c r="I4" s="604">
        <f>+EOMONTH(H4,3)</f>
        <v>43281</v>
      </c>
      <c r="J4" s="604">
        <f>+EOMONTH(I4,3)</f>
        <v>43373</v>
      </c>
      <c r="K4" s="604">
        <f>+EOMONTH(J4,3)</f>
        <v>43465</v>
      </c>
      <c r="M4" s="605">
        <f>+F4</f>
        <v>43100</v>
      </c>
      <c r="N4" s="605">
        <f>+EOMONTH(M4,12)</f>
        <v>43465</v>
      </c>
      <c r="O4" s="605">
        <f>+EOMONTH(N4,12)</f>
        <v>43830</v>
      </c>
      <c r="P4" s="605">
        <f>+EOMONTH(O4,12)</f>
        <v>44196</v>
      </c>
    </row>
    <row r="5" spans="2:21">
      <c r="B5" s="600"/>
      <c r="C5" s="604" t="str">
        <f>+(ROUND(MONTH(C4)/3,0)&amp;"Q"&amp;YEAR(C4))</f>
        <v>1Q2017</v>
      </c>
      <c r="D5" s="604" t="str">
        <f>+(ROUND(MONTH(D4)/3,0)&amp;"Q"&amp;YEAR(D4))</f>
        <v>2Q2017</v>
      </c>
      <c r="E5" s="604" t="str">
        <f>+(ROUND(MONTH(E4)/3,0)&amp;"Q"&amp;YEAR(E4))</f>
        <v>3Q2017</v>
      </c>
      <c r="F5" s="604" t="str">
        <f>+(ROUND(MONTH(F4)/3,0)&amp;"Q"&amp;YEAR(F4))</f>
        <v>4Q2017</v>
      </c>
      <c r="H5" s="604" t="str">
        <f>+(ROUND(MONTH(H4)/3,0)&amp;"Q"&amp;YEAR(H4))</f>
        <v>1Q2018</v>
      </c>
      <c r="I5" s="604" t="str">
        <f>+(ROUND(MONTH(I4)/3,0)&amp;"Q"&amp;YEAR(I4))</f>
        <v>2Q2018</v>
      </c>
      <c r="J5" s="604" t="str">
        <f>+(ROUND(MONTH(J4)/3,0)&amp;"Q"&amp;YEAR(J4))</f>
        <v>3Q2018</v>
      </c>
      <c r="K5" s="604" t="str">
        <f>+(ROUND(MONTH(K4)/3,0)&amp;"Q"&amp;YEAR(K4))</f>
        <v>4Q2018</v>
      </c>
      <c r="M5" s="602">
        <f>+YEAR(M4)</f>
        <v>2017</v>
      </c>
      <c r="N5" s="602">
        <f>+YEAR(N4)</f>
        <v>2018</v>
      </c>
      <c r="O5" s="602">
        <f>+YEAR(O4)</f>
        <v>2019</v>
      </c>
      <c r="P5" s="602">
        <f>+YEAR(P4)</f>
        <v>2020</v>
      </c>
      <c r="T5" s="606"/>
      <c r="U5" s="606"/>
    </row>
    <row r="6" spans="2:21">
      <c r="B6" s="600"/>
      <c r="T6" s="606"/>
      <c r="U6" s="606"/>
    </row>
    <row r="7" spans="2:21">
      <c r="B7" s="600"/>
      <c r="T7" s="606"/>
      <c r="U7" s="606"/>
    </row>
    <row r="8" spans="2:21">
      <c r="T8" s="606"/>
      <c r="U8" s="606"/>
    </row>
    <row r="9" spans="2:21">
      <c r="B9" s="607" t="s">
        <v>431</v>
      </c>
      <c r="C9" s="608" t="str">
        <f>+C5</f>
        <v>1Q2017</v>
      </c>
      <c r="D9" s="608" t="str">
        <f>+D5</f>
        <v>2Q2017</v>
      </c>
      <c r="E9" s="608" t="str">
        <f>+E5</f>
        <v>3Q2017</v>
      </c>
      <c r="F9" s="608" t="str">
        <f>+F5</f>
        <v>4Q2017</v>
      </c>
      <c r="G9" s="609"/>
      <c r="H9" s="608" t="str">
        <f>+H5</f>
        <v>1Q2018</v>
      </c>
      <c r="I9" s="608" t="str">
        <f>+I5</f>
        <v>2Q2018</v>
      </c>
      <c r="J9" s="608" t="str">
        <f>+J5</f>
        <v>3Q2018</v>
      </c>
      <c r="K9" s="608" t="str">
        <f>+K5</f>
        <v>4Q2018</v>
      </c>
      <c r="L9" s="609"/>
      <c r="M9" s="608" t="str">
        <f>+TEXT(M5,"#")</f>
        <v>2017</v>
      </c>
      <c r="N9" s="608" t="str">
        <f>+TEXT(N5,"#")</f>
        <v>2018</v>
      </c>
      <c r="O9" s="608" t="str">
        <f>+TEXT(O5,"#")</f>
        <v>2019</v>
      </c>
      <c r="P9" s="608" t="str">
        <f>+TEXT(P5,"#")</f>
        <v>2020</v>
      </c>
      <c r="T9" s="606"/>
      <c r="U9" s="606"/>
    </row>
    <row r="10" spans="2:21">
      <c r="B10" s="610" t="s">
        <v>432</v>
      </c>
      <c r="C10" s="611"/>
      <c r="D10" s="611"/>
      <c r="E10" s="611"/>
      <c r="F10" s="611"/>
      <c r="G10" s="612"/>
      <c r="H10" s="611"/>
      <c r="I10" s="611"/>
      <c r="J10" s="611"/>
      <c r="K10" s="611"/>
      <c r="L10" s="612"/>
      <c r="M10" s="611"/>
      <c r="N10" s="611"/>
      <c r="O10" s="611"/>
      <c r="P10" s="611"/>
      <c r="T10" s="606"/>
      <c r="U10" s="606"/>
    </row>
    <row r="11" spans="2:21">
      <c r="B11" s="606" t="s">
        <v>433</v>
      </c>
      <c r="C11" s="613">
        <f>+Model!Z6</f>
        <v>149.648</v>
      </c>
      <c r="D11" s="613">
        <f>+Model!AA6</f>
        <v>181.67099999999999</v>
      </c>
      <c r="E11" s="613">
        <f>+Model!AB6</f>
        <v>207.93700000000001</v>
      </c>
      <c r="F11" s="613">
        <f>+Model!AC6</f>
        <v>285.69299999999998</v>
      </c>
      <c r="G11" s="614"/>
      <c r="H11" s="613">
        <f>+Model!AD6</f>
        <v>249</v>
      </c>
      <c r="I11" s="613">
        <f>+Model!AE6</f>
        <v>295</v>
      </c>
      <c r="J11" s="613">
        <f>+Model!AF6</f>
        <v>341</v>
      </c>
      <c r="K11" s="613">
        <f>+Model!AG6</f>
        <v>428</v>
      </c>
      <c r="L11" s="614"/>
      <c r="M11" s="613">
        <f>+Model!AM6</f>
        <v>824.94899999999996</v>
      </c>
      <c r="N11" s="613">
        <f>+Model!AN6</f>
        <v>1313</v>
      </c>
      <c r="O11" s="613">
        <f>+Model!AO6</f>
        <v>1969.3647915228673</v>
      </c>
      <c r="P11" s="613">
        <f>+Model!AP6</f>
        <v>2804.8785252972893</v>
      </c>
      <c r="T11" s="606"/>
      <c r="U11" s="606"/>
    </row>
    <row r="12" spans="2:21" outlineLevel="1">
      <c r="B12" s="606" t="s">
        <v>145</v>
      </c>
      <c r="C12" s="613">
        <f>+Model!Z11</f>
        <v>-13.710000000000008</v>
      </c>
      <c r="D12" s="613">
        <f>+Model!AA11</f>
        <v>29.522999999999996</v>
      </c>
      <c r="E12" s="613">
        <f>+Model!AB11</f>
        <v>-2.7729999999999961</v>
      </c>
      <c r="F12" s="613">
        <f>+Model!AC11</f>
        <v>94.446999999999974</v>
      </c>
      <c r="G12" s="614"/>
      <c r="H12" s="613">
        <f>+Model!AD11</f>
        <v>77.766361445783133</v>
      </c>
      <c r="I12" s="613">
        <f>+Model!AE11</f>
        <v>95.934141264367781</v>
      </c>
      <c r="J12" s="613">
        <f>+Model!AF11</f>
        <v>104.5779549297753</v>
      </c>
      <c r="K12" s="613">
        <f>+Model!AG11</f>
        <v>172.68251267981285</v>
      </c>
      <c r="L12" s="614"/>
      <c r="M12" s="613">
        <f>+Model!AM11</f>
        <v>107.48699999999997</v>
      </c>
      <c r="N12" s="613">
        <f>+Model!AN11</f>
        <v>450.96097031973909</v>
      </c>
      <c r="O12" s="613">
        <f>+Model!AO11</f>
        <v>912.69667052167279</v>
      </c>
      <c r="P12" s="613">
        <f>+Model!AP11</f>
        <v>1509.6984380237786</v>
      </c>
      <c r="T12" s="606"/>
      <c r="U12" s="606"/>
    </row>
    <row r="13" spans="2:21" outlineLevel="1">
      <c r="B13" s="615" t="s">
        <v>139</v>
      </c>
      <c r="C13" s="616">
        <f>+C12/C11</f>
        <v>-9.1614989842831229E-2</v>
      </c>
      <c r="D13" s="616">
        <f>+D12/D11</f>
        <v>0.16250805026669088</v>
      </c>
      <c r="E13" s="616">
        <f>+E12/E11</f>
        <v>-1.3335769968788604E-2</v>
      </c>
      <c r="F13" s="616">
        <f>+F12/F11</f>
        <v>0.33058912889010222</v>
      </c>
      <c r="G13" s="614"/>
      <c r="H13" s="616">
        <f>+H12/H11</f>
        <v>0.31231470460153871</v>
      </c>
      <c r="I13" s="616">
        <f>+I12/I11</f>
        <v>0.32520047886226366</v>
      </c>
      <c r="J13" s="616">
        <f>+J12/J11</f>
        <v>0.30668021973541143</v>
      </c>
      <c r="K13" s="616">
        <f>+K12/K11</f>
        <v>0.4034638146724599</v>
      </c>
      <c r="L13" s="614"/>
      <c r="M13" s="616">
        <f>+M12/M11</f>
        <v>0.13029532734750873</v>
      </c>
      <c r="N13" s="616">
        <f>+N12/N11</f>
        <v>0.34345846939812574</v>
      </c>
      <c r="O13" s="616">
        <f>+O12/O11</f>
        <v>0.4634472366167896</v>
      </c>
      <c r="P13" s="616">
        <f>+P12/P11</f>
        <v>0.53824022124586146</v>
      </c>
      <c r="T13" s="606"/>
      <c r="U13" s="606"/>
    </row>
    <row r="14" spans="2:21">
      <c r="B14" s="606" t="s">
        <v>204</v>
      </c>
      <c r="C14" s="613">
        <f>+Model!Z24</f>
        <v>-188.24299999999994</v>
      </c>
      <c r="D14" s="613">
        <f>+Model!AA24</f>
        <v>-193.99000000000009</v>
      </c>
      <c r="E14" s="613">
        <f>+Model!AB24</f>
        <v>-178.90100000000001</v>
      </c>
      <c r="F14" s="613">
        <f>+Model!AC24</f>
        <v>-158.92200000000005</v>
      </c>
      <c r="G14" s="614"/>
      <c r="H14" s="613">
        <f>+Model!AD24</f>
        <v>-204.67418855421681</v>
      </c>
      <c r="I14" s="613">
        <f>+Model!AE24</f>
        <v>-192.74460873563226</v>
      </c>
      <c r="J14" s="613">
        <f>+Model!AF24</f>
        <v>-201.43188964175306</v>
      </c>
      <c r="K14" s="613">
        <f>+Model!AG24</f>
        <v>-142.7627318917155</v>
      </c>
      <c r="L14" s="614"/>
      <c r="M14" s="613">
        <f>+Model!AM24</f>
        <v>-720.05599999999981</v>
      </c>
      <c r="N14" s="613">
        <f>+Model!AN24</f>
        <v>-741.61341882331772</v>
      </c>
      <c r="O14" s="613">
        <f>+Model!AO24</f>
        <v>-425.42771862138375</v>
      </c>
      <c r="P14" s="613">
        <f>+Model!AP24</f>
        <v>-153.60185111927808</v>
      </c>
      <c r="T14" s="606"/>
      <c r="U14" s="606"/>
    </row>
    <row r="15" spans="2:21">
      <c r="B15" s="615" t="s">
        <v>434</v>
      </c>
      <c r="C15" s="616">
        <f>+C14/C11</f>
        <v>-1.2579052175772476</v>
      </c>
      <c r="D15" s="616">
        <f>+D14/D11</f>
        <v>-1.0678093917025837</v>
      </c>
      <c r="E15" s="616">
        <f>+E14/E11</f>
        <v>-0.86036155181617513</v>
      </c>
      <c r="F15" s="616">
        <f>+F14/F11</f>
        <v>-0.55626844199892911</v>
      </c>
      <c r="G15" s="614"/>
      <c r="H15" s="616">
        <f>+H14/H11</f>
        <v>-0.82198469298882249</v>
      </c>
      <c r="I15" s="616">
        <f>+I14/I11</f>
        <v>-0.6533715550360415</v>
      </c>
      <c r="J15" s="616">
        <f>+J14/J11</f>
        <v>-0.59070935378813216</v>
      </c>
      <c r="K15" s="616">
        <f>+K14/K11</f>
        <v>-0.33355778479372783</v>
      </c>
      <c r="L15" s="614"/>
      <c r="M15" s="616">
        <f>+M14/M11</f>
        <v>-0.87284910946009975</v>
      </c>
      <c r="N15" s="616">
        <f>+N14/N11</f>
        <v>-0.56482362438942701</v>
      </c>
      <c r="O15" s="616">
        <f>+O14/O11</f>
        <v>-0.21602281123976511</v>
      </c>
      <c r="P15" s="616">
        <f>+P14/P11</f>
        <v>-5.4762389791193473E-2</v>
      </c>
      <c r="T15" s="606"/>
      <c r="U15" s="606"/>
    </row>
    <row r="16" spans="2:21" s="620" customFormat="1">
      <c r="B16" s="617" t="s">
        <v>437</v>
      </c>
      <c r="C16" s="618">
        <f>+Model!Z45</f>
        <v>-2.31</v>
      </c>
      <c r="D16" s="618">
        <f>+Model!AA45</f>
        <v>-0.31147773958700931</v>
      </c>
      <c r="E16" s="618">
        <f>+Model!AB45</f>
        <v>-0.30753573907009019</v>
      </c>
      <c r="F16" s="618">
        <f>+Model!AC45</f>
        <v>-0.24646267605633806</v>
      </c>
      <c r="G16" s="619"/>
      <c r="H16" s="618">
        <f>+Model!AD45</f>
        <v>-0.20076548150644533</v>
      </c>
      <c r="I16" s="618">
        <f>+Model!AE45</f>
        <v>-0.21323392967752242</v>
      </c>
      <c r="J16" s="618">
        <f>+Model!AF45</f>
        <v>-0.22070557906327798</v>
      </c>
      <c r="K16" s="618">
        <f>+Model!AG45</f>
        <v>-0.17690104924090103</v>
      </c>
      <c r="L16" s="619"/>
      <c r="M16" s="618">
        <f>+Model!AM45</f>
        <v>-2.629943038997522</v>
      </c>
      <c r="N16" s="618">
        <f>+Model!AN45</f>
        <v>-0.81138416527565227</v>
      </c>
      <c r="O16" s="618">
        <f>+Model!AO45</f>
        <v>-0.61441783690634033</v>
      </c>
      <c r="P16" s="618">
        <f>+Model!AP45</f>
        <v>-0.4467228229473087</v>
      </c>
      <c r="T16" s="617"/>
      <c r="U16" s="617"/>
    </row>
    <row r="17" spans="2:21">
      <c r="B17" s="606"/>
      <c r="C17" s="612"/>
      <c r="D17" s="612"/>
      <c r="E17" s="612"/>
      <c r="F17" s="612"/>
      <c r="G17" s="612"/>
      <c r="H17" s="612"/>
      <c r="I17" s="612"/>
      <c r="J17" s="612"/>
      <c r="K17" s="612"/>
      <c r="L17" s="612"/>
      <c r="M17" s="612"/>
      <c r="N17" s="612"/>
      <c r="O17" s="612"/>
      <c r="P17" s="612"/>
      <c r="T17" s="606"/>
      <c r="U17" s="606"/>
    </row>
    <row r="18" spans="2:21" s="621" customFormat="1">
      <c r="B18" s="607" t="s">
        <v>431</v>
      </c>
      <c r="C18" s="608" t="str">
        <f>C9</f>
        <v>1Q2017</v>
      </c>
      <c r="D18" s="608" t="str">
        <f>D9</f>
        <v>2Q2017</v>
      </c>
      <c r="E18" s="608" t="str">
        <f>E9</f>
        <v>3Q2017</v>
      </c>
      <c r="F18" s="608" t="str">
        <f>F9</f>
        <v>4Q2017</v>
      </c>
      <c r="G18" s="609"/>
      <c r="H18" s="608" t="str">
        <f>H9</f>
        <v>1Q2018</v>
      </c>
      <c r="I18" s="608" t="str">
        <f>I9</f>
        <v>2Q2018</v>
      </c>
      <c r="J18" s="608" t="str">
        <f>J9</f>
        <v>3Q2018</v>
      </c>
      <c r="K18" s="608" t="str">
        <f>K9</f>
        <v>4Q2018</v>
      </c>
      <c r="L18" s="609"/>
      <c r="M18" s="608" t="str">
        <f>M9</f>
        <v>2017</v>
      </c>
      <c r="N18" s="608" t="str">
        <f>N9</f>
        <v>2018</v>
      </c>
      <c r="O18" s="608" t="str">
        <f>O9</f>
        <v>2019</v>
      </c>
      <c r="P18" s="608" t="str">
        <f>P9</f>
        <v>2020</v>
      </c>
      <c r="T18" s="622"/>
      <c r="U18" s="623"/>
    </row>
    <row r="19" spans="2:21">
      <c r="B19" s="610" t="s">
        <v>435</v>
      </c>
      <c r="C19" s="611"/>
      <c r="D19" s="611"/>
      <c r="E19" s="611"/>
      <c r="F19" s="611"/>
      <c r="G19" s="612"/>
      <c r="H19" s="611"/>
      <c r="I19" s="611"/>
      <c r="J19" s="611"/>
      <c r="K19" s="611"/>
      <c r="L19" s="612"/>
      <c r="M19" s="611"/>
      <c r="N19" s="611"/>
      <c r="O19" s="611"/>
      <c r="P19" s="611"/>
      <c r="T19" s="606"/>
      <c r="U19" s="606"/>
    </row>
    <row r="20" spans="2:21">
      <c r="B20" s="606" t="s">
        <v>433</v>
      </c>
      <c r="C20" s="613">
        <f>_xll.ThomsonONEAddinShim.SpreadsheetFormulas.TF($C$2,"TF.ES.SALES.Mean(period=#1,scale=6)","","4Q2017")</f>
        <v>252.9</v>
      </c>
      <c r="D20" s="613">
        <f>_xll.ThomsonONEAddinShim.SpreadsheetFormulas.TF($C$2,"TF.ES.SALES.Mean(period=#1,scale=6)","",D$9)</f>
        <v>186.2</v>
      </c>
      <c r="E20" s="613">
        <f>_xll.ThomsonONEAddinShim.SpreadsheetFormulas.TF($C$2,"TF.ES.SALES.Mean(period=#1,scale=6)","",E$9)</f>
        <v>237.8</v>
      </c>
      <c r="F20" s="613">
        <f>_xll.ThomsonONEAddinShim.SpreadsheetFormulas.TF($C$2,"TF.ES.SALES.Mean(period=#1,scale=6)","",F$9)</f>
        <v>252.9</v>
      </c>
      <c r="G20" s="612"/>
      <c r="H20" s="613">
        <f>_xll.ThomsonONEAddinShim.SpreadsheetFormulas.TF($C$2,"TF.ES.SALES.Mean(period=#1,scale=6)","",H$9)</f>
        <v>243.6</v>
      </c>
      <c r="I20" s="613">
        <f>_xll.ThomsonONEAddinShim.SpreadsheetFormulas.TF($C$2,"TF.ES.SALES.Mean(period=#1,scale=6)","",I$9)</f>
        <v>292.7</v>
      </c>
      <c r="J20" s="613">
        <f>_xll.ThomsonONEAddinShim.SpreadsheetFormulas.TF($C$2,"TF.ES.SALES.Mean(period=#1,scale=6)","",J$9)</f>
        <v>336.5</v>
      </c>
      <c r="K20" s="613">
        <f>_xll.ThomsonONEAddinShim.SpreadsheetFormulas.TF($C$2,"TF.ES.SALES.Mean(period=#1,scale=6)","",K$9)</f>
        <v>443.8</v>
      </c>
      <c r="L20" s="612"/>
      <c r="M20" s="613">
        <f>_xll.ThomsonONEAddinShim.SpreadsheetFormulas.TF($C$2,"TF.ES.SALES.Mean(period=#1,scale=6)","",M$9)</f>
        <v>791.7</v>
      </c>
      <c r="N20" s="613">
        <f>_xll.ThomsonONEAddinShim.SpreadsheetFormulas.TF($C$2,"TF.ES.SALES.Mean(period=#1,scale=6)","",N$9)</f>
        <v>1321.3</v>
      </c>
      <c r="O20" s="613">
        <f>_xll.ThomsonONEAddinShim.SpreadsheetFormulas.TF($C$2,"TF.ES.SALES.Mean(period=#1,scale=6)","",O$9)</f>
        <v>2001.5</v>
      </c>
      <c r="P20" s="613">
        <f>_xll.ThomsonONEAddinShim.SpreadsheetFormulas.TF($C$2,"TF.ES.SALES.Mean(period=#1,scale=6)","",P$9)</f>
        <v>2895.3</v>
      </c>
      <c r="T20" s="606"/>
      <c r="U20" s="606"/>
    </row>
    <row r="21" spans="2:21" outlineLevel="1">
      <c r="B21" s="606" t="s">
        <v>145</v>
      </c>
      <c r="C21" s="613">
        <f>C22*C20</f>
        <v>-1.2645</v>
      </c>
      <c r="D21" s="613">
        <f>D22*D20</f>
        <v>26.440399999999997</v>
      </c>
      <c r="E21" s="613">
        <f>E22*E20</f>
        <v>59.687800000000003</v>
      </c>
      <c r="F21" s="613">
        <f>F22*F20</f>
        <v>61.707599999999999</v>
      </c>
      <c r="G21" s="612"/>
      <c r="H21" s="613">
        <f>H22*H20</f>
        <v>62.118000000000002</v>
      </c>
      <c r="I21" s="613">
        <f>I22*I20</f>
        <v>100.39609999999999</v>
      </c>
      <c r="J21" s="613">
        <f>J22*J20</f>
        <v>121.14</v>
      </c>
      <c r="K21" s="613">
        <f>K22*K20</f>
        <v>211.24880000000002</v>
      </c>
      <c r="L21" s="612"/>
      <c r="M21" s="613">
        <f>M22*M20</f>
        <v>114.79649999999999</v>
      </c>
      <c r="N21" s="613">
        <f>N22*N20</f>
        <v>499.45139999999992</v>
      </c>
      <c r="O21" s="613">
        <f>O22*O20</f>
        <v>1038.7785000000001</v>
      </c>
      <c r="P21" s="613">
        <f>P22*P20</f>
        <v>1757.4471000000001</v>
      </c>
      <c r="T21" s="606"/>
      <c r="U21" s="606"/>
    </row>
    <row r="22" spans="2:21" outlineLevel="1">
      <c r="B22" s="615" t="s">
        <v>139</v>
      </c>
      <c r="C22" s="616">
        <f>_xll.ThomsonONEAddinShim.SpreadsheetFormulas.TF($C$2,"TF.ES.GPM.Mean(period=#1)",,C$9)</f>
        <v>-5.0000000000000001E-3</v>
      </c>
      <c r="D22" s="616">
        <f>_xll.ThomsonONEAddinShim.SpreadsheetFormulas.TF($C$2,"TF.ES.GPM.Mean(period=#1)",,D$9)</f>
        <v>0.14199999999999999</v>
      </c>
      <c r="E22" s="616">
        <f>_xll.ThomsonONEAddinShim.SpreadsheetFormulas.TF($C$2,"TF.ES.GPM.Mean(period=#1)",,E$9)</f>
        <v>0.251</v>
      </c>
      <c r="F22" s="616">
        <f>_xll.ThomsonONEAddinShim.SpreadsheetFormulas.TF($C$2,"TF.ES.GPM.Mean(period=#1)",,F$9)</f>
        <v>0.24399999999999999</v>
      </c>
      <c r="G22" s="612"/>
      <c r="H22" s="616">
        <f>_xll.ThomsonONEAddinShim.SpreadsheetFormulas.TF($C$2,"TF.ES.GPM.Mean(period=#1)",,H$9)</f>
        <v>0.255</v>
      </c>
      <c r="I22" s="616">
        <f>_xll.ThomsonONEAddinShim.SpreadsheetFormulas.TF($C$2,"TF.ES.GPM.Mean(period=#1)",,I$9)</f>
        <v>0.34299999999999997</v>
      </c>
      <c r="J22" s="616">
        <f>_xll.ThomsonONEAddinShim.SpreadsheetFormulas.TF($C$2,"TF.ES.GPM.Mean(period=#1)",,J$9)</f>
        <v>0.36</v>
      </c>
      <c r="K22" s="616">
        <f>_xll.ThomsonONEAddinShim.SpreadsheetFormulas.TF($C$2,"TF.ES.GPM.Mean(period=#1)",,K$9)</f>
        <v>0.47600000000000003</v>
      </c>
      <c r="L22" s="612"/>
      <c r="M22" s="616">
        <f>_xll.ThomsonONEAddinShim.SpreadsheetFormulas.TF($C$2,"TF.ES.GPM.Mean(period=#1)",,M$9)</f>
        <v>0.14499999999999999</v>
      </c>
      <c r="N22" s="616">
        <f>_xll.ThomsonONEAddinShim.SpreadsheetFormulas.TF($C$2,"TF.ES.GPM.Mean(period=#1)",,N$9)</f>
        <v>0.37799999999999995</v>
      </c>
      <c r="O22" s="616">
        <f>_xll.ThomsonONEAddinShim.SpreadsheetFormulas.TF($C$2,"TF.ES.GPM.Mean(period=#1)",,O$9)</f>
        <v>0.51900000000000002</v>
      </c>
      <c r="P22" s="616">
        <f>_xll.ThomsonONEAddinShim.SpreadsheetFormulas.TF($C$2,"TF.ES.GPM.Mean(period=#1)",,P$9)</f>
        <v>0.60699999999999998</v>
      </c>
      <c r="T22" s="606"/>
      <c r="U22" s="606"/>
    </row>
    <row r="23" spans="2:21">
      <c r="B23" s="606" t="s">
        <v>204</v>
      </c>
      <c r="C23" s="613">
        <f>_xll.ThomsonONEAddinShim.SpreadsheetFormulas.TF($C$2,"TF.ES.EBITDA.Mean(period=#1,scale=6)","",C$9)</f>
        <v>-179.4</v>
      </c>
      <c r="D23" s="613">
        <f>_xll.ThomsonONEAddinShim.SpreadsheetFormulas.TF($C$2,"TF.ES.EBITDA.Mean(period=#1,scale=6)","",D$9)</f>
        <v>-187.5</v>
      </c>
      <c r="E23" s="613">
        <f>_xll.ThomsonONEAddinShim.SpreadsheetFormulas.TF($C$2,"TF.ES.EBITDA.Mean(period=#1,scale=6)","",E$9)</f>
        <v>-191.9</v>
      </c>
      <c r="F23" s="613">
        <f>_xll.ThomsonONEAddinShim.SpreadsheetFormulas.TF($C$2,"TF.ES.EBITDA.Mean(period=#1,scale=6)","",F$9)</f>
        <v>-185.8</v>
      </c>
      <c r="G23" s="612"/>
      <c r="H23" s="613">
        <f>_xll.ThomsonONEAddinShim.SpreadsheetFormulas.TF($C$2,"TF.ES.EBITDA.Mean(period=#1,scale=6)","",H$9)</f>
        <v>-192.1</v>
      </c>
      <c r="I23" s="613">
        <f>_xll.ThomsonONEAddinShim.SpreadsheetFormulas.TF($C$2,"TF.ES.EBITDA.Mean(period=#1,scale=6)","",I$9)</f>
        <v>-171.4</v>
      </c>
      <c r="J23" s="613">
        <f>_xll.ThomsonONEAddinShim.SpreadsheetFormulas.TF($C$2,"TF.ES.EBITDA.Mean(period=#1,scale=6)","",J$9)</f>
        <v>-149.19999999999999</v>
      </c>
      <c r="K23" s="613">
        <f>_xll.ThomsonONEAddinShim.SpreadsheetFormulas.TF($C$2,"TF.ES.EBITDA.Mean(period=#1,scale=6)","",K$9)</f>
        <v>-99.4</v>
      </c>
      <c r="L23" s="612"/>
      <c r="M23" s="613">
        <f>_xll.ThomsonONEAddinShim.SpreadsheetFormulas.TF($C$2,"TF.ES.EBITDA.Mean(period=#1,scale=6)","",M$9)</f>
        <v>-749.1</v>
      </c>
      <c r="N23" s="613">
        <f>_xll.ThomsonONEAddinShim.SpreadsheetFormulas.TF($C$2,"TF.ES.EBITDA.Mean(period=#1,scale=6)","",N$9)</f>
        <v>-604</v>
      </c>
      <c r="O23" s="613">
        <f>_xll.ThomsonONEAddinShim.SpreadsheetFormulas.TF($C$2,"TF.ES.EBITDA.Mean(period=#1,scale=6)","",O$9)</f>
        <v>-325.3</v>
      </c>
      <c r="P23" s="613">
        <f>_xll.ThomsonONEAddinShim.SpreadsheetFormulas.TF($C$2,"TF.ES.EBITDA.Mean(period=#1,scale=6)","",P$9)</f>
        <v>29.3</v>
      </c>
      <c r="T23" s="606"/>
      <c r="U23" s="606"/>
    </row>
    <row r="24" spans="2:21">
      <c r="B24" s="615" t="s">
        <v>434</v>
      </c>
      <c r="C24" s="616">
        <f>+C23/C20</f>
        <v>-0.70937129300118629</v>
      </c>
      <c r="D24" s="616">
        <f>+D23/D20</f>
        <v>-1.006981740064447</v>
      </c>
      <c r="E24" s="616">
        <f>+E23/E20</f>
        <v>-0.8069806560134567</v>
      </c>
      <c r="F24" s="616">
        <f>+F23/F20</f>
        <v>-0.7346777382364571</v>
      </c>
      <c r="G24" s="614"/>
      <c r="H24" s="616">
        <f>+H23/H20</f>
        <v>-0.78858784893267653</v>
      </c>
      <c r="I24" s="616">
        <f>+I23/I20</f>
        <v>-0.58558250768705167</v>
      </c>
      <c r="J24" s="616">
        <f>+J23/J20</f>
        <v>-0.44338781575037145</v>
      </c>
      <c r="K24" s="616">
        <f>+K23/K20</f>
        <v>-0.22397476340694006</v>
      </c>
      <c r="L24" s="614"/>
      <c r="M24" s="616">
        <f>+M23/M20</f>
        <v>-0.94619173929518752</v>
      </c>
      <c r="N24" s="616">
        <f>+N23/N20</f>
        <v>-0.45712555816241585</v>
      </c>
      <c r="O24" s="616">
        <f>+O23/O20</f>
        <v>-0.16252810392205846</v>
      </c>
      <c r="P24" s="616">
        <f>+P23/P20</f>
        <v>1.0119849411114564E-2</v>
      </c>
      <c r="T24" s="606"/>
      <c r="U24" s="606"/>
    </row>
    <row r="25" spans="2:21" s="620" customFormat="1">
      <c r="B25" s="617" t="s">
        <v>437</v>
      </c>
      <c r="C25" s="618" t="str">
        <f>_xll.ThomsonONEAddinShim.SpreadsheetFormulas.TF($C$2,"TF.ES.EPS.Mean(period=#1,curn=USD)",,C$9)</f>
        <v>-$0.19</v>
      </c>
      <c r="D25" s="618" t="str">
        <f>_xll.ThomsonONEAddinShim.SpreadsheetFormulas.TF($C$2,"TF.ES.EPS.Mean(period=#1,curn=USD)",,D$9)</f>
        <v>-$0.14</v>
      </c>
      <c r="E25" s="618" t="str">
        <f>_xll.ThomsonONEAddinShim.SpreadsheetFormulas.TF($C$2,"TF.ES.EPS.Mean(period=#1,curn=USD)",,E$9)</f>
        <v>-$0.15</v>
      </c>
      <c r="F25" s="618" t="str">
        <f>_xll.ThomsonONEAddinShim.SpreadsheetFormulas.TF($C$2,"TF.ES.EPS.Mean(period=#1,curn=USD)",,F$9)</f>
        <v>-$0.16</v>
      </c>
      <c r="G25" s="618"/>
      <c r="H25" s="618" t="str">
        <f>_xll.ThomsonONEAddinShim.SpreadsheetFormulas.TF($C$2,"TF.ES.EPS.Mean(period=#1,curn=USD)",,H$9)</f>
        <v>-$0.17</v>
      </c>
      <c r="I25" s="618" t="str">
        <f>_xll.ThomsonONEAddinShim.SpreadsheetFormulas.TF($C$2,"TF.ES.EPS.Mean(period=#1,curn=USD)",,I$9)</f>
        <v>-$0.15</v>
      </c>
      <c r="J25" s="618" t="str">
        <f>_xll.ThomsonONEAddinShim.SpreadsheetFormulas.TF($C$2,"TF.ES.EPS.Mean(period=#1,curn=USD)",,J$9)</f>
        <v>-$0.13</v>
      </c>
      <c r="K25" s="618" t="str">
        <f>_xll.ThomsonONEAddinShim.SpreadsheetFormulas.TF($C$2,"TF.ES.EPS.Mean(period=#1,curn=USD)",,K$9)</f>
        <v>-$0.10</v>
      </c>
      <c r="L25" s="618"/>
      <c r="M25" s="618" t="str">
        <f>_xll.ThomsonONEAddinShim.SpreadsheetFormulas.TF($C$2,"TF.ES.EPS.Mean(period=#1,curn=USD)",,M$9)</f>
        <v>-$0.65</v>
      </c>
      <c r="N25" s="618" t="str">
        <f>_xll.ThomsonONEAddinShim.SpreadsheetFormulas.TF($C$2,"TF.ES.EPS.Mean(period=#1,curn=USD)",,N$9)</f>
        <v>-$0.55</v>
      </c>
      <c r="O25" s="618" t="str">
        <f>_xll.ThomsonONEAddinShim.SpreadsheetFormulas.TF($C$2,"TF.ES.EPS.Mean(period=#1,curn=USD)",,O$9)</f>
        <v>-$0.38</v>
      </c>
      <c r="P25" s="618" t="str">
        <f>_xll.ThomsonONEAddinShim.SpreadsheetFormulas.TF($C$2,"TF.ES.EPS.Mean(period=#1,curn=USD)",,P$9)</f>
        <v>-$0.06</v>
      </c>
      <c r="T25" s="617"/>
      <c r="U25" s="617"/>
    </row>
    <row r="26" spans="2:21">
      <c r="B26" s="606"/>
      <c r="C26" s="612"/>
      <c r="D26" s="612"/>
      <c r="E26" s="612"/>
      <c r="F26" s="612"/>
      <c r="G26" s="612"/>
      <c r="H26" s="612"/>
      <c r="I26" s="612"/>
      <c r="J26" s="612"/>
      <c r="K26" s="612"/>
      <c r="L26" s="612"/>
      <c r="M26" s="612"/>
      <c r="N26" s="613"/>
      <c r="O26" s="613"/>
      <c r="P26" s="613"/>
      <c r="T26" s="606"/>
      <c r="U26" s="606"/>
    </row>
    <row r="27" spans="2:21">
      <c r="B27" s="607" t="s">
        <v>431</v>
      </c>
      <c r="C27" s="608" t="str">
        <f>C18</f>
        <v>1Q2017</v>
      </c>
      <c r="D27" s="608" t="str">
        <f>D18</f>
        <v>2Q2017</v>
      </c>
      <c r="E27" s="608" t="str">
        <f>E18</f>
        <v>3Q2017</v>
      </c>
      <c r="F27" s="608" t="str">
        <f>F18</f>
        <v>4Q2017</v>
      </c>
      <c r="G27" s="609"/>
      <c r="H27" s="608" t="str">
        <f>H18</f>
        <v>1Q2018</v>
      </c>
      <c r="I27" s="608" t="str">
        <f>I18</f>
        <v>2Q2018</v>
      </c>
      <c r="J27" s="608" t="str">
        <f>J18</f>
        <v>3Q2018</v>
      </c>
      <c r="K27" s="608" t="str">
        <f>K18</f>
        <v>4Q2018</v>
      </c>
      <c r="L27" s="609"/>
      <c r="M27" s="608" t="str">
        <f>M18</f>
        <v>2017</v>
      </c>
      <c r="N27" s="608" t="str">
        <f>N18</f>
        <v>2018</v>
      </c>
      <c r="O27" s="608" t="str">
        <f>O18</f>
        <v>2019</v>
      </c>
      <c r="P27" s="608" t="str">
        <f>P18</f>
        <v>2020</v>
      </c>
      <c r="T27" s="606"/>
      <c r="U27" s="606"/>
    </row>
    <row r="28" spans="2:21">
      <c r="B28" s="610" t="s">
        <v>436</v>
      </c>
      <c r="C28" s="611"/>
      <c r="D28" s="611"/>
      <c r="E28" s="611"/>
      <c r="F28" s="611"/>
      <c r="G28" s="612"/>
      <c r="H28" s="611"/>
      <c r="I28" s="611"/>
      <c r="J28" s="611"/>
      <c r="K28" s="611"/>
      <c r="L28" s="612"/>
      <c r="M28" s="611"/>
      <c r="N28" s="611"/>
      <c r="O28" s="611"/>
      <c r="P28" s="611"/>
      <c r="T28" s="606"/>
      <c r="U28" s="606"/>
    </row>
    <row r="29" spans="2:21">
      <c r="B29" s="606" t="s">
        <v>433</v>
      </c>
      <c r="C29" s="624">
        <f t="shared" ref="C29:F29" si="0">(C11-C20)/ABS(C20)</f>
        <v>-0.40827204428627917</v>
      </c>
      <c r="D29" s="624">
        <f t="shared" si="0"/>
        <v>-2.4323308270676674E-2</v>
      </c>
      <c r="E29" s="624">
        <f t="shared" si="0"/>
        <v>-0.12558031959629939</v>
      </c>
      <c r="F29" s="624">
        <f t="shared" si="0"/>
        <v>0.12966785290628699</v>
      </c>
      <c r="G29" s="612"/>
      <c r="H29" s="624">
        <f t="shared" ref="H29:K29" si="1">(H11-H20)/ABS(H20)</f>
        <v>2.2167487684729089E-2</v>
      </c>
      <c r="I29" s="624">
        <f t="shared" si="1"/>
        <v>7.8578749572941978E-3</v>
      </c>
      <c r="J29" s="624">
        <f t="shared" si="1"/>
        <v>1.3372956909361069E-2</v>
      </c>
      <c r="K29" s="624">
        <f t="shared" si="1"/>
        <v>-3.5601622352411023E-2</v>
      </c>
      <c r="L29" s="612"/>
      <c r="M29" s="624">
        <f t="shared" ref="M29" si="2">(M11-M20)/ABS(M20)</f>
        <v>4.1996968548692573E-2</v>
      </c>
      <c r="N29" s="624">
        <f>(N11-N20)/ABS(N20)</f>
        <v>-6.2816922727616398E-3</v>
      </c>
      <c r="O29" s="624">
        <f t="shared" ref="O29:P30" si="3">(O11-O20)/ABS(O20)</f>
        <v>-1.6055562566641351E-2</v>
      </c>
      <c r="P29" s="624">
        <f t="shared" si="3"/>
        <v>-3.1230433703834087E-2</v>
      </c>
      <c r="T29" s="606"/>
      <c r="U29" s="606"/>
    </row>
    <row r="30" spans="2:21" outlineLevel="1">
      <c r="B30" s="606" t="s">
        <v>145</v>
      </c>
      <c r="C30" s="625">
        <f t="shared" ref="C30:F30" si="4">(C12-C21)/ABS(C21)</f>
        <v>-9.8422301304863655</v>
      </c>
      <c r="D30" s="625">
        <f t="shared" si="4"/>
        <v>0.11658673847596858</v>
      </c>
      <c r="E30" s="625">
        <f t="shared" si="4"/>
        <v>-1.0464584052352406</v>
      </c>
      <c r="F30" s="625">
        <f t="shared" si="4"/>
        <v>0.53055701404689171</v>
      </c>
      <c r="G30" s="612"/>
      <c r="H30" s="625">
        <f t="shared" ref="H30:K30" si="5">(H12-H21)/ABS(H21)</f>
        <v>0.25191347831197286</v>
      </c>
      <c r="I30" s="625">
        <f t="shared" si="5"/>
        <v>-4.4443546468759337E-2</v>
      </c>
      <c r="J30" s="625">
        <f t="shared" si="5"/>
        <v>-0.13671821916975976</v>
      </c>
      <c r="K30" s="625">
        <f t="shared" si="5"/>
        <v>-0.1825633438873365</v>
      </c>
      <c r="L30" s="612"/>
      <c r="M30" s="625">
        <f t="shared" ref="M30:O34" si="6">(M12-M21)/ABS(M21)</f>
        <v>-6.3673544054043713E-2</v>
      </c>
      <c r="N30" s="625">
        <f t="shared" si="6"/>
        <v>-9.708738363784912E-2</v>
      </c>
      <c r="O30" s="625">
        <f t="shared" si="3"/>
        <v>-0.12137508571685621</v>
      </c>
      <c r="P30" s="625">
        <f t="shared" si="3"/>
        <v>-0.14097076491020494</v>
      </c>
      <c r="T30" s="606"/>
      <c r="U30" s="606"/>
    </row>
    <row r="31" spans="2:21" outlineLevel="1">
      <c r="B31" s="626" t="s">
        <v>139</v>
      </c>
      <c r="C31" s="627">
        <f>+(C13-C22)*10000</f>
        <v>-866.14989842831221</v>
      </c>
      <c r="D31" s="627">
        <f>+(D13-D22)*10000</f>
        <v>205.08050266690893</v>
      </c>
      <c r="E31" s="627">
        <f>+(E13-E22)*10000</f>
        <v>-2643.357699687886</v>
      </c>
      <c r="F31" s="627">
        <f>+(F13-F22)*10000</f>
        <v>865.89128890102234</v>
      </c>
      <c r="G31" s="612"/>
      <c r="H31" s="627">
        <f>+(H13-H22)*10000</f>
        <v>573.14704601538699</v>
      </c>
      <c r="I31" s="627">
        <f>+(I13-I22)*10000</f>
        <v>-177.99521137736306</v>
      </c>
      <c r="J31" s="627">
        <f>+(J13-J22)*10000</f>
        <v>-533.19780264588553</v>
      </c>
      <c r="K31" s="627">
        <f>+(K13-K22)*10000</f>
        <v>-725.36185327540136</v>
      </c>
      <c r="L31" s="612"/>
      <c r="M31" s="627">
        <f>+(M13-M22)*10000</f>
        <v>-147.04672652491257</v>
      </c>
      <c r="N31" s="627">
        <f>+(N13-N22)*10000</f>
        <v>-345.41530601874206</v>
      </c>
      <c r="O31" s="627">
        <f>+(O13-O22)*10000</f>
        <v>-555.52763383210413</v>
      </c>
      <c r="P31" s="627">
        <f>+(P13-P22)*10000</f>
        <v>-687.59778754138529</v>
      </c>
      <c r="T31" s="606"/>
      <c r="U31" s="606"/>
    </row>
    <row r="32" spans="2:21">
      <c r="B32" s="606" t="s">
        <v>204</v>
      </c>
      <c r="C32" s="625">
        <f t="shared" ref="C32:F32" si="7">(C14-C23)/ABS(C23)</f>
        <v>-4.9292084726866955E-2</v>
      </c>
      <c r="D32" s="625">
        <f t="shared" si="7"/>
        <v>-3.4613333333333836E-2</v>
      </c>
      <c r="E32" s="625">
        <f t="shared" si="7"/>
        <v>6.7738405419489292E-2</v>
      </c>
      <c r="F32" s="625">
        <f t="shared" si="7"/>
        <v>0.14466092572658748</v>
      </c>
      <c r="G32" s="612"/>
      <c r="H32" s="625">
        <f t="shared" ref="H32:K32" si="8">(H14-H23)/ABS(H23)</f>
        <v>-6.5456473473278598E-2</v>
      </c>
      <c r="I32" s="625">
        <f t="shared" si="8"/>
        <v>-0.12453097278665255</v>
      </c>
      <c r="J32" s="625">
        <f t="shared" si="8"/>
        <v>-0.35007968928788924</v>
      </c>
      <c r="K32" s="625">
        <f t="shared" si="8"/>
        <v>-0.43624478764301305</v>
      </c>
      <c r="L32" s="612"/>
      <c r="M32" s="625">
        <f t="shared" si="6"/>
        <v>3.8771859564811384E-2</v>
      </c>
      <c r="N32" s="625">
        <f t="shared" si="6"/>
        <v>-0.22783678613132072</v>
      </c>
      <c r="O32" s="625">
        <f t="shared" si="6"/>
        <v>-0.30780116391449042</v>
      </c>
      <c r="P32" s="625">
        <f t="shared" ref="P32" si="9">(P14-P23)/ABS(P23)</f>
        <v>-6.2423839972449855</v>
      </c>
      <c r="T32" s="606"/>
      <c r="U32" s="606"/>
    </row>
    <row r="33" spans="2:21">
      <c r="B33" s="615" t="s">
        <v>434</v>
      </c>
      <c r="C33" s="627">
        <f>+(C15-C24)*10000</f>
        <v>-5485.3392457606133</v>
      </c>
      <c r="D33" s="627">
        <f t="shared" ref="D33:O33" si="10">+(D15-D24)*10000</f>
        <v>-608.27651638136751</v>
      </c>
      <c r="E33" s="627">
        <f t="shared" si="10"/>
        <v>-533.8089580271843</v>
      </c>
      <c r="F33" s="627">
        <f>+(F15-F24)*10000</f>
        <v>1784.09296237528</v>
      </c>
      <c r="G33" s="614"/>
      <c r="H33" s="627">
        <f>+(H15-H24)*10000</f>
        <v>-333.9684405614596</v>
      </c>
      <c r="I33" s="627">
        <f t="shared" ref="I33:J33" si="11">+(I15-I24)*10000</f>
        <v>-677.89047348989823</v>
      </c>
      <c r="J33" s="627">
        <f t="shared" si="11"/>
        <v>-1473.2153803776071</v>
      </c>
      <c r="K33" s="627">
        <f>+(K15-K24)*10000</f>
        <v>-1095.8302138678778</v>
      </c>
      <c r="L33" s="614"/>
      <c r="M33" s="627">
        <f t="shared" si="10"/>
        <v>733.42629835087769</v>
      </c>
      <c r="N33" s="627">
        <f t="shared" si="10"/>
        <v>-1076.9806622701117</v>
      </c>
      <c r="O33" s="627">
        <f t="shared" si="10"/>
        <v>-534.94707317706639</v>
      </c>
      <c r="P33" s="627">
        <f t="shared" ref="P33" si="12">+(P15-P24)*10000</f>
        <v>-648.8223920230804</v>
      </c>
      <c r="T33" s="606"/>
      <c r="U33" s="606"/>
    </row>
    <row r="34" spans="2:21">
      <c r="B34" s="617" t="s">
        <v>437</v>
      </c>
      <c r="C34" s="625">
        <f t="shared" ref="C34:F34" si="13">(C16-C25)/ABS(C25)</f>
        <v>-11.157894736842106</v>
      </c>
      <c r="D34" s="625">
        <f t="shared" si="13"/>
        <v>-1.2248409970500662</v>
      </c>
      <c r="E34" s="625">
        <f t="shared" si="13"/>
        <v>-1.050238260467268</v>
      </c>
      <c r="F34" s="625">
        <f t="shared" si="13"/>
        <v>-0.54039172535211288</v>
      </c>
      <c r="G34" s="612"/>
      <c r="H34" s="625">
        <f t="shared" ref="H34:K34" si="14">(H16-H25)/ABS(H25)</f>
        <v>-0.18097342062614888</v>
      </c>
      <c r="I34" s="625">
        <f t="shared" si="14"/>
        <v>-0.42155953118348283</v>
      </c>
      <c r="J34" s="625">
        <f t="shared" si="14"/>
        <v>-0.69773522356367668</v>
      </c>
      <c r="K34" s="625">
        <f t="shared" si="14"/>
        <v>-0.7690104924090102</v>
      </c>
      <c r="L34" s="612"/>
      <c r="M34" s="625">
        <f t="shared" si="6"/>
        <v>-3.0460662138423418</v>
      </c>
      <c r="N34" s="625">
        <f t="shared" si="6"/>
        <v>-0.47524393686482219</v>
      </c>
      <c r="O34" s="625">
        <f t="shared" si="6"/>
        <v>-0.6168890444903693</v>
      </c>
      <c r="P34" s="625">
        <f t="shared" ref="P34" si="15">(P16-P25)/ABS(P25)</f>
        <v>-6.445380382455145</v>
      </c>
      <c r="T34" s="606"/>
      <c r="U34" s="606"/>
    </row>
    <row r="35" spans="2:21">
      <c r="F35" s="628"/>
      <c r="K35" s="628"/>
      <c r="T35" s="606"/>
      <c r="U35" s="606"/>
    </row>
    <row r="37" spans="2:21">
      <c r="J37" s="605"/>
      <c r="K37" s="605"/>
      <c r="L37" s="605"/>
    </row>
    <row r="38" spans="2:21">
      <c r="J38" s="628"/>
      <c r="K38" s="628"/>
      <c r="L38" s="628"/>
    </row>
    <row r="39" spans="2:21">
      <c r="J39" s="628"/>
      <c r="K39" s="628"/>
      <c r="L39" s="628"/>
    </row>
    <row r="40" spans="2:21" ht="15">
      <c r="D40" s="629"/>
      <c r="I40" s="629"/>
    </row>
  </sheetData>
  <pageMargins left="0.7" right="0.7" top="0.75" bottom="0.75" header="0.3" footer="0.3"/>
  <pageSetup orientation="portrait" horizontalDpi="90" verticalDpi="9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4"/>
    <pageSetUpPr fitToPage="1"/>
  </sheetPr>
  <dimension ref="A1:BA259"/>
  <sheetViews>
    <sheetView showGridLines="0" zoomScaleNormal="100" workbookViewId="0">
      <pane xSplit="9" ySplit="5" topLeftCell="AJ6" activePane="bottomRight" state="frozen"/>
      <selection pane="topRight" activeCell="J1" sqref="J1"/>
      <selection pane="bottomLeft" activeCell="A6" sqref="A6"/>
      <selection pane="bottomRight" activeCell="AD183" sqref="AD183"/>
    </sheetView>
  </sheetViews>
  <sheetFormatPr defaultColWidth="9.7109375" defaultRowHeight="15" outlineLevelRow="1" outlineLevelCol="3"/>
  <cols>
    <col min="1" max="1" width="4.28515625" style="1" hidden="1" customWidth="1" outlineLevel="1"/>
    <col min="2" max="2" width="27" hidden="1" customWidth="1" outlineLevel="1"/>
    <col min="3" max="3" width="9.7109375" hidden="1" customWidth="1" outlineLevel="1"/>
    <col min="4" max="4" width="20.85546875" hidden="1" customWidth="1" outlineLevel="1"/>
    <col min="5" max="7" width="9.7109375" hidden="1" customWidth="1" outlineLevel="1"/>
    <col min="8" max="8" width="1.7109375" style="1" customWidth="1" collapsed="1"/>
    <col min="9" max="9" width="60.85546875" style="1" bestFit="1" customWidth="1"/>
    <col min="10" max="17" width="9.7109375" style="1" hidden="1" customWidth="1" outlineLevel="3"/>
    <col min="18" max="18" width="9.7109375" style="1" customWidth="1" outlineLevel="1" collapsed="1"/>
    <col min="19" max="36" width="9.7109375" style="1" customWidth="1" outlineLevel="1"/>
    <col min="37" max="37" width="9.7109375" style="1"/>
    <col min="38" max="42" width="9.7109375" style="1" customWidth="1"/>
    <col min="43" max="47" width="9.7109375" style="1" customWidth="1" outlineLevel="1"/>
    <col min="48" max="48" width="5.7109375" style="1" customWidth="1"/>
    <col min="49" max="49" width="6.85546875" style="1" bestFit="1" customWidth="1"/>
    <col min="50" max="52" width="9.7109375" style="1" customWidth="1"/>
    <col min="53" max="16384" width="9.7109375" style="1"/>
  </cols>
  <sheetData>
    <row r="1" spans="2:49">
      <c r="I1" s="664">
        <f>'Base DCF'!$E$47</f>
        <v>12</v>
      </c>
      <c r="AD1" s="3"/>
      <c r="AE1" s="3"/>
      <c r="AF1" s="3"/>
      <c r="AG1" s="3"/>
      <c r="AH1" s="3"/>
      <c r="AI1" s="3"/>
      <c r="AJ1" s="3"/>
      <c r="AK1" s="417"/>
      <c r="AL1" s="417"/>
      <c r="AM1" s="417"/>
      <c r="AN1" s="417"/>
      <c r="AO1" s="417"/>
      <c r="AP1" s="417"/>
      <c r="AQ1" s="417"/>
      <c r="AR1" s="417"/>
      <c r="AS1" s="417"/>
      <c r="AT1" s="417"/>
      <c r="AU1" s="417"/>
    </row>
    <row r="2" spans="2:49">
      <c r="I2" s="97"/>
      <c r="J2" s="70">
        <v>2013</v>
      </c>
      <c r="K2" s="70"/>
      <c r="L2" s="70"/>
      <c r="M2" s="72"/>
      <c r="N2" s="70">
        <v>2014</v>
      </c>
      <c r="O2" s="70"/>
      <c r="P2" s="70"/>
      <c r="Q2" s="72"/>
      <c r="R2" s="70">
        <v>2015</v>
      </c>
      <c r="S2" s="70"/>
      <c r="T2" s="70"/>
      <c r="U2" s="72"/>
      <c r="V2" s="70">
        <f>+R2+1</f>
        <v>2016</v>
      </c>
      <c r="W2" s="70"/>
      <c r="X2" s="70"/>
      <c r="Y2" s="72"/>
      <c r="Z2" s="70">
        <f>+V2+1</f>
        <v>2017</v>
      </c>
      <c r="AA2" s="70"/>
      <c r="AB2" s="70"/>
      <c r="AC2" s="72"/>
      <c r="AD2" s="71">
        <f>+Z2+1</f>
        <v>2018</v>
      </c>
      <c r="AE2" s="70"/>
      <c r="AF2" s="70"/>
      <c r="AG2" s="72"/>
      <c r="AI2" s="75"/>
      <c r="AJ2" s="75"/>
      <c r="AK2" s="75"/>
      <c r="AL2" s="76"/>
      <c r="AM2" s="76"/>
      <c r="AN2" s="76"/>
      <c r="AO2" s="76"/>
      <c r="AP2" s="76"/>
      <c r="AQ2" s="76"/>
      <c r="AR2" s="76"/>
      <c r="AS2" s="76"/>
      <c r="AT2" s="76"/>
      <c r="AU2" s="95"/>
      <c r="AV2" s="592"/>
      <c r="AW2" s="591" t="s">
        <v>429</v>
      </c>
    </row>
    <row r="3" spans="2:49">
      <c r="I3" s="96" t="s">
        <v>142</v>
      </c>
      <c r="J3" s="73" t="s">
        <v>88</v>
      </c>
      <c r="K3" s="73" t="s">
        <v>89</v>
      </c>
      <c r="L3" s="73" t="s">
        <v>90</v>
      </c>
      <c r="M3" s="74" t="s">
        <v>91</v>
      </c>
      <c r="N3" s="73" t="s">
        <v>92</v>
      </c>
      <c r="O3" s="73" t="s">
        <v>93</v>
      </c>
      <c r="P3" s="73" t="s">
        <v>94</v>
      </c>
      <c r="Q3" s="74" t="s">
        <v>95</v>
      </c>
      <c r="R3" s="73" t="s">
        <v>96</v>
      </c>
      <c r="S3" s="73" t="s">
        <v>97</v>
      </c>
      <c r="T3" s="73" t="s">
        <v>98</v>
      </c>
      <c r="U3" s="74" t="s">
        <v>99</v>
      </c>
      <c r="V3" s="73" t="s">
        <v>100</v>
      </c>
      <c r="W3" s="73" t="s">
        <v>101</v>
      </c>
      <c r="X3" s="73" t="s">
        <v>185</v>
      </c>
      <c r="Y3" s="74" t="s">
        <v>184</v>
      </c>
      <c r="Z3" s="73" t="s">
        <v>443</v>
      </c>
      <c r="AA3" s="73" t="s">
        <v>446</v>
      </c>
      <c r="AB3" s="73" t="s">
        <v>447</v>
      </c>
      <c r="AC3" s="74" t="s">
        <v>450</v>
      </c>
      <c r="AD3" s="73" t="s">
        <v>102</v>
      </c>
      <c r="AE3" s="73" t="s">
        <v>103</v>
      </c>
      <c r="AF3" s="73" t="s">
        <v>104</v>
      </c>
      <c r="AG3" s="74" t="s">
        <v>105</v>
      </c>
      <c r="AI3" s="75">
        <v>2013</v>
      </c>
      <c r="AJ3" s="75">
        <v>2014</v>
      </c>
      <c r="AK3" s="75">
        <v>2015</v>
      </c>
      <c r="AL3" s="75">
        <f t="shared" ref="AL3:AU3" si="0">+AK3+1</f>
        <v>2016</v>
      </c>
      <c r="AM3" s="75">
        <f t="shared" si="0"/>
        <v>2017</v>
      </c>
      <c r="AN3" s="76">
        <f t="shared" si="0"/>
        <v>2018</v>
      </c>
      <c r="AO3" s="76">
        <f t="shared" si="0"/>
        <v>2019</v>
      </c>
      <c r="AP3" s="76">
        <f t="shared" si="0"/>
        <v>2020</v>
      </c>
      <c r="AQ3" s="76">
        <f t="shared" si="0"/>
        <v>2021</v>
      </c>
      <c r="AR3" s="76">
        <f t="shared" si="0"/>
        <v>2022</v>
      </c>
      <c r="AS3" s="76">
        <f t="shared" si="0"/>
        <v>2023</v>
      </c>
      <c r="AT3" s="76">
        <f t="shared" si="0"/>
        <v>2024</v>
      </c>
      <c r="AU3" s="95">
        <f t="shared" si="0"/>
        <v>2025</v>
      </c>
      <c r="AV3" s="592"/>
      <c r="AW3" s="525" t="s">
        <v>428</v>
      </c>
    </row>
    <row r="4" spans="2:49">
      <c r="I4" s="11" t="s">
        <v>409</v>
      </c>
      <c r="J4" s="11"/>
      <c r="K4" s="11"/>
      <c r="L4" s="11"/>
      <c r="M4" s="11"/>
      <c r="N4" s="11"/>
      <c r="O4" s="11"/>
      <c r="P4" s="11"/>
      <c r="Q4" s="11"/>
      <c r="R4" s="211"/>
      <c r="S4" s="212"/>
      <c r="T4" s="212"/>
      <c r="U4" s="213"/>
      <c r="V4" s="211"/>
      <c r="W4" s="212"/>
      <c r="X4" s="212"/>
      <c r="Y4" s="213"/>
      <c r="Z4" s="211"/>
      <c r="AA4" s="212"/>
      <c r="AB4" s="212"/>
      <c r="AC4" s="213"/>
      <c r="AD4" s="211"/>
      <c r="AE4" s="212"/>
      <c r="AF4" s="212"/>
      <c r="AG4" s="213"/>
      <c r="AH4" s="11"/>
      <c r="AI4" s="11"/>
      <c r="AJ4" s="11"/>
      <c r="AK4" s="11"/>
      <c r="AL4" s="11"/>
      <c r="AM4" s="11"/>
      <c r="AN4" s="11"/>
      <c r="AO4" s="11"/>
      <c r="AP4" s="11"/>
      <c r="AQ4" s="11"/>
      <c r="AR4" s="11"/>
      <c r="AS4" s="11"/>
      <c r="AT4" s="11"/>
      <c r="AU4" s="11"/>
      <c r="AV4" s="11"/>
      <c r="AW4" s="11"/>
    </row>
    <row r="5" spans="2:49">
      <c r="I5" s="11" t="s">
        <v>56</v>
      </c>
      <c r="J5" s="11"/>
      <c r="K5" s="11"/>
      <c r="L5" s="11"/>
      <c r="M5" s="11"/>
      <c r="N5" s="11"/>
      <c r="O5" s="11"/>
      <c r="P5" s="11"/>
      <c r="Q5" s="11"/>
      <c r="R5" s="211"/>
      <c r="S5" s="212"/>
      <c r="T5" s="212"/>
      <c r="U5" s="213"/>
      <c r="V5" s="211"/>
      <c r="W5" s="212"/>
      <c r="X5" s="212"/>
      <c r="Y5" s="213"/>
      <c r="Z5" s="211"/>
      <c r="AA5" s="212"/>
      <c r="AB5" s="212"/>
      <c r="AC5" s="213"/>
      <c r="AD5" s="211"/>
      <c r="AE5" s="212"/>
      <c r="AF5" s="212"/>
      <c r="AG5" s="213"/>
      <c r="AH5" s="11"/>
      <c r="AI5" s="11"/>
      <c r="AJ5" s="11"/>
      <c r="AK5" s="11"/>
      <c r="AL5" s="333"/>
      <c r="AM5" s="333"/>
      <c r="AN5" s="333"/>
      <c r="AO5" s="333"/>
      <c r="AP5" s="333"/>
      <c r="AQ5" s="333"/>
      <c r="AR5" s="11"/>
      <c r="AS5" s="11"/>
      <c r="AT5" s="11"/>
      <c r="AU5" s="11"/>
      <c r="AV5" s="11"/>
      <c r="AW5" s="11"/>
    </row>
    <row r="6" spans="2:49" s="7" customFormat="1">
      <c r="B6"/>
      <c r="C6"/>
      <c r="D6"/>
      <c r="E6"/>
      <c r="F6"/>
      <c r="G6"/>
      <c r="I6" s="298" t="s">
        <v>0</v>
      </c>
      <c r="R6" s="53">
        <f>+'Revenue Model'!R4</f>
        <v>3.92</v>
      </c>
      <c r="S6" s="54">
        <f>+'Revenue Model'!S4</f>
        <v>5.3</v>
      </c>
      <c r="T6" s="54">
        <f>+'Revenue Model'!T4</f>
        <v>16.725000000000001</v>
      </c>
      <c r="U6" s="55">
        <f>+'Revenue Model'!U4</f>
        <v>32.718000000000004</v>
      </c>
      <c r="V6" s="53">
        <f>+'Revenue Model'!V4</f>
        <v>38.798000000000002</v>
      </c>
      <c r="W6" s="54">
        <f>+'Revenue Model'!W4</f>
        <v>71.798000000000002</v>
      </c>
      <c r="X6" s="54">
        <f>+'Revenue Model'!X4</f>
        <v>128.20400000000001</v>
      </c>
      <c r="Y6" s="55">
        <f>+'Revenue Model'!Y4</f>
        <v>165.68199999999999</v>
      </c>
      <c r="Z6" s="53">
        <f>+'Revenue Model'!Z4</f>
        <v>149.648</v>
      </c>
      <c r="AA6" s="54">
        <f>+'Revenue Model'!AA4</f>
        <v>181.67099999999999</v>
      </c>
      <c r="AB6" s="54">
        <f>+'Revenue Model'!AB4</f>
        <v>207.93700000000001</v>
      </c>
      <c r="AC6" s="55">
        <f>+'Revenue Model'!AC4</f>
        <v>285.69299999999998</v>
      </c>
      <c r="AD6" s="53">
        <f>+'Revenue Model'!AD4</f>
        <v>249</v>
      </c>
      <c r="AE6" s="54">
        <f>+'Revenue Model'!AE4</f>
        <v>295</v>
      </c>
      <c r="AF6" s="54">
        <f>+'Revenue Model'!AF4</f>
        <v>341</v>
      </c>
      <c r="AG6" s="55">
        <f>+'Revenue Model'!AG4</f>
        <v>428</v>
      </c>
      <c r="AK6" s="9">
        <f>+SUM(R6:U6)</f>
        <v>58.663000000000004</v>
      </c>
      <c r="AL6" s="9">
        <f>+SUM(V6:Y6)</f>
        <v>404.48199999999997</v>
      </c>
      <c r="AM6" s="9">
        <f>+SUM(Z6:AC6)</f>
        <v>824.94899999999996</v>
      </c>
      <c r="AN6" s="9">
        <f>+SUM(AD6:AG6)</f>
        <v>1313</v>
      </c>
      <c r="AO6" s="9">
        <f>+'Revenue Model'!AO4</f>
        <v>1969.3647915228673</v>
      </c>
      <c r="AP6" s="9">
        <f>+'Revenue Model'!AP4</f>
        <v>2804.8785252972893</v>
      </c>
      <c r="AQ6" s="9">
        <f>+'Revenue Model'!AQ4</f>
        <v>3812.9268110991698</v>
      </c>
      <c r="AR6" s="9">
        <f>+'Revenue Model'!AR4</f>
        <v>4963.9597425469474</v>
      </c>
      <c r="AS6" s="9">
        <f>+'Revenue Model'!AS4</f>
        <v>6163.5677779709767</v>
      </c>
      <c r="AT6" s="9">
        <f>+'Revenue Model'!AT4</f>
        <v>7355.8769720994733</v>
      </c>
      <c r="AU6" s="9">
        <f>+'Revenue Model'!AU4</f>
        <v>8545.6284788867233</v>
      </c>
      <c r="AW6" s="519">
        <f>+(AP6/AL6)^(1/4)-1</f>
        <v>0.62275783411936159</v>
      </c>
    </row>
    <row r="7" spans="2:49">
      <c r="I7" s="1" t="s">
        <v>1</v>
      </c>
      <c r="R7" s="47"/>
      <c r="S7" s="48"/>
      <c r="T7" s="48"/>
      <c r="U7" s="49"/>
      <c r="V7" s="42">
        <f>V6/R6-1</f>
        <v>8.8974489795918377</v>
      </c>
      <c r="W7" s="28">
        <f t="shared" ref="W7:AG7" si="1">W6/S6-1</f>
        <v>12.546792452830189</v>
      </c>
      <c r="X7" s="28">
        <f t="shared" si="1"/>
        <v>6.6654110612855009</v>
      </c>
      <c r="Y7" s="29">
        <f t="shared" si="1"/>
        <v>4.0639403386515056</v>
      </c>
      <c r="Z7" s="42">
        <f>Z6/V6-1</f>
        <v>2.8571060363936285</v>
      </c>
      <c r="AA7" s="28">
        <f t="shared" si="1"/>
        <v>1.5303072508983537</v>
      </c>
      <c r="AB7" s="28">
        <f t="shared" si="1"/>
        <v>0.62192287292128179</v>
      </c>
      <c r="AC7" s="29">
        <f t="shared" si="1"/>
        <v>0.7243454328170833</v>
      </c>
      <c r="AD7" s="42">
        <f t="shared" si="1"/>
        <v>0.6639046295306319</v>
      </c>
      <c r="AE7" s="28">
        <f t="shared" si="1"/>
        <v>0.62381447781979515</v>
      </c>
      <c r="AF7" s="28">
        <f t="shared" si="1"/>
        <v>0.63991978339593225</v>
      </c>
      <c r="AG7" s="29">
        <f t="shared" si="1"/>
        <v>0.49811160931489407</v>
      </c>
      <c r="AK7" s="3"/>
      <c r="AL7" s="5">
        <f>AL6/AK6-1</f>
        <v>5.8950104836097701</v>
      </c>
      <c r="AM7" s="5">
        <f t="shared" ref="AM7:AU7" si="2">AM6/AL6-1</f>
        <v>1.0395196819635979</v>
      </c>
      <c r="AN7" s="5">
        <f t="shared" si="2"/>
        <v>0.59161354217048578</v>
      </c>
      <c r="AO7" s="5">
        <f t="shared" si="2"/>
        <v>0.49989702324666219</v>
      </c>
      <c r="AP7" s="5">
        <f t="shared" si="2"/>
        <v>0.42425544387250747</v>
      </c>
      <c r="AQ7" s="5">
        <f t="shared" si="2"/>
        <v>0.35939106692509526</v>
      </c>
      <c r="AR7" s="5">
        <f t="shared" si="2"/>
        <v>0.30187648189238758</v>
      </c>
      <c r="AS7" s="5">
        <f t="shared" si="2"/>
        <v>0.24166353025428156</v>
      </c>
      <c r="AT7" s="5">
        <f t="shared" si="2"/>
        <v>0.19344464717170684</v>
      </c>
      <c r="AU7" s="5">
        <f t="shared" si="2"/>
        <v>0.16174162663404057</v>
      </c>
    </row>
    <row r="8" spans="2:49">
      <c r="R8" s="22"/>
      <c r="S8" s="23"/>
      <c r="T8" s="23"/>
      <c r="U8" s="24"/>
      <c r="V8" s="217"/>
      <c r="W8" s="218"/>
      <c r="X8" s="23"/>
      <c r="Y8" s="24"/>
      <c r="Z8" s="217"/>
      <c r="AA8" s="48"/>
      <c r="AB8" s="48"/>
      <c r="AC8" s="337"/>
      <c r="AD8" s="22"/>
      <c r="AE8" s="23"/>
      <c r="AF8" s="23"/>
      <c r="AG8" s="24"/>
      <c r="AL8" s="258"/>
      <c r="AM8" s="258"/>
      <c r="AN8" s="258"/>
      <c r="AO8" s="258"/>
      <c r="AP8" s="258"/>
    </row>
    <row r="9" spans="2:49">
      <c r="I9" s="1" t="s">
        <v>24</v>
      </c>
      <c r="R9" s="47">
        <f>+'Expense Model'!R9</f>
        <v>20.748999999999999</v>
      </c>
      <c r="S9" s="48">
        <f>+'Expense Model'!S9</f>
        <v>40.597999999999999</v>
      </c>
      <c r="T9" s="48">
        <f>+'Expense Model'!T9</f>
        <v>56.226999999999997</v>
      </c>
      <c r="U9" s="49">
        <f>+'Expense Model'!U9</f>
        <v>64.766999999999996</v>
      </c>
      <c r="V9" s="47">
        <f>+'Expense Model'!V9</f>
        <v>75.772999999999996</v>
      </c>
      <c r="W9" s="48">
        <f>+'Expense Model'!W9</f>
        <v>94.757000000000005</v>
      </c>
      <c r="X9" s="48">
        <f>+'Expense Model'!X9</f>
        <v>127.78</v>
      </c>
      <c r="Y9" s="49">
        <f>+'Expense Model'!Y9</f>
        <v>153.35</v>
      </c>
      <c r="Z9" s="47">
        <f>+'Expense Model'!Z9</f>
        <v>163.358</v>
      </c>
      <c r="AA9" s="48">
        <f>+'Expense Model'!AA9</f>
        <v>152.148</v>
      </c>
      <c r="AB9" s="48">
        <f>+'Expense Model'!AB9</f>
        <v>210.71</v>
      </c>
      <c r="AC9" s="49">
        <f>+'Expense Model'!AC9</f>
        <v>191.24600000000001</v>
      </c>
      <c r="AD9" s="47">
        <f>+'Expense Model'!AD9</f>
        <v>171.23363855421687</v>
      </c>
      <c r="AE9" s="48">
        <f>+'Expense Model'!AE9</f>
        <v>199.06585873563222</v>
      </c>
      <c r="AF9" s="48">
        <f>+'Expense Model'!AF9</f>
        <v>236.4220450702247</v>
      </c>
      <c r="AG9" s="49">
        <f>+'Expense Model'!AG9</f>
        <v>255.31748732018715</v>
      </c>
      <c r="AK9" s="3">
        <f>+SUM(R9:U9)</f>
        <v>182.34099999999998</v>
      </c>
      <c r="AL9" s="3">
        <f>+SUM(V9:Y9)</f>
        <v>451.65999999999997</v>
      </c>
      <c r="AM9" s="3">
        <f>+SUM(Z9:AC9)</f>
        <v>717.46199999999999</v>
      </c>
      <c r="AN9" s="3">
        <f>+SUM(AD9:AG9)</f>
        <v>862.03902968026102</v>
      </c>
      <c r="AO9" s="3">
        <f>+'Expense Model'!AO9</f>
        <v>1056.6681210011945</v>
      </c>
      <c r="AP9" s="3">
        <f>+'Expense Model'!AP9</f>
        <v>1295.1800872735107</v>
      </c>
      <c r="AQ9" s="3">
        <f>+'Expense Model'!AQ9</f>
        <v>1549.3423649311983</v>
      </c>
      <c r="AR9" s="3">
        <f>+'Expense Model'!AR9</f>
        <v>1829.7041433236695</v>
      </c>
      <c r="AS9" s="3">
        <f>+'Expense Model'!AS9</f>
        <v>2125.3641545429882</v>
      </c>
      <c r="AT9" s="3">
        <f>+'Expense Model'!AT9</f>
        <v>2429.5571747210047</v>
      </c>
      <c r="AU9" s="3">
        <f>+'Expense Model'!AU9</f>
        <v>2746.2757781366154</v>
      </c>
      <c r="AW9" s="519">
        <f>+(AP9/AL9)^(1/4)-1</f>
        <v>0.30130659904092338</v>
      </c>
    </row>
    <row r="10" spans="2:49">
      <c r="R10" s="47"/>
      <c r="S10" s="48"/>
      <c r="T10" s="48"/>
      <c r="U10" s="49"/>
      <c r="V10" s="47"/>
      <c r="W10" s="48"/>
      <c r="X10" s="48"/>
      <c r="Y10" s="49"/>
      <c r="Z10" s="47"/>
      <c r="AA10" s="48"/>
      <c r="AB10" s="48"/>
      <c r="AC10" s="49"/>
      <c r="AD10" s="47"/>
      <c r="AE10" s="48"/>
      <c r="AF10" s="48"/>
      <c r="AG10" s="49"/>
      <c r="AK10" s="3"/>
      <c r="AL10" s="3"/>
      <c r="AM10" s="3"/>
      <c r="AN10" s="3"/>
      <c r="AO10" s="3"/>
      <c r="AP10" s="3"/>
      <c r="AQ10" s="3"/>
      <c r="AR10" s="3"/>
      <c r="AS10" s="3"/>
      <c r="AT10" s="3"/>
      <c r="AU10" s="3"/>
    </row>
    <row r="11" spans="2:49" s="7" customFormat="1">
      <c r="B11"/>
      <c r="C11"/>
      <c r="D11"/>
      <c r="E11"/>
      <c r="F11"/>
      <c r="G11"/>
      <c r="I11" s="7" t="s">
        <v>138</v>
      </c>
      <c r="R11" s="53">
        <f t="shared" ref="R11:AG11" si="3">+R6-R9</f>
        <v>-16.829000000000001</v>
      </c>
      <c r="S11" s="54">
        <f t="shared" si="3"/>
        <v>-35.298000000000002</v>
      </c>
      <c r="T11" s="54">
        <f t="shared" si="3"/>
        <v>-39.501999999999995</v>
      </c>
      <c r="U11" s="55">
        <f t="shared" si="3"/>
        <v>-32.048999999999992</v>
      </c>
      <c r="V11" s="53">
        <f t="shared" si="3"/>
        <v>-36.974999999999994</v>
      </c>
      <c r="W11" s="54">
        <f t="shared" si="3"/>
        <v>-22.959000000000003</v>
      </c>
      <c r="X11" s="54">
        <f t="shared" si="3"/>
        <v>0.42400000000000659</v>
      </c>
      <c r="Y11" s="55">
        <f t="shared" si="3"/>
        <v>12.331999999999994</v>
      </c>
      <c r="Z11" s="53">
        <f t="shared" ref="Z11" si="4">+Z6-Z9</f>
        <v>-13.710000000000008</v>
      </c>
      <c r="AA11" s="54">
        <f t="shared" si="3"/>
        <v>29.522999999999996</v>
      </c>
      <c r="AB11" s="54">
        <f t="shared" ref="AB11" si="5">+AB6-AB9</f>
        <v>-2.7729999999999961</v>
      </c>
      <c r="AC11" s="55">
        <f t="shared" si="3"/>
        <v>94.446999999999974</v>
      </c>
      <c r="AD11" s="53">
        <f t="shared" si="3"/>
        <v>77.766361445783133</v>
      </c>
      <c r="AE11" s="54">
        <f t="shared" si="3"/>
        <v>95.934141264367781</v>
      </c>
      <c r="AF11" s="54">
        <f t="shared" si="3"/>
        <v>104.5779549297753</v>
      </c>
      <c r="AG11" s="55">
        <f t="shared" si="3"/>
        <v>172.68251267981285</v>
      </c>
      <c r="AK11" s="9">
        <f>+SUM(R11:U11)</f>
        <v>-123.67799999999998</v>
      </c>
      <c r="AL11" s="9">
        <f>+SUM(V11:Y11)</f>
        <v>-47.177999999999997</v>
      </c>
      <c r="AM11" s="9">
        <f>+SUM(Z11:AC11)</f>
        <v>107.48699999999997</v>
      </c>
      <c r="AN11" s="9">
        <f>+SUM(AD11:AG11)</f>
        <v>450.96097031973909</v>
      </c>
      <c r="AO11" s="9">
        <f t="shared" ref="AO11:AU11" si="6">+AO6-AO9</f>
        <v>912.69667052167279</v>
      </c>
      <c r="AP11" s="9">
        <f t="shared" si="6"/>
        <v>1509.6984380237786</v>
      </c>
      <c r="AQ11" s="9">
        <f t="shared" si="6"/>
        <v>2263.5844461679717</v>
      </c>
      <c r="AR11" s="9">
        <f t="shared" si="6"/>
        <v>3134.2555992232778</v>
      </c>
      <c r="AS11" s="9">
        <f t="shared" si="6"/>
        <v>4038.2036234279885</v>
      </c>
      <c r="AT11" s="9">
        <f t="shared" si="6"/>
        <v>4926.3197973784681</v>
      </c>
      <c r="AU11" s="9">
        <f t="shared" si="6"/>
        <v>5799.3527007501079</v>
      </c>
      <c r="AW11" s="519"/>
    </row>
    <row r="12" spans="2:49">
      <c r="I12" s="1" t="s">
        <v>139</v>
      </c>
      <c r="R12" s="42">
        <f t="shared" ref="R12:AG12" si="7">+R11/R6</f>
        <v>-4.2931122448979595</v>
      </c>
      <c r="S12" s="28">
        <f t="shared" si="7"/>
        <v>-6.66</v>
      </c>
      <c r="T12" s="28">
        <f t="shared" si="7"/>
        <v>-2.36185351270553</v>
      </c>
      <c r="U12" s="29">
        <f t="shared" si="7"/>
        <v>-0.97955253988630075</v>
      </c>
      <c r="V12" s="42">
        <f t="shared" si="7"/>
        <v>-0.95301304190937663</v>
      </c>
      <c r="W12" s="28">
        <f t="shared" si="7"/>
        <v>-0.31977213849967967</v>
      </c>
      <c r="X12" s="28">
        <f t="shared" si="7"/>
        <v>3.307229103616163E-3</v>
      </c>
      <c r="Y12" s="29">
        <f t="shared" si="7"/>
        <v>7.4431742736084758E-2</v>
      </c>
      <c r="Z12" s="42">
        <f t="shared" ref="Z12" si="8">+Z11/Z6</f>
        <v>-9.1614989842831229E-2</v>
      </c>
      <c r="AA12" s="28">
        <f t="shared" si="7"/>
        <v>0.16250805026669088</v>
      </c>
      <c r="AB12" s="28">
        <f t="shared" ref="AB12" si="9">+AB11/AB6</f>
        <v>-1.3335769968788604E-2</v>
      </c>
      <c r="AC12" s="29">
        <f t="shared" si="7"/>
        <v>0.33058912889010222</v>
      </c>
      <c r="AD12" s="42">
        <f t="shared" si="7"/>
        <v>0.31231470460153871</v>
      </c>
      <c r="AE12" s="28">
        <f t="shared" si="7"/>
        <v>0.32520047886226366</v>
      </c>
      <c r="AF12" s="28">
        <f t="shared" si="7"/>
        <v>0.30668021973541143</v>
      </c>
      <c r="AG12" s="29">
        <f t="shared" si="7"/>
        <v>0.4034638146724599</v>
      </c>
      <c r="AK12" s="5">
        <f t="shared" ref="AK12:AU12" si="10">+AK11/AK6</f>
        <v>-2.1082794947411481</v>
      </c>
      <c r="AL12" s="5">
        <f t="shared" si="10"/>
        <v>-0.11663807042093344</v>
      </c>
      <c r="AM12" s="5">
        <f t="shared" si="10"/>
        <v>0.13029532734750873</v>
      </c>
      <c r="AN12" s="5">
        <f t="shared" si="10"/>
        <v>0.34345846939812574</v>
      </c>
      <c r="AO12" s="5">
        <f t="shared" si="10"/>
        <v>0.4634472366167896</v>
      </c>
      <c r="AP12" s="5">
        <f t="shared" si="10"/>
        <v>0.53824022124586146</v>
      </c>
      <c r="AQ12" s="5">
        <f t="shared" si="10"/>
        <v>0.59366060727387471</v>
      </c>
      <c r="AR12" s="5">
        <f t="shared" si="10"/>
        <v>0.63140230013532084</v>
      </c>
      <c r="AS12" s="5">
        <f t="shared" si="10"/>
        <v>0.655173070029474</v>
      </c>
      <c r="AT12" s="5">
        <f t="shared" si="10"/>
        <v>0.66971209769600393</v>
      </c>
      <c r="AU12" s="5">
        <f t="shared" si="10"/>
        <v>0.67863384361703671</v>
      </c>
    </row>
    <row r="13" spans="2:49">
      <c r="R13" s="47"/>
      <c r="S13" s="48"/>
      <c r="T13" s="48"/>
      <c r="U13" s="49"/>
      <c r="V13" s="47"/>
      <c r="W13" s="48"/>
      <c r="X13" s="48"/>
      <c r="Y13" s="49"/>
      <c r="Z13" s="47"/>
      <c r="AA13" s="48"/>
      <c r="AB13" s="48"/>
      <c r="AC13" s="49"/>
      <c r="AD13" s="47"/>
      <c r="AE13" s="48"/>
      <c r="AF13" s="48"/>
      <c r="AG13" s="49"/>
      <c r="AK13" s="3"/>
      <c r="AL13" s="3"/>
      <c r="AM13" s="3"/>
      <c r="AN13" s="3"/>
      <c r="AO13" s="3"/>
      <c r="AP13" s="3"/>
      <c r="AQ13" s="3"/>
      <c r="AR13" s="3"/>
      <c r="AS13" s="3"/>
      <c r="AT13" s="3"/>
      <c r="AU13" s="3"/>
    </row>
    <row r="14" spans="2:49">
      <c r="I14" s="16" t="s">
        <v>231</v>
      </c>
      <c r="R14" s="47"/>
      <c r="S14" s="48"/>
      <c r="T14" s="48"/>
      <c r="U14" s="49"/>
      <c r="V14" s="47"/>
      <c r="W14" s="48"/>
      <c r="X14" s="48"/>
      <c r="Y14" s="49"/>
      <c r="Z14" s="47"/>
      <c r="AA14" s="48"/>
      <c r="AB14" s="48"/>
      <c r="AC14" s="49"/>
      <c r="AD14" s="47"/>
      <c r="AE14" s="48"/>
      <c r="AF14" s="48"/>
      <c r="AG14" s="49"/>
      <c r="AK14" s="3"/>
      <c r="AL14" s="3"/>
      <c r="AM14" s="3"/>
      <c r="AN14" s="3"/>
      <c r="AO14" s="3"/>
      <c r="AP14" s="3"/>
      <c r="AQ14" s="3"/>
      <c r="AR14" s="3"/>
      <c r="AS14" s="3"/>
      <c r="AT14" s="3"/>
      <c r="AU14" s="3"/>
    </row>
    <row r="15" spans="2:49">
      <c r="I15" s="14" t="s">
        <v>19</v>
      </c>
      <c r="R15" s="47">
        <f>'Expense Model'!R127</f>
        <v>16.587</v>
      </c>
      <c r="S15" s="48">
        <f>'Expense Model'!S127</f>
        <v>17.259</v>
      </c>
      <c r="T15" s="48">
        <f>'Expense Model'!T127</f>
        <v>18.989000000000001</v>
      </c>
      <c r="U15" s="49">
        <f>'Expense Model'!U127</f>
        <v>29.4</v>
      </c>
      <c r="V15" s="47">
        <f>'Expense Model'!V127</f>
        <v>28.097999999999999</v>
      </c>
      <c r="W15" s="48">
        <f>'Expense Model'!W127</f>
        <v>36.052</v>
      </c>
      <c r="X15" s="48">
        <f>'Expense Model'!X127</f>
        <v>54.561999999999998</v>
      </c>
      <c r="Y15" s="49">
        <f>'Expense Model'!Y127</f>
        <v>64.963999999999999</v>
      </c>
      <c r="Z15" s="47">
        <f>'Expense Model'!Z127</f>
        <v>805.84799999999996</v>
      </c>
      <c r="AA15" s="48">
        <f>'Expense Model'!AA127</f>
        <v>255.73500000000001</v>
      </c>
      <c r="AB15" s="48">
        <f>'Expense Model'!AB127</f>
        <v>239.44200000000001</v>
      </c>
      <c r="AC15" s="49">
        <f>'Expense Model'!AC127</f>
        <v>233.83799999999999</v>
      </c>
      <c r="AD15" s="47">
        <f>'Expense Model'!AD127</f>
        <v>193.83799999999999</v>
      </c>
      <c r="AE15" s="48">
        <f>'Expense Model'!AE127</f>
        <v>185.73500000000001</v>
      </c>
      <c r="AF15" s="48">
        <f>'Expense Model'!AF127</f>
        <v>169.44200000000001</v>
      </c>
      <c r="AG15" s="49">
        <f>'Expense Model'!AG127</f>
        <v>163.83799999999999</v>
      </c>
      <c r="AK15" s="3">
        <f>+SUM(R15:U15)</f>
        <v>82.235000000000014</v>
      </c>
      <c r="AL15" s="3">
        <f>+SUM(V15:Y15)</f>
        <v>183.67599999999999</v>
      </c>
      <c r="AM15" s="3">
        <f>+SUM(Z15:AC15)</f>
        <v>1534.8630000000001</v>
      </c>
      <c r="AN15" s="3">
        <f>+SUM(AD15:AG15)</f>
        <v>712.85299999999995</v>
      </c>
      <c r="AO15" s="3">
        <f>'Expense Model'!AO127</f>
        <v>762.85299999999995</v>
      </c>
      <c r="AP15" s="3">
        <f>'Expense Model'!AP127</f>
        <v>912.85299999999995</v>
      </c>
      <c r="AQ15" s="3">
        <f>'Expense Model'!AQ127</f>
        <v>1087.8530000000001</v>
      </c>
      <c r="AR15" s="3">
        <f>'Expense Model'!AR127</f>
        <v>1262.8530000000001</v>
      </c>
      <c r="AS15" s="3">
        <f>'Expense Model'!AS127</f>
        <v>1437.8530000000001</v>
      </c>
      <c r="AT15" s="3">
        <f>'Expense Model'!AT127</f>
        <v>1612.8530000000001</v>
      </c>
      <c r="AU15" s="3">
        <f>'Expense Model'!AU127</f>
        <v>1787.8530000000001</v>
      </c>
      <c r="AW15" s="519">
        <f>+(AP15/AL15)^(1/4)-1</f>
        <v>0.49309385660501825</v>
      </c>
    </row>
    <row r="16" spans="2:49">
      <c r="I16" s="14" t="s">
        <v>20</v>
      </c>
      <c r="R16" s="47">
        <f>'Expense Model'!R138</f>
        <v>3.4529999999999998</v>
      </c>
      <c r="S16" s="48">
        <f>'Expense Model'!S138</f>
        <v>5.8719999999999999</v>
      </c>
      <c r="T16" s="48">
        <f>'Expense Model'!T138</f>
        <v>8.2059999999999995</v>
      </c>
      <c r="U16" s="49">
        <f>'Expense Model'!U138</f>
        <v>9.6850000000000005</v>
      </c>
      <c r="V16" s="47">
        <f>'Expense Model'!V138</f>
        <v>14.737</v>
      </c>
      <c r="W16" s="48">
        <f>'Expense Model'!W138</f>
        <v>24.587</v>
      </c>
      <c r="X16" s="48">
        <f>'Expense Model'!X138</f>
        <v>34.658000000000001</v>
      </c>
      <c r="Y16" s="49">
        <f>'Expense Model'!Y138</f>
        <v>50.389000000000003</v>
      </c>
      <c r="Z16" s="47">
        <f>'Expense Model'!Z138</f>
        <v>219.733</v>
      </c>
      <c r="AA16" s="48">
        <f>'Expense Model'!AA138</f>
        <v>90.903000000000006</v>
      </c>
      <c r="AB16" s="48">
        <f>'Expense Model'!AB138</f>
        <v>101.511</v>
      </c>
      <c r="AC16" s="49">
        <f>'Expense Model'!AC138</f>
        <v>110.458</v>
      </c>
      <c r="AD16" s="47">
        <f>'Expense Model'!AD138</f>
        <v>100.458</v>
      </c>
      <c r="AE16" s="48">
        <f>'Expense Model'!AE138</f>
        <v>100.90300000000001</v>
      </c>
      <c r="AF16" s="48">
        <f>'Expense Model'!AF138</f>
        <v>111.511</v>
      </c>
      <c r="AG16" s="49">
        <f>'Expense Model'!AG138</f>
        <v>135.458</v>
      </c>
      <c r="AK16" s="3">
        <f>+SUM(R16:U16)</f>
        <v>27.216000000000001</v>
      </c>
      <c r="AL16" s="3">
        <f>+SUM(V16:Y16)</f>
        <v>124.37100000000001</v>
      </c>
      <c r="AM16" s="3">
        <f>+SUM(Z16:AC16)</f>
        <v>522.60500000000002</v>
      </c>
      <c r="AN16" s="3">
        <f>+SUM(AD16:AG16)</f>
        <v>448.32999999999993</v>
      </c>
      <c r="AO16" s="3">
        <f>'Expense Model'!AO138</f>
        <v>548.32999999999993</v>
      </c>
      <c r="AP16" s="3">
        <f>'Expense Model'!AP138</f>
        <v>678.32999999999993</v>
      </c>
      <c r="AQ16" s="3">
        <f>'Expense Model'!AQ138</f>
        <v>818.32999999999993</v>
      </c>
      <c r="AR16" s="3">
        <f>'Expense Model'!AR138</f>
        <v>958.32999999999993</v>
      </c>
      <c r="AS16" s="3">
        <f>'Expense Model'!AS138</f>
        <v>1098.33</v>
      </c>
      <c r="AT16" s="3">
        <f>'Expense Model'!AT138</f>
        <v>1238.33</v>
      </c>
      <c r="AU16" s="3">
        <f>'Expense Model'!AU138</f>
        <v>1378.33</v>
      </c>
      <c r="AW16" s="519">
        <f>+(AP16/AL16)^(1/4)-1</f>
        <v>0.52820098267445004</v>
      </c>
    </row>
    <row r="17" spans="2:49" s="339" customFormat="1">
      <c r="B17"/>
      <c r="C17"/>
      <c r="D17"/>
      <c r="E17"/>
      <c r="F17"/>
      <c r="G17"/>
      <c r="I17" s="365" t="s">
        <v>21</v>
      </c>
      <c r="R17" s="340">
        <f>+'Expense Model'!R148</f>
        <v>61.976999999999997</v>
      </c>
      <c r="S17" s="341">
        <f>+'Expense Model'!S148</f>
        <v>29.391999999999999</v>
      </c>
      <c r="T17" s="341">
        <f>+'Expense Model'!T148</f>
        <v>30.204999999999998</v>
      </c>
      <c r="U17" s="342">
        <f>+'Expense Model'!U148</f>
        <v>27.026</v>
      </c>
      <c r="V17" s="340">
        <f>+'Expense Model'!V148</f>
        <v>24.010999999999999</v>
      </c>
      <c r="W17" s="341">
        <f>+'Expense Model'!W148</f>
        <v>32.261000000000003</v>
      </c>
      <c r="X17" s="341">
        <f>+'Expense Model'!X148</f>
        <v>42.171999999999997</v>
      </c>
      <c r="Y17" s="342">
        <f>+'Expense Model'!Y148</f>
        <v>66.715999999999994</v>
      </c>
      <c r="Z17" s="340">
        <f>+'Expense Model'!Z148</f>
        <v>1174.4760000000001</v>
      </c>
      <c r="AA17" s="341">
        <f>+'Expense Model'!AA148</f>
        <v>131.90299999999999</v>
      </c>
      <c r="AB17" s="341">
        <f>+'Expense Model'!AB148</f>
        <v>118.101</v>
      </c>
      <c r="AC17" s="342">
        <f>+'Expense Model'!AC148</f>
        <v>111.11499999999999</v>
      </c>
      <c r="AD17" s="340">
        <f>+'Expense Model'!AD148</f>
        <v>71.114999999999995</v>
      </c>
      <c r="AE17" s="341">
        <f>+'Expense Model'!AE148</f>
        <v>116.90299999999999</v>
      </c>
      <c r="AF17" s="341">
        <f>+'Expense Model'!AF148</f>
        <v>144.19804457152836</v>
      </c>
      <c r="AG17" s="342">
        <f>+'Expense Model'!AG148</f>
        <v>132.21204457152834</v>
      </c>
      <c r="AK17" s="343">
        <f>+SUM(R17:U17)</f>
        <v>148.6</v>
      </c>
      <c r="AL17" s="343">
        <f>+SUM(V17:Y17)</f>
        <v>165.16</v>
      </c>
      <c r="AM17" s="343">
        <f>+SUM(Z17:AC17)</f>
        <v>1535.595</v>
      </c>
      <c r="AN17" s="343">
        <f>+SUM(AD17:AG17)</f>
        <v>464.42808914305664</v>
      </c>
      <c r="AO17" s="343">
        <f>+'Expense Model'!AO148</f>
        <v>514.4280891430567</v>
      </c>
      <c r="AP17" s="343">
        <f>+'Expense Model'!AP148</f>
        <v>594.4280891430567</v>
      </c>
      <c r="AQ17" s="343">
        <f>+'Expense Model'!AQ148</f>
        <v>674.4280891430567</v>
      </c>
      <c r="AR17" s="343">
        <f>+'Expense Model'!AR148</f>
        <v>754.4280891430567</v>
      </c>
      <c r="AS17" s="343">
        <f>+'Expense Model'!AS148</f>
        <v>834.4280891430567</v>
      </c>
      <c r="AT17" s="343">
        <f>+'Expense Model'!AT148</f>
        <v>914.4280891430567</v>
      </c>
      <c r="AU17" s="343">
        <f>+'Expense Model'!AU148</f>
        <v>994.4280891430567</v>
      </c>
      <c r="AW17" s="519">
        <f>+(AP17/AL17)^(1/4)-1</f>
        <v>0.3773636340389932</v>
      </c>
    </row>
    <row r="18" spans="2:49" s="7" customFormat="1">
      <c r="B18"/>
      <c r="C18"/>
      <c r="D18"/>
      <c r="E18"/>
      <c r="F18"/>
      <c r="G18"/>
      <c r="I18" s="338" t="s">
        <v>25</v>
      </c>
      <c r="R18" s="53">
        <f t="shared" ref="R18:AG18" si="11">+SUM(R15:R17)+R9</f>
        <v>102.76599999999999</v>
      </c>
      <c r="S18" s="54">
        <f t="shared" si="11"/>
        <v>93.120999999999995</v>
      </c>
      <c r="T18" s="54">
        <f t="shared" si="11"/>
        <v>113.627</v>
      </c>
      <c r="U18" s="55">
        <f t="shared" si="11"/>
        <v>130.87799999999999</v>
      </c>
      <c r="V18" s="53">
        <f t="shared" si="11"/>
        <v>142.619</v>
      </c>
      <c r="W18" s="54">
        <f t="shared" si="11"/>
        <v>187.65700000000001</v>
      </c>
      <c r="X18" s="54">
        <f t="shared" si="11"/>
        <v>259.17200000000003</v>
      </c>
      <c r="Y18" s="55">
        <f t="shared" si="11"/>
        <v>335.41899999999998</v>
      </c>
      <c r="Z18" s="53">
        <f t="shared" ref="Z18" si="12">+SUM(Z15:Z17)+Z9</f>
        <v>2363.415</v>
      </c>
      <c r="AA18" s="54">
        <f t="shared" si="11"/>
        <v>630.68900000000008</v>
      </c>
      <c r="AB18" s="54">
        <f t="shared" ref="AB18" si="13">+SUM(AB15:AB17)+AB9</f>
        <v>669.76400000000001</v>
      </c>
      <c r="AC18" s="55">
        <f t="shared" si="11"/>
        <v>646.65700000000004</v>
      </c>
      <c r="AD18" s="53">
        <f t="shared" si="11"/>
        <v>536.64463855421684</v>
      </c>
      <c r="AE18" s="54">
        <f t="shared" si="11"/>
        <v>602.60685873563227</v>
      </c>
      <c r="AF18" s="54">
        <f t="shared" si="11"/>
        <v>661.57308964175309</v>
      </c>
      <c r="AG18" s="55">
        <f t="shared" si="11"/>
        <v>686.82553189171551</v>
      </c>
      <c r="AK18" s="9">
        <f t="shared" ref="AK18:AU18" si="14">+SUM(AK15:AK17)+AK9</f>
        <v>440.39200000000005</v>
      </c>
      <c r="AL18" s="9">
        <f t="shared" si="14"/>
        <v>924.86699999999996</v>
      </c>
      <c r="AM18" s="9">
        <f t="shared" si="14"/>
        <v>4310.5249999999996</v>
      </c>
      <c r="AN18" s="9">
        <f t="shared" si="14"/>
        <v>2487.6501188233178</v>
      </c>
      <c r="AO18" s="9">
        <f t="shared" si="14"/>
        <v>2882.279210144251</v>
      </c>
      <c r="AP18" s="9">
        <f t="shared" si="14"/>
        <v>3480.7911764165674</v>
      </c>
      <c r="AQ18" s="9">
        <f t="shared" si="14"/>
        <v>4129.9534540742552</v>
      </c>
      <c r="AR18" s="9">
        <f t="shared" si="14"/>
        <v>4805.3152324667262</v>
      </c>
      <c r="AS18" s="9">
        <f t="shared" si="14"/>
        <v>5495.9752436860454</v>
      </c>
      <c r="AT18" s="9">
        <f t="shared" si="14"/>
        <v>6195.1682638640614</v>
      </c>
      <c r="AU18" s="9">
        <f t="shared" si="14"/>
        <v>6906.8868672796716</v>
      </c>
      <c r="AW18" s="518">
        <f>+(AP18/AL18)^(1/4)-1</f>
        <v>0.39283499983078429</v>
      </c>
    </row>
    <row r="19" spans="2:49">
      <c r="R19" s="22"/>
      <c r="S19" s="23"/>
      <c r="T19" s="23"/>
      <c r="U19" s="24"/>
      <c r="V19" s="22"/>
      <c r="W19" s="23"/>
      <c r="X19" s="23"/>
      <c r="Y19" s="24"/>
      <c r="Z19" s="22"/>
      <c r="AA19" s="23"/>
      <c r="AB19" s="23"/>
      <c r="AC19" s="24"/>
      <c r="AD19" s="22"/>
      <c r="AE19" s="23"/>
      <c r="AF19" s="23"/>
      <c r="AG19" s="24"/>
      <c r="AM19" s="3"/>
      <c r="AN19" s="3"/>
      <c r="AO19" s="3"/>
      <c r="AR19" s="3"/>
    </row>
    <row r="20" spans="2:49">
      <c r="I20" s="1" t="s">
        <v>125</v>
      </c>
      <c r="R20" s="47">
        <f t="shared" ref="R20:AG20" si="15">+R6-R18</f>
        <v>-98.845999999999989</v>
      </c>
      <c r="S20" s="48">
        <f t="shared" si="15"/>
        <v>-87.820999999999998</v>
      </c>
      <c r="T20" s="48">
        <f t="shared" si="15"/>
        <v>-96.901999999999987</v>
      </c>
      <c r="U20" s="49">
        <f t="shared" si="15"/>
        <v>-98.159999999999982</v>
      </c>
      <c r="V20" s="47">
        <f t="shared" si="15"/>
        <v>-103.821</v>
      </c>
      <c r="W20" s="48">
        <f t="shared" si="15"/>
        <v>-115.85900000000001</v>
      </c>
      <c r="X20" s="48">
        <f t="shared" si="15"/>
        <v>-130.96800000000002</v>
      </c>
      <c r="Y20" s="49">
        <f t="shared" si="15"/>
        <v>-169.73699999999999</v>
      </c>
      <c r="Z20" s="47">
        <f t="shared" ref="Z20" si="16">+Z6-Z18</f>
        <v>-2213.7669999999998</v>
      </c>
      <c r="AA20" s="48">
        <f t="shared" si="15"/>
        <v>-449.01800000000009</v>
      </c>
      <c r="AB20" s="48">
        <f t="shared" ref="AB20" si="17">+AB6-AB18</f>
        <v>-461.827</v>
      </c>
      <c r="AC20" s="49">
        <f t="shared" si="15"/>
        <v>-360.96400000000006</v>
      </c>
      <c r="AD20" s="47">
        <f t="shared" si="15"/>
        <v>-287.64463855421684</v>
      </c>
      <c r="AE20" s="48">
        <f t="shared" si="15"/>
        <v>-307.60685873563227</v>
      </c>
      <c r="AF20" s="48">
        <f t="shared" si="15"/>
        <v>-320.57308964175309</v>
      </c>
      <c r="AG20" s="49">
        <f t="shared" si="15"/>
        <v>-258.82553189171551</v>
      </c>
      <c r="AH20" s="3"/>
      <c r="AK20" s="3">
        <f>+SUM(R20:U20)</f>
        <v>-381.72899999999993</v>
      </c>
      <c r="AL20" s="3">
        <f>+SUM(V20:Y20)</f>
        <v>-520.38499999999999</v>
      </c>
      <c r="AM20" s="3">
        <f>+SUM(Z20:AC20)</f>
        <v>-3485.576</v>
      </c>
      <c r="AN20" s="3">
        <f>+SUM(AD20:AG20)</f>
        <v>-1174.6501188233178</v>
      </c>
      <c r="AO20" s="3">
        <f t="shared" ref="AO20:AU20" si="18">+AO6-AO18</f>
        <v>-912.91441862138367</v>
      </c>
      <c r="AP20" s="3">
        <f t="shared" si="18"/>
        <v>-675.91265111927805</v>
      </c>
      <c r="AQ20" s="3">
        <f t="shared" si="18"/>
        <v>-317.02664297508545</v>
      </c>
      <c r="AR20" s="3">
        <f t="shared" si="18"/>
        <v>158.64451008022115</v>
      </c>
      <c r="AS20" s="3">
        <f t="shared" si="18"/>
        <v>667.59253428493139</v>
      </c>
      <c r="AT20" s="3">
        <f t="shared" si="18"/>
        <v>1160.7087082354119</v>
      </c>
      <c r="AU20" s="3">
        <f t="shared" si="18"/>
        <v>1638.7416116070517</v>
      </c>
      <c r="AV20" s="3"/>
      <c r="AW20" s="518"/>
    </row>
    <row r="21" spans="2:49">
      <c r="I21" s="1" t="s">
        <v>137</v>
      </c>
      <c r="R21" s="42">
        <f t="shared" ref="R21:AG21" si="19">+R20/R6</f>
        <v>-25.215816326530611</v>
      </c>
      <c r="S21" s="28">
        <f t="shared" si="19"/>
        <v>-16.57</v>
      </c>
      <c r="T21" s="28">
        <f t="shared" si="19"/>
        <v>-5.7938415545590418</v>
      </c>
      <c r="U21" s="29">
        <f t="shared" si="19"/>
        <v>-3.0001833852924986</v>
      </c>
      <c r="V21" s="42">
        <f t="shared" si="19"/>
        <v>-2.6759369039641219</v>
      </c>
      <c r="W21" s="28">
        <f t="shared" si="19"/>
        <v>-1.6136800467979611</v>
      </c>
      <c r="X21" s="28">
        <f t="shared" si="19"/>
        <v>-1.0215593897226296</v>
      </c>
      <c r="Y21" s="29">
        <f t="shared" si="19"/>
        <v>-1.024474595912652</v>
      </c>
      <c r="Z21" s="42">
        <f t="shared" ref="Z21" si="20">+Z20/Z6</f>
        <v>-14.79316128514915</v>
      </c>
      <c r="AA21" s="28">
        <f t="shared" si="19"/>
        <v>-2.4715997600057253</v>
      </c>
      <c r="AB21" s="28">
        <f t="shared" ref="AB21" si="21">+AB20/AB6</f>
        <v>-2.2209948205466077</v>
      </c>
      <c r="AC21" s="29">
        <f t="shared" si="19"/>
        <v>-1.2634681283755642</v>
      </c>
      <c r="AD21" s="42">
        <f t="shared" si="19"/>
        <v>-1.1551993516233607</v>
      </c>
      <c r="AE21" s="28">
        <f t="shared" si="19"/>
        <v>-1.0427351143580754</v>
      </c>
      <c r="AF21" s="28">
        <f t="shared" si="19"/>
        <v>-0.94009703707258974</v>
      </c>
      <c r="AG21" s="29">
        <f t="shared" si="19"/>
        <v>-0.60473255114886804</v>
      </c>
      <c r="AH21" s="117"/>
      <c r="AI21" s="117"/>
      <c r="AJ21" s="117"/>
      <c r="AK21" s="5">
        <f t="shared" ref="AK21:AU21" si="22">+AK20/AK6</f>
        <v>-6.5071510151202618</v>
      </c>
      <c r="AL21" s="5">
        <f t="shared" si="22"/>
        <v>-1.2865467437364333</v>
      </c>
      <c r="AM21" s="5">
        <f t="shared" si="22"/>
        <v>-4.2252018003537195</v>
      </c>
      <c r="AN21" s="5">
        <f t="shared" si="22"/>
        <v>-0.89463070740542106</v>
      </c>
      <c r="AO21" s="5">
        <f t="shared" si="22"/>
        <v>-0.46355780429863713</v>
      </c>
      <c r="AP21" s="5">
        <f t="shared" si="22"/>
        <v>-0.24097751293797581</v>
      </c>
      <c r="AQ21" s="5">
        <f t="shared" si="22"/>
        <v>-8.3145221159829905E-2</v>
      </c>
      <c r="AR21" s="5">
        <f t="shared" si="22"/>
        <v>3.1959266051344443E-2</v>
      </c>
      <c r="AS21" s="5">
        <f t="shared" si="22"/>
        <v>0.10831267835991905</v>
      </c>
      <c r="AT21" s="5">
        <f t="shared" si="22"/>
        <v>0.15779338243936519</v>
      </c>
      <c r="AU21" s="5">
        <f t="shared" si="22"/>
        <v>0.19176373225864107</v>
      </c>
      <c r="AV21" s="4"/>
    </row>
    <row r="22" spans="2:49">
      <c r="I22" s="1" t="s">
        <v>144</v>
      </c>
      <c r="R22" s="47"/>
      <c r="S22" s="48"/>
      <c r="T22" s="48"/>
      <c r="U22" s="49"/>
      <c r="V22" s="47"/>
      <c r="W22" s="28">
        <f t="shared" ref="W22:AG22" si="23">+(W20-S20)/(W6-S6)</f>
        <v>-0.42163674095461529</v>
      </c>
      <c r="X22" s="28">
        <f t="shared" si="23"/>
        <v>-0.30558221727859081</v>
      </c>
      <c r="Y22" s="29">
        <f t="shared" si="23"/>
        <v>-0.5383186426401132</v>
      </c>
      <c r="Z22" s="47"/>
      <c r="AA22" s="28">
        <f t="shared" si="23"/>
        <v>-3.0322190165008704</v>
      </c>
      <c r="AB22" s="28">
        <f t="shared" si="23"/>
        <v>-4.1495867457639868</v>
      </c>
      <c r="AC22" s="29">
        <f t="shared" si="23"/>
        <v>-1.5934122705418676</v>
      </c>
      <c r="AD22" s="42">
        <f t="shared" si="23"/>
        <v>19.386850405082768</v>
      </c>
      <c r="AE22" s="28">
        <f t="shared" si="23"/>
        <v>1.2477930738325389</v>
      </c>
      <c r="AF22" s="28">
        <f t="shared" si="23"/>
        <v>1.0615566337618041</v>
      </c>
      <c r="AG22" s="29">
        <f t="shared" si="23"/>
        <v>0.71773326757140921</v>
      </c>
      <c r="AH22" s="5"/>
      <c r="AK22" s="5"/>
      <c r="AL22" s="5">
        <f t="shared" ref="AL22:AU22" si="24">+(AL20-AK20)/(AL6-AK6)</f>
        <v>-0.40094962971959341</v>
      </c>
      <c r="AM22" s="5">
        <f t="shared" si="24"/>
        <v>-7.0521372664204325</v>
      </c>
      <c r="AN22" s="5">
        <f t="shared" si="24"/>
        <v>4.7350090076174043</v>
      </c>
      <c r="AO22" s="5">
        <f t="shared" si="24"/>
        <v>0.39876560044402604</v>
      </c>
      <c r="AP22" s="5">
        <f t="shared" si="24"/>
        <v>0.28365993031790554</v>
      </c>
      <c r="AQ22" s="5">
        <f t="shared" si="24"/>
        <v>0.35602065218404355</v>
      </c>
      <c r="AR22" s="5">
        <f t="shared" si="24"/>
        <v>0.41325590264129453</v>
      </c>
      <c r="AS22" s="5">
        <f t="shared" si="24"/>
        <v>0.42426193321121819</v>
      </c>
      <c r="AT22" s="5">
        <f t="shared" si="24"/>
        <v>0.41358078624137223</v>
      </c>
      <c r="AU22" s="5">
        <f t="shared" si="24"/>
        <v>0.40179222353960092</v>
      </c>
    </row>
    <row r="23" spans="2:49" s="105" customFormat="1">
      <c r="B23"/>
      <c r="C23"/>
      <c r="D23"/>
      <c r="E23"/>
      <c r="F23"/>
      <c r="G23"/>
      <c r="I23" s="1"/>
      <c r="J23" s="1"/>
      <c r="K23" s="1"/>
      <c r="L23" s="1"/>
      <c r="M23" s="1"/>
      <c r="N23" s="1"/>
      <c r="O23" s="1"/>
      <c r="P23" s="1"/>
      <c r="Q23" s="1"/>
      <c r="R23" s="47"/>
      <c r="S23" s="48"/>
      <c r="T23" s="48"/>
      <c r="U23" s="49"/>
      <c r="V23" s="47"/>
      <c r="W23" s="28"/>
      <c r="X23" s="28"/>
      <c r="Y23" s="29"/>
      <c r="Z23" s="47"/>
      <c r="AA23" s="497"/>
      <c r="AB23" s="497"/>
      <c r="AC23" s="535"/>
      <c r="AD23" s="534"/>
      <c r="AE23" s="497"/>
      <c r="AF23" s="497"/>
      <c r="AG23" s="535"/>
      <c r="AH23" s="5"/>
      <c r="AI23" s="1"/>
      <c r="AJ23" s="1"/>
      <c r="AK23" s="674"/>
      <c r="AL23" s="674"/>
      <c r="AM23" s="674"/>
      <c r="AN23" s="674"/>
      <c r="AO23" s="674"/>
      <c r="AP23" s="674"/>
      <c r="AQ23" s="674"/>
      <c r="AR23" s="674"/>
      <c r="AS23" s="674"/>
      <c r="AT23" s="674"/>
      <c r="AU23" s="674"/>
    </row>
    <row r="24" spans="2:49" s="105" customFormat="1">
      <c r="B24"/>
      <c r="C24"/>
      <c r="D24"/>
      <c r="E24"/>
      <c r="F24"/>
      <c r="G24"/>
      <c r="I24" s="590" t="s">
        <v>152</v>
      </c>
      <c r="J24" s="1"/>
      <c r="K24" s="1"/>
      <c r="L24" s="1"/>
      <c r="M24" s="1"/>
      <c r="N24" s="1"/>
      <c r="O24" s="1"/>
      <c r="P24" s="1"/>
      <c r="Q24" s="1"/>
      <c r="R24" s="53">
        <f>+R20+R56+R57</f>
        <v>-43.985999999999997</v>
      </c>
      <c r="S24" s="54">
        <f t="shared" ref="S24:AG24" si="25">+S20+S56+S57</f>
        <v>-77.902999999999992</v>
      </c>
      <c r="T24" s="54">
        <f t="shared" si="25"/>
        <v>-84.074999999999989</v>
      </c>
      <c r="U24" s="55">
        <f t="shared" si="25"/>
        <v>-86.933999999999983</v>
      </c>
      <c r="V24" s="53">
        <f t="shared" si="25"/>
        <v>-93.233999999999995</v>
      </c>
      <c r="W24" s="54">
        <f t="shared" si="25"/>
        <v>-105.12100000000001</v>
      </c>
      <c r="X24" s="54">
        <f t="shared" si="25"/>
        <v>-108.73600000000002</v>
      </c>
      <c r="Y24" s="55">
        <f t="shared" si="25"/>
        <v>-152.33699999999999</v>
      </c>
      <c r="Z24" s="53">
        <f t="shared" ref="Z24" si="26">+Z20+Z56+Z57</f>
        <v>-188.24299999999994</v>
      </c>
      <c r="AA24" s="54">
        <f t="shared" si="25"/>
        <v>-193.99000000000009</v>
      </c>
      <c r="AB24" s="54">
        <f>+AB20+AB56+AB57+39.867</f>
        <v>-178.90100000000001</v>
      </c>
      <c r="AC24" s="55">
        <f t="shared" si="25"/>
        <v>-158.92200000000005</v>
      </c>
      <c r="AD24" s="53">
        <f>+AD20+AD56+AD57</f>
        <v>-204.67418855421681</v>
      </c>
      <c r="AE24" s="54">
        <f t="shared" si="25"/>
        <v>-192.74460873563226</v>
      </c>
      <c r="AF24" s="54">
        <f t="shared" si="25"/>
        <v>-201.43188964175306</v>
      </c>
      <c r="AG24" s="55">
        <f t="shared" si="25"/>
        <v>-142.7627318917155</v>
      </c>
      <c r="AH24" s="22"/>
      <c r="AI24" s="1"/>
      <c r="AJ24" s="1"/>
      <c r="AK24" s="54">
        <f t="shared" ref="AK24:AU24" si="27">+AK20+AK56+AK57</f>
        <v>-292.89799999999991</v>
      </c>
      <c r="AL24" s="54">
        <f t="shared" si="27"/>
        <v>-459.428</v>
      </c>
      <c r="AM24" s="54">
        <f>+AM20+AM56+AM57+39.867</f>
        <v>-720.05599999999981</v>
      </c>
      <c r="AN24" s="54">
        <f t="shared" si="27"/>
        <v>-741.61341882331772</v>
      </c>
      <c r="AO24" s="54">
        <f t="shared" si="27"/>
        <v>-425.42771862138375</v>
      </c>
      <c r="AP24" s="54">
        <f t="shared" si="27"/>
        <v>-153.60185111927808</v>
      </c>
      <c r="AQ24" s="54">
        <f t="shared" si="27"/>
        <v>241.01425702491463</v>
      </c>
      <c r="AR24" s="54">
        <f t="shared" si="27"/>
        <v>746.93821008022132</v>
      </c>
      <c r="AS24" s="54">
        <f t="shared" si="27"/>
        <v>1286.2491742849315</v>
      </c>
      <c r="AT24" s="54">
        <f t="shared" si="27"/>
        <v>1810.4489352354121</v>
      </c>
      <c r="AU24" s="54">
        <f t="shared" si="27"/>
        <v>2320.3496049570517</v>
      </c>
      <c r="AV24" s="277"/>
    </row>
    <row r="25" spans="2:49" s="105" customFormat="1">
      <c r="B25"/>
      <c r="C25"/>
      <c r="D25"/>
      <c r="E25"/>
      <c r="F25"/>
      <c r="G25"/>
      <c r="I25" s="105" t="s">
        <v>227</v>
      </c>
      <c r="R25" s="110"/>
      <c r="S25" s="111"/>
      <c r="T25" s="111"/>
      <c r="U25" s="112"/>
      <c r="V25" s="234" t="s">
        <v>241</v>
      </c>
      <c r="W25" s="235" t="s">
        <v>241</v>
      </c>
      <c r="X25" s="235" t="s">
        <v>241</v>
      </c>
      <c r="Y25" s="236" t="s">
        <v>241</v>
      </c>
      <c r="Z25" s="234" t="s">
        <v>241</v>
      </c>
      <c r="AA25" s="235" t="s">
        <v>241</v>
      </c>
      <c r="AB25" s="235" t="s">
        <v>241</v>
      </c>
      <c r="AC25" s="236" t="s">
        <v>241</v>
      </c>
      <c r="AD25" s="234" t="s">
        <v>241</v>
      </c>
      <c r="AE25" s="235" t="s">
        <v>241</v>
      </c>
      <c r="AF25" s="235" t="s">
        <v>241</v>
      </c>
      <c r="AG25" s="236" t="s">
        <v>241</v>
      </c>
      <c r="AH25" s="106"/>
      <c r="AI25" s="192"/>
      <c r="AJ25" s="192"/>
      <c r="AK25" s="111"/>
      <c r="AL25" s="235" t="s">
        <v>241</v>
      </c>
      <c r="AM25" s="235" t="s">
        <v>241</v>
      </c>
      <c r="AN25" s="235" t="s">
        <v>241</v>
      </c>
      <c r="AO25" s="235" t="s">
        <v>241</v>
      </c>
      <c r="AP25" s="5">
        <f t="shared" ref="AP25:AU25" si="28">+AP24/AO24-1</f>
        <v>-0.63894724204376885</v>
      </c>
      <c r="AQ25" s="5">
        <f t="shared" si="28"/>
        <v>-2.569084325928841</v>
      </c>
      <c r="AR25" s="5">
        <f t="shared" si="28"/>
        <v>2.0991453339750241</v>
      </c>
      <c r="AS25" s="5">
        <f t="shared" si="28"/>
        <v>0.72202888662877229</v>
      </c>
      <c r="AT25" s="5">
        <f t="shared" si="28"/>
        <v>0.40754137800858103</v>
      </c>
      <c r="AU25" s="5">
        <f t="shared" si="28"/>
        <v>0.28164322108059747</v>
      </c>
    </row>
    <row r="26" spans="2:49" s="105" customFormat="1">
      <c r="B26"/>
      <c r="C26"/>
      <c r="D26"/>
      <c r="E26"/>
      <c r="F26"/>
      <c r="G26"/>
      <c r="I26" s="163" t="s">
        <v>230</v>
      </c>
      <c r="J26" s="1"/>
      <c r="K26" s="1"/>
      <c r="L26" s="1"/>
      <c r="M26" s="1"/>
      <c r="N26" s="1"/>
      <c r="O26" s="1"/>
      <c r="P26" s="1"/>
      <c r="Q26" s="1"/>
      <c r="R26" s="42">
        <f t="shared" ref="R26:Y26" si="29">R24/R18</f>
        <v>-0.42802094077807834</v>
      </c>
      <c r="S26" s="28">
        <f t="shared" si="29"/>
        <v>-0.83657821544012623</v>
      </c>
      <c r="T26" s="28">
        <f t="shared" si="29"/>
        <v>-0.73992096948788577</v>
      </c>
      <c r="U26" s="29">
        <f t="shared" si="29"/>
        <v>-0.66423692293586389</v>
      </c>
      <c r="V26" s="42">
        <f t="shared" si="29"/>
        <v>-0.6537277641828928</v>
      </c>
      <c r="W26" s="28">
        <f t="shared" si="29"/>
        <v>-0.56017627906233181</v>
      </c>
      <c r="X26" s="28">
        <f t="shared" si="29"/>
        <v>-0.41955149476023645</v>
      </c>
      <c r="Y26" s="29">
        <f t="shared" si="29"/>
        <v>-0.45416926292189769</v>
      </c>
      <c r="Z26" s="42">
        <f t="shared" ref="Z26" si="30">Z24/Z18</f>
        <v>-7.9648728640547659E-2</v>
      </c>
      <c r="AA26" s="28">
        <f t="shared" ref="AA26:AG26" si="31">AA24/AA18</f>
        <v>-0.30758424516679389</v>
      </c>
      <c r="AB26" s="28">
        <f t="shared" ref="AB26" si="32">AB24/AB18</f>
        <v>-0.26711050459564861</v>
      </c>
      <c r="AC26" s="29">
        <f t="shared" si="31"/>
        <v>-0.24575934382524281</v>
      </c>
      <c r="AD26" s="42">
        <f t="shared" si="31"/>
        <v>-0.38139613041813464</v>
      </c>
      <c r="AE26" s="28">
        <f t="shared" si="31"/>
        <v>-0.31985133581128161</v>
      </c>
      <c r="AF26" s="28">
        <f t="shared" si="31"/>
        <v>-0.3044741280979702</v>
      </c>
      <c r="AG26" s="29">
        <f t="shared" si="31"/>
        <v>-0.20785880148995886</v>
      </c>
      <c r="AH26" s="22"/>
      <c r="AI26" s="1"/>
      <c r="AJ26" s="1"/>
      <c r="AK26" s="5">
        <f t="shared" ref="AK26:AU26" si="33">AK24/AK6</f>
        <v>-4.9928916011796174</v>
      </c>
      <c r="AL26" s="5">
        <f t="shared" si="33"/>
        <v>-1.1358428805237317</v>
      </c>
      <c r="AM26" s="5">
        <f t="shared" si="33"/>
        <v>-0.87284910946009975</v>
      </c>
      <c r="AN26" s="5">
        <f t="shared" si="33"/>
        <v>-0.56482362438942701</v>
      </c>
      <c r="AO26" s="5">
        <f t="shared" si="33"/>
        <v>-0.21602281123976511</v>
      </c>
      <c r="AP26" s="5">
        <f t="shared" si="33"/>
        <v>-5.4762389791193473E-2</v>
      </c>
      <c r="AQ26" s="5">
        <f t="shared" si="33"/>
        <v>6.3209777938390679E-2</v>
      </c>
      <c r="AR26" s="5">
        <f t="shared" si="33"/>
        <v>0.1504722537691203</v>
      </c>
      <c r="AS26" s="5">
        <f t="shared" si="33"/>
        <v>0.20868581649772333</v>
      </c>
      <c r="AT26" s="5">
        <f t="shared" si="33"/>
        <v>0.24612278618883479</v>
      </c>
      <c r="AU26" s="5">
        <f t="shared" si="33"/>
        <v>0.27152474632963847</v>
      </c>
    </row>
    <row r="27" spans="2:49" s="105" customFormat="1" hidden="1" outlineLevel="1">
      <c r="B27"/>
      <c r="C27"/>
      <c r="D27"/>
      <c r="E27"/>
      <c r="F27"/>
      <c r="G27"/>
      <c r="I27" s="105" t="s">
        <v>225</v>
      </c>
      <c r="R27" s="110"/>
      <c r="S27" s="111"/>
      <c r="T27" s="111"/>
      <c r="U27" s="112"/>
      <c r="V27" s="221">
        <f t="shared" ref="V27:AG27" si="34">+(V26-R26)*10000</f>
        <v>-2257.0682340481444</v>
      </c>
      <c r="W27" s="222">
        <f t="shared" si="34"/>
        <v>2764.0193637779444</v>
      </c>
      <c r="X27" s="222">
        <f t="shared" si="34"/>
        <v>3203.6947472764932</v>
      </c>
      <c r="Y27" s="223">
        <f t="shared" si="34"/>
        <v>2100.6766001396622</v>
      </c>
      <c r="Z27" s="221">
        <f t="shared" si="34"/>
        <v>5740.7903554234517</v>
      </c>
      <c r="AA27" s="222">
        <f t="shared" si="34"/>
        <v>2525.9203389553791</v>
      </c>
      <c r="AB27" s="222">
        <f t="shared" si="34"/>
        <v>1524.4099016458783</v>
      </c>
      <c r="AC27" s="223">
        <f t="shared" si="34"/>
        <v>2084.0991909665486</v>
      </c>
      <c r="AD27" s="221">
        <f t="shared" si="34"/>
        <v>-3017.4740177758695</v>
      </c>
      <c r="AE27" s="222">
        <f t="shared" si="34"/>
        <v>-122.67090644487722</v>
      </c>
      <c r="AF27" s="222">
        <f t="shared" si="34"/>
        <v>-373.63623502321587</v>
      </c>
      <c r="AG27" s="223">
        <f t="shared" si="34"/>
        <v>379.0054233528395</v>
      </c>
      <c r="AH27" s="106"/>
      <c r="AI27" s="192"/>
      <c r="AJ27" s="192"/>
      <c r="AK27" s="111"/>
      <c r="AL27" s="203">
        <f>+(AL26-AK26)*10000</f>
        <v>38570.487206558857</v>
      </c>
      <c r="AM27" s="203">
        <f t="shared" ref="AM27:AU27" si="35">+(AM26-AL26)*10000</f>
        <v>2629.9377106363199</v>
      </c>
      <c r="AN27" s="203">
        <f t="shared" si="35"/>
        <v>3080.2548507067272</v>
      </c>
      <c r="AO27" s="203">
        <f t="shared" si="35"/>
        <v>3488.0081314966192</v>
      </c>
      <c r="AP27" s="203">
        <f t="shared" si="35"/>
        <v>1612.6042144857163</v>
      </c>
      <c r="AQ27" s="203">
        <f t="shared" si="35"/>
        <v>1179.7216772958416</v>
      </c>
      <c r="AR27" s="203">
        <f t="shared" si="35"/>
        <v>872.62475830729613</v>
      </c>
      <c r="AS27" s="203">
        <f t="shared" si="35"/>
        <v>582.1356272860304</v>
      </c>
      <c r="AT27" s="203">
        <f t="shared" si="35"/>
        <v>374.3696969111146</v>
      </c>
      <c r="AU27" s="203">
        <f t="shared" si="35"/>
        <v>254.01960140803675</v>
      </c>
    </row>
    <row r="28" spans="2:49" s="105" customFormat="1" hidden="1" outlineLevel="1">
      <c r="B28"/>
      <c r="C28"/>
      <c r="D28"/>
      <c r="E28"/>
      <c r="F28"/>
      <c r="G28"/>
      <c r="I28" s="105" t="s">
        <v>226</v>
      </c>
      <c r="R28" s="110"/>
      <c r="S28" s="222">
        <f t="shared" ref="S28:Z28" si="36">+(S26-R26)*10000</f>
        <v>-4085.5727466204789</v>
      </c>
      <c r="T28" s="222">
        <f t="shared" si="36"/>
        <v>966.57245952240453</v>
      </c>
      <c r="U28" s="223">
        <f t="shared" si="36"/>
        <v>756.8404655202188</v>
      </c>
      <c r="V28" s="221">
        <f t="shared" si="36"/>
        <v>105.09158752971092</v>
      </c>
      <c r="W28" s="222">
        <f t="shared" si="36"/>
        <v>935.51485120560994</v>
      </c>
      <c r="X28" s="222">
        <f t="shared" si="36"/>
        <v>1406.2478430209535</v>
      </c>
      <c r="Y28" s="223">
        <f t="shared" si="36"/>
        <v>-346.17768161661235</v>
      </c>
      <c r="Z28" s="221">
        <f t="shared" si="36"/>
        <v>3745.2053428135</v>
      </c>
      <c r="AA28" s="222">
        <f t="shared" ref="AA28:AG28" si="37">+(AA26-Z26)*10000</f>
        <v>-2279.3551652624624</v>
      </c>
      <c r="AB28" s="222">
        <f t="shared" si="37"/>
        <v>404.73740571145277</v>
      </c>
      <c r="AC28" s="223">
        <f t="shared" si="37"/>
        <v>213.51160770405804</v>
      </c>
      <c r="AD28" s="221">
        <f t="shared" si="37"/>
        <v>-1356.3678659289183</v>
      </c>
      <c r="AE28" s="222">
        <f t="shared" si="37"/>
        <v>615.44794606853031</v>
      </c>
      <c r="AF28" s="222">
        <f t="shared" si="37"/>
        <v>153.77207713311412</v>
      </c>
      <c r="AG28" s="223">
        <f t="shared" si="37"/>
        <v>966.15326608011333</v>
      </c>
      <c r="AH28" s="106"/>
      <c r="AI28" s="192"/>
      <c r="AJ28" s="192"/>
      <c r="AK28" s="111"/>
      <c r="AL28" s="111"/>
      <c r="AM28" s="111"/>
      <c r="AN28" s="111"/>
      <c r="AO28" s="118"/>
      <c r="AP28" s="498"/>
      <c r="AQ28" s="118"/>
      <c r="AR28" s="118"/>
      <c r="AS28" s="118"/>
      <c r="AT28" s="118"/>
      <c r="AU28" s="118"/>
    </row>
    <row r="29" spans="2:49" s="105" customFormat="1" hidden="1" outlineLevel="1">
      <c r="B29"/>
      <c r="C29"/>
      <c r="D29"/>
      <c r="E29"/>
      <c r="F29"/>
      <c r="G29"/>
      <c r="I29" s="163" t="s">
        <v>205</v>
      </c>
      <c r="J29" s="1"/>
      <c r="K29" s="1"/>
      <c r="L29" s="1"/>
      <c r="M29" s="1"/>
      <c r="N29" s="1"/>
      <c r="O29" s="1"/>
      <c r="P29" s="1"/>
      <c r="Q29" s="1"/>
      <c r="R29" s="47"/>
      <c r="S29" s="48"/>
      <c r="T29" s="48"/>
      <c r="U29" s="49"/>
      <c r="V29" s="42">
        <f t="shared" ref="V29:AG29" si="38">(V24-R24)/(V6-R6)</f>
        <v>-1.4120075692413554</v>
      </c>
      <c r="W29" s="28">
        <f t="shared" si="38"/>
        <v>-0.40930554302385058</v>
      </c>
      <c r="X29" s="28">
        <f t="shared" si="38"/>
        <v>-0.22121655199634035</v>
      </c>
      <c r="Y29" s="29">
        <f t="shared" si="38"/>
        <v>-0.49188502150958158</v>
      </c>
      <c r="Z29" s="42">
        <f t="shared" si="38"/>
        <v>-0.85709517365809607</v>
      </c>
      <c r="AA29" s="28">
        <f t="shared" si="38"/>
        <v>-0.80883383542817699</v>
      </c>
      <c r="AB29" s="28">
        <f t="shared" si="38"/>
        <v>-0.87999949832566171</v>
      </c>
      <c r="AC29" s="29">
        <f t="shared" si="38"/>
        <v>-5.4869970252727378E-2</v>
      </c>
      <c r="AD29" s="42">
        <f t="shared" si="38"/>
        <v>-0.16538357108278517</v>
      </c>
      <c r="AE29" s="28">
        <f t="shared" si="38"/>
        <v>1.0989166624322453E-2</v>
      </c>
      <c r="AF29" s="28">
        <f t="shared" si="38"/>
        <v>-0.16932497870747729</v>
      </c>
      <c r="AG29" s="29">
        <f t="shared" si="38"/>
        <v>0.11355216614983485</v>
      </c>
      <c r="AH29" s="22"/>
      <c r="AI29" s="1"/>
      <c r="AJ29" s="1"/>
      <c r="AK29" s="3"/>
      <c r="AL29" s="5">
        <f t="shared" ref="AL29:AU29" si="39">(AL24-AK24)/(AL6-AK6)</f>
        <v>-0.48155248844048509</v>
      </c>
      <c r="AM29" s="5">
        <f t="shared" si="39"/>
        <v>-0.61985363893004641</v>
      </c>
      <c r="AN29" s="5">
        <f t="shared" si="39"/>
        <v>-4.4170422401179181E-2</v>
      </c>
      <c r="AO29" s="5">
        <f t="shared" si="39"/>
        <v>0.48172251815691469</v>
      </c>
      <c r="AP29" s="5">
        <f>(AP24-AO24)/(AP6-AO6)</f>
        <v>0.32533979576150829</v>
      </c>
      <c r="AQ29" s="5">
        <f t="shared" si="39"/>
        <v>0.39146548206297899</v>
      </c>
      <c r="AR29" s="5">
        <f t="shared" si="39"/>
        <v>0.43953907766909139</v>
      </c>
      <c r="AS29" s="5">
        <f t="shared" si="39"/>
        <v>0.4495726506317359</v>
      </c>
      <c r="AT29" s="5">
        <f t="shared" si="39"/>
        <v>0.43965085862953346</v>
      </c>
      <c r="AU29" s="5">
        <f t="shared" si="39"/>
        <v>0.42857745236108319</v>
      </c>
    </row>
    <row r="30" spans="2:49" s="105" customFormat="1" collapsed="1">
      <c r="B30"/>
      <c r="C30"/>
      <c r="D30"/>
      <c r="E30"/>
      <c r="F30"/>
      <c r="G30"/>
      <c r="R30" s="106"/>
      <c r="S30" s="192"/>
      <c r="T30" s="192"/>
      <c r="U30" s="193"/>
      <c r="V30" s="106"/>
      <c r="W30" s="192"/>
      <c r="X30" s="192"/>
      <c r="Y30" s="193"/>
      <c r="Z30" s="106"/>
      <c r="AA30" s="192"/>
      <c r="AB30" s="192"/>
      <c r="AC30" s="193"/>
      <c r="AD30" s="106"/>
      <c r="AE30" s="192"/>
      <c r="AF30" s="192"/>
      <c r="AG30" s="193"/>
    </row>
    <row r="31" spans="2:49" s="105" customFormat="1">
      <c r="B31"/>
      <c r="C31"/>
      <c r="D31"/>
      <c r="E31"/>
      <c r="F31"/>
      <c r="G31"/>
      <c r="I31" s="105" t="s">
        <v>26</v>
      </c>
      <c r="R31" s="239">
        <v>0.19400000000000001</v>
      </c>
      <c r="S31" s="240">
        <v>0.33200000000000002</v>
      </c>
      <c r="T31" s="240">
        <v>0.47499999999999998</v>
      </c>
      <c r="U31" s="241">
        <v>0.39800000000000002</v>
      </c>
      <c r="V31" s="239">
        <v>0.35899999999999999</v>
      </c>
      <c r="W31" s="240">
        <v>0.874</v>
      </c>
      <c r="X31" s="240">
        <v>1.9379999999999999</v>
      </c>
      <c r="Y31" s="241">
        <v>1.486</v>
      </c>
      <c r="Z31" s="239">
        <v>2.4239999999999999</v>
      </c>
      <c r="AA31" s="240">
        <v>6.3490000000000002</v>
      </c>
      <c r="AB31" s="240">
        <v>6.2530000000000001</v>
      </c>
      <c r="AC31" s="241">
        <v>6.07</v>
      </c>
      <c r="AD31" s="194">
        <f t="shared" ref="AD31:AG31" si="40">5/4</f>
        <v>1.25</v>
      </c>
      <c r="AE31" s="195">
        <f t="shared" si="40"/>
        <v>1.25</v>
      </c>
      <c r="AF31" s="195">
        <f t="shared" si="40"/>
        <v>1.25</v>
      </c>
      <c r="AG31" s="196">
        <f t="shared" si="40"/>
        <v>1.25</v>
      </c>
      <c r="AK31" s="208">
        <f>+SUM(R31:U31)</f>
        <v>1.399</v>
      </c>
      <c r="AL31" s="208">
        <f>+SUM(V31:Y31)</f>
        <v>4.657</v>
      </c>
      <c r="AM31" s="208">
        <f>+SUM(Z31:AC31)</f>
        <v>21.096</v>
      </c>
      <c r="AN31" s="208">
        <f>+SUM(AD31:AG31)</f>
        <v>5</v>
      </c>
      <c r="AO31" s="208">
        <f t="shared" ref="AO31:AU31" si="41">+AO222</f>
        <v>5</v>
      </c>
      <c r="AP31" s="208">
        <f t="shared" si="41"/>
        <v>5</v>
      </c>
      <c r="AQ31" s="208">
        <f t="shared" si="41"/>
        <v>5</v>
      </c>
      <c r="AR31" s="208">
        <f t="shared" si="41"/>
        <v>5</v>
      </c>
      <c r="AS31" s="208">
        <f t="shared" si="41"/>
        <v>5</v>
      </c>
      <c r="AT31" s="208">
        <f t="shared" si="41"/>
        <v>5</v>
      </c>
      <c r="AU31" s="208">
        <f t="shared" si="41"/>
        <v>5</v>
      </c>
    </row>
    <row r="32" spans="2:49" s="105" customFormat="1">
      <c r="B32"/>
      <c r="C32"/>
      <c r="D32"/>
      <c r="E32"/>
      <c r="F32"/>
      <c r="G32"/>
      <c r="I32" s="105" t="s">
        <v>174</v>
      </c>
      <c r="R32" s="239">
        <v>0</v>
      </c>
      <c r="S32" s="240">
        <v>0</v>
      </c>
      <c r="T32" s="240">
        <v>0</v>
      </c>
      <c r="U32" s="241">
        <v>0</v>
      </c>
      <c r="V32" s="239">
        <v>0</v>
      </c>
      <c r="W32" s="240">
        <v>0</v>
      </c>
      <c r="X32" s="240">
        <v>-0.64800000000000002</v>
      </c>
      <c r="Y32" s="241">
        <v>-0.77600000000000002</v>
      </c>
      <c r="Z32" s="239">
        <v>-0.69499999999999995</v>
      </c>
      <c r="AA32" s="240">
        <v>-0.998</v>
      </c>
      <c r="AB32" s="240">
        <v>-0.88700000000000001</v>
      </c>
      <c r="AC32" s="241">
        <f>+-0.876</f>
        <v>-0.876</v>
      </c>
      <c r="AD32" s="194">
        <v>-0.7</v>
      </c>
      <c r="AE32" s="195">
        <v>-0.7</v>
      </c>
      <c r="AF32" s="195">
        <v>-0.7</v>
      </c>
      <c r="AG32" s="196">
        <v>-0.7</v>
      </c>
      <c r="AK32" s="208">
        <f>+SUM(R32:U32)</f>
        <v>0</v>
      </c>
      <c r="AL32" s="208">
        <f>+SUM(V32:Y32)</f>
        <v>-1.4239999999999999</v>
      </c>
      <c r="AM32" s="208">
        <f>+SUM(Z32:AC32)</f>
        <v>-3.456</v>
      </c>
      <c r="AN32" s="208">
        <f>+SUM(AD32:AG32)</f>
        <v>-2.8</v>
      </c>
      <c r="AO32" s="208">
        <f t="shared" ref="AO32:AU32" si="42">-AO225</f>
        <v>-4.97898</v>
      </c>
      <c r="AP32" s="208">
        <f t="shared" si="42"/>
        <v>-4.97898</v>
      </c>
      <c r="AQ32" s="208">
        <f t="shared" si="42"/>
        <v>-4.97898</v>
      </c>
      <c r="AR32" s="208">
        <f t="shared" si="42"/>
        <v>-4.97898</v>
      </c>
      <c r="AS32" s="208">
        <f t="shared" si="42"/>
        <v>-4.97898</v>
      </c>
      <c r="AT32" s="208">
        <f t="shared" si="42"/>
        <v>-4.97898</v>
      </c>
      <c r="AU32" s="208">
        <f t="shared" si="42"/>
        <v>-4.97898</v>
      </c>
    </row>
    <row r="33" spans="9:49">
      <c r="I33" s="1" t="s">
        <v>186</v>
      </c>
      <c r="R33" s="47">
        <f>SUM(R31:R32)</f>
        <v>0.19400000000000001</v>
      </c>
      <c r="S33" s="48">
        <f t="shared" ref="S33:AG33" si="43">SUM(S31:S32)</f>
        <v>0.33200000000000002</v>
      </c>
      <c r="T33" s="48">
        <f t="shared" si="43"/>
        <v>0.47499999999999998</v>
      </c>
      <c r="U33" s="49">
        <f t="shared" si="43"/>
        <v>0.39800000000000002</v>
      </c>
      <c r="V33" s="47">
        <f t="shared" si="43"/>
        <v>0.35899999999999999</v>
      </c>
      <c r="W33" s="48">
        <f t="shared" si="43"/>
        <v>0.874</v>
      </c>
      <c r="X33" s="48">
        <f t="shared" si="43"/>
        <v>1.29</v>
      </c>
      <c r="Y33" s="49">
        <f t="shared" si="43"/>
        <v>0.71</v>
      </c>
      <c r="Z33" s="47">
        <f t="shared" ref="Z33" si="44">SUM(Z31:Z32)</f>
        <v>1.7290000000000001</v>
      </c>
      <c r="AA33" s="48">
        <f t="shared" si="43"/>
        <v>5.351</v>
      </c>
      <c r="AB33" s="48">
        <f t="shared" ref="AB33" si="45">SUM(AB31:AB32)</f>
        <v>5.3659999999999997</v>
      </c>
      <c r="AC33" s="49">
        <f t="shared" si="43"/>
        <v>5.194</v>
      </c>
      <c r="AD33" s="47">
        <f t="shared" si="43"/>
        <v>0.55000000000000004</v>
      </c>
      <c r="AE33" s="48">
        <f t="shared" si="43"/>
        <v>0.55000000000000004</v>
      </c>
      <c r="AF33" s="48">
        <f t="shared" si="43"/>
        <v>0.55000000000000004</v>
      </c>
      <c r="AG33" s="49">
        <f t="shared" si="43"/>
        <v>0.55000000000000004</v>
      </c>
      <c r="AK33" s="3">
        <f>+SUM(R33:U33)</f>
        <v>1.399</v>
      </c>
      <c r="AL33" s="3">
        <f>+SUM(V33:Y33)</f>
        <v>3.2330000000000001</v>
      </c>
      <c r="AM33" s="3">
        <f t="shared" ref="AM33:AN33" si="46">+SUM(W33:Z33)</f>
        <v>4.6029999999999998</v>
      </c>
      <c r="AN33" s="3">
        <f t="shared" si="46"/>
        <v>9.08</v>
      </c>
      <c r="AO33" s="162">
        <f t="shared" ref="AO33:AU33" si="47">+SUM(AO31:AO32)</f>
        <v>2.1020000000000039E-2</v>
      </c>
      <c r="AP33" s="162">
        <f t="shared" si="47"/>
        <v>2.1020000000000039E-2</v>
      </c>
      <c r="AQ33" s="162">
        <f t="shared" si="47"/>
        <v>2.1020000000000039E-2</v>
      </c>
      <c r="AR33" s="162">
        <f t="shared" si="47"/>
        <v>2.1020000000000039E-2</v>
      </c>
      <c r="AS33" s="162">
        <f t="shared" si="47"/>
        <v>2.1020000000000039E-2</v>
      </c>
      <c r="AT33" s="162">
        <f t="shared" si="47"/>
        <v>2.1020000000000039E-2</v>
      </c>
      <c r="AU33" s="162">
        <f t="shared" si="47"/>
        <v>2.1020000000000039E-2</v>
      </c>
    </row>
    <row r="34" spans="9:49">
      <c r="R34" s="47"/>
      <c r="S34" s="48"/>
      <c r="T34" s="48"/>
      <c r="U34" s="49"/>
      <c r="V34" s="47"/>
      <c r="W34" s="48"/>
      <c r="X34" s="48"/>
      <c r="Y34" s="49"/>
      <c r="Z34" s="47"/>
      <c r="AA34" s="195"/>
      <c r="AB34" s="195"/>
      <c r="AC34" s="196"/>
      <c r="AD34" s="194"/>
      <c r="AE34" s="195"/>
      <c r="AF34" s="195"/>
      <c r="AG34" s="196"/>
      <c r="AK34" s="3"/>
      <c r="AL34" s="3"/>
    </row>
    <row r="35" spans="9:49">
      <c r="I35" s="1" t="s">
        <v>27</v>
      </c>
      <c r="R35" s="101">
        <v>0.04</v>
      </c>
      <c r="S35" s="102">
        <v>-4.5999999999999999E-2</v>
      </c>
      <c r="T35" s="102">
        <v>-0.22900000000000001</v>
      </c>
      <c r="U35" s="103">
        <v>8.3000000000000004E-2</v>
      </c>
      <c r="V35" s="101">
        <v>-0.99299999999999999</v>
      </c>
      <c r="W35" s="102">
        <v>-0.93899999999999995</v>
      </c>
      <c r="X35" s="102">
        <v>-1.421</v>
      </c>
      <c r="Y35" s="103">
        <v>-1.2150000000000001</v>
      </c>
      <c r="Z35" s="101">
        <v>0.187</v>
      </c>
      <c r="AA35" s="209">
        <v>0.78600000000000003</v>
      </c>
      <c r="AB35" s="209">
        <v>1.002</v>
      </c>
      <c r="AC35" s="220">
        <v>2.5529999999999999</v>
      </c>
      <c r="AD35" s="219">
        <v>0</v>
      </c>
      <c r="AE35" s="209">
        <v>0</v>
      </c>
      <c r="AF35" s="209">
        <v>0</v>
      </c>
      <c r="AG35" s="220">
        <v>0</v>
      </c>
      <c r="AK35" s="3">
        <f>+SUM(R35:U35)</f>
        <v>-0.15200000000000002</v>
      </c>
      <c r="AL35" s="3">
        <f>+SUM(V35:Y35)</f>
        <v>-4.5679999999999996</v>
      </c>
      <c r="AM35" s="3">
        <f>SUM(Z35:AC35)</f>
        <v>4.5280000000000005</v>
      </c>
      <c r="AN35" s="3">
        <f>SUM(AD35:AG35)</f>
        <v>0</v>
      </c>
      <c r="AO35" s="3">
        <f>SUM(AB35:AE35)</f>
        <v>3.5549999999999997</v>
      </c>
      <c r="AP35" s="3">
        <f t="shared" ref="AP35:AU35" si="48">SUM(AF35:AI35)</f>
        <v>0</v>
      </c>
      <c r="AQ35" s="3">
        <f t="shared" si="48"/>
        <v>0</v>
      </c>
      <c r="AR35" s="3">
        <f t="shared" si="48"/>
        <v>-0.15200000000000002</v>
      </c>
      <c r="AS35" s="3">
        <f t="shared" si="48"/>
        <v>-4.72</v>
      </c>
      <c r="AT35" s="3">
        <f t="shared" si="48"/>
        <v>-0.19199999999999928</v>
      </c>
      <c r="AU35" s="3">
        <f t="shared" si="48"/>
        <v>-0.19199999999999928</v>
      </c>
    </row>
    <row r="36" spans="9:49">
      <c r="R36" s="22"/>
      <c r="S36" s="23"/>
      <c r="T36" s="23"/>
      <c r="U36" s="24"/>
      <c r="V36" s="22"/>
      <c r="W36" s="23"/>
      <c r="X36" s="23"/>
      <c r="Y36" s="24"/>
      <c r="Z36" s="22"/>
      <c r="AA36" s="192"/>
      <c r="AB36" s="192"/>
      <c r="AC36" s="193"/>
      <c r="AD36" s="106"/>
      <c r="AE36" s="192"/>
      <c r="AF36" s="192"/>
      <c r="AG36" s="193"/>
    </row>
    <row r="37" spans="9:49">
      <c r="I37" s="1" t="s">
        <v>28</v>
      </c>
      <c r="R37" s="48">
        <f t="shared" ref="R37:Y37" si="49">+R20+R31+R35+R32</f>
        <v>-98.611999999999981</v>
      </c>
      <c r="S37" s="48">
        <f t="shared" si="49"/>
        <v>-87.535000000000011</v>
      </c>
      <c r="T37" s="48">
        <f t="shared" si="49"/>
        <v>-96.655999999999992</v>
      </c>
      <c r="U37" s="49">
        <f t="shared" si="49"/>
        <v>-97.678999999999988</v>
      </c>
      <c r="V37" s="48">
        <f t="shared" si="49"/>
        <v>-104.455</v>
      </c>
      <c r="W37" s="48">
        <f t="shared" si="49"/>
        <v>-115.92400000000001</v>
      </c>
      <c r="X37" s="48">
        <f t="shared" si="49"/>
        <v>-131.09900000000002</v>
      </c>
      <c r="Y37" s="49">
        <f t="shared" si="49"/>
        <v>-170.24200000000002</v>
      </c>
      <c r="Z37" s="48">
        <f t="shared" ref="Z37:AG37" si="50">+Z20+Z31+Z35+Z32</f>
        <v>-2211.8510000000001</v>
      </c>
      <c r="AA37" s="48">
        <f t="shared" si="50"/>
        <v>-442.88100000000009</v>
      </c>
      <c r="AB37" s="48">
        <f>+AB20+AB31+AB35+AB32</f>
        <v>-455.459</v>
      </c>
      <c r="AC37" s="48">
        <f t="shared" si="50"/>
        <v>-353.21700000000004</v>
      </c>
      <c r="AD37" s="47">
        <f t="shared" si="50"/>
        <v>-287.09463855421683</v>
      </c>
      <c r="AE37" s="48">
        <f t="shared" si="50"/>
        <v>-307.05685873563226</v>
      </c>
      <c r="AF37" s="48">
        <f t="shared" si="50"/>
        <v>-320.02308964175307</v>
      </c>
      <c r="AG37" s="49">
        <f t="shared" si="50"/>
        <v>-258.2755318917155</v>
      </c>
      <c r="AK37" s="3">
        <f>+SUM(R37:U37)</f>
        <v>-380.48199999999997</v>
      </c>
      <c r="AL37" s="3">
        <f>+SUM(V37:Y37)</f>
        <v>-521.72</v>
      </c>
      <c r="AM37" s="3">
        <f>SUM(Z37:AC37)</f>
        <v>-3463.4079999999999</v>
      </c>
      <c r="AN37" s="3">
        <f>SUM(AD37:AG37)</f>
        <v>-1172.4501188233176</v>
      </c>
      <c r="AO37" s="3">
        <f t="shared" ref="AO37:AU37" si="51">+AO20+AO31+AO35+AO32</f>
        <v>-909.3383986213837</v>
      </c>
      <c r="AP37" s="3">
        <f t="shared" si="51"/>
        <v>-675.89163111927803</v>
      </c>
      <c r="AQ37" s="3">
        <f t="shared" si="51"/>
        <v>-317.00562297508543</v>
      </c>
      <c r="AR37" s="3">
        <f t="shared" si="51"/>
        <v>158.51353008022116</v>
      </c>
      <c r="AS37" s="3">
        <f t="shared" si="51"/>
        <v>662.89355428493138</v>
      </c>
      <c r="AT37" s="3">
        <f t="shared" si="51"/>
        <v>1160.5377282354118</v>
      </c>
      <c r="AU37" s="3">
        <f t="shared" si="51"/>
        <v>1638.5706316070516</v>
      </c>
    </row>
    <row r="38" spans="9:49">
      <c r="R38" s="22"/>
      <c r="S38" s="23"/>
      <c r="T38" s="23"/>
      <c r="U38" s="24"/>
      <c r="V38" s="22"/>
      <c r="W38" s="23"/>
      <c r="X38" s="23"/>
      <c r="Y38" s="24"/>
      <c r="Z38" s="22"/>
      <c r="AA38" s="192"/>
      <c r="AB38" s="192"/>
      <c r="AC38" s="193"/>
      <c r="AD38" s="106"/>
      <c r="AE38" s="192"/>
      <c r="AF38" s="192"/>
      <c r="AG38" s="193"/>
    </row>
    <row r="39" spans="9:49">
      <c r="I39" s="1" t="s">
        <v>372</v>
      </c>
      <c r="R39" s="101">
        <v>0</v>
      </c>
      <c r="S39" s="102">
        <v>7.7</v>
      </c>
      <c r="T39" s="102">
        <v>0</v>
      </c>
      <c r="U39" s="103">
        <v>-0.111</v>
      </c>
      <c r="V39" s="101">
        <v>-0.121</v>
      </c>
      <c r="W39" s="102">
        <v>3.3000000000000002E-2</v>
      </c>
      <c r="X39" s="102">
        <v>6.8710000000000004</v>
      </c>
      <c r="Y39" s="103">
        <v>0.29699999999999999</v>
      </c>
      <c r="Z39" s="101">
        <v>3.0139999999999998</v>
      </c>
      <c r="AA39" s="240">
        <v>-0.21199999999999999</v>
      </c>
      <c r="AB39" s="240">
        <v>12.3</v>
      </c>
      <c r="AC39" s="103">
        <v>3.24</v>
      </c>
      <c r="AD39" s="194">
        <f t="shared" ref="AD39:AG39" si="52">MAX(0,AD37*AD40)</f>
        <v>0</v>
      </c>
      <c r="AE39" s="195">
        <f t="shared" si="52"/>
        <v>0</v>
      </c>
      <c r="AF39" s="195">
        <f t="shared" si="52"/>
        <v>0</v>
      </c>
      <c r="AG39" s="196">
        <f t="shared" si="52"/>
        <v>0</v>
      </c>
      <c r="AK39" s="3">
        <f>+SUM(R39:U39)</f>
        <v>7.5890000000000004</v>
      </c>
      <c r="AL39" s="3">
        <f>+SUM(V39:Y39)</f>
        <v>7.08</v>
      </c>
      <c r="AM39" s="3">
        <f>+SUM(Z39:AC39)</f>
        <v>18.341999999999999</v>
      </c>
      <c r="AN39" s="3">
        <f>+SUM(AD39:AG39)</f>
        <v>0</v>
      </c>
      <c r="AO39" s="3">
        <f>IF(AO37&lt;0,0,-AO40*AO37)</f>
        <v>0</v>
      </c>
      <c r="AP39" s="3">
        <f t="shared" ref="AP39:AU39" si="53">IF(AP37&lt;0,0,-AP40*AP37)</f>
        <v>0</v>
      </c>
      <c r="AQ39" s="3">
        <f t="shared" si="53"/>
        <v>0</v>
      </c>
      <c r="AR39" s="3">
        <f t="shared" si="53"/>
        <v>-31.702706016044232</v>
      </c>
      <c r="AS39" s="3">
        <f t="shared" si="53"/>
        <v>-132.57871085698628</v>
      </c>
      <c r="AT39" s="3">
        <f t="shared" si="53"/>
        <v>-232.10754564708236</v>
      </c>
      <c r="AU39" s="3">
        <f t="shared" si="53"/>
        <v>-327.71412632141033</v>
      </c>
    </row>
    <row r="40" spans="9:49">
      <c r="I40" s="1" t="s">
        <v>135</v>
      </c>
      <c r="R40" s="214">
        <f t="shared" ref="R40:AC40" si="54">+R39/R37</f>
        <v>0</v>
      </c>
      <c r="S40" s="215">
        <f t="shared" si="54"/>
        <v>-8.7964814074370248E-2</v>
      </c>
      <c r="T40" s="215">
        <f t="shared" si="54"/>
        <v>0</v>
      </c>
      <c r="U40" s="216">
        <f t="shared" si="54"/>
        <v>1.136375270017097E-3</v>
      </c>
      <c r="V40" s="214">
        <f t="shared" si="54"/>
        <v>1.1583935666076301E-3</v>
      </c>
      <c r="W40" s="215">
        <f t="shared" si="54"/>
        <v>-2.8466926607087403E-4</v>
      </c>
      <c r="X40" s="215">
        <f t="shared" si="54"/>
        <v>-5.2410773537555584E-2</v>
      </c>
      <c r="Y40" s="216">
        <f t="shared" si="54"/>
        <v>-1.7445753691803429E-3</v>
      </c>
      <c r="Z40" s="214">
        <f t="shared" ref="Z40" si="55">+Z39/Z37</f>
        <v>-1.3626596004884595E-3</v>
      </c>
      <c r="AA40" s="215">
        <f t="shared" si="54"/>
        <v>4.7868389025494424E-4</v>
      </c>
      <c r="AB40" s="215">
        <f t="shared" ref="AB40" si="56">+AB39/AB37</f>
        <v>-2.7005723896113592E-2</v>
      </c>
      <c r="AC40" s="216">
        <f t="shared" si="54"/>
        <v>-9.1728314322357066E-3</v>
      </c>
      <c r="AD40" s="148">
        <v>0.25</v>
      </c>
      <c r="AE40" s="148">
        <v>0.25</v>
      </c>
      <c r="AF40" s="148">
        <v>0.25</v>
      </c>
      <c r="AG40" s="671">
        <v>0.25</v>
      </c>
      <c r="AK40" s="188">
        <f>+(AK39/AK37)*-1</f>
        <v>1.9945753018539646E-2</v>
      </c>
      <c r="AL40" s="188">
        <f>+(AL39/AL37)*-1</f>
        <v>1.3570497584911446E-2</v>
      </c>
      <c r="AM40" s="188">
        <f t="shared" ref="AM40:AN40" si="57">+(AM39/AM37)*-1</f>
        <v>5.2959397218000307E-3</v>
      </c>
      <c r="AN40" s="188">
        <f t="shared" si="57"/>
        <v>0</v>
      </c>
      <c r="AO40" s="148">
        <v>0.25</v>
      </c>
      <c r="AP40" s="148">
        <v>0.25</v>
      </c>
      <c r="AQ40" s="148">
        <v>0.25</v>
      </c>
      <c r="AR40" s="148">
        <v>0.2</v>
      </c>
      <c r="AS40" s="148">
        <v>0.2</v>
      </c>
      <c r="AT40" s="148">
        <v>0.2</v>
      </c>
      <c r="AU40" s="148">
        <v>0.2</v>
      </c>
    </row>
    <row r="41" spans="9:49">
      <c r="R41" s="101"/>
      <c r="S41" s="102"/>
      <c r="T41" s="102"/>
      <c r="U41" s="103"/>
      <c r="V41" s="101"/>
      <c r="W41" s="102"/>
      <c r="X41" s="23"/>
      <c r="Y41" s="24"/>
      <c r="Z41" s="101"/>
      <c r="AA41" s="192"/>
      <c r="AB41" s="192"/>
      <c r="AC41" s="193"/>
      <c r="AD41" s="106"/>
      <c r="AE41" s="192"/>
      <c r="AF41" s="192"/>
      <c r="AG41" s="193"/>
      <c r="AK41" s="3"/>
      <c r="AL41" s="3"/>
      <c r="AM41" s="3"/>
      <c r="AN41" s="3"/>
      <c r="AO41" s="3"/>
      <c r="AP41" s="3"/>
      <c r="AQ41" s="3"/>
      <c r="AR41" s="3"/>
      <c r="AS41" s="3"/>
      <c r="AT41" s="3"/>
      <c r="AU41" s="3"/>
    </row>
    <row r="42" spans="9:49">
      <c r="R42" s="22"/>
      <c r="S42" s="23"/>
      <c r="T42" s="23"/>
      <c r="U42" s="24"/>
      <c r="V42" s="22"/>
      <c r="W42" s="23"/>
      <c r="X42" s="23"/>
      <c r="Y42" s="24"/>
      <c r="Z42" s="22"/>
      <c r="AA42" s="192"/>
      <c r="AB42" s="195"/>
      <c r="AC42" s="193"/>
      <c r="AD42" s="106"/>
      <c r="AE42" s="192"/>
      <c r="AF42" s="192"/>
      <c r="AG42" s="193"/>
      <c r="AK42" s="208"/>
      <c r="AL42" s="208"/>
      <c r="AM42" s="208"/>
      <c r="AN42" s="208"/>
      <c r="AO42" s="208"/>
      <c r="AP42" s="208"/>
      <c r="AQ42" s="208"/>
      <c r="AR42" s="208"/>
      <c r="AS42" s="208"/>
      <c r="AT42" s="208"/>
      <c r="AU42" s="208"/>
    </row>
    <row r="43" spans="9:49">
      <c r="I43" s="1" t="s">
        <v>445</v>
      </c>
      <c r="R43" s="47">
        <f t="shared" ref="R43:AG43" si="58">+R37+R39</f>
        <v>-98.611999999999981</v>
      </c>
      <c r="S43" s="48">
        <f t="shared" si="58"/>
        <v>-79.835000000000008</v>
      </c>
      <c r="T43" s="48">
        <f t="shared" si="58"/>
        <v>-96.655999999999992</v>
      </c>
      <c r="U43" s="49">
        <f t="shared" si="58"/>
        <v>-97.789999999999992</v>
      </c>
      <c r="V43" s="47">
        <f t="shared" si="58"/>
        <v>-104.57599999999999</v>
      </c>
      <c r="W43" s="48">
        <f t="shared" si="58"/>
        <v>-115.89100000000001</v>
      </c>
      <c r="X43" s="48">
        <f t="shared" si="58"/>
        <v>-124.22800000000002</v>
      </c>
      <c r="Y43" s="49">
        <f t="shared" si="58"/>
        <v>-169.94500000000002</v>
      </c>
      <c r="Z43" s="47">
        <f t="shared" ref="Z43" si="59">+Z37+Z39</f>
        <v>-2208.837</v>
      </c>
      <c r="AA43" s="48">
        <f t="shared" si="58"/>
        <v>-443.09300000000007</v>
      </c>
      <c r="AB43" s="48">
        <f t="shared" ref="AB43" si="60">+AB37+AB39</f>
        <v>-443.15899999999999</v>
      </c>
      <c r="AC43" s="49">
        <f t="shared" si="58"/>
        <v>-349.97700000000003</v>
      </c>
      <c r="AD43" s="47">
        <f t="shared" si="58"/>
        <v>-287.09463855421683</v>
      </c>
      <c r="AE43" s="48">
        <f t="shared" si="58"/>
        <v>-307.05685873563226</v>
      </c>
      <c r="AF43" s="48">
        <f t="shared" si="58"/>
        <v>-320.02308964175307</v>
      </c>
      <c r="AG43" s="49">
        <f t="shared" si="58"/>
        <v>-258.2755318917155</v>
      </c>
      <c r="AK43" s="3">
        <f>+SUM(R43:U43)</f>
        <v>-372.89300000000003</v>
      </c>
      <c r="AL43" s="3">
        <f>+SUM(V43:Y43)</f>
        <v>-514.64</v>
      </c>
      <c r="AM43" s="3">
        <f>+SUM(Z43:AC43)</f>
        <v>-3445.0660000000003</v>
      </c>
      <c r="AN43" s="3">
        <f>+SUM(AD43:AG43)</f>
        <v>-1172.4501188233176</v>
      </c>
      <c r="AO43" s="3">
        <f t="shared" ref="AO43:AU43" si="61">+AO37+AO39</f>
        <v>-909.3383986213837</v>
      </c>
      <c r="AP43" s="3">
        <f t="shared" si="61"/>
        <v>-675.89163111927803</v>
      </c>
      <c r="AQ43" s="3">
        <f t="shared" si="61"/>
        <v>-317.00562297508543</v>
      </c>
      <c r="AR43" s="3">
        <f t="shared" si="61"/>
        <v>126.81082406417693</v>
      </c>
      <c r="AS43" s="3">
        <f t="shared" si="61"/>
        <v>530.31484342794511</v>
      </c>
      <c r="AT43" s="3">
        <f t="shared" si="61"/>
        <v>928.43018258832944</v>
      </c>
      <c r="AU43" s="3">
        <f t="shared" si="61"/>
        <v>1310.8565052856413</v>
      </c>
      <c r="AV43" s="3"/>
    </row>
    <row r="44" spans="9:49">
      <c r="R44" s="47"/>
      <c r="S44" s="48"/>
      <c r="T44" s="48"/>
      <c r="U44" s="49"/>
      <c r="V44" s="47"/>
      <c r="W44" s="48"/>
      <c r="X44" s="48"/>
      <c r="Y44" s="49"/>
      <c r="Z44" s="47"/>
      <c r="AA44" s="48"/>
      <c r="AB44" s="48"/>
      <c r="AC44" s="49"/>
      <c r="AD44" s="47"/>
      <c r="AE44" s="48"/>
      <c r="AF44" s="48"/>
      <c r="AG44" s="49"/>
      <c r="AK44" s="3"/>
      <c r="AL44" s="3"/>
      <c r="AM44" s="3"/>
      <c r="AN44" s="3"/>
      <c r="AO44" s="3"/>
      <c r="AP44" s="3"/>
      <c r="AQ44" s="3"/>
      <c r="AR44" s="3"/>
      <c r="AS44" s="3"/>
      <c r="AT44" s="3"/>
      <c r="AU44" s="3"/>
      <c r="AV44" s="3"/>
    </row>
    <row r="45" spans="9:49">
      <c r="I45" s="105" t="s">
        <v>382</v>
      </c>
      <c r="R45" s="47"/>
      <c r="S45" s="48"/>
      <c r="T45" s="48"/>
      <c r="U45" s="49"/>
      <c r="V45" s="47"/>
      <c r="W45" s="48"/>
      <c r="X45" s="48"/>
      <c r="Y45" s="49"/>
      <c r="Z45" s="522">
        <f>+Z43/Z47</f>
        <v>-2.31</v>
      </c>
      <c r="AA45" s="661">
        <f t="shared" ref="AA45:AG45" si="62">+AA43/AA47</f>
        <v>-0.31147773958700931</v>
      </c>
      <c r="AB45" s="661">
        <f t="shared" ref="AB45" si="63">+AB43/AB47</f>
        <v>-0.30753573907009019</v>
      </c>
      <c r="AC45" s="524">
        <f t="shared" si="62"/>
        <v>-0.24646267605633806</v>
      </c>
      <c r="AD45" s="522">
        <f t="shared" si="62"/>
        <v>-0.20076548150644533</v>
      </c>
      <c r="AE45" s="523">
        <f t="shared" si="62"/>
        <v>-0.21323392967752242</v>
      </c>
      <c r="AF45" s="523">
        <f t="shared" si="62"/>
        <v>-0.22070557906327798</v>
      </c>
      <c r="AG45" s="524">
        <f t="shared" si="62"/>
        <v>-0.17690104924090103</v>
      </c>
      <c r="AK45" s="3"/>
      <c r="AL45" s="523"/>
      <c r="AM45" s="523">
        <f>+AM43/AM47</f>
        <v>-2.629943038997522</v>
      </c>
      <c r="AN45" s="523">
        <f>+AN43/AN47</f>
        <v>-0.81138416527565227</v>
      </c>
      <c r="AO45" s="523">
        <f>+AO43/AO47</f>
        <v>-0.61441783690634033</v>
      </c>
      <c r="AP45" s="523">
        <f t="shared" ref="AP45:AU45" si="64">+AP43/AP48</f>
        <v>-0.4467228229473087</v>
      </c>
      <c r="AQ45" s="523">
        <f t="shared" si="64"/>
        <v>-0.2051816329935828</v>
      </c>
      <c r="AR45" s="523">
        <f t="shared" si="64"/>
        <v>8.0514808929636139E-2</v>
      </c>
      <c r="AS45" s="523">
        <f t="shared" si="64"/>
        <v>0.33041423266538639</v>
      </c>
      <c r="AT45" s="523">
        <f t="shared" si="64"/>
        <v>0.56889104325265283</v>
      </c>
      <c r="AU45" s="523">
        <f t="shared" si="64"/>
        <v>0.79014858667006715</v>
      </c>
      <c r="AV45" s="3"/>
    </row>
    <row r="46" spans="9:49">
      <c r="R46" s="47"/>
      <c r="S46" s="48"/>
      <c r="T46" s="48"/>
      <c r="U46" s="49"/>
      <c r="V46" s="47"/>
      <c r="W46" s="48"/>
      <c r="X46" s="48"/>
      <c r="Y46" s="49"/>
      <c r="Z46" s="106"/>
      <c r="AA46" s="192"/>
      <c r="AB46" s="192"/>
      <c r="AC46" s="193"/>
      <c r="AD46" s="106"/>
      <c r="AE46" s="192"/>
      <c r="AF46" s="192"/>
      <c r="AG46" s="193"/>
      <c r="AK46" s="3"/>
      <c r="AL46" s="3"/>
      <c r="AM46" s="3"/>
      <c r="AN46" s="3"/>
      <c r="AO46" s="3"/>
      <c r="AP46" s="3"/>
      <c r="AQ46" s="3"/>
      <c r="AR46" s="3"/>
      <c r="AS46" s="3"/>
      <c r="AT46" s="3"/>
      <c r="AU46" s="3"/>
      <c r="AV46" s="3"/>
    </row>
    <row r="47" spans="9:49">
      <c r="I47" s="1" t="s">
        <v>337</v>
      </c>
      <c r="R47" s="47"/>
      <c r="S47" s="48"/>
      <c r="T47" s="48"/>
      <c r="U47" s="49"/>
      <c r="V47" s="47"/>
      <c r="W47" s="48"/>
      <c r="X47" s="48"/>
      <c r="Y47" s="49"/>
      <c r="Z47" s="689">
        <f>-2208.837/-2.31</f>
        <v>956.20649350649353</v>
      </c>
      <c r="AA47" s="195">
        <f>+AA48</f>
        <v>1422.5510965486665</v>
      </c>
      <c r="AB47" s="195">
        <f>+AB48</f>
        <v>1441</v>
      </c>
      <c r="AC47" s="196">
        <f t="shared" ref="AC47:AG47" si="65">+AC63</f>
        <v>1420</v>
      </c>
      <c r="AD47" s="194">
        <f t="shared" si="65"/>
        <v>1430</v>
      </c>
      <c r="AE47" s="195">
        <f t="shared" si="65"/>
        <v>1440</v>
      </c>
      <c r="AF47" s="195">
        <f t="shared" si="65"/>
        <v>1450</v>
      </c>
      <c r="AG47" s="196">
        <f t="shared" si="65"/>
        <v>1460</v>
      </c>
      <c r="AK47" s="585" t="s">
        <v>417</v>
      </c>
      <c r="AL47" s="585" t="s">
        <v>417</v>
      </c>
      <c r="AM47" s="3">
        <f>+AVERAGE(Z47:AC47)</f>
        <v>1309.93939751379</v>
      </c>
      <c r="AN47" s="3">
        <f>+AVERAGE(AD47:AG47)</f>
        <v>1445</v>
      </c>
      <c r="AO47" s="3">
        <f t="shared" ref="AO47:AU47" si="66">+(AN47/AN48)*AO48</f>
        <v>1480</v>
      </c>
      <c r="AP47" s="3">
        <f t="shared" si="66"/>
        <v>1513</v>
      </c>
      <c r="AQ47" s="3">
        <f t="shared" si="66"/>
        <v>1545</v>
      </c>
      <c r="AR47" s="3">
        <f t="shared" si="66"/>
        <v>1575</v>
      </c>
      <c r="AS47" s="3">
        <f t="shared" si="66"/>
        <v>1605</v>
      </c>
      <c r="AT47" s="3">
        <f t="shared" si="66"/>
        <v>1632</v>
      </c>
      <c r="AU47" s="3">
        <f t="shared" si="66"/>
        <v>1659</v>
      </c>
      <c r="AV47" s="3"/>
    </row>
    <row r="48" spans="9:49">
      <c r="I48" s="1" t="s">
        <v>202</v>
      </c>
      <c r="R48" s="47"/>
      <c r="S48" s="48"/>
      <c r="T48" s="48"/>
      <c r="U48" s="49"/>
      <c r="V48" s="47"/>
      <c r="W48" s="48"/>
      <c r="X48" s="48"/>
      <c r="Y48" s="49"/>
      <c r="Z48" s="194">
        <f>+Z64</f>
        <v>1404.1021930973332</v>
      </c>
      <c r="AA48" s="195">
        <f t="shared" ref="AA48:AG48" si="67">+AA64</f>
        <v>1422.5510965486665</v>
      </c>
      <c r="AB48" s="195">
        <f t="shared" ref="AB48" si="68">+AB64</f>
        <v>1441</v>
      </c>
      <c r="AC48" s="196">
        <f t="shared" si="67"/>
        <v>1420</v>
      </c>
      <c r="AD48" s="194">
        <f t="shared" si="67"/>
        <v>1430</v>
      </c>
      <c r="AE48" s="195">
        <f t="shared" si="67"/>
        <v>1440</v>
      </c>
      <c r="AF48" s="195">
        <f t="shared" si="67"/>
        <v>1450</v>
      </c>
      <c r="AG48" s="196">
        <f t="shared" si="67"/>
        <v>1460</v>
      </c>
      <c r="AK48" s="585" t="s">
        <v>417</v>
      </c>
      <c r="AL48" s="585" t="s">
        <v>417</v>
      </c>
      <c r="AM48" s="3">
        <f>+AVERAGE(Z48:AC48)</f>
        <v>1421.9133224114998</v>
      </c>
      <c r="AN48" s="3">
        <f>+AVERAGE(AD48:AG48)</f>
        <v>1445</v>
      </c>
      <c r="AO48" s="3">
        <f t="shared" ref="AO48:AU48" si="69">+AO69</f>
        <v>1480</v>
      </c>
      <c r="AP48" s="3">
        <f t="shared" si="69"/>
        <v>1513</v>
      </c>
      <c r="AQ48" s="3">
        <f t="shared" si="69"/>
        <v>1545</v>
      </c>
      <c r="AR48" s="3">
        <f t="shared" si="69"/>
        <v>1575</v>
      </c>
      <c r="AS48" s="3">
        <f t="shared" si="69"/>
        <v>1605</v>
      </c>
      <c r="AT48" s="3">
        <f t="shared" si="69"/>
        <v>1632</v>
      </c>
      <c r="AU48" s="3">
        <f t="shared" si="69"/>
        <v>1659</v>
      </c>
      <c r="AV48" s="3"/>
      <c r="AW48" s="519"/>
    </row>
    <row r="49" spans="2:48">
      <c r="R49" s="47"/>
      <c r="S49" s="48"/>
      <c r="T49" s="48"/>
      <c r="U49" s="49"/>
      <c r="V49" s="47"/>
      <c r="W49" s="48"/>
      <c r="X49" s="48"/>
      <c r="Y49" s="49"/>
      <c r="Z49" s="106"/>
      <c r="AA49" s="192"/>
      <c r="AB49" s="192"/>
      <c r="AC49" s="193"/>
      <c r="AD49" s="106"/>
      <c r="AE49" s="192"/>
      <c r="AF49" s="192"/>
      <c r="AG49" s="193"/>
      <c r="AK49" s="3"/>
      <c r="AL49" s="160"/>
      <c r="AM49" s="3"/>
      <c r="AN49" s="3"/>
      <c r="AO49" s="3"/>
      <c r="AP49" s="3"/>
      <c r="AQ49" s="3"/>
      <c r="AR49" s="3"/>
      <c r="AS49" s="3"/>
      <c r="AT49" s="3"/>
      <c r="AU49" s="3"/>
      <c r="AV49" s="3"/>
    </row>
    <row r="50" spans="2:48">
      <c r="I50" s="1" t="s">
        <v>242</v>
      </c>
      <c r="R50" s="22"/>
      <c r="S50" s="23"/>
      <c r="T50" s="23"/>
      <c r="U50" s="24"/>
      <c r="V50" s="22"/>
      <c r="W50" s="23"/>
      <c r="X50" s="23"/>
      <c r="Y50" s="24"/>
      <c r="Z50" s="106"/>
      <c r="AA50" s="192"/>
      <c r="AB50" s="192"/>
      <c r="AC50" s="193"/>
      <c r="AD50" s="106"/>
      <c r="AE50" s="192"/>
      <c r="AF50" s="192"/>
      <c r="AG50" s="193"/>
      <c r="AN50" s="597"/>
      <c r="AQ50" s="3"/>
      <c r="AR50" s="3"/>
      <c r="AS50" s="3"/>
      <c r="AT50" s="3"/>
      <c r="AU50" s="3"/>
    </row>
    <row r="51" spans="2:48">
      <c r="I51" s="1" t="s">
        <v>175</v>
      </c>
      <c r="R51" s="22"/>
      <c r="S51" s="23"/>
      <c r="T51" s="23"/>
      <c r="U51" s="24"/>
      <c r="V51" s="22"/>
      <c r="W51" s="23"/>
      <c r="X51" s="23"/>
      <c r="Y51" s="24"/>
      <c r="Z51" s="106"/>
      <c r="AA51" s="192"/>
      <c r="AB51" s="192"/>
      <c r="AC51" s="193"/>
      <c r="AD51" s="106"/>
      <c r="AE51" s="192"/>
      <c r="AF51" s="192"/>
      <c r="AG51" s="193"/>
    </row>
    <row r="52" spans="2:48">
      <c r="I52" s="14" t="s">
        <v>176</v>
      </c>
      <c r="R52" s="47">
        <f t="shared" ref="R52:AG52" si="70">-R31</f>
        <v>-0.19400000000000001</v>
      </c>
      <c r="S52" s="48">
        <f t="shared" si="70"/>
        <v>-0.33200000000000002</v>
      </c>
      <c r="T52" s="48">
        <f t="shared" si="70"/>
        <v>-0.47499999999999998</v>
      </c>
      <c r="U52" s="49">
        <f t="shared" si="70"/>
        <v>-0.39800000000000002</v>
      </c>
      <c r="V52" s="47">
        <f t="shared" si="70"/>
        <v>-0.35899999999999999</v>
      </c>
      <c r="W52" s="48">
        <f t="shared" si="70"/>
        <v>-0.874</v>
      </c>
      <c r="X52" s="48">
        <f t="shared" si="70"/>
        <v>-1.9379999999999999</v>
      </c>
      <c r="Y52" s="49">
        <f t="shared" si="70"/>
        <v>-1.486</v>
      </c>
      <c r="Z52" s="47">
        <f t="shared" ref="Z52" si="71">-Z31</f>
        <v>-2.4239999999999999</v>
      </c>
      <c r="AA52" s="48">
        <f t="shared" si="70"/>
        <v>-6.3490000000000002</v>
      </c>
      <c r="AB52" s="48">
        <f t="shared" ref="AB52" si="72">-AB31</f>
        <v>-6.2530000000000001</v>
      </c>
      <c r="AC52" s="49">
        <f t="shared" si="70"/>
        <v>-6.07</v>
      </c>
      <c r="AD52" s="47">
        <f t="shared" si="70"/>
        <v>-1.25</v>
      </c>
      <c r="AE52" s="48">
        <f t="shared" si="70"/>
        <v>-1.25</v>
      </c>
      <c r="AF52" s="48">
        <f t="shared" si="70"/>
        <v>-1.25</v>
      </c>
      <c r="AG52" s="49">
        <f t="shared" si="70"/>
        <v>-1.25</v>
      </c>
      <c r="AK52" s="3">
        <f t="shared" ref="AK52:AK57" si="73">+SUM(R52:U52)</f>
        <v>-1.399</v>
      </c>
      <c r="AL52" s="3">
        <f t="shared" ref="AL52:AL57" si="74">+SUM(V52:Y52)</f>
        <v>-4.657</v>
      </c>
      <c r="AM52" s="3">
        <f>+SUM(Z52:AC52)</f>
        <v>-21.096</v>
      </c>
      <c r="AN52" s="3">
        <f>+SUM(AD52:AG52)</f>
        <v>-5</v>
      </c>
      <c r="AO52" s="3">
        <f t="shared" ref="AO52:AU52" si="75">-AO31</f>
        <v>-5</v>
      </c>
      <c r="AP52" s="3">
        <f t="shared" si="75"/>
        <v>-5</v>
      </c>
      <c r="AQ52" s="3">
        <f t="shared" si="75"/>
        <v>-5</v>
      </c>
      <c r="AR52" s="3">
        <f t="shared" si="75"/>
        <v>-5</v>
      </c>
      <c r="AS52" s="3">
        <f t="shared" si="75"/>
        <v>-5</v>
      </c>
      <c r="AT52" s="3">
        <f t="shared" si="75"/>
        <v>-5</v>
      </c>
      <c r="AU52" s="3">
        <f t="shared" si="75"/>
        <v>-5</v>
      </c>
    </row>
    <row r="53" spans="2:48">
      <c r="I53" s="163" t="s">
        <v>177</v>
      </c>
      <c r="R53" s="47">
        <f t="shared" ref="R53:AG53" si="76">-R32</f>
        <v>0</v>
      </c>
      <c r="S53" s="48">
        <f t="shared" si="76"/>
        <v>0</v>
      </c>
      <c r="T53" s="48">
        <f t="shared" si="76"/>
        <v>0</v>
      </c>
      <c r="U53" s="49">
        <f t="shared" si="76"/>
        <v>0</v>
      </c>
      <c r="V53" s="47">
        <f t="shared" si="76"/>
        <v>0</v>
      </c>
      <c r="W53" s="48">
        <f t="shared" si="76"/>
        <v>0</v>
      </c>
      <c r="X53" s="48">
        <f t="shared" si="76"/>
        <v>0.64800000000000002</v>
      </c>
      <c r="Y53" s="49">
        <f t="shared" si="76"/>
        <v>0.77600000000000002</v>
      </c>
      <c r="Z53" s="47">
        <f t="shared" ref="Z53" si="77">-Z32</f>
        <v>0.69499999999999995</v>
      </c>
      <c r="AA53" s="48">
        <f t="shared" si="76"/>
        <v>0.998</v>
      </c>
      <c r="AB53" s="48">
        <f t="shared" ref="AB53" si="78">-AB32</f>
        <v>0.88700000000000001</v>
      </c>
      <c r="AC53" s="49">
        <f t="shared" si="76"/>
        <v>0.876</v>
      </c>
      <c r="AD53" s="47">
        <f t="shared" si="76"/>
        <v>0.7</v>
      </c>
      <c r="AE53" s="48">
        <f t="shared" si="76"/>
        <v>0.7</v>
      </c>
      <c r="AF53" s="48">
        <f t="shared" si="76"/>
        <v>0.7</v>
      </c>
      <c r="AG53" s="49">
        <f t="shared" si="76"/>
        <v>0.7</v>
      </c>
      <c r="AK53" s="3">
        <f t="shared" si="73"/>
        <v>0</v>
      </c>
      <c r="AL53" s="3">
        <f t="shared" si="74"/>
        <v>1.4239999999999999</v>
      </c>
      <c r="AM53" s="3">
        <f t="shared" ref="AM53:AM57" si="79">+SUM(Z53:AC53)</f>
        <v>3.456</v>
      </c>
      <c r="AN53" s="3">
        <f t="shared" ref="AN53:AN57" si="80">+SUM(AD53:AG53)</f>
        <v>2.8</v>
      </c>
      <c r="AO53" s="3">
        <f>+AO32</f>
        <v>-4.97898</v>
      </c>
      <c r="AP53" s="3">
        <f t="shared" ref="AP53:AU53" si="81">+AP32</f>
        <v>-4.97898</v>
      </c>
      <c r="AQ53" s="3">
        <f t="shared" si="81"/>
        <v>-4.97898</v>
      </c>
      <c r="AR53" s="3">
        <f t="shared" si="81"/>
        <v>-4.97898</v>
      </c>
      <c r="AS53" s="3">
        <f t="shared" si="81"/>
        <v>-4.97898</v>
      </c>
      <c r="AT53" s="3">
        <f t="shared" si="81"/>
        <v>-4.97898</v>
      </c>
      <c r="AU53" s="3">
        <f t="shared" si="81"/>
        <v>-4.97898</v>
      </c>
    </row>
    <row r="54" spans="2:48">
      <c r="I54" s="14" t="s">
        <v>178</v>
      </c>
      <c r="R54" s="47">
        <f t="shared" ref="R54:AG54" si="82">-R35</f>
        <v>-0.04</v>
      </c>
      <c r="S54" s="48">
        <f t="shared" si="82"/>
        <v>4.5999999999999999E-2</v>
      </c>
      <c r="T54" s="48">
        <f t="shared" si="82"/>
        <v>0.22900000000000001</v>
      </c>
      <c r="U54" s="49">
        <f t="shared" si="82"/>
        <v>-8.3000000000000004E-2</v>
      </c>
      <c r="V54" s="47">
        <f t="shared" si="82"/>
        <v>0.99299999999999999</v>
      </c>
      <c r="W54" s="48">
        <f t="shared" si="82"/>
        <v>0.93899999999999995</v>
      </c>
      <c r="X54" s="48">
        <f t="shared" si="82"/>
        <v>1.421</v>
      </c>
      <c r="Y54" s="49">
        <f t="shared" si="82"/>
        <v>1.2150000000000001</v>
      </c>
      <c r="Z54" s="47">
        <f t="shared" ref="Z54" si="83">-Z35</f>
        <v>-0.187</v>
      </c>
      <c r="AA54" s="48">
        <f t="shared" si="82"/>
        <v>-0.78600000000000003</v>
      </c>
      <c r="AB54" s="48">
        <f t="shared" ref="AB54" si="84">-AB35</f>
        <v>-1.002</v>
      </c>
      <c r="AC54" s="49">
        <f t="shared" si="82"/>
        <v>-2.5529999999999999</v>
      </c>
      <c r="AD54" s="47">
        <f t="shared" si="82"/>
        <v>0</v>
      </c>
      <c r="AE54" s="48">
        <f t="shared" si="82"/>
        <v>0</v>
      </c>
      <c r="AF54" s="48">
        <f t="shared" si="82"/>
        <v>0</v>
      </c>
      <c r="AG54" s="49">
        <f t="shared" si="82"/>
        <v>0</v>
      </c>
      <c r="AK54" s="3">
        <f t="shared" si="73"/>
        <v>0.15200000000000002</v>
      </c>
      <c r="AL54" s="3">
        <f t="shared" si="74"/>
        <v>4.5679999999999996</v>
      </c>
      <c r="AM54" s="3">
        <f t="shared" si="79"/>
        <v>-4.5280000000000005</v>
      </c>
      <c r="AN54" s="3">
        <f t="shared" si="80"/>
        <v>0</v>
      </c>
      <c r="AO54" s="3">
        <f>-AO35</f>
        <v>-3.5549999999999997</v>
      </c>
      <c r="AP54" s="3">
        <f t="shared" ref="AP54:AU54" si="85">-AP35</f>
        <v>0</v>
      </c>
      <c r="AQ54" s="3">
        <f t="shared" si="85"/>
        <v>0</v>
      </c>
      <c r="AR54" s="3">
        <f t="shared" si="85"/>
        <v>0.15200000000000002</v>
      </c>
      <c r="AS54" s="3">
        <f t="shared" si="85"/>
        <v>4.72</v>
      </c>
      <c r="AT54" s="3">
        <f t="shared" si="85"/>
        <v>0.19199999999999928</v>
      </c>
      <c r="AU54" s="3">
        <f t="shared" si="85"/>
        <v>0.19199999999999928</v>
      </c>
    </row>
    <row r="55" spans="2:48">
      <c r="I55" s="14" t="s">
        <v>179</v>
      </c>
      <c r="R55" s="47">
        <f t="shared" ref="R55:AG55" si="86">-R39</f>
        <v>0</v>
      </c>
      <c r="S55" s="48">
        <f t="shared" si="86"/>
        <v>-7.7</v>
      </c>
      <c r="T55" s="48">
        <f t="shared" si="86"/>
        <v>0</v>
      </c>
      <c r="U55" s="49">
        <f t="shared" si="86"/>
        <v>0.111</v>
      </c>
      <c r="V55" s="47">
        <f t="shared" si="86"/>
        <v>0.121</v>
      </c>
      <c r="W55" s="48">
        <f t="shared" si="86"/>
        <v>-3.3000000000000002E-2</v>
      </c>
      <c r="X55" s="48">
        <f t="shared" si="86"/>
        <v>-6.8710000000000004</v>
      </c>
      <c r="Y55" s="49">
        <f t="shared" si="86"/>
        <v>-0.29699999999999999</v>
      </c>
      <c r="Z55" s="47">
        <f t="shared" ref="Z55" si="87">-Z39</f>
        <v>-3.0139999999999998</v>
      </c>
      <c r="AA55" s="48">
        <f t="shared" si="86"/>
        <v>0.21199999999999999</v>
      </c>
      <c r="AB55" s="48">
        <f t="shared" ref="AB55" si="88">-AB39</f>
        <v>-12.3</v>
      </c>
      <c r="AC55" s="49">
        <f t="shared" si="86"/>
        <v>-3.24</v>
      </c>
      <c r="AD55" s="47">
        <f t="shared" si="86"/>
        <v>0</v>
      </c>
      <c r="AE55" s="48">
        <f t="shared" si="86"/>
        <v>0</v>
      </c>
      <c r="AF55" s="48">
        <f t="shared" si="86"/>
        <v>0</v>
      </c>
      <c r="AG55" s="49">
        <f t="shared" si="86"/>
        <v>0</v>
      </c>
      <c r="AK55" s="3">
        <f t="shared" si="73"/>
        <v>-7.5890000000000004</v>
      </c>
      <c r="AL55" s="3">
        <f t="shared" si="74"/>
        <v>-7.08</v>
      </c>
      <c r="AM55" s="3">
        <f t="shared" si="79"/>
        <v>-18.341999999999999</v>
      </c>
      <c r="AN55" s="3">
        <f t="shared" si="80"/>
        <v>0</v>
      </c>
      <c r="AO55" s="3">
        <f>-AO39</f>
        <v>0</v>
      </c>
      <c r="AP55" s="3">
        <f t="shared" ref="AP55:AU55" si="89">-AP39</f>
        <v>0</v>
      </c>
      <c r="AQ55" s="3">
        <f t="shared" si="89"/>
        <v>0</v>
      </c>
      <c r="AR55" s="3">
        <f t="shared" si="89"/>
        <v>31.702706016044232</v>
      </c>
      <c r="AS55" s="3">
        <f t="shared" si="89"/>
        <v>132.57871085698628</v>
      </c>
      <c r="AT55" s="3">
        <f t="shared" si="89"/>
        <v>232.10754564708236</v>
      </c>
      <c r="AU55" s="3">
        <f t="shared" si="89"/>
        <v>327.71412632141033</v>
      </c>
    </row>
    <row r="56" spans="2:48">
      <c r="I56" s="14" t="s">
        <v>180</v>
      </c>
      <c r="R56" s="101">
        <v>3.198</v>
      </c>
      <c r="S56" s="102">
        <v>3.8820000000000001</v>
      </c>
      <c r="T56" s="102">
        <v>4.1180000000000003</v>
      </c>
      <c r="U56" s="103">
        <v>4.109</v>
      </c>
      <c r="V56" s="101">
        <v>5.0490000000000004</v>
      </c>
      <c r="W56" s="102">
        <v>5.9960000000000004</v>
      </c>
      <c r="X56" s="102">
        <v>7.4370000000000003</v>
      </c>
      <c r="Y56" s="103">
        <v>10.632999999999999</v>
      </c>
      <c r="Z56" s="101">
        <v>12.45</v>
      </c>
      <c r="AA56" s="102">
        <v>12.585000000000001</v>
      </c>
      <c r="AB56" s="102">
        <v>17.466999999999999</v>
      </c>
      <c r="AC56" s="103">
        <v>18.786000000000001</v>
      </c>
      <c r="AD56" s="194">
        <f t="shared" ref="AD56:AG56" si="90">+AD240</f>
        <v>13.97045</v>
      </c>
      <c r="AE56" s="195">
        <f t="shared" si="90"/>
        <v>14.86225</v>
      </c>
      <c r="AF56" s="195">
        <f t="shared" si="90"/>
        <v>19.141200000000005</v>
      </c>
      <c r="AG56" s="196">
        <f t="shared" si="90"/>
        <v>16.062799999999999</v>
      </c>
      <c r="AK56" s="3">
        <f t="shared" si="73"/>
        <v>15.307</v>
      </c>
      <c r="AL56" s="3">
        <f t="shared" si="74"/>
        <v>29.115000000000002</v>
      </c>
      <c r="AM56" s="3">
        <f t="shared" si="79"/>
        <v>61.287999999999997</v>
      </c>
      <c r="AN56" s="3">
        <f t="shared" si="80"/>
        <v>64.036699999999996</v>
      </c>
      <c r="AO56" s="3">
        <f t="shared" ref="AO56:AU56" si="91">AO240</f>
        <v>72.486699999999985</v>
      </c>
      <c r="AP56" s="3">
        <f t="shared" si="91"/>
        <v>74.110799999999983</v>
      </c>
      <c r="AQ56" s="3">
        <f t="shared" si="91"/>
        <v>73.984899999999982</v>
      </c>
      <c r="AR56" s="3">
        <f t="shared" si="91"/>
        <v>80.034899999999979</v>
      </c>
      <c r="AS56" s="3">
        <f t="shared" si="91"/>
        <v>84.984899999999968</v>
      </c>
      <c r="AT56" s="3">
        <f t="shared" si="91"/>
        <v>89.384899999999973</v>
      </c>
      <c r="AU56" s="3">
        <f t="shared" si="91"/>
        <v>93.234899999999968</v>
      </c>
    </row>
    <row r="57" spans="2:48">
      <c r="I57" s="163" t="s">
        <v>61</v>
      </c>
      <c r="R57" s="101">
        <v>51.661999999999999</v>
      </c>
      <c r="S57" s="102">
        <v>6.0359999999999996</v>
      </c>
      <c r="T57" s="102">
        <v>8.7089999999999996</v>
      </c>
      <c r="U57" s="103">
        <v>7.117</v>
      </c>
      <c r="V57" s="101">
        <v>5.5380000000000003</v>
      </c>
      <c r="W57" s="102">
        <v>4.742</v>
      </c>
      <c r="X57" s="102">
        <v>14.795</v>
      </c>
      <c r="Y57" s="103">
        <v>6.7670000000000003</v>
      </c>
      <c r="Z57" s="101">
        <f>1992.121+20.953</f>
        <v>2013.0740000000001</v>
      </c>
      <c r="AA57" s="102">
        <v>242.44300000000001</v>
      </c>
      <c r="AB57" s="102">
        <v>225.59200000000001</v>
      </c>
      <c r="AC57" s="103">
        <f>181.044+2.212</f>
        <v>183.256</v>
      </c>
      <c r="AD57" s="194">
        <f>+'Expense Model'!AD162</f>
        <v>69</v>
      </c>
      <c r="AE57" s="195">
        <f>+'Expense Model'!AE162</f>
        <v>100</v>
      </c>
      <c r="AF57" s="195">
        <f>+'Expense Model'!AF162</f>
        <v>100</v>
      </c>
      <c r="AG57" s="196">
        <f>+'Expense Model'!AG162</f>
        <v>100</v>
      </c>
      <c r="AK57" s="3">
        <f t="shared" si="73"/>
        <v>73.524000000000001</v>
      </c>
      <c r="AL57" s="3">
        <f t="shared" si="74"/>
        <v>31.842000000000002</v>
      </c>
      <c r="AM57" s="3">
        <f t="shared" si="79"/>
        <v>2664.3650000000002</v>
      </c>
      <c r="AN57" s="3">
        <f t="shared" si="80"/>
        <v>369</v>
      </c>
      <c r="AO57" s="3">
        <f>'Expense Model'!AO162</f>
        <v>415</v>
      </c>
      <c r="AP57" s="3">
        <f>'Expense Model'!AP162</f>
        <v>448.20000000000005</v>
      </c>
      <c r="AQ57" s="3">
        <f>'Expense Model'!AQ162</f>
        <v>484.0560000000001</v>
      </c>
      <c r="AR57" s="3">
        <f>'Expense Model'!AR162</f>
        <v>508.25880000000012</v>
      </c>
      <c r="AS57" s="3">
        <f>'Expense Model'!AS162</f>
        <v>533.67174000000011</v>
      </c>
      <c r="AT57" s="3">
        <f>'Expense Model'!AT162</f>
        <v>560.3553270000001</v>
      </c>
      <c r="AU57" s="3">
        <f>'Expense Model'!AU162</f>
        <v>588.37309335000009</v>
      </c>
    </row>
    <row r="58" spans="2:48">
      <c r="I58" s="163"/>
      <c r="R58" s="47"/>
      <c r="S58" s="48"/>
      <c r="T58" s="48"/>
      <c r="U58" s="49"/>
      <c r="V58" s="47"/>
      <c r="W58" s="48"/>
      <c r="X58" s="48"/>
      <c r="Y58" s="49"/>
      <c r="Z58" s="47"/>
      <c r="AA58" s="48"/>
      <c r="AB58" s="48"/>
      <c r="AC58" s="49"/>
      <c r="AD58" s="47"/>
      <c r="AE58" s="48"/>
      <c r="AF58" s="48"/>
      <c r="AG58" s="49"/>
      <c r="AK58" s="3"/>
      <c r="AL58" s="3"/>
      <c r="AM58" s="3"/>
      <c r="AN58" s="3"/>
      <c r="AO58" s="3"/>
      <c r="AP58" s="3"/>
      <c r="AQ58" s="3"/>
      <c r="AR58" s="3"/>
      <c r="AS58" s="3"/>
      <c r="AT58" s="3"/>
      <c r="AU58" s="3"/>
    </row>
    <row r="59" spans="2:48" hidden="1" outlineLevel="1">
      <c r="I59" s="163" t="s">
        <v>204</v>
      </c>
      <c r="R59" s="593">
        <f>R43+SUM(R52:R57)</f>
        <v>-43.985999999999983</v>
      </c>
      <c r="S59" s="594">
        <f t="shared" ref="S59:AG59" si="92">S43+SUM(S52:S57)</f>
        <v>-77.903000000000006</v>
      </c>
      <c r="T59" s="594">
        <f t="shared" si="92"/>
        <v>-84.074999999999989</v>
      </c>
      <c r="U59" s="595">
        <f t="shared" si="92"/>
        <v>-86.933999999999997</v>
      </c>
      <c r="V59" s="593">
        <f t="shared" si="92"/>
        <v>-93.233999999999995</v>
      </c>
      <c r="W59" s="594">
        <f t="shared" si="92"/>
        <v>-105.12100000000001</v>
      </c>
      <c r="X59" s="594">
        <f t="shared" si="92"/>
        <v>-108.73600000000002</v>
      </c>
      <c r="Y59" s="595">
        <f t="shared" si="92"/>
        <v>-152.33700000000002</v>
      </c>
      <c r="Z59" s="593">
        <f t="shared" si="92"/>
        <v>-188.24299999999994</v>
      </c>
      <c r="AA59" s="594">
        <f t="shared" si="92"/>
        <v>-193.99000000000007</v>
      </c>
      <c r="AB59" s="594">
        <f t="shared" si="92"/>
        <v>-218.76799999999997</v>
      </c>
      <c r="AC59" s="595">
        <f t="shared" si="92"/>
        <v>-158.92200000000003</v>
      </c>
      <c r="AD59" s="593">
        <f t="shared" si="92"/>
        <v>-204.67418855421681</v>
      </c>
      <c r="AE59" s="594">
        <f t="shared" si="92"/>
        <v>-192.74460873563226</v>
      </c>
      <c r="AF59" s="594">
        <f t="shared" si="92"/>
        <v>-201.43188964175306</v>
      </c>
      <c r="AG59" s="595">
        <f t="shared" si="92"/>
        <v>-142.7627318917155</v>
      </c>
      <c r="AK59" s="594">
        <f t="shared" ref="AK59:AU59" si="93">AK43+SUM(AK52:AK57)</f>
        <v>-292.89800000000002</v>
      </c>
      <c r="AL59" s="594">
        <f t="shared" si="93"/>
        <v>-459.428</v>
      </c>
      <c r="AM59" s="594">
        <f t="shared" si="93"/>
        <v>-759.92300000000023</v>
      </c>
      <c r="AN59" s="594">
        <f>AN43+SUM(AN52:AN57)</f>
        <v>-741.61341882331749</v>
      </c>
      <c r="AO59" s="594">
        <f>AO43+SUM(AO52:AO57)</f>
        <v>-435.3856786213837</v>
      </c>
      <c r="AP59" s="594">
        <f t="shared" si="93"/>
        <v>-163.55981111927804</v>
      </c>
      <c r="AQ59" s="594">
        <f t="shared" si="93"/>
        <v>231.05629702491467</v>
      </c>
      <c r="AR59" s="594">
        <f t="shared" si="93"/>
        <v>736.98025008022125</v>
      </c>
      <c r="AS59" s="594">
        <f t="shared" si="93"/>
        <v>1276.2912142849314</v>
      </c>
      <c r="AT59" s="594">
        <f t="shared" si="93"/>
        <v>1800.490975235412</v>
      </c>
      <c r="AU59" s="594">
        <f t="shared" si="93"/>
        <v>2310.3916449570515</v>
      </c>
    </row>
    <row r="60" spans="2:48" hidden="1" outlineLevel="1">
      <c r="I60" s="163" t="s">
        <v>207</v>
      </c>
      <c r="R60" s="598">
        <f t="shared" ref="R60:AG60" si="94">+R59-R24</f>
        <v>0</v>
      </c>
      <c r="S60" s="596">
        <f t="shared" si="94"/>
        <v>0</v>
      </c>
      <c r="T60" s="596">
        <f t="shared" si="94"/>
        <v>0</v>
      </c>
      <c r="U60" s="599">
        <f t="shared" si="94"/>
        <v>0</v>
      </c>
      <c r="V60" s="598">
        <f t="shared" si="94"/>
        <v>0</v>
      </c>
      <c r="W60" s="596">
        <f t="shared" si="94"/>
        <v>0</v>
      </c>
      <c r="X60" s="596">
        <f t="shared" si="94"/>
        <v>0</v>
      </c>
      <c r="Y60" s="599">
        <f t="shared" si="94"/>
        <v>0</v>
      </c>
      <c r="Z60" s="598">
        <f t="shared" si="94"/>
        <v>0</v>
      </c>
      <c r="AA60" s="596">
        <f t="shared" si="94"/>
        <v>0</v>
      </c>
      <c r="AB60" s="596">
        <f t="shared" si="94"/>
        <v>-39.866999999999962</v>
      </c>
      <c r="AC60" s="599">
        <f t="shared" si="94"/>
        <v>0</v>
      </c>
      <c r="AD60" s="598">
        <f t="shared" si="94"/>
        <v>0</v>
      </c>
      <c r="AE60" s="596">
        <f t="shared" si="94"/>
        <v>0</v>
      </c>
      <c r="AF60" s="596">
        <f t="shared" si="94"/>
        <v>0</v>
      </c>
      <c r="AG60" s="599">
        <f t="shared" si="94"/>
        <v>0</v>
      </c>
      <c r="AK60" s="596">
        <f>+AK59-AK24</f>
        <v>0</v>
      </c>
      <c r="AL60" s="596">
        <f t="shared" ref="AL60:AU60" si="95">+AL59-AL24</f>
        <v>0</v>
      </c>
      <c r="AM60" s="596">
        <f t="shared" si="95"/>
        <v>-39.867000000000417</v>
      </c>
      <c r="AN60" s="596">
        <f t="shared" si="95"/>
        <v>0</v>
      </c>
      <c r="AO60" s="596">
        <f t="shared" si="95"/>
        <v>-9.9579599999999573</v>
      </c>
      <c r="AP60" s="596">
        <f t="shared" si="95"/>
        <v>-9.9579599999999573</v>
      </c>
      <c r="AQ60" s="596">
        <f t="shared" si="95"/>
        <v>-9.9579599999999573</v>
      </c>
      <c r="AR60" s="596">
        <f t="shared" si="95"/>
        <v>-9.957960000000071</v>
      </c>
      <c r="AS60" s="596">
        <f t="shared" si="95"/>
        <v>-9.9579600000001847</v>
      </c>
      <c r="AT60" s="596">
        <f t="shared" si="95"/>
        <v>-9.9579600000001847</v>
      </c>
      <c r="AU60" s="596">
        <f t="shared" si="95"/>
        <v>-9.9579600000001847</v>
      </c>
    </row>
    <row r="61" spans="2:48" hidden="1" outlineLevel="1">
      <c r="I61" s="163"/>
      <c r="R61" s="47"/>
      <c r="S61" s="48"/>
      <c r="T61" s="48"/>
      <c r="U61" s="49"/>
      <c r="V61" s="47"/>
      <c r="W61" s="48"/>
      <c r="X61" s="48"/>
      <c r="Y61" s="49"/>
      <c r="Z61" s="47"/>
      <c r="AA61" s="48"/>
      <c r="AB61" s="48"/>
      <c r="AC61" s="49"/>
      <c r="AD61" s="47"/>
      <c r="AE61" s="48"/>
      <c r="AF61" s="48"/>
      <c r="AG61" s="49"/>
      <c r="AK61" s="3"/>
      <c r="AL61" s="3"/>
      <c r="AM61" s="3"/>
      <c r="AN61" s="3"/>
      <c r="AO61" s="3"/>
      <c r="AP61" s="3"/>
      <c r="AQ61" s="3"/>
      <c r="AR61" s="3"/>
      <c r="AS61" s="3"/>
      <c r="AT61" s="3"/>
      <c r="AU61" s="3"/>
    </row>
    <row r="62" spans="2:48" collapsed="1">
      <c r="I62" s="11" t="s">
        <v>346</v>
      </c>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c r="AP62" s="11"/>
      <c r="AQ62" s="11"/>
      <c r="AR62" s="11"/>
      <c r="AS62" s="11"/>
      <c r="AT62" s="11"/>
      <c r="AU62" s="11"/>
      <c r="AV62" s="485"/>
    </row>
    <row r="63" spans="2:48" s="105" customFormat="1">
      <c r="B63"/>
      <c r="C63"/>
      <c r="D63"/>
      <c r="E63"/>
      <c r="F63"/>
      <c r="G63"/>
      <c r="I63" s="489" t="s">
        <v>337</v>
      </c>
      <c r="J63" s="489"/>
      <c r="K63" s="489"/>
      <c r="L63" s="489"/>
      <c r="M63" s="489"/>
      <c r="N63" s="489"/>
      <c r="O63" s="489"/>
      <c r="P63" s="489"/>
      <c r="Q63" s="489"/>
      <c r="R63" s="489"/>
      <c r="S63" s="489"/>
      <c r="T63" s="489"/>
      <c r="U63" s="489"/>
      <c r="V63" s="489"/>
      <c r="W63" s="489"/>
      <c r="X63" s="489"/>
      <c r="Y63" s="288"/>
      <c r="Z63" s="288">
        <f>Z80</f>
        <v>1172.6199349999997</v>
      </c>
      <c r="AA63" s="288">
        <f>+AA64</f>
        <v>1422.5510965486665</v>
      </c>
      <c r="AB63" s="288">
        <f>+AB64</f>
        <v>1441</v>
      </c>
      <c r="AC63" s="288">
        <f t="shared" ref="AC63:AG63" si="96">+AB63/AB64*AC64</f>
        <v>1420</v>
      </c>
      <c r="AD63" s="288">
        <f t="shared" si="96"/>
        <v>1430</v>
      </c>
      <c r="AE63" s="288">
        <f t="shared" si="96"/>
        <v>1440</v>
      </c>
      <c r="AF63" s="288">
        <f t="shared" si="96"/>
        <v>1450</v>
      </c>
      <c r="AG63" s="288">
        <f t="shared" si="96"/>
        <v>1460</v>
      </c>
      <c r="AH63" s="321"/>
      <c r="AI63" s="321"/>
      <c r="AJ63" s="321"/>
      <c r="AK63" s="321"/>
      <c r="AL63" s="586" t="str">
        <f t="shared" ref="AL63:AN64" si="97">+AL47</f>
        <v>ND</v>
      </c>
      <c r="AM63" s="288">
        <f t="shared" si="97"/>
        <v>1309.93939751379</v>
      </c>
      <c r="AN63" s="288">
        <f t="shared" si="97"/>
        <v>1445</v>
      </c>
      <c r="AO63" s="288">
        <f t="shared" ref="AO63:AU63" si="98">+AN63/AN64*AO64</f>
        <v>1480</v>
      </c>
      <c r="AP63" s="288">
        <f t="shared" si="98"/>
        <v>1513</v>
      </c>
      <c r="AQ63" s="288">
        <f t="shared" si="98"/>
        <v>1545</v>
      </c>
      <c r="AR63" s="288">
        <f t="shared" si="98"/>
        <v>1575</v>
      </c>
      <c r="AS63" s="288">
        <f t="shared" si="98"/>
        <v>1605</v>
      </c>
      <c r="AT63" s="288">
        <f t="shared" si="98"/>
        <v>1632</v>
      </c>
      <c r="AU63" s="288">
        <f t="shared" si="98"/>
        <v>1659</v>
      </c>
      <c r="AV63" s="485"/>
    </row>
    <row r="64" spans="2:48" s="105" customFormat="1">
      <c r="B64"/>
      <c r="C64"/>
      <c r="D64"/>
      <c r="E64"/>
      <c r="F64"/>
      <c r="G64"/>
      <c r="I64" s="489" t="s">
        <v>389</v>
      </c>
      <c r="J64" s="321"/>
      <c r="K64" s="321"/>
      <c r="L64" s="321"/>
      <c r="M64" s="321"/>
      <c r="N64" s="321"/>
      <c r="O64" s="321"/>
      <c r="P64" s="321"/>
      <c r="Q64" s="321"/>
      <c r="R64" s="321"/>
      <c r="S64" s="321"/>
      <c r="T64" s="321"/>
      <c r="U64" s="321"/>
      <c r="V64" s="321"/>
      <c r="W64" s="321"/>
      <c r="X64" s="321"/>
      <c r="Y64" s="288"/>
      <c r="Z64" s="288">
        <f>Z110</f>
        <v>1404.1021930973332</v>
      </c>
      <c r="AA64" s="484">
        <f>+AVERAGE(Z64,AB64)</f>
        <v>1422.5510965486665</v>
      </c>
      <c r="AB64" s="484">
        <v>1441</v>
      </c>
      <c r="AC64" s="484">
        <v>1420</v>
      </c>
      <c r="AD64" s="288">
        <f t="shared" ref="AD64:AG64" si="99">+AD69</f>
        <v>1430</v>
      </c>
      <c r="AE64" s="288">
        <f t="shared" si="99"/>
        <v>1440</v>
      </c>
      <c r="AF64" s="288">
        <f t="shared" si="99"/>
        <v>1450</v>
      </c>
      <c r="AG64" s="288">
        <f t="shared" si="99"/>
        <v>1460</v>
      </c>
      <c r="AH64" s="321"/>
      <c r="AI64" s="321"/>
      <c r="AJ64" s="321"/>
      <c r="AK64" s="321"/>
      <c r="AL64" s="586" t="str">
        <f t="shared" si="97"/>
        <v>ND</v>
      </c>
      <c r="AM64" s="288">
        <f t="shared" si="97"/>
        <v>1421.9133224114998</v>
      </c>
      <c r="AN64" s="288">
        <f t="shared" si="97"/>
        <v>1445</v>
      </c>
      <c r="AO64" s="288">
        <f t="shared" ref="AO64:AU64" si="100">+AO69</f>
        <v>1480</v>
      </c>
      <c r="AP64" s="288">
        <f t="shared" si="100"/>
        <v>1513</v>
      </c>
      <c r="AQ64" s="288">
        <f t="shared" si="100"/>
        <v>1545</v>
      </c>
      <c r="AR64" s="288">
        <f t="shared" si="100"/>
        <v>1575</v>
      </c>
      <c r="AS64" s="288">
        <f t="shared" si="100"/>
        <v>1605</v>
      </c>
      <c r="AT64" s="288">
        <f t="shared" si="100"/>
        <v>1632</v>
      </c>
      <c r="AU64" s="288">
        <f t="shared" si="100"/>
        <v>1659</v>
      </c>
      <c r="AV64" s="485"/>
    </row>
    <row r="65" spans="2:48" s="105" customFormat="1">
      <c r="B65"/>
      <c r="C65"/>
      <c r="D65"/>
      <c r="E65"/>
      <c r="F65"/>
      <c r="G65"/>
      <c r="I65" s="321"/>
      <c r="J65" s="321"/>
      <c r="K65" s="321"/>
      <c r="L65" s="321"/>
      <c r="M65" s="321"/>
      <c r="N65" s="321"/>
      <c r="O65" s="321"/>
      <c r="P65" s="321"/>
      <c r="Q65" s="321"/>
      <c r="R65" s="321"/>
      <c r="S65" s="321"/>
      <c r="T65" s="321"/>
      <c r="U65" s="321"/>
      <c r="V65" s="321"/>
      <c r="W65" s="321"/>
      <c r="X65" s="321"/>
      <c r="Y65" s="321"/>
      <c r="Z65" s="321"/>
      <c r="AA65" s="321"/>
      <c r="AB65" s="321"/>
      <c r="AC65" s="321"/>
      <c r="AD65" s="321"/>
      <c r="AE65" s="321"/>
      <c r="AF65" s="321"/>
      <c r="AG65" s="321"/>
      <c r="AH65" s="321"/>
      <c r="AI65" s="321"/>
      <c r="AJ65" s="321"/>
      <c r="AK65" s="321"/>
      <c r="AL65" s="321"/>
      <c r="AM65" s="321"/>
      <c r="AN65" s="321"/>
      <c r="AO65" s="321"/>
      <c r="AP65" s="520"/>
      <c r="AQ65" s="520"/>
      <c r="AR65" s="520"/>
      <c r="AS65" s="520"/>
      <c r="AT65" s="520"/>
      <c r="AU65" s="520"/>
      <c r="AV65" s="485"/>
    </row>
    <row r="66" spans="2:48" s="105" customFormat="1">
      <c r="B66"/>
      <c r="C66"/>
      <c r="D66"/>
      <c r="E66"/>
      <c r="F66"/>
      <c r="G66"/>
      <c r="I66" s="321" t="s">
        <v>366</v>
      </c>
      <c r="J66" s="321"/>
      <c r="K66" s="321"/>
      <c r="L66" s="321"/>
      <c r="M66" s="321"/>
      <c r="N66" s="321"/>
      <c r="O66" s="321"/>
      <c r="P66" s="321"/>
      <c r="Q66" s="321"/>
      <c r="R66" s="321"/>
      <c r="S66" s="321"/>
      <c r="T66" s="321"/>
      <c r="U66" s="321"/>
      <c r="V66" s="321"/>
      <c r="W66" s="321"/>
      <c r="X66" s="321"/>
      <c r="Y66" s="321"/>
      <c r="Z66" s="495"/>
      <c r="AA66" s="495">
        <f t="shared" ref="AA66:AG66" si="101">+Z64</f>
        <v>1404.1021930973332</v>
      </c>
      <c r="AB66" s="495">
        <f t="shared" si="101"/>
        <v>1422.5510965486665</v>
      </c>
      <c r="AC66" s="495">
        <f t="shared" si="101"/>
        <v>1441</v>
      </c>
      <c r="AD66" s="495">
        <f t="shared" si="101"/>
        <v>1420</v>
      </c>
      <c r="AE66" s="495">
        <f t="shared" si="101"/>
        <v>1430</v>
      </c>
      <c r="AF66" s="495">
        <f t="shared" si="101"/>
        <v>1440</v>
      </c>
      <c r="AG66" s="495">
        <f t="shared" si="101"/>
        <v>1450</v>
      </c>
      <c r="AH66" s="321"/>
      <c r="AI66" s="321"/>
      <c r="AJ66" s="321"/>
      <c r="AK66" s="321"/>
      <c r="AL66" s="321"/>
      <c r="AM66" s="3"/>
      <c r="AN66" s="3">
        <f t="shared" ref="AN66:AU66" si="102">+AM48</f>
        <v>1421.9133224114998</v>
      </c>
      <c r="AO66" s="3">
        <f t="shared" si="102"/>
        <v>1445</v>
      </c>
      <c r="AP66" s="3">
        <f t="shared" si="102"/>
        <v>1480</v>
      </c>
      <c r="AQ66" s="3">
        <f t="shared" si="102"/>
        <v>1513</v>
      </c>
      <c r="AR66" s="3">
        <f t="shared" si="102"/>
        <v>1545</v>
      </c>
      <c r="AS66" s="3">
        <f t="shared" si="102"/>
        <v>1575</v>
      </c>
      <c r="AT66" s="3">
        <f t="shared" si="102"/>
        <v>1605</v>
      </c>
      <c r="AU66" s="3">
        <f t="shared" si="102"/>
        <v>1632</v>
      </c>
      <c r="AV66" s="485"/>
    </row>
    <row r="67" spans="2:48" s="105" customFormat="1">
      <c r="B67"/>
      <c r="C67"/>
      <c r="D67"/>
      <c r="E67"/>
      <c r="F67"/>
      <c r="G67"/>
      <c r="I67" s="489" t="s">
        <v>338</v>
      </c>
      <c r="J67" s="321"/>
      <c r="K67" s="321"/>
      <c r="L67" s="321"/>
      <c r="M67" s="321"/>
      <c r="N67" s="321"/>
      <c r="O67" s="321"/>
      <c r="P67" s="321"/>
      <c r="Q67" s="321"/>
      <c r="R67" s="321"/>
      <c r="S67" s="321"/>
      <c r="T67" s="321"/>
      <c r="U67" s="321"/>
      <c r="V67" s="321"/>
      <c r="W67" s="321"/>
      <c r="X67" s="321"/>
      <c r="Y67" s="321"/>
      <c r="Z67" s="321"/>
      <c r="AA67" s="18">
        <v>10</v>
      </c>
      <c r="AB67" s="18">
        <v>10</v>
      </c>
      <c r="AC67" s="18">
        <v>10</v>
      </c>
      <c r="AD67" s="18">
        <v>10</v>
      </c>
      <c r="AE67" s="18">
        <v>10</v>
      </c>
      <c r="AF67" s="18">
        <v>10</v>
      </c>
      <c r="AG67" s="18">
        <v>10</v>
      </c>
      <c r="AH67" s="321"/>
      <c r="AI67" s="321"/>
      <c r="AJ67" s="321"/>
      <c r="AK67" s="321"/>
      <c r="AL67" s="321"/>
      <c r="AM67" s="288"/>
      <c r="AN67" s="288">
        <f>AN69-AN66</f>
        <v>23.086677588500152</v>
      </c>
      <c r="AO67" s="413">
        <v>35</v>
      </c>
      <c r="AP67" s="413">
        <v>33</v>
      </c>
      <c r="AQ67" s="413">
        <v>32</v>
      </c>
      <c r="AR67" s="413">
        <v>30</v>
      </c>
      <c r="AS67" s="413">
        <v>30</v>
      </c>
      <c r="AT67" s="413">
        <v>27</v>
      </c>
      <c r="AU67" s="413">
        <v>27</v>
      </c>
      <c r="AV67" s="485"/>
    </row>
    <row r="68" spans="2:48" s="105" customFormat="1">
      <c r="B68"/>
      <c r="C68"/>
      <c r="D68"/>
      <c r="E68"/>
      <c r="F68"/>
      <c r="G68"/>
      <c r="I68" s="489" t="s">
        <v>367</v>
      </c>
      <c r="J68" s="321"/>
      <c r="K68" s="321"/>
      <c r="L68" s="321"/>
      <c r="M68" s="321"/>
      <c r="N68" s="321"/>
      <c r="O68" s="321"/>
      <c r="P68" s="321"/>
      <c r="Q68" s="321"/>
      <c r="R68" s="321"/>
      <c r="S68" s="321"/>
      <c r="T68" s="321"/>
      <c r="U68" s="321"/>
      <c r="V68" s="321"/>
      <c r="W68" s="321"/>
      <c r="X68" s="321"/>
      <c r="Y68" s="321"/>
      <c r="Z68" s="321"/>
      <c r="AA68" s="321">
        <v>0</v>
      </c>
      <c r="AB68" s="321">
        <v>0</v>
      </c>
      <c r="AC68" s="321">
        <v>0</v>
      </c>
      <c r="AD68" s="321">
        <v>0</v>
      </c>
      <c r="AE68" s="321">
        <v>0</v>
      </c>
      <c r="AF68" s="321">
        <v>0</v>
      </c>
      <c r="AG68" s="321">
        <v>0</v>
      </c>
      <c r="AH68" s="321"/>
      <c r="AI68" s="321"/>
      <c r="AJ68" s="321"/>
      <c r="AK68" s="321"/>
      <c r="AL68" s="321"/>
      <c r="AM68" s="489"/>
      <c r="AN68" s="489">
        <v>0</v>
      </c>
      <c r="AO68" s="105">
        <v>0</v>
      </c>
      <c r="AP68" s="105">
        <v>0</v>
      </c>
      <c r="AQ68" s="105">
        <v>0</v>
      </c>
      <c r="AR68" s="105">
        <v>0</v>
      </c>
      <c r="AS68" s="105">
        <v>0</v>
      </c>
      <c r="AT68" s="105">
        <v>0</v>
      </c>
      <c r="AU68" s="105">
        <v>0</v>
      </c>
      <c r="AV68" s="485"/>
    </row>
    <row r="69" spans="2:48" s="105" customFormat="1">
      <c r="B69"/>
      <c r="C69"/>
      <c r="D69"/>
      <c r="E69"/>
      <c r="F69"/>
      <c r="G69"/>
      <c r="I69" s="321" t="s">
        <v>368</v>
      </c>
      <c r="J69" s="321"/>
      <c r="K69" s="321"/>
      <c r="L69" s="321"/>
      <c r="M69" s="321"/>
      <c r="N69" s="321"/>
      <c r="O69" s="321"/>
      <c r="P69" s="321"/>
      <c r="Q69" s="321"/>
      <c r="R69" s="321"/>
      <c r="S69" s="321"/>
      <c r="T69" s="321"/>
      <c r="U69" s="321"/>
      <c r="V69" s="321"/>
      <c r="W69" s="321"/>
      <c r="X69" s="321"/>
      <c r="Y69" s="321"/>
      <c r="Z69" s="321"/>
      <c r="AA69" s="495">
        <f t="shared" ref="AA69:AG69" si="103">+AA66+AA67-AA68</f>
        <v>1414.1021930973332</v>
      </c>
      <c r="AB69" s="495">
        <f t="shared" si="103"/>
        <v>1432.5510965486665</v>
      </c>
      <c r="AC69" s="495">
        <f t="shared" si="103"/>
        <v>1451</v>
      </c>
      <c r="AD69" s="495">
        <f t="shared" si="103"/>
        <v>1430</v>
      </c>
      <c r="AE69" s="495">
        <f t="shared" si="103"/>
        <v>1440</v>
      </c>
      <c r="AF69" s="495">
        <f t="shared" si="103"/>
        <v>1450</v>
      </c>
      <c r="AG69" s="495">
        <f t="shared" si="103"/>
        <v>1460</v>
      </c>
      <c r="AH69" s="321"/>
      <c r="AI69" s="321"/>
      <c r="AJ69" s="321"/>
      <c r="AK69" s="321"/>
      <c r="AL69" s="321"/>
      <c r="AM69" s="3"/>
      <c r="AN69" s="3">
        <f>AN48</f>
        <v>1445</v>
      </c>
      <c r="AO69" s="3">
        <f t="shared" ref="AO69:AU69" si="104">+AO66+AO67</f>
        <v>1480</v>
      </c>
      <c r="AP69" s="3">
        <f t="shared" si="104"/>
        <v>1513</v>
      </c>
      <c r="AQ69" s="3">
        <f t="shared" si="104"/>
        <v>1545</v>
      </c>
      <c r="AR69" s="3">
        <f t="shared" si="104"/>
        <v>1575</v>
      </c>
      <c r="AS69" s="3">
        <f t="shared" si="104"/>
        <v>1605</v>
      </c>
      <c r="AT69" s="3">
        <f t="shared" si="104"/>
        <v>1632</v>
      </c>
      <c r="AU69" s="3">
        <f t="shared" si="104"/>
        <v>1659</v>
      </c>
      <c r="AV69" s="485"/>
    </row>
    <row r="70" spans="2:48" s="105" customFormat="1">
      <c r="B70"/>
      <c r="C70"/>
      <c r="D70"/>
      <c r="E70"/>
      <c r="F70"/>
      <c r="G70"/>
      <c r="I70" s="321"/>
      <c r="J70" s="321"/>
      <c r="K70" s="321"/>
      <c r="L70" s="321"/>
      <c r="M70" s="321"/>
      <c r="N70" s="321"/>
      <c r="O70" s="321"/>
      <c r="P70" s="321"/>
      <c r="Q70" s="321"/>
      <c r="R70" s="321"/>
      <c r="S70" s="321"/>
      <c r="T70" s="321"/>
      <c r="U70" s="321"/>
      <c r="V70" s="321"/>
      <c r="W70" s="321"/>
      <c r="X70" s="321"/>
      <c r="Y70" s="321"/>
      <c r="Z70" s="321"/>
      <c r="AA70" s="321"/>
      <c r="AB70" s="321"/>
      <c r="AC70" s="321"/>
      <c r="AD70" s="321"/>
      <c r="AE70" s="321"/>
      <c r="AF70" s="321"/>
      <c r="AG70" s="321"/>
      <c r="AH70" s="321"/>
      <c r="AI70" s="321"/>
      <c r="AJ70" s="321"/>
      <c r="AK70" s="321"/>
      <c r="AL70" s="321"/>
      <c r="AM70" s="321"/>
      <c r="AN70" s="321"/>
      <c r="AO70" s="321"/>
      <c r="AP70" s="516"/>
      <c r="AQ70" s="516"/>
      <c r="AR70" s="516"/>
      <c r="AS70" s="516"/>
      <c r="AT70" s="516"/>
      <c r="AU70" s="516"/>
      <c r="AV70" s="485"/>
    </row>
    <row r="71" spans="2:48" s="105" customFormat="1">
      <c r="B71"/>
      <c r="C71"/>
      <c r="D71"/>
      <c r="E71"/>
      <c r="F71"/>
      <c r="G71"/>
      <c r="I71" s="321" t="s">
        <v>347</v>
      </c>
      <c r="J71" s="321"/>
      <c r="K71" s="321"/>
      <c r="L71" s="321"/>
      <c r="M71" s="321"/>
      <c r="N71" s="321"/>
      <c r="O71" s="321"/>
      <c r="P71" s="321"/>
      <c r="Q71" s="321"/>
      <c r="R71" s="321"/>
      <c r="S71" s="321"/>
      <c r="T71" s="321"/>
      <c r="U71" s="321"/>
      <c r="V71" s="321"/>
      <c r="W71" s="321"/>
      <c r="X71" s="321"/>
      <c r="Y71" s="321"/>
      <c r="Z71" s="321"/>
      <c r="AA71" s="321"/>
      <c r="AB71" s="321"/>
      <c r="AC71" s="321"/>
      <c r="AD71" s="321"/>
      <c r="AE71" s="321"/>
      <c r="AF71" s="321"/>
      <c r="AG71" s="321"/>
      <c r="AH71" s="321"/>
      <c r="AI71" s="321"/>
      <c r="AJ71" s="321"/>
      <c r="AK71" s="321"/>
      <c r="AL71" s="321"/>
      <c r="AM71" s="321"/>
      <c r="AN71" s="321"/>
      <c r="AO71" s="321"/>
      <c r="AP71" s="321"/>
      <c r="AQ71" s="321"/>
      <c r="AR71" s="321"/>
      <c r="AS71" s="321"/>
      <c r="AT71" s="321"/>
      <c r="AU71" s="321"/>
      <c r="AV71" s="485"/>
    </row>
    <row r="72" spans="2:48" s="105" customFormat="1">
      <c r="B72"/>
      <c r="C72"/>
      <c r="D72"/>
      <c r="E72"/>
      <c r="F72"/>
      <c r="G72"/>
      <c r="I72" s="489" t="s">
        <v>348</v>
      </c>
      <c r="J72" s="321"/>
      <c r="K72" s="321"/>
      <c r="L72" s="321"/>
      <c r="M72" s="321"/>
      <c r="N72" s="321"/>
      <c r="O72" s="321"/>
      <c r="P72" s="321"/>
      <c r="Q72" s="321"/>
      <c r="R72" s="321"/>
      <c r="S72" s="321"/>
      <c r="T72" s="321"/>
      <c r="U72" s="321"/>
      <c r="V72" s="321"/>
      <c r="W72" s="321"/>
      <c r="X72" s="321"/>
      <c r="Y72" s="102">
        <v>512.54790800000001</v>
      </c>
      <c r="Z72" s="102">
        <v>512.54790800000001</v>
      </c>
      <c r="AA72" s="321"/>
      <c r="AB72" s="321"/>
      <c r="AC72" s="321"/>
      <c r="AD72" s="321"/>
      <c r="AE72" s="321"/>
      <c r="AF72" s="321"/>
      <c r="AG72" s="321"/>
      <c r="AH72" s="321"/>
      <c r="AI72" s="321"/>
      <c r="AJ72" s="321"/>
      <c r="AK72" s="321"/>
      <c r="AL72" s="321"/>
      <c r="AM72" s="321"/>
      <c r="AN72" s="321"/>
      <c r="AO72" s="321"/>
      <c r="AP72" s="321"/>
      <c r="AQ72" s="321"/>
      <c r="AR72" s="321"/>
      <c r="AS72" s="321"/>
      <c r="AT72" s="321"/>
      <c r="AU72" s="321"/>
      <c r="AV72" s="485"/>
    </row>
    <row r="73" spans="2:48" s="105" customFormat="1">
      <c r="B73"/>
      <c r="C73"/>
      <c r="D73"/>
      <c r="E73"/>
      <c r="F73"/>
      <c r="G73"/>
      <c r="I73" s="489" t="s">
        <v>349</v>
      </c>
      <c r="J73" s="321"/>
      <c r="K73" s="321"/>
      <c r="L73" s="321"/>
      <c r="M73" s="321"/>
      <c r="N73" s="321"/>
      <c r="O73" s="321"/>
      <c r="P73" s="321"/>
      <c r="Q73" s="321"/>
      <c r="R73" s="321"/>
      <c r="S73" s="321"/>
      <c r="T73" s="321"/>
      <c r="U73" s="321"/>
      <c r="V73" s="321"/>
      <c r="W73" s="321"/>
      <c r="X73" s="321"/>
      <c r="Y73" s="102">
        <v>283.83441399999998</v>
      </c>
      <c r="Z73" s="102">
        <v>283.83441399999998</v>
      </c>
      <c r="AA73" s="321"/>
      <c r="AB73" s="321"/>
      <c r="AC73" s="321"/>
      <c r="AD73" s="321"/>
      <c r="AE73" s="321"/>
      <c r="AF73" s="321"/>
      <c r="AG73" s="321"/>
      <c r="AH73" s="321"/>
      <c r="AI73" s="321"/>
      <c r="AJ73" s="321"/>
      <c r="AK73" s="321"/>
      <c r="AL73" s="321"/>
      <c r="AM73" s="321"/>
      <c r="AN73" s="321"/>
      <c r="AO73" s="321"/>
      <c r="AP73" s="321"/>
      <c r="AQ73" s="321"/>
      <c r="AR73" s="321"/>
      <c r="AS73" s="321"/>
      <c r="AT73" s="321"/>
      <c r="AU73" s="321"/>
      <c r="AV73" s="485"/>
    </row>
    <row r="74" spans="2:48" s="426" customFormat="1">
      <c r="B74"/>
      <c r="C74"/>
      <c r="D74"/>
      <c r="E74"/>
      <c r="F74"/>
      <c r="G74"/>
      <c r="I74" s="536" t="s">
        <v>350</v>
      </c>
      <c r="J74" s="537"/>
      <c r="K74" s="537"/>
      <c r="L74" s="537"/>
      <c r="M74" s="537"/>
      <c r="N74" s="537"/>
      <c r="O74" s="537"/>
      <c r="P74" s="537"/>
      <c r="Q74" s="537"/>
      <c r="R74" s="537"/>
      <c r="S74" s="537"/>
      <c r="T74" s="537"/>
      <c r="U74" s="537"/>
      <c r="V74" s="537"/>
      <c r="W74" s="537"/>
      <c r="X74" s="537"/>
      <c r="Y74" s="429">
        <v>215.88784799999999</v>
      </c>
      <c r="Z74" s="429">
        <v>215.88784799999999</v>
      </c>
      <c r="AA74" s="537"/>
      <c r="AB74" s="537"/>
      <c r="AC74" s="537"/>
      <c r="AD74" s="537"/>
      <c r="AE74" s="537"/>
      <c r="AF74" s="537"/>
      <c r="AG74" s="537"/>
      <c r="AH74" s="537"/>
      <c r="AI74" s="537"/>
      <c r="AJ74" s="537"/>
      <c r="AK74" s="537"/>
      <c r="AL74" s="537"/>
      <c r="AM74" s="537"/>
      <c r="AN74" s="537"/>
      <c r="AO74" s="537"/>
      <c r="AP74" s="537"/>
      <c r="AQ74" s="537"/>
      <c r="AR74" s="537"/>
      <c r="AS74" s="537"/>
      <c r="AT74" s="537"/>
      <c r="AU74" s="537"/>
      <c r="AV74" s="538"/>
    </row>
    <row r="75" spans="2:48" s="105" customFormat="1">
      <c r="B75"/>
      <c r="C75"/>
      <c r="D75"/>
      <c r="E75"/>
      <c r="F75"/>
      <c r="G75"/>
      <c r="I75" s="489" t="s">
        <v>351</v>
      </c>
      <c r="J75" s="321"/>
      <c r="K75" s="321"/>
      <c r="L75" s="321"/>
      <c r="M75" s="321"/>
      <c r="N75" s="321"/>
      <c r="O75" s="321"/>
      <c r="P75" s="321"/>
      <c r="Q75" s="321"/>
      <c r="R75" s="321"/>
      <c r="S75" s="321"/>
      <c r="T75" s="321"/>
      <c r="U75" s="321"/>
      <c r="V75" s="321"/>
      <c r="W75" s="321"/>
      <c r="X75" s="321"/>
      <c r="Y75" s="293">
        <f>+SUM(Y72:Y74)</f>
        <v>1012.2701699999999</v>
      </c>
      <c r="Z75" s="495">
        <f>+SUM(Z72:Z74)</f>
        <v>1012.2701699999999</v>
      </c>
      <c r="AA75" s="321"/>
      <c r="AB75" s="321"/>
      <c r="AC75" s="321"/>
      <c r="AD75" s="321"/>
      <c r="AE75" s="321"/>
      <c r="AF75" s="321"/>
      <c r="AG75" s="321"/>
      <c r="AH75" s="321"/>
      <c r="AI75" s="321"/>
      <c r="AJ75" s="321"/>
      <c r="AK75" s="321"/>
      <c r="AL75" s="321"/>
      <c r="AM75" s="321"/>
      <c r="AN75" s="321"/>
      <c r="AO75" s="321"/>
      <c r="AP75" s="321"/>
      <c r="AQ75" s="321"/>
      <c r="AR75" s="321"/>
      <c r="AS75" s="321"/>
      <c r="AT75" s="321"/>
      <c r="AU75" s="321"/>
      <c r="AV75" s="485"/>
    </row>
    <row r="76" spans="2:48" s="105" customFormat="1">
      <c r="B76"/>
      <c r="C76"/>
      <c r="D76"/>
      <c r="E76"/>
      <c r="F76"/>
      <c r="G76"/>
      <c r="I76" s="321"/>
      <c r="J76" s="321"/>
      <c r="K76" s="321"/>
      <c r="L76" s="321"/>
      <c r="M76" s="321"/>
      <c r="N76" s="321"/>
      <c r="O76" s="321"/>
      <c r="P76" s="321"/>
      <c r="Q76" s="321"/>
      <c r="R76" s="321"/>
      <c r="S76" s="321"/>
      <c r="T76" s="321"/>
      <c r="U76" s="321"/>
      <c r="V76" s="321"/>
      <c r="W76" s="321"/>
      <c r="X76" s="321"/>
      <c r="Y76" s="321"/>
      <c r="Z76" s="321"/>
      <c r="AA76" s="321"/>
      <c r="AB76" s="321"/>
      <c r="AC76" s="321"/>
      <c r="AD76" s="321"/>
      <c r="AE76" s="321"/>
      <c r="AF76" s="321"/>
      <c r="AG76" s="321"/>
      <c r="AH76" s="321"/>
      <c r="AI76" s="321"/>
      <c r="AJ76" s="321"/>
      <c r="AK76" s="321"/>
      <c r="AL76" s="321"/>
      <c r="AM76" s="321"/>
      <c r="AN76" s="321"/>
      <c r="AO76" s="321"/>
      <c r="AP76" s="321"/>
      <c r="AQ76" s="321"/>
      <c r="AR76" s="321"/>
      <c r="AS76" s="321"/>
      <c r="AT76" s="321"/>
      <c r="AU76" s="321"/>
      <c r="AV76" s="485"/>
    </row>
    <row r="77" spans="2:48" s="105" customFormat="1">
      <c r="B77"/>
      <c r="C77"/>
      <c r="D77"/>
      <c r="E77"/>
      <c r="F77"/>
      <c r="G77"/>
      <c r="I77" s="321" t="s">
        <v>364</v>
      </c>
      <c r="J77" s="321"/>
      <c r="K77" s="321"/>
      <c r="L77" s="321"/>
      <c r="M77" s="321"/>
      <c r="N77" s="321"/>
      <c r="O77" s="321"/>
      <c r="P77" s="321"/>
      <c r="Q77" s="321"/>
      <c r="R77" s="321"/>
      <c r="S77" s="321"/>
      <c r="T77" s="321"/>
      <c r="U77" s="321"/>
      <c r="V77" s="321"/>
      <c r="W77" s="321"/>
      <c r="X77" s="321"/>
      <c r="Y77" s="390"/>
      <c r="Z77" s="390">
        <v>145</v>
      </c>
      <c r="AA77" s="321"/>
      <c r="AB77" s="321"/>
      <c r="AC77" s="321"/>
      <c r="AD77" s="321"/>
      <c r="AE77" s="321"/>
      <c r="AF77" s="321"/>
      <c r="AG77" s="321"/>
      <c r="AH77" s="321"/>
      <c r="AI77" s="321"/>
      <c r="AJ77" s="321"/>
      <c r="AK77" s="321"/>
      <c r="AL77" s="321"/>
      <c r="AM77" s="321"/>
      <c r="AN77" s="321"/>
      <c r="AO77" s="321"/>
      <c r="AP77" s="321"/>
      <c r="AQ77" s="321"/>
      <c r="AR77" s="321"/>
      <c r="AS77" s="321"/>
      <c r="AT77" s="321"/>
      <c r="AU77" s="321"/>
      <c r="AV77" s="485"/>
    </row>
    <row r="78" spans="2:48" s="105" customFormat="1">
      <c r="B78"/>
      <c r="C78"/>
      <c r="D78"/>
      <c r="E78"/>
      <c r="F78"/>
      <c r="G78"/>
      <c r="I78" s="489" t="s">
        <v>365</v>
      </c>
      <c r="J78" s="489"/>
      <c r="K78" s="489"/>
      <c r="L78" s="489"/>
      <c r="M78" s="489"/>
      <c r="N78" s="489"/>
      <c r="O78" s="489"/>
      <c r="P78" s="489"/>
      <c r="Q78" s="489"/>
      <c r="R78" s="489"/>
      <c r="S78" s="489"/>
      <c r="T78" s="489"/>
      <c r="U78" s="489"/>
      <c r="V78" s="489"/>
      <c r="W78" s="489"/>
      <c r="X78" s="489"/>
      <c r="Y78" s="487"/>
      <c r="Z78" s="288">
        <f>+Z75+Z77</f>
        <v>1157.2701699999998</v>
      </c>
      <c r="AA78" s="489"/>
      <c r="AB78" s="489"/>
      <c r="AC78" s="489"/>
      <c r="AD78" s="489"/>
      <c r="AE78" s="489"/>
      <c r="AF78" s="489"/>
      <c r="AG78" s="489"/>
      <c r="AH78" s="489"/>
      <c r="AI78" s="489"/>
      <c r="AJ78" s="489"/>
      <c r="AK78" s="489"/>
      <c r="AL78" s="489"/>
      <c r="AM78" s="489"/>
      <c r="AN78" s="489"/>
      <c r="AO78" s="489"/>
      <c r="AP78" s="489"/>
      <c r="AQ78" s="489"/>
      <c r="AR78" s="489"/>
      <c r="AS78" s="489"/>
      <c r="AT78" s="489"/>
      <c r="AU78" s="489"/>
      <c r="AV78" s="527"/>
    </row>
    <row r="79" spans="2:48" s="105" customFormat="1">
      <c r="B79"/>
      <c r="C79"/>
      <c r="D79"/>
      <c r="E79"/>
      <c r="F79"/>
      <c r="G79"/>
      <c r="I79" s="321" t="s">
        <v>383</v>
      </c>
      <c r="J79" s="321"/>
      <c r="K79" s="321"/>
      <c r="L79" s="321"/>
      <c r="M79" s="321"/>
      <c r="N79" s="321"/>
      <c r="O79" s="321"/>
      <c r="P79" s="321"/>
      <c r="Q79" s="321"/>
      <c r="R79" s="321"/>
      <c r="S79" s="321"/>
      <c r="T79" s="321"/>
      <c r="U79" s="321"/>
      <c r="V79" s="321"/>
      <c r="W79" s="321"/>
      <c r="X79" s="321"/>
      <c r="Y79" s="293"/>
      <c r="Z79" s="390">
        <f>15.349765</f>
        <v>15.349765</v>
      </c>
      <c r="AA79" s="321"/>
      <c r="AB79" s="321"/>
      <c r="AC79" s="321"/>
      <c r="AD79" s="321"/>
      <c r="AE79" s="321"/>
      <c r="AF79" s="321"/>
      <c r="AG79" s="321"/>
      <c r="AH79" s="321"/>
      <c r="AI79" s="321"/>
      <c r="AJ79" s="321"/>
      <c r="AK79" s="321"/>
      <c r="AL79" s="321"/>
      <c r="AM79" s="321"/>
      <c r="AN79" s="321"/>
      <c r="AO79" s="321"/>
      <c r="AP79" s="321"/>
      <c r="AQ79" s="321"/>
      <c r="AR79" s="321"/>
      <c r="AS79" s="321"/>
      <c r="AT79" s="321"/>
      <c r="AU79" s="321"/>
      <c r="AV79" s="485"/>
    </row>
    <row r="80" spans="2:48" s="105" customFormat="1">
      <c r="B80"/>
      <c r="C80"/>
      <c r="D80"/>
      <c r="E80"/>
      <c r="F80"/>
      <c r="G80"/>
      <c r="I80" s="321" t="s">
        <v>384</v>
      </c>
      <c r="J80" s="321"/>
      <c r="K80" s="321"/>
      <c r="L80" s="321"/>
      <c r="M80" s="321"/>
      <c r="N80" s="321"/>
      <c r="O80" s="321"/>
      <c r="P80" s="321"/>
      <c r="Q80" s="321"/>
      <c r="R80" s="321"/>
      <c r="S80" s="321"/>
      <c r="T80" s="321"/>
      <c r="U80" s="321"/>
      <c r="V80" s="321"/>
      <c r="W80" s="321"/>
      <c r="X80" s="321"/>
      <c r="Y80" s="293"/>
      <c r="Z80" s="495">
        <f>Z78+Z79</f>
        <v>1172.6199349999997</v>
      </c>
      <c r="AA80" s="321"/>
      <c r="AB80" s="321"/>
      <c r="AC80" s="321"/>
      <c r="AD80" s="321"/>
      <c r="AE80" s="321"/>
      <c r="AF80" s="321"/>
      <c r="AG80" s="321"/>
      <c r="AH80" s="321"/>
      <c r="AI80" s="321"/>
      <c r="AJ80" s="321"/>
      <c r="AK80" s="321"/>
      <c r="AL80" s="321"/>
      <c r="AM80" s="321"/>
      <c r="AN80" s="321"/>
      <c r="AO80" s="321"/>
      <c r="AP80" s="321"/>
      <c r="AQ80" s="321"/>
      <c r="AR80" s="321"/>
      <c r="AS80" s="321"/>
      <c r="AT80" s="321"/>
      <c r="AU80" s="321"/>
      <c r="AV80" s="485"/>
    </row>
    <row r="81" spans="2:48" s="105" customFormat="1">
      <c r="B81"/>
      <c r="C81"/>
      <c r="D81"/>
      <c r="E81"/>
      <c r="F81"/>
      <c r="G81"/>
      <c r="I81" s="321"/>
      <c r="J81" s="321"/>
      <c r="K81" s="321"/>
      <c r="L81" s="321"/>
      <c r="M81" s="321"/>
      <c r="N81" s="321"/>
      <c r="O81" s="321"/>
      <c r="P81" s="321"/>
      <c r="Q81" s="321"/>
      <c r="R81" s="321"/>
      <c r="S81" s="321"/>
      <c r="T81" s="321"/>
      <c r="U81" s="321"/>
      <c r="V81" s="321"/>
      <c r="W81" s="321"/>
      <c r="X81" s="321"/>
      <c r="Y81" s="293"/>
      <c r="Z81" s="495"/>
      <c r="AA81" s="321"/>
      <c r="AB81" s="321"/>
      <c r="AC81" s="321"/>
      <c r="AD81" s="321"/>
      <c r="AE81" s="321"/>
      <c r="AF81" s="321"/>
      <c r="AG81" s="321"/>
      <c r="AH81" s="321"/>
      <c r="AI81" s="321"/>
      <c r="AJ81" s="321"/>
      <c r="AK81" s="321"/>
      <c r="AL81" s="321"/>
      <c r="AM81" s="321"/>
      <c r="AN81" s="321"/>
      <c r="AO81" s="321"/>
      <c r="AP81" s="321"/>
      <c r="AQ81" s="321"/>
      <c r="AR81" s="321"/>
      <c r="AS81" s="321"/>
      <c r="AT81" s="321"/>
      <c r="AU81" s="321"/>
      <c r="AV81" s="485"/>
    </row>
    <row r="82" spans="2:48">
      <c r="I82" s="486"/>
      <c r="J82" s="182"/>
      <c r="K82" s="182"/>
      <c r="L82" s="182"/>
      <c r="M82" s="182"/>
      <c r="N82" s="182"/>
      <c r="O82" s="182"/>
      <c r="P82" s="182"/>
      <c r="Q82" s="182"/>
      <c r="R82" s="487"/>
      <c r="S82" s="487"/>
      <c r="T82" s="487"/>
      <c r="U82" s="487"/>
      <c r="V82" s="487"/>
      <c r="W82" s="487"/>
      <c r="X82" s="487"/>
      <c r="Y82" s="487"/>
      <c r="Z82" s="488"/>
      <c r="AA82" s="488"/>
      <c r="AB82" s="488"/>
      <c r="AC82" s="488"/>
      <c r="AD82" s="488"/>
      <c r="AE82" s="488"/>
      <c r="AF82" s="488"/>
      <c r="AG82" s="488"/>
      <c r="AH82" s="182"/>
      <c r="AI82" s="182"/>
      <c r="AJ82" s="182"/>
      <c r="AK82" s="15"/>
      <c r="AL82" s="15"/>
      <c r="AM82" s="15"/>
      <c r="AN82" s="15"/>
      <c r="AO82" s="15"/>
      <c r="AP82" s="15"/>
      <c r="AQ82" s="15"/>
      <c r="AR82" s="15"/>
      <c r="AS82" s="15"/>
      <c r="AT82" s="15"/>
      <c r="AU82" s="15"/>
    </row>
    <row r="83" spans="2:48" hidden="1" outlineLevel="1">
      <c r="I83" s="491" t="s">
        <v>352</v>
      </c>
      <c r="J83" s="182"/>
      <c r="K83" s="182"/>
      <c r="L83" s="182"/>
      <c r="M83" s="182"/>
      <c r="N83" s="182"/>
      <c r="O83" s="182"/>
      <c r="P83" s="182"/>
      <c r="Q83" s="182"/>
      <c r="R83" s="487"/>
      <c r="S83" s="487"/>
      <c r="T83" s="487"/>
      <c r="U83" s="487"/>
      <c r="V83" s="487"/>
      <c r="W83" s="487"/>
      <c r="X83" s="487"/>
      <c r="Y83" s="487"/>
      <c r="Z83" s="488"/>
      <c r="AA83" s="488"/>
      <c r="AB83" s="488"/>
      <c r="AC83" s="488"/>
      <c r="AD83" s="488"/>
      <c r="AE83" s="488"/>
      <c r="AF83" s="488"/>
      <c r="AG83" s="488"/>
      <c r="AH83" s="182"/>
      <c r="AI83" s="182"/>
      <c r="AJ83" s="182"/>
      <c r="AK83" s="15"/>
      <c r="AL83" s="15"/>
      <c r="AM83" s="15"/>
      <c r="AN83" s="15"/>
      <c r="AO83" s="15"/>
      <c r="AP83" s="15"/>
      <c r="AQ83" s="15"/>
      <c r="AR83" s="15"/>
      <c r="AS83" s="15"/>
      <c r="AT83" s="15"/>
      <c r="AU83" s="15"/>
    </row>
    <row r="84" spans="2:48" hidden="1" outlineLevel="1">
      <c r="I84" s="490" t="s">
        <v>353</v>
      </c>
      <c r="J84" s="182"/>
      <c r="K84" s="182"/>
      <c r="L84" s="182"/>
      <c r="M84" s="182"/>
      <c r="N84" s="182"/>
      <c r="O84" s="182"/>
      <c r="P84" s="182"/>
      <c r="Q84" s="182"/>
      <c r="R84" s="487"/>
      <c r="S84" s="487"/>
      <c r="T84" s="487"/>
      <c r="U84" s="487"/>
      <c r="V84" s="487"/>
      <c r="W84" s="487"/>
      <c r="X84" s="487"/>
      <c r="Y84" s="102"/>
      <c r="Z84" s="102">
        <v>21.185669000000001</v>
      </c>
      <c r="AA84" s="488"/>
      <c r="AB84" s="488"/>
      <c r="AC84" s="488"/>
      <c r="AD84" s="488"/>
      <c r="AE84" s="488"/>
      <c r="AF84" s="488"/>
      <c r="AG84" s="488"/>
      <c r="AH84" s="182"/>
      <c r="AI84" s="182"/>
      <c r="AJ84" s="182"/>
      <c r="AK84" s="15"/>
      <c r="AL84" s="15"/>
      <c r="AM84" s="15"/>
      <c r="AN84" s="15"/>
      <c r="AO84" s="15"/>
      <c r="AP84" s="15"/>
      <c r="AQ84" s="15"/>
      <c r="AR84" s="15"/>
      <c r="AS84" s="15"/>
      <c r="AT84" s="15"/>
      <c r="AU84" s="15"/>
    </row>
    <row r="85" spans="2:48" hidden="1" outlineLevel="1">
      <c r="I85" s="490" t="s">
        <v>355</v>
      </c>
      <c r="J85" s="182"/>
      <c r="K85" s="182"/>
      <c r="L85" s="182"/>
      <c r="M85" s="182"/>
      <c r="N85" s="182"/>
      <c r="O85" s="182"/>
      <c r="P85" s="182"/>
      <c r="Q85" s="182"/>
      <c r="R85" s="487"/>
      <c r="S85" s="487"/>
      <c r="T85" s="487"/>
      <c r="U85" s="487"/>
      <c r="V85" s="487"/>
      <c r="W85" s="487"/>
      <c r="X85" s="487"/>
      <c r="Y85" s="492"/>
      <c r="Z85" s="492">
        <v>2.33</v>
      </c>
      <c r="AA85" s="488"/>
      <c r="AB85" s="488"/>
      <c r="AC85" s="488"/>
      <c r="AD85" s="488"/>
      <c r="AE85" s="488"/>
      <c r="AF85" s="488"/>
      <c r="AG85" s="488"/>
      <c r="AH85" s="182"/>
      <c r="AI85" s="182"/>
      <c r="AJ85" s="182"/>
      <c r="AK85" s="15"/>
      <c r="AL85" s="15"/>
      <c r="AM85" s="15"/>
      <c r="AN85" s="15"/>
      <c r="AO85" s="15"/>
      <c r="AP85" s="15"/>
      <c r="AQ85" s="15"/>
      <c r="AR85" s="15"/>
      <c r="AS85" s="15"/>
      <c r="AT85" s="15"/>
      <c r="AU85" s="15"/>
    </row>
    <row r="86" spans="2:48" hidden="1" outlineLevel="1">
      <c r="I86" s="490"/>
      <c r="J86" s="182"/>
      <c r="K86" s="182"/>
      <c r="L86" s="182"/>
      <c r="M86" s="182"/>
      <c r="N86" s="182"/>
      <c r="O86" s="182"/>
      <c r="P86" s="182"/>
      <c r="Q86" s="182"/>
      <c r="R86" s="487"/>
      <c r="S86" s="487"/>
      <c r="T86" s="487"/>
      <c r="U86" s="487"/>
      <c r="V86" s="487"/>
      <c r="W86" s="487"/>
      <c r="X86" s="487"/>
      <c r="Y86" s="102"/>
      <c r="Z86" s="102"/>
      <c r="AA86" s="488"/>
      <c r="AB86" s="488"/>
      <c r="AC86" s="488"/>
      <c r="AD86" s="488"/>
      <c r="AE86" s="488"/>
      <c r="AF86" s="488"/>
      <c r="AG86" s="488"/>
      <c r="AH86" s="182"/>
      <c r="AI86" s="182"/>
      <c r="AJ86" s="182"/>
      <c r="AK86" s="15"/>
      <c r="AL86" s="15"/>
      <c r="AM86" s="15"/>
      <c r="AN86" s="15"/>
      <c r="AO86" s="15"/>
      <c r="AP86" s="15"/>
      <c r="AQ86" s="15"/>
      <c r="AR86" s="15"/>
      <c r="AS86" s="15"/>
      <c r="AT86" s="15"/>
      <c r="AU86" s="15"/>
    </row>
    <row r="87" spans="2:48" hidden="1" outlineLevel="1">
      <c r="I87" s="490" t="s">
        <v>354</v>
      </c>
      <c r="J87" s="182"/>
      <c r="K87" s="182"/>
      <c r="L87" s="182"/>
      <c r="M87" s="182"/>
      <c r="N87" s="182"/>
      <c r="O87" s="182"/>
      <c r="P87" s="182"/>
      <c r="Q87" s="182"/>
      <c r="R87" s="487"/>
      <c r="S87" s="487"/>
      <c r="T87" s="487"/>
      <c r="U87" s="487"/>
      <c r="V87" s="487"/>
      <c r="W87" s="487"/>
      <c r="X87" s="487"/>
      <c r="Y87" s="102"/>
      <c r="Z87" s="102">
        <v>21.185669000000001</v>
      </c>
      <c r="AA87" s="488"/>
      <c r="AB87" s="488"/>
      <c r="AC87" s="488"/>
      <c r="AD87" s="488"/>
      <c r="AE87" s="488"/>
      <c r="AF87" s="488"/>
      <c r="AG87" s="488"/>
      <c r="AH87" s="182"/>
      <c r="AI87" s="182"/>
      <c r="AJ87" s="182"/>
      <c r="AK87" s="15"/>
      <c r="AL87" s="15"/>
      <c r="AM87" s="15"/>
      <c r="AN87" s="15"/>
      <c r="AO87" s="15"/>
      <c r="AP87" s="15"/>
      <c r="AQ87" s="15"/>
      <c r="AR87" s="15"/>
      <c r="AS87" s="15"/>
      <c r="AT87" s="15"/>
      <c r="AU87" s="15"/>
    </row>
    <row r="88" spans="2:48" hidden="1" outlineLevel="1">
      <c r="I88" s="490" t="s">
        <v>355</v>
      </c>
      <c r="J88" s="182"/>
      <c r="K88" s="182"/>
      <c r="L88" s="182"/>
      <c r="M88" s="182"/>
      <c r="N88" s="182"/>
      <c r="O88" s="182"/>
      <c r="P88" s="182"/>
      <c r="Q88" s="182"/>
      <c r="R88" s="487"/>
      <c r="S88" s="487"/>
      <c r="T88" s="487"/>
      <c r="U88" s="487"/>
      <c r="V88" s="487"/>
      <c r="W88" s="487"/>
      <c r="X88" s="487"/>
      <c r="Y88" s="492"/>
      <c r="Z88" s="492">
        <v>2.33</v>
      </c>
      <c r="AA88" s="488"/>
      <c r="AB88" s="488"/>
      <c r="AC88" s="488"/>
      <c r="AD88" s="488"/>
      <c r="AE88" s="488"/>
      <c r="AF88" s="488"/>
      <c r="AG88" s="488"/>
      <c r="AH88" s="182"/>
      <c r="AI88" s="182"/>
      <c r="AJ88" s="182"/>
      <c r="AK88" s="15"/>
      <c r="AL88" s="15"/>
      <c r="AM88" s="15"/>
      <c r="AN88" s="15"/>
      <c r="AO88" s="15"/>
      <c r="AP88" s="15"/>
      <c r="AQ88" s="15"/>
      <c r="AR88" s="15"/>
      <c r="AS88" s="15"/>
      <c r="AT88" s="15"/>
      <c r="AU88" s="15"/>
    </row>
    <row r="89" spans="2:48" hidden="1" outlineLevel="1">
      <c r="I89" s="490"/>
      <c r="J89" s="182"/>
      <c r="K89" s="182"/>
      <c r="L89" s="182"/>
      <c r="M89" s="182"/>
      <c r="N89" s="182"/>
      <c r="O89" s="182"/>
      <c r="P89" s="182"/>
      <c r="Q89" s="182"/>
      <c r="R89" s="487"/>
      <c r="S89" s="487"/>
      <c r="T89" s="487"/>
      <c r="U89" s="487"/>
      <c r="V89" s="487"/>
      <c r="W89" s="487"/>
      <c r="X89" s="487"/>
      <c r="Y89" s="492"/>
      <c r="Z89" s="492"/>
      <c r="AA89" s="488"/>
      <c r="AB89" s="488"/>
      <c r="AC89" s="488"/>
      <c r="AD89" s="488"/>
      <c r="AE89" s="488"/>
      <c r="AF89" s="488"/>
      <c r="AG89" s="488"/>
      <c r="AH89" s="182"/>
      <c r="AI89" s="182"/>
      <c r="AJ89" s="182"/>
      <c r="AK89" s="15"/>
      <c r="AL89" s="15"/>
      <c r="AM89" s="15"/>
      <c r="AN89" s="15"/>
      <c r="AO89" s="15"/>
      <c r="AP89" s="15"/>
      <c r="AQ89" s="15"/>
      <c r="AR89" s="15"/>
      <c r="AS89" s="15"/>
      <c r="AT89" s="15"/>
      <c r="AU89" s="15"/>
    </row>
    <row r="90" spans="2:48" hidden="1" outlineLevel="1">
      <c r="I90" s="493" t="s">
        <v>356</v>
      </c>
      <c r="R90" s="102"/>
      <c r="S90" s="102"/>
      <c r="T90" s="102"/>
      <c r="U90" s="102"/>
      <c r="V90" s="102"/>
      <c r="W90" s="102"/>
      <c r="X90" s="102"/>
      <c r="Y90" s="102"/>
      <c r="Z90" s="102">
        <v>1.2664329999999999</v>
      </c>
      <c r="AA90" s="488"/>
      <c r="AB90" s="488"/>
      <c r="AC90" s="488"/>
      <c r="AD90" s="488"/>
      <c r="AE90" s="488"/>
      <c r="AF90" s="488"/>
      <c r="AG90" s="488"/>
      <c r="AK90" s="3"/>
      <c r="AL90" s="3"/>
      <c r="AM90" s="3"/>
      <c r="AN90" s="3"/>
      <c r="AO90" s="3"/>
      <c r="AP90" s="3"/>
      <c r="AQ90" s="3"/>
      <c r="AR90" s="3"/>
      <c r="AS90" s="3"/>
      <c r="AT90" s="3"/>
      <c r="AU90" s="3"/>
    </row>
    <row r="91" spans="2:48" hidden="1" outlineLevel="1">
      <c r="I91" s="490" t="s">
        <v>355</v>
      </c>
      <c r="R91" s="102"/>
      <c r="S91" s="102"/>
      <c r="T91" s="102"/>
      <c r="U91" s="102"/>
      <c r="V91" s="102"/>
      <c r="W91" s="102"/>
      <c r="X91" s="102"/>
      <c r="Y91" s="492"/>
      <c r="Z91" s="492">
        <v>1</v>
      </c>
      <c r="AA91" s="195"/>
      <c r="AB91" s="195"/>
      <c r="AC91" s="195"/>
      <c r="AD91" s="195"/>
      <c r="AE91" s="195"/>
      <c r="AF91" s="195"/>
      <c r="AG91" s="195"/>
      <c r="AK91" s="3"/>
      <c r="AL91" s="3"/>
      <c r="AM91" s="3"/>
      <c r="AN91" s="3"/>
      <c r="AO91" s="3"/>
      <c r="AP91" s="3"/>
      <c r="AQ91" s="3"/>
      <c r="AR91" s="3"/>
      <c r="AS91" s="3"/>
      <c r="AT91" s="3"/>
      <c r="AU91" s="3"/>
    </row>
    <row r="92" spans="2:48" hidden="1" outlineLevel="1">
      <c r="I92" s="163"/>
      <c r="R92" s="102"/>
      <c r="S92" s="102"/>
      <c r="T92" s="102"/>
      <c r="U92" s="102"/>
      <c r="V92" s="102"/>
      <c r="W92" s="102"/>
      <c r="X92" s="102"/>
      <c r="Y92" s="102"/>
      <c r="Z92" s="102"/>
      <c r="AA92" s="195"/>
      <c r="AB92" s="195"/>
      <c r="AC92" s="195"/>
      <c r="AD92" s="195"/>
      <c r="AE92" s="195"/>
      <c r="AF92" s="195"/>
      <c r="AG92" s="195"/>
      <c r="AK92" s="3"/>
      <c r="AL92" s="3"/>
      <c r="AM92" s="3"/>
      <c r="AN92" s="3"/>
      <c r="AO92" s="3"/>
      <c r="AP92" s="3"/>
      <c r="AQ92" s="3"/>
      <c r="AR92" s="3"/>
      <c r="AS92" s="3"/>
      <c r="AT92" s="3"/>
      <c r="AU92" s="3"/>
    </row>
    <row r="93" spans="2:48" hidden="1" outlineLevel="1">
      <c r="I93" s="493" t="s">
        <v>357</v>
      </c>
      <c r="R93" s="102"/>
      <c r="S93" s="102"/>
      <c r="T93" s="102"/>
      <c r="U93" s="102"/>
      <c r="V93" s="102"/>
      <c r="W93" s="102"/>
      <c r="X93" s="102"/>
      <c r="Y93" s="102"/>
      <c r="Z93" s="102">
        <v>1.2664329999999999</v>
      </c>
      <c r="AA93" s="488"/>
      <c r="AB93" s="488"/>
      <c r="AC93" s="488"/>
      <c r="AD93" s="488"/>
      <c r="AE93" s="488"/>
      <c r="AF93" s="488"/>
      <c r="AG93" s="488"/>
      <c r="AK93" s="3"/>
      <c r="AL93" s="3"/>
      <c r="AM93" s="3"/>
      <c r="AN93" s="3"/>
      <c r="AO93" s="3"/>
      <c r="AP93" s="3"/>
      <c r="AQ93" s="3"/>
      <c r="AR93" s="3"/>
      <c r="AS93" s="3"/>
      <c r="AT93" s="3"/>
      <c r="AU93" s="3"/>
    </row>
    <row r="94" spans="2:48" ht="12.75" hidden="1" customHeight="1" outlineLevel="1">
      <c r="I94" s="490" t="s">
        <v>355</v>
      </c>
      <c r="R94" s="102"/>
      <c r="S94" s="102"/>
      <c r="T94" s="102"/>
      <c r="U94" s="102"/>
      <c r="V94" s="102"/>
      <c r="W94" s="102"/>
      <c r="X94" s="102"/>
      <c r="Y94" s="492"/>
      <c r="Z94" s="492">
        <v>1</v>
      </c>
    </row>
    <row r="95" spans="2:48" ht="12.75" hidden="1" customHeight="1" outlineLevel="1">
      <c r="I95" s="490"/>
      <c r="R95" s="102"/>
      <c r="S95" s="102"/>
      <c r="T95" s="102"/>
      <c r="U95" s="102"/>
      <c r="V95" s="102"/>
      <c r="W95" s="102"/>
      <c r="X95" s="102"/>
      <c r="Y95" s="494"/>
      <c r="Z95" s="494"/>
    </row>
    <row r="96" spans="2:48" ht="12.75" hidden="1" customHeight="1" outlineLevel="1">
      <c r="I96" s="491" t="s">
        <v>358</v>
      </c>
      <c r="R96" s="102"/>
      <c r="S96" s="102"/>
      <c r="T96" s="102"/>
      <c r="U96" s="102"/>
      <c r="V96" s="102"/>
      <c r="W96" s="102"/>
      <c r="X96" s="102"/>
    </row>
    <row r="97" spans="2:48" s="7" customFormat="1" ht="12.75" hidden="1" customHeight="1" outlineLevel="1">
      <c r="B97"/>
      <c r="C97"/>
      <c r="D97"/>
      <c r="E97"/>
      <c r="F97"/>
      <c r="G97"/>
      <c r="I97" s="490" t="s">
        <v>361</v>
      </c>
      <c r="R97" s="390"/>
      <c r="S97" s="390"/>
      <c r="T97" s="390"/>
      <c r="U97" s="390"/>
      <c r="V97" s="390"/>
      <c r="W97" s="390"/>
      <c r="X97" s="390"/>
      <c r="Y97" s="102"/>
      <c r="Z97" s="102">
        <v>18.068299</v>
      </c>
      <c r="AA97" s="488"/>
      <c r="AB97" s="488"/>
      <c r="AC97" s="488"/>
      <c r="AD97" s="488"/>
      <c r="AE97" s="488"/>
      <c r="AF97" s="488"/>
      <c r="AG97" s="488"/>
    </row>
    <row r="98" spans="2:48" ht="12.75" hidden="1" customHeight="1" outlineLevel="1">
      <c r="I98" s="490" t="s">
        <v>362</v>
      </c>
      <c r="R98" s="102"/>
      <c r="S98" s="102"/>
      <c r="T98" s="102"/>
      <c r="U98" s="102"/>
      <c r="V98" s="102"/>
      <c r="W98" s="102"/>
      <c r="X98" s="102"/>
      <c r="Y98" s="102"/>
      <c r="Z98" s="102">
        <v>18.068299</v>
      </c>
      <c r="AA98" s="488"/>
      <c r="AB98" s="488"/>
      <c r="AC98" s="488"/>
      <c r="AD98" s="488"/>
      <c r="AE98" s="488"/>
      <c r="AF98" s="488"/>
      <c r="AG98" s="488"/>
    </row>
    <row r="99" spans="2:48" ht="12.75" hidden="1" customHeight="1" outlineLevel="1">
      <c r="I99" s="490" t="s">
        <v>359</v>
      </c>
      <c r="R99" s="102"/>
      <c r="S99" s="102"/>
      <c r="T99" s="102"/>
      <c r="U99" s="102"/>
      <c r="V99" s="102"/>
      <c r="W99" s="102"/>
      <c r="X99" s="102"/>
      <c r="Y99" s="102"/>
      <c r="Z99" s="102">
        <v>70.099641000000005</v>
      </c>
      <c r="AA99" s="488"/>
      <c r="AB99" s="488"/>
      <c r="AC99" s="488"/>
      <c r="AD99" s="488"/>
      <c r="AE99" s="488"/>
      <c r="AF99" s="488"/>
      <c r="AG99" s="488"/>
    </row>
    <row r="100" spans="2:48" ht="12.75" hidden="1" customHeight="1" outlineLevel="1">
      <c r="I100" s="490" t="s">
        <v>354</v>
      </c>
      <c r="R100" s="102"/>
      <c r="S100" s="102"/>
      <c r="T100" s="102"/>
      <c r="U100" s="102"/>
      <c r="V100" s="102"/>
      <c r="W100" s="102"/>
      <c r="X100" s="102"/>
      <c r="Y100" s="102"/>
      <c r="Z100" s="102">
        <v>49.834986999999998</v>
      </c>
      <c r="AA100" s="488"/>
      <c r="AB100" s="488"/>
      <c r="AC100" s="488"/>
      <c r="AD100" s="488"/>
      <c r="AE100" s="488"/>
      <c r="AF100" s="488"/>
      <c r="AG100" s="488"/>
    </row>
    <row r="101" spans="2:48" ht="12.75" hidden="1" customHeight="1" outlineLevel="1">
      <c r="I101" s="490" t="s">
        <v>360</v>
      </c>
      <c r="R101" s="102"/>
      <c r="S101" s="102"/>
      <c r="T101" s="102"/>
      <c r="U101" s="102"/>
      <c r="V101" s="102"/>
      <c r="W101" s="102"/>
      <c r="X101" s="102"/>
      <c r="Y101" s="102"/>
      <c r="Z101" s="102">
        <v>36.757367000000002</v>
      </c>
      <c r="AA101" s="488"/>
      <c r="AB101" s="488"/>
      <c r="AC101" s="488"/>
      <c r="AD101" s="488"/>
      <c r="AE101" s="488"/>
      <c r="AF101" s="488"/>
      <c r="AG101" s="488"/>
    </row>
    <row r="102" spans="2:48" s="529" customFormat="1" ht="12.75" hidden="1" customHeight="1" outlineLevel="1">
      <c r="B102"/>
      <c r="C102"/>
      <c r="D102"/>
      <c r="E102"/>
      <c r="F102"/>
      <c r="G102"/>
      <c r="I102" s="528" t="s">
        <v>385</v>
      </c>
      <c r="R102" s="530"/>
      <c r="S102" s="530"/>
      <c r="T102" s="530"/>
      <c r="U102" s="530"/>
      <c r="V102" s="530"/>
      <c r="W102" s="530"/>
      <c r="X102" s="530"/>
      <c r="Y102" s="530"/>
      <c r="Z102" s="530">
        <f>31.21803</f>
        <v>31.218029999999999</v>
      </c>
      <c r="AA102" s="531"/>
      <c r="AB102" s="531"/>
      <c r="AC102" s="531"/>
      <c r="AD102" s="531"/>
      <c r="AE102" s="531"/>
      <c r="AF102" s="531"/>
      <c r="AG102" s="531"/>
    </row>
    <row r="103" spans="2:48" ht="12.75" hidden="1" customHeight="1" outlineLevel="1">
      <c r="I103" s="490"/>
      <c r="R103" s="102"/>
      <c r="S103" s="102"/>
      <c r="T103" s="102"/>
      <c r="U103" s="102"/>
      <c r="V103" s="102"/>
      <c r="W103" s="102"/>
      <c r="X103" s="102"/>
      <c r="Y103" s="102"/>
    </row>
    <row r="104" spans="2:48" ht="12.75" hidden="1" customHeight="1" outlineLevel="1">
      <c r="I104" s="490" t="s">
        <v>363</v>
      </c>
      <c r="R104" s="102"/>
      <c r="S104" s="102"/>
      <c r="T104" s="102"/>
      <c r="U104" s="102"/>
      <c r="V104" s="102"/>
      <c r="W104" s="102"/>
      <c r="X104" s="102"/>
      <c r="Y104" s="293"/>
      <c r="Z104" s="293">
        <f>+(Z84*Z85+Z87*Z88+Z90*Z91+Z93*Z94)/15</f>
        <v>6.7505389026666673</v>
      </c>
      <c r="AA104" s="488"/>
      <c r="AB104" s="488"/>
      <c r="AC104" s="488"/>
      <c r="AD104" s="488"/>
      <c r="AE104" s="488"/>
      <c r="AF104" s="488"/>
      <c r="AG104" s="488"/>
    </row>
    <row r="105" spans="2:48" ht="12.75" hidden="1" customHeight="1" outlineLevel="1">
      <c r="I105" s="490"/>
      <c r="R105" s="102"/>
      <c r="S105" s="102"/>
      <c r="T105" s="102"/>
      <c r="U105" s="102"/>
      <c r="V105" s="102"/>
      <c r="W105" s="102"/>
      <c r="X105" s="102"/>
      <c r="Y105" s="102"/>
    </row>
    <row r="106" spans="2:48" ht="12.75" hidden="1" customHeight="1" outlineLevel="1">
      <c r="I106" s="491" t="s">
        <v>338</v>
      </c>
      <c r="J106" s="7"/>
      <c r="K106" s="7"/>
      <c r="L106" s="7"/>
      <c r="M106" s="7"/>
      <c r="N106" s="7"/>
      <c r="O106" s="7"/>
      <c r="P106" s="7"/>
      <c r="Q106" s="7"/>
      <c r="R106" s="390"/>
      <c r="S106" s="390"/>
      <c r="T106" s="390"/>
      <c r="U106" s="390"/>
      <c r="V106" s="390"/>
      <c r="W106" s="390"/>
      <c r="X106" s="390"/>
      <c r="Y106" s="293"/>
      <c r="Z106" s="293">
        <f>+Z84+Z87+Z90+Z93+Z99+Z100+Z101+Z97+Z98-Z104</f>
        <v>230.98225809733333</v>
      </c>
    </row>
    <row r="107" spans="2:48" ht="12.75" hidden="1" customHeight="1" outlineLevel="1">
      <c r="I107" s="490"/>
      <c r="R107" s="102"/>
      <c r="S107" s="102"/>
      <c r="T107" s="102"/>
      <c r="U107" s="102"/>
      <c r="V107" s="102"/>
      <c r="W107" s="102"/>
      <c r="X107" s="102"/>
      <c r="Y107" s="102"/>
    </row>
    <row r="108" spans="2:48" s="7" customFormat="1" ht="12.75" hidden="1" customHeight="1" outlineLevel="1">
      <c r="B108"/>
      <c r="C108"/>
      <c r="D108"/>
      <c r="E108"/>
      <c r="F108"/>
      <c r="G108"/>
      <c r="I108" s="491" t="s">
        <v>386</v>
      </c>
      <c r="R108" s="390"/>
      <c r="S108" s="390"/>
      <c r="T108" s="390"/>
      <c r="U108" s="390"/>
      <c r="V108" s="390"/>
      <c r="W108" s="390"/>
      <c r="X108" s="390"/>
      <c r="Y108" s="293"/>
      <c r="Z108" s="293">
        <f>+Z75+Z106+Z77</f>
        <v>1388.2524280973332</v>
      </c>
    </row>
    <row r="109" spans="2:48" ht="12.75" hidden="1" customHeight="1" outlineLevel="1">
      <c r="I109" s="490" t="s">
        <v>388</v>
      </c>
      <c r="R109" s="102"/>
      <c r="S109" s="102"/>
      <c r="T109" s="102"/>
      <c r="U109" s="102"/>
      <c r="V109" s="102"/>
      <c r="W109" s="102"/>
      <c r="X109" s="102"/>
      <c r="Y109" s="102"/>
      <c r="Z109" s="530">
        <v>0.5</v>
      </c>
    </row>
    <row r="110" spans="2:48" s="7" customFormat="1" ht="12.75" hidden="1" customHeight="1" outlineLevel="1">
      <c r="B110"/>
      <c r="C110"/>
      <c r="D110"/>
      <c r="E110"/>
      <c r="F110"/>
      <c r="G110"/>
      <c r="I110" s="491" t="s">
        <v>387</v>
      </c>
      <c r="R110" s="390"/>
      <c r="S110" s="390"/>
      <c r="T110" s="390"/>
      <c r="U110" s="390"/>
      <c r="V110" s="390"/>
      <c r="W110" s="390"/>
      <c r="X110" s="390"/>
      <c r="Y110" s="390"/>
      <c r="Z110" s="9">
        <f>Z108+Z79+Z109</f>
        <v>1404.1021930973332</v>
      </c>
    </row>
    <row r="111" spans="2:48" ht="12.75" customHeight="1" collapsed="1">
      <c r="I111" s="490"/>
      <c r="R111" s="102"/>
      <c r="S111" s="102"/>
      <c r="T111" s="102"/>
      <c r="U111" s="102"/>
      <c r="V111" s="102"/>
      <c r="W111" s="102"/>
      <c r="X111" s="102"/>
      <c r="Y111" s="492"/>
    </row>
    <row r="112" spans="2:48">
      <c r="I112" s="11" t="s">
        <v>29</v>
      </c>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c r="AP112" s="11"/>
      <c r="AQ112" s="11"/>
      <c r="AR112" s="11"/>
      <c r="AS112" s="11"/>
      <c r="AT112" s="11"/>
      <c r="AU112" s="11"/>
      <c r="AV112" s="11"/>
    </row>
    <row r="113" spans="2:53">
      <c r="I113" s="11" t="s">
        <v>56</v>
      </c>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f t="shared" ref="AK113:AU113" si="105">+AK3</f>
        <v>2015</v>
      </c>
      <c r="AL113" s="11">
        <f t="shared" si="105"/>
        <v>2016</v>
      </c>
      <c r="AM113" s="517">
        <f t="shared" si="105"/>
        <v>2017</v>
      </c>
      <c r="AN113" s="517">
        <f t="shared" si="105"/>
        <v>2018</v>
      </c>
      <c r="AO113" s="517">
        <f t="shared" si="105"/>
        <v>2019</v>
      </c>
      <c r="AP113" s="517">
        <f t="shared" si="105"/>
        <v>2020</v>
      </c>
      <c r="AQ113" s="517">
        <f t="shared" si="105"/>
        <v>2021</v>
      </c>
      <c r="AR113" s="517">
        <f t="shared" si="105"/>
        <v>2022</v>
      </c>
      <c r="AS113" s="517">
        <f t="shared" si="105"/>
        <v>2023</v>
      </c>
      <c r="AT113" s="517">
        <f t="shared" si="105"/>
        <v>2024</v>
      </c>
      <c r="AU113" s="517">
        <f t="shared" si="105"/>
        <v>2025</v>
      </c>
      <c r="AV113" s="11"/>
    </row>
    <row r="114" spans="2:53">
      <c r="I114" s="16" t="s">
        <v>54</v>
      </c>
      <c r="AO114" s="3"/>
      <c r="AP114" s="3"/>
      <c r="AQ114" s="3"/>
      <c r="AR114" s="3"/>
      <c r="AS114" s="3"/>
      <c r="AT114" s="3"/>
      <c r="AU114" s="3"/>
    </row>
    <row r="115" spans="2:53">
      <c r="I115" s="1" t="s">
        <v>32</v>
      </c>
      <c r="AM115" s="3"/>
      <c r="AN115" s="3"/>
      <c r="AO115" s="3"/>
      <c r="AP115" s="3"/>
      <c r="AQ115" s="3"/>
      <c r="AR115" s="3"/>
      <c r="AS115" s="3"/>
      <c r="AT115" s="3"/>
      <c r="AU115" s="3"/>
    </row>
    <row r="116" spans="2:53">
      <c r="I116" s="1" t="s">
        <v>30</v>
      </c>
      <c r="U116" s="13">
        <v>640.80999999999995</v>
      </c>
      <c r="V116" s="13"/>
      <c r="W116" s="13"/>
      <c r="Y116" s="13">
        <v>150.12100000000001</v>
      </c>
      <c r="Z116" s="13">
        <v>1427.114</v>
      </c>
      <c r="AA116" s="13">
        <v>501.67700000000002</v>
      </c>
      <c r="AB116" s="13">
        <v>317.55399999999997</v>
      </c>
      <c r="AC116" s="13">
        <v>334.06299999999999</v>
      </c>
      <c r="AD116" s="3">
        <f t="shared" ref="AD116:AG116" si="106">AD211</f>
        <v>123.69154113518158</v>
      </c>
      <c r="AE116" s="3">
        <f t="shared" si="106"/>
        <v>222.28855759050055</v>
      </c>
      <c r="AF116" s="3">
        <f t="shared" si="106"/>
        <v>273.0744443602353</v>
      </c>
      <c r="AG116" s="3">
        <f t="shared" si="106"/>
        <v>395.26616610161699</v>
      </c>
      <c r="AH116" s="232"/>
      <c r="AK116" s="3">
        <f>+U116</f>
        <v>640.80999999999995</v>
      </c>
      <c r="AL116" s="3">
        <f>Y116</f>
        <v>150.12100000000001</v>
      </c>
      <c r="AM116" s="3">
        <f>AC116</f>
        <v>334.06299999999999</v>
      </c>
      <c r="AN116" s="3">
        <f>AG116</f>
        <v>395.26616610161699</v>
      </c>
      <c r="AO116" s="3">
        <f t="shared" ref="AO116:AU116" si="107">+AO211</f>
        <v>657.51054185503165</v>
      </c>
      <c r="AP116" s="3">
        <f t="shared" si="107"/>
        <v>899.9571522322907</v>
      </c>
      <c r="AQ116" s="3">
        <f t="shared" si="107"/>
        <v>1266.4926568542551</v>
      </c>
      <c r="AR116" s="3">
        <f t="shared" si="107"/>
        <v>1875.7334510818746</v>
      </c>
      <c r="AS116" s="3">
        <f t="shared" si="107"/>
        <v>2778.8797538076228</v>
      </c>
      <c r="AT116" s="3">
        <f t="shared" si="107"/>
        <v>4056.9849885019448</v>
      </c>
      <c r="AU116" s="3">
        <f t="shared" si="107"/>
        <v>5733.3392572949342</v>
      </c>
      <c r="AX116" s="3"/>
      <c r="AZ116" s="3"/>
    </row>
    <row r="117" spans="2:53">
      <c r="I117" s="1" t="s">
        <v>31</v>
      </c>
      <c r="U117" s="13">
        <v>0</v>
      </c>
      <c r="W117" s="13"/>
      <c r="Y117" s="13">
        <v>837.24699999999996</v>
      </c>
      <c r="Z117" s="13">
        <v>1815.442</v>
      </c>
      <c r="AA117" s="13">
        <v>2295.9189999999999</v>
      </c>
      <c r="AB117" s="13">
        <v>1980.5139999999999</v>
      </c>
      <c r="AC117" s="13">
        <v>1708.9760000000001</v>
      </c>
      <c r="AD117" s="3">
        <f>+AC117-AD192-AD193-AD194</f>
        <v>1508.9760000000001</v>
      </c>
      <c r="AE117" s="3">
        <f>+AD117-AE192-AE193-AE194</f>
        <v>1208.9760000000001</v>
      </c>
      <c r="AF117" s="3">
        <f>+AE117-AF192-AF193-AF194</f>
        <v>908.97600000000011</v>
      </c>
      <c r="AG117" s="3">
        <f>+AF117-AG192-AG193-AG194</f>
        <v>558.97600000000011</v>
      </c>
      <c r="AH117" s="232"/>
      <c r="AK117" s="3">
        <f>+U117</f>
        <v>0</v>
      </c>
      <c r="AL117" s="3">
        <f>Y117</f>
        <v>837.24699999999996</v>
      </c>
      <c r="AM117" s="3">
        <f t="shared" ref="AM117:AM146" si="108">AC117</f>
        <v>1708.9760000000001</v>
      </c>
      <c r="AN117" s="3">
        <f t="shared" ref="AN117:AN146" si="109">AG117</f>
        <v>558.97600000000011</v>
      </c>
      <c r="AO117" s="3">
        <f t="shared" ref="AO117:AU117" si="110">+AN117-AO192-AO193-AO194</f>
        <v>108.97600000000011</v>
      </c>
      <c r="AP117" s="3">
        <f t="shared" si="110"/>
        <v>108.97600000000011</v>
      </c>
      <c r="AQ117" s="3">
        <f t="shared" si="110"/>
        <v>108.97600000000011</v>
      </c>
      <c r="AR117" s="3">
        <f t="shared" si="110"/>
        <v>108.97600000000011</v>
      </c>
      <c r="AS117" s="3">
        <f t="shared" si="110"/>
        <v>108.97600000000011</v>
      </c>
      <c r="AT117" s="3">
        <f t="shared" si="110"/>
        <v>108.97600000000011</v>
      </c>
      <c r="AU117" s="3">
        <f t="shared" si="110"/>
        <v>108.97600000000011</v>
      </c>
      <c r="AX117" s="3"/>
      <c r="AZ117" s="3"/>
      <c r="BA117" s="3"/>
    </row>
    <row r="118" spans="2:53">
      <c r="I118" s="1" t="s">
        <v>33</v>
      </c>
      <c r="U118" s="13">
        <v>44.325000000000003</v>
      </c>
      <c r="W118" s="13"/>
      <c r="Y118" s="13">
        <v>162.65899999999999</v>
      </c>
      <c r="Z118" s="13">
        <v>147.67699999999999</v>
      </c>
      <c r="AA118" s="13">
        <v>171.52500000000001</v>
      </c>
      <c r="AB118" s="13">
        <v>194.971</v>
      </c>
      <c r="AC118" s="13">
        <v>279.47300000000001</v>
      </c>
      <c r="AD118" s="3">
        <f t="shared" ref="AD118:AG118" si="111">(AD150/365)*AD6</f>
        <v>245.72044397519511</v>
      </c>
      <c r="AE118" s="3">
        <f t="shared" si="111"/>
        <v>278.52477830804037</v>
      </c>
      <c r="AF118" s="3">
        <f t="shared" si="111"/>
        <v>319.73680008848839</v>
      </c>
      <c r="AG118" s="3">
        <f t="shared" si="111"/>
        <v>418.68174579006143</v>
      </c>
      <c r="AH118" s="232"/>
      <c r="AK118" s="3">
        <f>+U118</f>
        <v>44.325000000000003</v>
      </c>
      <c r="AL118" s="3">
        <f>Y118</f>
        <v>162.65899999999999</v>
      </c>
      <c r="AM118" s="3">
        <f t="shared" si="108"/>
        <v>279.47300000000001</v>
      </c>
      <c r="AN118" s="3">
        <f t="shared" si="109"/>
        <v>418.68174579006143</v>
      </c>
      <c r="AO118" s="3">
        <f>(AO150/365)*AO6</f>
        <v>547.04670454660413</v>
      </c>
      <c r="AP118" s="3">
        <f>(AP150/365)*AP6</f>
        <v>548.59628601967722</v>
      </c>
      <c r="AQ118" s="3">
        <f t="shared" ref="AQ118:AU118" si="112">(AQ150/365)*AQ6</f>
        <v>745.75689056343367</v>
      </c>
      <c r="AR118" s="3">
        <f t="shared" si="112"/>
        <v>970.88335703372934</v>
      </c>
      <c r="AS118" s="3">
        <f t="shared" si="112"/>
        <v>1205.5104565596282</v>
      </c>
      <c r="AT118" s="3">
        <f t="shared" si="112"/>
        <v>1438.7100014906089</v>
      </c>
      <c r="AU118" s="3">
        <f t="shared" si="112"/>
        <v>1671.4092973863628</v>
      </c>
      <c r="AX118" s="3"/>
      <c r="AZ118" s="3"/>
    </row>
    <row r="119" spans="2:53">
      <c r="I119" s="1" t="s">
        <v>34</v>
      </c>
      <c r="U119" s="13">
        <v>7.4290000000000003</v>
      </c>
      <c r="W119" s="13"/>
      <c r="Y119" s="13">
        <v>29.957999999999998</v>
      </c>
      <c r="Z119" s="13">
        <v>72.972999999999999</v>
      </c>
      <c r="AA119" s="13">
        <v>77.777000000000001</v>
      </c>
      <c r="AB119" s="13">
        <v>54.692</v>
      </c>
      <c r="AC119" s="13">
        <v>44.281999999999996</v>
      </c>
      <c r="AD119" s="3">
        <f t="shared" ref="AD119:AG119" si="113">AD151*AD6</f>
        <v>44.82</v>
      </c>
      <c r="AE119" s="3">
        <f t="shared" si="113"/>
        <v>53.1</v>
      </c>
      <c r="AF119" s="3">
        <f t="shared" si="113"/>
        <v>61.379999999999995</v>
      </c>
      <c r="AG119" s="3">
        <f t="shared" si="113"/>
        <v>77.039999999999992</v>
      </c>
      <c r="AH119" s="232"/>
      <c r="AK119" s="3">
        <f>+U119</f>
        <v>7.4290000000000003</v>
      </c>
      <c r="AL119" s="3">
        <f>Y119</f>
        <v>29.957999999999998</v>
      </c>
      <c r="AM119" s="3">
        <f t="shared" si="108"/>
        <v>44.281999999999996</v>
      </c>
      <c r="AN119" s="3">
        <f t="shared" si="109"/>
        <v>77.039999999999992</v>
      </c>
      <c r="AO119" s="3">
        <f t="shared" ref="AO119:AU119" si="114">AO151*AO6</f>
        <v>103.73587792178564</v>
      </c>
      <c r="AP119" s="3">
        <f>AP151*AP6</f>
        <v>130.91711770321331</v>
      </c>
      <c r="AQ119" s="3">
        <f t="shared" si="114"/>
        <v>155.0899994467344</v>
      </c>
      <c r="AR119" s="3">
        <f t="shared" si="114"/>
        <v>172.12426440112523</v>
      </c>
      <c r="AS119" s="3">
        <f t="shared" si="114"/>
        <v>213.72042177872251</v>
      </c>
      <c r="AT119" s="3">
        <f t="shared" si="114"/>
        <v>255.06349336309583</v>
      </c>
      <c r="AU119" s="3">
        <f t="shared" si="114"/>
        <v>296.31787767460378</v>
      </c>
      <c r="AX119" s="3"/>
      <c r="AZ119" s="3"/>
    </row>
    <row r="120" spans="2:53" s="7" customFormat="1">
      <c r="B120"/>
      <c r="C120"/>
      <c r="D120"/>
      <c r="E120"/>
      <c r="F120"/>
      <c r="G120"/>
      <c r="I120" s="7" t="s">
        <v>35</v>
      </c>
      <c r="U120" s="9">
        <f>+SUM(U116:U119)</f>
        <v>692.56399999999996</v>
      </c>
      <c r="W120" s="9"/>
      <c r="Y120" s="9">
        <f>+SUM(Y116:Y119)</f>
        <v>1179.9850000000001</v>
      </c>
      <c r="Z120" s="9">
        <f>+SUM(Z116:Z119)</f>
        <v>3463.2060000000001</v>
      </c>
      <c r="AA120" s="9">
        <f>+SUM(AA116:AA119)</f>
        <v>3046.8980000000001</v>
      </c>
      <c r="AB120" s="9">
        <f>+SUM(AB116:AB119)</f>
        <v>2547.7309999999998</v>
      </c>
      <c r="AC120" s="9">
        <f>+SUM(AC116:AC119)</f>
        <v>2366.7940000000003</v>
      </c>
      <c r="AD120" s="9">
        <f t="shared" ref="AD120:AG120" si="115">SUM(AD116:AD119)</f>
        <v>1923.2079851103767</v>
      </c>
      <c r="AE120" s="9">
        <f t="shared" si="115"/>
        <v>1762.889335898541</v>
      </c>
      <c r="AF120" s="9">
        <f t="shared" si="115"/>
        <v>1563.167244448724</v>
      </c>
      <c r="AG120" s="9">
        <f t="shared" si="115"/>
        <v>1449.9639118916784</v>
      </c>
      <c r="AH120" s="232"/>
      <c r="AK120" s="9">
        <f>SUM(AK116:AK119)</f>
        <v>692.56399999999996</v>
      </c>
      <c r="AL120" s="9">
        <f>SUM(AL116:AL119)</f>
        <v>1179.9850000000001</v>
      </c>
      <c r="AM120" s="9">
        <f t="shared" ref="AM120:AN120" si="116">SUM(AM116:AM119)</f>
        <v>2366.7940000000003</v>
      </c>
      <c r="AN120" s="9">
        <f t="shared" si="116"/>
        <v>1449.9639118916784</v>
      </c>
      <c r="AO120" s="9">
        <f t="shared" ref="AO120:AS120" si="117">SUM(AO116:AO119)</f>
        <v>1417.2691243234217</v>
      </c>
      <c r="AP120" s="9">
        <f t="shared" si="117"/>
        <v>1688.4465559551813</v>
      </c>
      <c r="AQ120" s="9">
        <f t="shared" si="117"/>
        <v>2276.3155468644236</v>
      </c>
      <c r="AR120" s="9">
        <f t="shared" si="117"/>
        <v>3127.7170725167293</v>
      </c>
      <c r="AS120" s="9">
        <f t="shared" si="117"/>
        <v>4307.0866321459735</v>
      </c>
      <c r="AT120" s="9">
        <f>SUM(AT116:AT119)</f>
        <v>5859.7344833556499</v>
      </c>
      <c r="AU120" s="9">
        <f>SUM(AU116:AU119)</f>
        <v>7810.0424323559009</v>
      </c>
      <c r="AW120" s="1"/>
      <c r="AX120" s="3"/>
      <c r="AY120" s="1"/>
      <c r="AZ120" s="3"/>
    </row>
    <row r="121" spans="2:53">
      <c r="Z121" s="3"/>
      <c r="AA121" s="3"/>
      <c r="AB121" s="3"/>
      <c r="AC121" s="3"/>
      <c r="AH121" s="232"/>
      <c r="AX121" s="3"/>
      <c r="AZ121" s="3"/>
    </row>
    <row r="122" spans="2:53">
      <c r="I122" s="1" t="s">
        <v>36</v>
      </c>
      <c r="U122" s="13">
        <v>44.079000000000001</v>
      </c>
      <c r="W122" s="13"/>
      <c r="Y122" s="13">
        <v>100.58499999999999</v>
      </c>
      <c r="Z122" s="13">
        <v>116.13200000000001</v>
      </c>
      <c r="AA122" s="13">
        <v>128.03100000000001</v>
      </c>
      <c r="AB122" s="13">
        <v>143.11199999999999</v>
      </c>
      <c r="AC122" s="13">
        <v>166.762</v>
      </c>
      <c r="AD122" s="208">
        <f>AC122+AD233-AD240</f>
        <v>174.28455</v>
      </c>
      <c r="AE122" s="208">
        <f>AD122+AE233-AE240</f>
        <v>182.28730000000002</v>
      </c>
      <c r="AF122" s="208">
        <f>AE122+AF233-AF240</f>
        <v>192.59410000000003</v>
      </c>
      <c r="AG122" s="208">
        <f>AF122+AG233-AG240</f>
        <v>201.2433</v>
      </c>
      <c r="AH122" s="232"/>
      <c r="AK122" s="3">
        <f>+U122</f>
        <v>44.079000000000001</v>
      </c>
      <c r="AL122" s="3">
        <f>Y122</f>
        <v>100.58499999999999</v>
      </c>
      <c r="AM122" s="3">
        <f t="shared" si="108"/>
        <v>166.762</v>
      </c>
      <c r="AN122" s="3">
        <f t="shared" si="109"/>
        <v>201.2433</v>
      </c>
      <c r="AO122" s="208">
        <f t="shared" ref="AO122:AU122" si="118">AN122+AO233-AO240</f>
        <v>240.27460000000002</v>
      </c>
      <c r="AP122" s="208">
        <f t="shared" si="118"/>
        <v>289.68180000000001</v>
      </c>
      <c r="AQ122" s="208">
        <f t="shared" si="118"/>
        <v>350.2149</v>
      </c>
      <c r="AR122" s="208">
        <f t="shared" si="118"/>
        <v>415.69799999999998</v>
      </c>
      <c r="AS122" s="208">
        <f t="shared" si="118"/>
        <v>485.23110000000003</v>
      </c>
      <c r="AT122" s="208">
        <f t="shared" si="118"/>
        <v>558.36419999999998</v>
      </c>
      <c r="AU122" s="208">
        <f t="shared" si="118"/>
        <v>634.64730000000009</v>
      </c>
      <c r="AX122" s="3"/>
      <c r="AZ122" s="3"/>
    </row>
    <row r="123" spans="2:53">
      <c r="I123" s="1" t="s">
        <v>37</v>
      </c>
      <c r="U123" s="13">
        <v>43.23</v>
      </c>
      <c r="W123" s="13"/>
      <c r="Y123" s="13">
        <v>75.981999999999999</v>
      </c>
      <c r="Z123" s="13">
        <v>79.781000000000006</v>
      </c>
      <c r="AA123" s="13">
        <v>136.005</v>
      </c>
      <c r="AB123" s="13">
        <v>164.61199999999999</v>
      </c>
      <c r="AC123" s="13">
        <v>166.47300000000001</v>
      </c>
      <c r="AD123" s="15">
        <f>AC123-AD187</f>
        <v>166.47300000000001</v>
      </c>
      <c r="AE123" s="15">
        <f>AD123-AE187</f>
        <v>166.47300000000001</v>
      </c>
      <c r="AF123" s="15">
        <f>AE123-AF187</f>
        <v>166.47300000000001</v>
      </c>
      <c r="AG123" s="15">
        <f>AF123-AG187</f>
        <v>166.47300000000001</v>
      </c>
      <c r="AH123" s="232"/>
      <c r="AK123" s="3">
        <f>+U123</f>
        <v>43.23</v>
      </c>
      <c r="AL123" s="3">
        <f>Y123</f>
        <v>75.981999999999999</v>
      </c>
      <c r="AM123" s="3">
        <f t="shared" si="108"/>
        <v>166.47300000000001</v>
      </c>
      <c r="AN123" s="3">
        <f t="shared" si="109"/>
        <v>166.47300000000001</v>
      </c>
      <c r="AO123" s="15">
        <f t="shared" ref="AO123:AU123" si="119">AN123-AO187</f>
        <v>166.47300000000001</v>
      </c>
      <c r="AP123" s="15">
        <f t="shared" si="119"/>
        <v>166.47300000000001</v>
      </c>
      <c r="AQ123" s="15">
        <f t="shared" si="119"/>
        <v>166.47300000000001</v>
      </c>
      <c r="AR123" s="15">
        <f t="shared" si="119"/>
        <v>166.47300000000001</v>
      </c>
      <c r="AS123" s="15">
        <f t="shared" si="119"/>
        <v>166.47300000000001</v>
      </c>
      <c r="AT123" s="15">
        <f t="shared" si="119"/>
        <v>166.47300000000001</v>
      </c>
      <c r="AU123" s="15">
        <f t="shared" si="119"/>
        <v>166.47300000000001</v>
      </c>
      <c r="AX123" s="3"/>
      <c r="AZ123" s="3"/>
    </row>
    <row r="124" spans="2:53">
      <c r="I124" s="1" t="s">
        <v>38</v>
      </c>
      <c r="U124" s="13">
        <v>133.94399999999999</v>
      </c>
      <c r="W124" s="13"/>
      <c r="Y124" s="13">
        <v>319.137</v>
      </c>
      <c r="Z124" s="13">
        <v>332.20499999999998</v>
      </c>
      <c r="AA124" s="13">
        <v>502.82499999999999</v>
      </c>
      <c r="AB124" s="13">
        <v>612.82299999999998</v>
      </c>
      <c r="AC124" s="13">
        <v>639.88199999999995</v>
      </c>
      <c r="AD124" s="15">
        <f>AC124-AD189</f>
        <v>639.88199999999995</v>
      </c>
      <c r="AE124" s="15">
        <f>AD124-AE189</f>
        <v>639.88199999999995</v>
      </c>
      <c r="AF124" s="15">
        <f>AE124-AF189</f>
        <v>639.88199999999995</v>
      </c>
      <c r="AG124" s="15">
        <f>AF124-AG189</f>
        <v>639.88199999999995</v>
      </c>
      <c r="AH124" s="232"/>
      <c r="AK124" s="3">
        <f>+U124</f>
        <v>133.94399999999999</v>
      </c>
      <c r="AL124" s="3">
        <f>Y124</f>
        <v>319.137</v>
      </c>
      <c r="AM124" s="3">
        <f t="shared" si="108"/>
        <v>639.88199999999995</v>
      </c>
      <c r="AN124" s="3">
        <f t="shared" si="109"/>
        <v>639.88199999999995</v>
      </c>
      <c r="AO124" s="15">
        <f t="shared" ref="AO124:AU124" si="120">AN124-AO189</f>
        <v>639.88199999999995</v>
      </c>
      <c r="AP124" s="15">
        <f t="shared" si="120"/>
        <v>639.88199999999995</v>
      </c>
      <c r="AQ124" s="15">
        <f t="shared" si="120"/>
        <v>639.88199999999995</v>
      </c>
      <c r="AR124" s="15">
        <f t="shared" si="120"/>
        <v>639.88199999999995</v>
      </c>
      <c r="AS124" s="15">
        <f t="shared" si="120"/>
        <v>639.88199999999995</v>
      </c>
      <c r="AT124" s="15">
        <f t="shared" si="120"/>
        <v>639.88199999999995</v>
      </c>
      <c r="AU124" s="15">
        <f t="shared" si="120"/>
        <v>639.88199999999995</v>
      </c>
      <c r="AX124" s="3"/>
      <c r="AZ124" s="3"/>
    </row>
    <row r="125" spans="2:53">
      <c r="I125" s="1" t="s">
        <v>39</v>
      </c>
      <c r="U125" s="13">
        <v>25.119</v>
      </c>
      <c r="W125" s="13"/>
      <c r="Y125" s="13">
        <v>47.103000000000002</v>
      </c>
      <c r="Z125" s="13">
        <v>50.453000000000003</v>
      </c>
      <c r="AA125" s="13">
        <v>61.715000000000003</v>
      </c>
      <c r="AB125" s="13">
        <v>74.102000000000004</v>
      </c>
      <c r="AC125" s="13">
        <v>81.655000000000001</v>
      </c>
      <c r="AD125" s="288">
        <f>AC125-AD188-AD195-AD196-AD174</f>
        <v>91.655000000000001</v>
      </c>
      <c r="AE125" s="288">
        <f t="shared" ref="AE125:AG125" si="121">AD125-AE188-AE195-AE196-AE174</f>
        <v>91.655000000000001</v>
      </c>
      <c r="AF125" s="288">
        <f t="shared" si="121"/>
        <v>91.655000000000001</v>
      </c>
      <c r="AG125" s="288">
        <f t="shared" si="121"/>
        <v>91.655000000000001</v>
      </c>
      <c r="AH125" s="232"/>
      <c r="AK125" s="3">
        <f>+U125</f>
        <v>25.119</v>
      </c>
      <c r="AL125" s="3">
        <f>Y125</f>
        <v>47.103000000000002</v>
      </c>
      <c r="AM125" s="3">
        <f t="shared" si="108"/>
        <v>81.655000000000001</v>
      </c>
      <c r="AN125" s="3">
        <f t="shared" ref="AN125:AU125" si="122">AM125-AN188-AN195-AN196-AN174</f>
        <v>91.655000000000001</v>
      </c>
      <c r="AO125" s="3">
        <f t="shared" si="122"/>
        <v>101.655</v>
      </c>
      <c r="AP125" s="3">
        <f t="shared" si="122"/>
        <v>111.655</v>
      </c>
      <c r="AQ125" s="3">
        <f t="shared" si="122"/>
        <v>121.655</v>
      </c>
      <c r="AR125" s="3">
        <f t="shared" si="122"/>
        <v>131.655</v>
      </c>
      <c r="AS125" s="3">
        <f t="shared" si="122"/>
        <v>141.655</v>
      </c>
      <c r="AT125" s="3">
        <f t="shared" si="122"/>
        <v>151.655</v>
      </c>
      <c r="AU125" s="3">
        <f t="shared" si="122"/>
        <v>161.655</v>
      </c>
      <c r="AX125" s="3"/>
      <c r="AZ125" s="3"/>
    </row>
    <row r="126" spans="2:53" s="7" customFormat="1">
      <c r="B126"/>
      <c r="C126"/>
      <c r="D126"/>
      <c r="E126"/>
      <c r="F126"/>
      <c r="G126"/>
      <c r="I126" s="7" t="s">
        <v>40</v>
      </c>
      <c r="U126" s="9">
        <f>+U120+SUM(U122:U125)</f>
        <v>938.93599999999992</v>
      </c>
      <c r="W126" s="9"/>
      <c r="Y126" s="9">
        <f>+Y120+SUM(Y122:Y125)</f>
        <v>1722.7920000000001</v>
      </c>
      <c r="Z126" s="9">
        <f>+Z120+SUM(Z122:Z125)</f>
        <v>4041.777</v>
      </c>
      <c r="AA126" s="9">
        <f>+AA120+SUM(AA122:AA125)</f>
        <v>3875.4740000000002</v>
      </c>
      <c r="AB126" s="9">
        <f>+AB120+SUM(AB122:AB125)</f>
        <v>3542.3799999999997</v>
      </c>
      <c r="AC126" s="9">
        <f>+AC120+SUM(AC122:AC125)</f>
        <v>3421.5660000000003</v>
      </c>
      <c r="AD126" s="9">
        <f t="shared" ref="AD126" si="123">+AD120+SUM(AD122:AD125)</f>
        <v>2995.5025351103768</v>
      </c>
      <c r="AE126" s="9">
        <f t="shared" ref="AE126" si="124">+AE120+SUM(AE122:AE125)</f>
        <v>2843.1866358985408</v>
      </c>
      <c r="AF126" s="9">
        <f t="shared" ref="AF126" si="125">+AF120+SUM(AF122:AF125)</f>
        <v>2653.771344448724</v>
      </c>
      <c r="AG126" s="9">
        <f t="shared" ref="AG126" si="126">+AG120+SUM(AG122:AG125)</f>
        <v>2549.2172118916787</v>
      </c>
      <c r="AH126" s="232"/>
      <c r="AK126" s="9">
        <f>+U126</f>
        <v>938.93599999999992</v>
      </c>
      <c r="AL126" s="9">
        <f>+AL120+SUM(AL122:AL125)</f>
        <v>1722.7920000000001</v>
      </c>
      <c r="AM126" s="9">
        <f t="shared" ref="AM126:AN126" si="127">+AM120+SUM(AM122:AM125)</f>
        <v>3421.5660000000003</v>
      </c>
      <c r="AN126" s="9">
        <f t="shared" si="127"/>
        <v>2549.2172118916787</v>
      </c>
      <c r="AO126" s="9">
        <f t="shared" ref="AO126:AS126" si="128">+AO120+SUM(AO122:AO125)</f>
        <v>2565.5537243234216</v>
      </c>
      <c r="AP126" s="9">
        <f t="shared" si="128"/>
        <v>2896.1383559551814</v>
      </c>
      <c r="AQ126" s="9">
        <f t="shared" si="128"/>
        <v>3554.5404468644238</v>
      </c>
      <c r="AR126" s="9">
        <f t="shared" si="128"/>
        <v>4481.4250725167294</v>
      </c>
      <c r="AS126" s="9">
        <f t="shared" si="128"/>
        <v>5740.3277321459736</v>
      </c>
      <c r="AT126" s="9">
        <f>+AT120+SUM(AT122:AT125)</f>
        <v>7376.1086833556501</v>
      </c>
      <c r="AU126" s="9">
        <f>+AU120+SUM(AU122:AU125)</f>
        <v>9412.6997323559008</v>
      </c>
      <c r="AW126" s="1"/>
      <c r="AX126" s="3"/>
      <c r="AY126" s="1"/>
      <c r="AZ126" s="3"/>
    </row>
    <row r="127" spans="2:53">
      <c r="AH127" s="232"/>
      <c r="AX127" s="3"/>
      <c r="AZ127" s="3"/>
    </row>
    <row r="128" spans="2:53">
      <c r="I128" s="16" t="s">
        <v>55</v>
      </c>
      <c r="AH128" s="232"/>
      <c r="AX128" s="3"/>
      <c r="AZ128" s="3"/>
    </row>
    <row r="129" spans="2:52">
      <c r="I129" s="1" t="s">
        <v>41</v>
      </c>
      <c r="AH129" s="232"/>
      <c r="AK129" s="3"/>
      <c r="AL129" s="3"/>
      <c r="AM129" s="3"/>
      <c r="AN129" s="3"/>
      <c r="AX129" s="3"/>
      <c r="AZ129" s="3"/>
    </row>
    <row r="130" spans="2:52">
      <c r="I130" s="1" t="s">
        <v>42</v>
      </c>
      <c r="U130" s="588">
        <v>0.70199999999999996</v>
      </c>
      <c r="W130" s="13"/>
      <c r="Y130" s="13">
        <v>8.4190000000000005</v>
      </c>
      <c r="Z130" s="13">
        <v>13.849</v>
      </c>
      <c r="AA130" s="13">
        <v>17.77</v>
      </c>
      <c r="AB130" s="13">
        <v>15.207000000000001</v>
      </c>
      <c r="AC130" s="13">
        <v>71.194000000000003</v>
      </c>
      <c r="AD130" s="3">
        <f t="shared" ref="AD130:AG130" si="129">(AD152/365)*AD9</f>
        <v>13.787173664594096</v>
      </c>
      <c r="AE130" s="3">
        <f t="shared" si="129"/>
        <v>16.028133188390562</v>
      </c>
      <c r="AF130" s="3">
        <f t="shared" si="129"/>
        <v>19.035931380326371</v>
      </c>
      <c r="AG130" s="3">
        <f t="shared" si="129"/>
        <v>20.55733071499656</v>
      </c>
      <c r="AH130" s="232"/>
      <c r="AK130" s="3">
        <f>+U130</f>
        <v>0.70199999999999996</v>
      </c>
      <c r="AL130" s="3">
        <f>Y130</f>
        <v>8.4190000000000005</v>
      </c>
      <c r="AM130" s="3">
        <f t="shared" si="108"/>
        <v>71.194000000000003</v>
      </c>
      <c r="AN130" s="3">
        <f t="shared" si="109"/>
        <v>20.55733071499656</v>
      </c>
      <c r="AO130" s="3">
        <f t="shared" ref="AO130:AU130" si="130">(AO152/365)*AO9</f>
        <v>39.673620989433665</v>
      </c>
      <c r="AP130" s="3">
        <f t="shared" si="130"/>
        <v>84.113168135380846</v>
      </c>
      <c r="AQ130" s="3">
        <f t="shared" si="130"/>
        <v>121.84315340886185</v>
      </c>
      <c r="AR130" s="3">
        <f t="shared" si="130"/>
        <v>143.89132297283822</v>
      </c>
      <c r="AS130" s="3">
        <f t="shared" si="130"/>
        <v>167.14257390307466</v>
      </c>
      <c r="AT130" s="3">
        <f t="shared" si="130"/>
        <v>191.06487646342643</v>
      </c>
      <c r="AU130" s="3">
        <f t="shared" si="130"/>
        <v>215.97221409058955</v>
      </c>
      <c r="AX130" s="3"/>
      <c r="AZ130" s="3"/>
    </row>
    <row r="131" spans="2:52">
      <c r="I131" s="1" t="s">
        <v>43</v>
      </c>
      <c r="U131" s="588">
        <v>155.55600000000001</v>
      </c>
      <c r="W131" s="13"/>
      <c r="Y131" s="13">
        <v>335.517</v>
      </c>
      <c r="Z131" s="13">
        <v>228.43600000000001</v>
      </c>
      <c r="AA131" s="13">
        <v>240.53899999999999</v>
      </c>
      <c r="AB131" s="13">
        <v>280.95699999999999</v>
      </c>
      <c r="AC131" s="13">
        <v>275.06200000000001</v>
      </c>
      <c r="AD131" s="208">
        <f t="shared" ref="AD131:AG131" si="131">AD153*AD6</f>
        <v>124.5</v>
      </c>
      <c r="AE131" s="208">
        <f t="shared" si="131"/>
        <v>177</v>
      </c>
      <c r="AF131" s="208">
        <f t="shared" si="131"/>
        <v>204.6</v>
      </c>
      <c r="AG131" s="208">
        <f t="shared" si="131"/>
        <v>256.8</v>
      </c>
      <c r="AH131" s="232"/>
      <c r="AK131" s="208">
        <f>+U131</f>
        <v>155.55600000000001</v>
      </c>
      <c r="AL131" s="208">
        <f>Y131</f>
        <v>335.517</v>
      </c>
      <c r="AM131" s="208">
        <f t="shared" si="108"/>
        <v>275.06200000000001</v>
      </c>
      <c r="AN131" s="208">
        <f t="shared" si="109"/>
        <v>256.8</v>
      </c>
      <c r="AO131" s="208">
        <f>AO153*AO6</f>
        <v>748.35862077868956</v>
      </c>
      <c r="AP131" s="208">
        <f t="shared" ref="AP131:AU131" si="132">AP153*AP6</f>
        <v>1262.1953363837802</v>
      </c>
      <c r="AQ131" s="208">
        <f t="shared" si="132"/>
        <v>1715.8170649946264</v>
      </c>
      <c r="AR131" s="208">
        <f t="shared" si="132"/>
        <v>1985.583897018779</v>
      </c>
      <c r="AS131" s="208">
        <f t="shared" si="132"/>
        <v>2157.2487222898417</v>
      </c>
      <c r="AT131" s="208">
        <f t="shared" si="132"/>
        <v>2280.3218613508366</v>
      </c>
      <c r="AU131" s="208">
        <f t="shared" si="132"/>
        <v>2392.775974088283</v>
      </c>
      <c r="AX131" s="3"/>
      <c r="AZ131" s="3"/>
    </row>
    <row r="132" spans="2:52">
      <c r="I132" s="1" t="s">
        <v>44</v>
      </c>
      <c r="U132" s="477">
        <f>+U131+U130</f>
        <v>156.25800000000001</v>
      </c>
      <c r="W132" s="3"/>
      <c r="Y132" s="3">
        <v>343.93599999999998</v>
      </c>
      <c r="Z132" s="3">
        <f>SUM(Z130:Z131)</f>
        <v>242.285</v>
      </c>
      <c r="AA132" s="3">
        <f>SUM(AA130:AA131)</f>
        <v>258.30899999999997</v>
      </c>
      <c r="AB132" s="3">
        <f>SUM(AB130:AB131)</f>
        <v>296.16399999999999</v>
      </c>
      <c r="AC132" s="3">
        <f>SUM(AC130:AC131)</f>
        <v>346.25600000000003</v>
      </c>
      <c r="AD132" s="3">
        <f t="shared" ref="AD132:AG132" si="133">SUM(AD130:AD131)</f>
        <v>138.28717366459409</v>
      </c>
      <c r="AE132" s="3">
        <f t="shared" si="133"/>
        <v>193.02813318839057</v>
      </c>
      <c r="AF132" s="3">
        <f t="shared" si="133"/>
        <v>223.63593138032635</v>
      </c>
      <c r="AG132" s="3">
        <f t="shared" si="133"/>
        <v>277.35733071499658</v>
      </c>
      <c r="AH132" s="232"/>
      <c r="AK132" s="3">
        <f>+U132</f>
        <v>156.25800000000001</v>
      </c>
      <c r="AL132" s="3">
        <f>Y132</f>
        <v>343.93599999999998</v>
      </c>
      <c r="AM132" s="3">
        <f t="shared" si="108"/>
        <v>346.25600000000003</v>
      </c>
      <c r="AN132" s="3">
        <f t="shared" si="109"/>
        <v>277.35733071499658</v>
      </c>
      <c r="AO132" s="3">
        <f t="shared" ref="AO132:AS132" si="134">+SUM(AO130:AO131)</f>
        <v>788.03224176812319</v>
      </c>
      <c r="AP132" s="3">
        <f t="shared" si="134"/>
        <v>1346.308504519161</v>
      </c>
      <c r="AQ132" s="3">
        <f t="shared" si="134"/>
        <v>1837.6602184034882</v>
      </c>
      <c r="AR132" s="3">
        <f t="shared" si="134"/>
        <v>2129.4752199916175</v>
      </c>
      <c r="AS132" s="3">
        <f t="shared" si="134"/>
        <v>2324.3912961929163</v>
      </c>
      <c r="AT132" s="3">
        <f>+SUM(AT130:AT131)</f>
        <v>2471.3867378142631</v>
      </c>
      <c r="AU132" s="3">
        <f>+SUM(AU130:AU131)</f>
        <v>2608.7481881788726</v>
      </c>
      <c r="AX132" s="3"/>
      <c r="AZ132" s="3"/>
    </row>
    <row r="133" spans="2:52">
      <c r="U133" s="477"/>
      <c r="AH133" s="232"/>
      <c r="AK133" s="3"/>
      <c r="AL133" s="3"/>
      <c r="AM133" s="3"/>
      <c r="AN133" s="3"/>
      <c r="AX133" s="3"/>
      <c r="AZ133" s="3"/>
    </row>
    <row r="134" spans="2:52">
      <c r="I134" s="1" t="s">
        <v>45</v>
      </c>
      <c r="U134" s="588">
        <v>18.533000000000001</v>
      </c>
      <c r="W134" s="13"/>
      <c r="Y134" s="13">
        <v>47.134</v>
      </c>
      <c r="Z134" s="13">
        <v>63.973999999999997</v>
      </c>
      <c r="AA134" s="13">
        <v>76.257999999999996</v>
      </c>
      <c r="AB134" s="13">
        <v>70.945999999999998</v>
      </c>
      <c r="AC134" s="13">
        <v>82.983000000000004</v>
      </c>
      <c r="AD134" s="186">
        <f t="shared" ref="AD134:AG134" si="135">AC134</f>
        <v>82.983000000000004</v>
      </c>
      <c r="AE134" s="186">
        <f t="shared" si="135"/>
        <v>82.983000000000004</v>
      </c>
      <c r="AF134" s="186">
        <f t="shared" si="135"/>
        <v>82.983000000000004</v>
      </c>
      <c r="AG134" s="186">
        <f t="shared" si="135"/>
        <v>82.983000000000004</v>
      </c>
      <c r="AH134" s="232"/>
      <c r="AK134" s="3">
        <f>+U134</f>
        <v>18.533000000000001</v>
      </c>
      <c r="AL134" s="3">
        <f>Y134</f>
        <v>47.134</v>
      </c>
      <c r="AM134" s="3">
        <f t="shared" si="108"/>
        <v>82.983000000000004</v>
      </c>
      <c r="AN134" s="3">
        <f t="shared" si="109"/>
        <v>82.983000000000004</v>
      </c>
      <c r="AO134" s="13">
        <f t="shared" ref="AO134:AU134" si="136">AN134</f>
        <v>82.983000000000004</v>
      </c>
      <c r="AP134" s="13">
        <f t="shared" si="136"/>
        <v>82.983000000000004</v>
      </c>
      <c r="AQ134" s="13">
        <f t="shared" si="136"/>
        <v>82.983000000000004</v>
      </c>
      <c r="AR134" s="13">
        <f t="shared" si="136"/>
        <v>82.983000000000004</v>
      </c>
      <c r="AS134" s="13">
        <f t="shared" si="136"/>
        <v>82.983000000000004</v>
      </c>
      <c r="AT134" s="13">
        <f t="shared" si="136"/>
        <v>82.983000000000004</v>
      </c>
      <c r="AU134" s="13">
        <f t="shared" si="136"/>
        <v>82.983000000000004</v>
      </c>
      <c r="AX134" s="3"/>
      <c r="AZ134" s="3"/>
    </row>
    <row r="135" spans="2:52">
      <c r="U135" s="477"/>
      <c r="AH135" s="232"/>
      <c r="AK135" s="3"/>
      <c r="AL135" s="3"/>
      <c r="AM135" s="3"/>
      <c r="AN135" s="3"/>
      <c r="AX135" s="3"/>
      <c r="AZ135" s="3"/>
    </row>
    <row r="136" spans="2:52" s="7" customFormat="1">
      <c r="B136"/>
      <c r="C136"/>
      <c r="D136"/>
      <c r="E136"/>
      <c r="F136"/>
      <c r="G136"/>
      <c r="I136" s="7" t="s">
        <v>46</v>
      </c>
      <c r="U136" s="587">
        <f>+U134+U132</f>
        <v>174.791</v>
      </c>
      <c r="W136" s="9"/>
      <c r="Y136" s="9">
        <f>+Y134+Y132</f>
        <v>391.07</v>
      </c>
      <c r="Z136" s="9">
        <f>+Z134+Z132</f>
        <v>306.25900000000001</v>
      </c>
      <c r="AA136" s="9">
        <f>+AA134+AA132</f>
        <v>334.56699999999995</v>
      </c>
      <c r="AB136" s="9">
        <f>+AB134+AB132</f>
        <v>367.11</v>
      </c>
      <c r="AC136" s="9">
        <f>+AC134+AC132</f>
        <v>429.23900000000003</v>
      </c>
      <c r="AD136" s="9">
        <f t="shared" ref="AD136:AG136" si="137">+AD134+AD132</f>
        <v>221.2701736645941</v>
      </c>
      <c r="AE136" s="9">
        <f t="shared" si="137"/>
        <v>276.01113318839055</v>
      </c>
      <c r="AF136" s="9">
        <f t="shared" si="137"/>
        <v>306.61893138032633</v>
      </c>
      <c r="AG136" s="9">
        <f t="shared" si="137"/>
        <v>360.34033071499658</v>
      </c>
      <c r="AH136" s="232"/>
      <c r="AK136" s="3">
        <f>+U136</f>
        <v>174.791</v>
      </c>
      <c r="AL136" s="3">
        <f>SUM(AL132,AL134)</f>
        <v>391.07</v>
      </c>
      <c r="AM136" s="3">
        <f t="shared" si="108"/>
        <v>429.23900000000003</v>
      </c>
      <c r="AN136" s="3">
        <f t="shared" si="109"/>
        <v>360.34033071499658</v>
      </c>
      <c r="AO136" s="3">
        <f t="shared" ref="AO136:AS136" si="138">SUM(AO132,AO134)</f>
        <v>871.01524176812313</v>
      </c>
      <c r="AP136" s="3">
        <f t="shared" si="138"/>
        <v>1429.291504519161</v>
      </c>
      <c r="AQ136" s="3">
        <f t="shared" si="138"/>
        <v>1920.6432184034882</v>
      </c>
      <c r="AR136" s="3">
        <f t="shared" si="138"/>
        <v>2212.4582199916176</v>
      </c>
      <c r="AS136" s="3">
        <f t="shared" si="138"/>
        <v>2407.3742961929165</v>
      </c>
      <c r="AT136" s="3">
        <f>SUM(AT132,AT134)</f>
        <v>2554.3697378142633</v>
      </c>
      <c r="AU136" s="3">
        <f>SUM(AU132,AU134)</f>
        <v>2691.7311881788728</v>
      </c>
      <c r="AW136" s="1"/>
      <c r="AX136" s="3"/>
      <c r="AZ136" s="3"/>
    </row>
    <row r="137" spans="2:52">
      <c r="U137" s="477"/>
      <c r="AH137" s="232"/>
      <c r="AK137" s="3"/>
      <c r="AL137" s="3"/>
      <c r="AM137" s="3"/>
      <c r="AN137" s="3"/>
      <c r="AX137" s="3"/>
      <c r="AZ137" s="3"/>
    </row>
    <row r="138" spans="2:52">
      <c r="I138" s="16" t="s">
        <v>47</v>
      </c>
      <c r="U138" s="588"/>
      <c r="W138" s="13"/>
      <c r="AH138" s="232"/>
      <c r="AK138" s="3"/>
      <c r="AL138" s="3"/>
      <c r="AM138" s="3"/>
      <c r="AN138" s="3"/>
      <c r="AX138" s="3"/>
      <c r="AZ138" s="3"/>
    </row>
    <row r="139" spans="2:52">
      <c r="I139" s="1" t="s">
        <v>244</v>
      </c>
      <c r="U139" s="588">
        <v>8.9999999999999993E-3</v>
      </c>
      <c r="W139" s="13"/>
      <c r="Y139" s="13">
        <v>0.01</v>
      </c>
      <c r="Z139" s="13">
        <f>0.007+0.003+0.002</f>
        <v>1.2E-2</v>
      </c>
      <c r="AA139" s="13">
        <f>0.007+0.003+0.002</f>
        <v>1.2E-2</v>
      </c>
      <c r="AB139" s="13">
        <f>0.009+0.001+0.002</f>
        <v>1.1999999999999999E-2</v>
      </c>
      <c r="AC139" s="13">
        <f>0.009+0.001+0.002</f>
        <v>1.1999999999999999E-2</v>
      </c>
      <c r="AD139" s="13">
        <f t="shared" ref="AD139:AG139" si="139">AC139</f>
        <v>1.1999999999999999E-2</v>
      </c>
      <c r="AE139" s="13">
        <f t="shared" si="139"/>
        <v>1.1999999999999999E-2</v>
      </c>
      <c r="AF139" s="13">
        <f t="shared" si="139"/>
        <v>1.1999999999999999E-2</v>
      </c>
      <c r="AG139" s="13">
        <f t="shared" si="139"/>
        <v>1.1999999999999999E-2</v>
      </c>
      <c r="AH139" s="232"/>
      <c r="AK139" s="3">
        <f>+U139</f>
        <v>8.9999999999999993E-3</v>
      </c>
      <c r="AL139" s="3">
        <f>Y139</f>
        <v>0.01</v>
      </c>
      <c r="AM139" s="3">
        <f t="shared" si="108"/>
        <v>1.1999999999999999E-2</v>
      </c>
      <c r="AN139" s="3">
        <f t="shared" si="109"/>
        <v>1.1999999999999999E-2</v>
      </c>
      <c r="AO139" s="13">
        <f t="shared" ref="AO139:AU139" si="140">AN139</f>
        <v>1.1999999999999999E-2</v>
      </c>
      <c r="AP139" s="13">
        <f t="shared" si="140"/>
        <v>1.1999999999999999E-2</v>
      </c>
      <c r="AQ139" s="13">
        <f t="shared" si="140"/>
        <v>1.1999999999999999E-2</v>
      </c>
      <c r="AR139" s="13">
        <f t="shared" si="140"/>
        <v>1.1999999999999999E-2</v>
      </c>
      <c r="AS139" s="13">
        <f t="shared" si="140"/>
        <v>1.1999999999999999E-2</v>
      </c>
      <c r="AT139" s="13">
        <f t="shared" si="140"/>
        <v>1.1999999999999999E-2</v>
      </c>
      <c r="AU139" s="13">
        <f t="shared" si="140"/>
        <v>1.1999999999999999E-2</v>
      </c>
      <c r="AX139" s="3"/>
      <c r="AZ139" s="3"/>
    </row>
    <row r="140" spans="2:52">
      <c r="I140" s="1" t="s">
        <v>48</v>
      </c>
      <c r="U140" s="588">
        <v>-10</v>
      </c>
      <c r="W140" s="13"/>
      <c r="Y140" s="13">
        <v>0</v>
      </c>
      <c r="Z140" s="13">
        <v>0</v>
      </c>
      <c r="AA140" s="13">
        <v>0</v>
      </c>
      <c r="AB140" s="13">
        <v>0</v>
      </c>
      <c r="AC140" s="13">
        <v>0</v>
      </c>
      <c r="AD140" s="15">
        <f>AC140+AD190+AD191</f>
        <v>0</v>
      </c>
      <c r="AE140" s="15">
        <f>AD140+AE190+AE191</f>
        <v>0</v>
      </c>
      <c r="AF140" s="15">
        <f>AE140+AF190+AF191</f>
        <v>0</v>
      </c>
      <c r="AG140" s="15">
        <f>AF140+AG190+AG191</f>
        <v>0</v>
      </c>
      <c r="AH140" s="232"/>
      <c r="AK140" s="3">
        <f>+U140</f>
        <v>-10</v>
      </c>
      <c r="AL140" s="3">
        <f>Y140</f>
        <v>0</v>
      </c>
      <c r="AM140" s="3">
        <f t="shared" si="108"/>
        <v>0</v>
      </c>
      <c r="AN140" s="3">
        <f t="shared" si="109"/>
        <v>0</v>
      </c>
      <c r="AO140" s="15">
        <f t="shared" ref="AO140:AU140" si="141">AN140+AO190+AO191</f>
        <v>0</v>
      </c>
      <c r="AP140" s="15">
        <f t="shared" si="141"/>
        <v>0</v>
      </c>
      <c r="AQ140" s="15">
        <f t="shared" si="141"/>
        <v>0</v>
      </c>
      <c r="AR140" s="15">
        <f t="shared" si="141"/>
        <v>0</v>
      </c>
      <c r="AS140" s="15">
        <f t="shared" si="141"/>
        <v>0</v>
      </c>
      <c r="AT140" s="15">
        <f t="shared" si="141"/>
        <v>0</v>
      </c>
      <c r="AU140" s="15">
        <f t="shared" si="141"/>
        <v>0</v>
      </c>
      <c r="AX140" s="3"/>
      <c r="AZ140" s="3"/>
    </row>
    <row r="141" spans="2:52">
      <c r="I141" s="1" t="s">
        <v>49</v>
      </c>
      <c r="U141" s="588">
        <v>1467.355</v>
      </c>
      <c r="W141" s="13"/>
      <c r="Y141" s="13">
        <v>3639.62</v>
      </c>
      <c r="Z141" s="13">
        <v>7157.585</v>
      </c>
      <c r="AA141" s="13">
        <v>7400.8419999999996</v>
      </c>
      <c r="AB141" s="13">
        <v>7470.2719999999999</v>
      </c>
      <c r="AC141" s="13">
        <v>7634.8249999999998</v>
      </c>
      <c r="AD141" s="3">
        <f>+AC141+AD202+AD172+AD200+AD201</f>
        <v>7703.8249999999998</v>
      </c>
      <c r="AE141" s="3">
        <f>+AD141+AE202+AE172+AE200+AE201</f>
        <v>7803.8249999999998</v>
      </c>
      <c r="AF141" s="3">
        <f>+AE141+AF202+AF172+AF200+AF201</f>
        <v>7903.8249999999998</v>
      </c>
      <c r="AG141" s="3">
        <f>+AF141+AG202+AG172+AG200+AG201</f>
        <v>8003.8249999999998</v>
      </c>
      <c r="AH141" s="232"/>
      <c r="AK141" s="3">
        <f>+U141</f>
        <v>1467.355</v>
      </c>
      <c r="AL141" s="3">
        <f>Y141</f>
        <v>3639.62</v>
      </c>
      <c r="AM141" s="3">
        <f t="shared" si="108"/>
        <v>7634.8249999999998</v>
      </c>
      <c r="AN141" s="3">
        <f t="shared" si="109"/>
        <v>8003.8249999999998</v>
      </c>
      <c r="AO141" s="3">
        <f t="shared" ref="AO141:AU141" si="142">+AN141+AO202+AO172</f>
        <v>8418.8250000000007</v>
      </c>
      <c r="AP141" s="3">
        <f t="shared" si="142"/>
        <v>8867.0250000000015</v>
      </c>
      <c r="AQ141" s="3">
        <f t="shared" si="142"/>
        <v>9351.0810000000019</v>
      </c>
      <c r="AR141" s="3">
        <f t="shared" si="142"/>
        <v>9859.3398000000016</v>
      </c>
      <c r="AS141" s="3">
        <f t="shared" si="142"/>
        <v>10393.011540000001</v>
      </c>
      <c r="AT141" s="3">
        <f t="shared" si="142"/>
        <v>10953.366867000001</v>
      </c>
      <c r="AU141" s="3">
        <f t="shared" si="142"/>
        <v>11541.739960350002</v>
      </c>
      <c r="AX141" s="3"/>
      <c r="AZ141" s="3"/>
    </row>
    <row r="142" spans="2:52">
      <c r="I142" s="1" t="s">
        <v>50</v>
      </c>
      <c r="U142" s="588">
        <v>0</v>
      </c>
      <c r="W142" s="13"/>
      <c r="Y142" s="13">
        <v>-2.0569999999999999</v>
      </c>
      <c r="Z142" s="13">
        <v>-1.635</v>
      </c>
      <c r="AA142" s="13">
        <v>3.59</v>
      </c>
      <c r="AB142" s="13">
        <v>11.682</v>
      </c>
      <c r="AC142" s="13">
        <v>14.157</v>
      </c>
      <c r="AD142" s="13">
        <f t="shared" ref="AD142:AG142" si="143">AC142</f>
        <v>14.157</v>
      </c>
      <c r="AE142" s="13">
        <f t="shared" si="143"/>
        <v>14.157</v>
      </c>
      <c r="AF142" s="13">
        <f t="shared" si="143"/>
        <v>14.157</v>
      </c>
      <c r="AG142" s="13">
        <f t="shared" si="143"/>
        <v>14.157</v>
      </c>
      <c r="AH142" s="232"/>
      <c r="AK142" s="3">
        <f>+U142</f>
        <v>0</v>
      </c>
      <c r="AL142" s="3">
        <f>Y142</f>
        <v>-2.0569999999999999</v>
      </c>
      <c r="AM142" s="3">
        <f t="shared" si="108"/>
        <v>14.157</v>
      </c>
      <c r="AN142" s="3">
        <f t="shared" si="109"/>
        <v>14.157</v>
      </c>
      <c r="AO142" s="13">
        <f t="shared" ref="AO142:AU142" si="144">AN142</f>
        <v>14.157</v>
      </c>
      <c r="AP142" s="13">
        <f t="shared" si="144"/>
        <v>14.157</v>
      </c>
      <c r="AQ142" s="13">
        <f t="shared" si="144"/>
        <v>14.157</v>
      </c>
      <c r="AR142" s="13">
        <f t="shared" si="144"/>
        <v>14.157</v>
      </c>
      <c r="AS142" s="13">
        <f t="shared" si="144"/>
        <v>14.157</v>
      </c>
      <c r="AT142" s="13">
        <f t="shared" si="144"/>
        <v>14.157</v>
      </c>
      <c r="AU142" s="13">
        <f t="shared" si="144"/>
        <v>14.157</v>
      </c>
      <c r="AX142" s="3"/>
      <c r="AZ142" s="3"/>
    </row>
    <row r="143" spans="2:52">
      <c r="I143" s="1" t="s">
        <v>51</v>
      </c>
      <c r="U143" s="588">
        <v>-693.21900000000005</v>
      </c>
      <c r="W143" s="13"/>
      <c r="Y143" s="13">
        <v>-2305.8510000000001</v>
      </c>
      <c r="Z143" s="13">
        <v>-3420.444</v>
      </c>
      <c r="AA143" s="13">
        <f>+-3863.537</f>
        <v>-3863.5369999999998</v>
      </c>
      <c r="AB143" s="13">
        <v>-4306.6959999999999</v>
      </c>
      <c r="AC143" s="13">
        <v>-4656.6670000000004</v>
      </c>
      <c r="AD143" s="3">
        <f t="shared" ref="AD143" si="145">AC143+AD43</f>
        <v>-4943.7616385542169</v>
      </c>
      <c r="AE143" s="3">
        <f t="shared" ref="AE143" si="146">AD143+AE43</f>
        <v>-5250.8184972898489</v>
      </c>
      <c r="AF143" s="3">
        <f t="shared" ref="AF143" si="147">AE143+AF43</f>
        <v>-5570.8415869316023</v>
      </c>
      <c r="AG143" s="3">
        <f t="shared" ref="AG143" si="148">AF143+AG43</f>
        <v>-5829.1171188233175</v>
      </c>
      <c r="AH143" s="232"/>
      <c r="AK143" s="3">
        <f>+U143</f>
        <v>-693.21900000000005</v>
      </c>
      <c r="AL143" s="3">
        <f>Y143</f>
        <v>-2305.8510000000001</v>
      </c>
      <c r="AM143" s="3">
        <f t="shared" si="108"/>
        <v>-4656.6670000000004</v>
      </c>
      <c r="AN143" s="3">
        <f t="shared" si="109"/>
        <v>-5829.1171188233175</v>
      </c>
      <c r="AO143" s="3">
        <f>AN143+AO43</f>
        <v>-6738.4555174447014</v>
      </c>
      <c r="AP143" s="3">
        <f t="shared" ref="AP143:AU143" si="149">AO143+AP43</f>
        <v>-7414.3471485639793</v>
      </c>
      <c r="AQ143" s="3">
        <f t="shared" si="149"/>
        <v>-7731.3527715390646</v>
      </c>
      <c r="AR143" s="3">
        <f t="shared" si="149"/>
        <v>-7604.5419474748878</v>
      </c>
      <c r="AS143" s="3">
        <f t="shared" si="149"/>
        <v>-7074.2271040469423</v>
      </c>
      <c r="AT143" s="3">
        <f t="shared" si="149"/>
        <v>-6145.7969214586128</v>
      </c>
      <c r="AU143" s="3">
        <f t="shared" si="149"/>
        <v>-4834.9404161729717</v>
      </c>
      <c r="AX143" s="3"/>
      <c r="AZ143" s="3"/>
    </row>
    <row r="144" spans="2:52" s="7" customFormat="1">
      <c r="B144"/>
      <c r="C144"/>
      <c r="D144"/>
      <c r="E144"/>
      <c r="F144"/>
      <c r="G144"/>
      <c r="I144" s="7" t="s">
        <v>52</v>
      </c>
      <c r="U144" s="587">
        <f>+SUM(U138:U143)</f>
        <v>764.14499999999998</v>
      </c>
      <c r="W144" s="9"/>
      <c r="Y144" s="9">
        <f>+SUM(Y138:Y143)</f>
        <v>1331.7220000000002</v>
      </c>
      <c r="Z144" s="657">
        <f>+SUM(Z138:Z143)</f>
        <v>3735.5179999999996</v>
      </c>
      <c r="AA144" s="9">
        <f>+SUM(AA138:AA143)</f>
        <v>3540.9069999999997</v>
      </c>
      <c r="AB144" s="9">
        <f>+SUM(AB138:AB143)</f>
        <v>3175.2699999999995</v>
      </c>
      <c r="AC144" s="9">
        <f>+SUM(AC138:AC143)</f>
        <v>2992.3269999999993</v>
      </c>
      <c r="AD144" s="9">
        <f t="shared" ref="AD144:AG144" si="150">+SUM(AD138:AD143)</f>
        <v>2774.2323614457828</v>
      </c>
      <c r="AE144" s="9">
        <f t="shared" si="150"/>
        <v>2567.1755027101508</v>
      </c>
      <c r="AF144" s="9">
        <f t="shared" si="150"/>
        <v>2347.1524130683974</v>
      </c>
      <c r="AG144" s="9">
        <f t="shared" si="150"/>
        <v>2188.8768811766822</v>
      </c>
      <c r="AH144" s="232"/>
      <c r="AK144" s="9">
        <f>+SUM(AK138:AK143)</f>
        <v>764.14499999999998</v>
      </c>
      <c r="AL144" s="9">
        <f t="shared" ref="AL144:AU144" si="151">+SUM(AL138:AL143)</f>
        <v>1331.7220000000002</v>
      </c>
      <c r="AM144" s="9">
        <f t="shared" si="108"/>
        <v>2992.3269999999993</v>
      </c>
      <c r="AN144" s="9">
        <f t="shared" si="109"/>
        <v>2188.8768811766822</v>
      </c>
      <c r="AO144" s="9">
        <f t="shared" si="151"/>
        <v>1694.5384825552992</v>
      </c>
      <c r="AP144" s="9">
        <f t="shared" si="151"/>
        <v>1466.846851436022</v>
      </c>
      <c r="AQ144" s="9">
        <f t="shared" si="151"/>
        <v>1633.8972284609372</v>
      </c>
      <c r="AR144" s="9">
        <f t="shared" si="151"/>
        <v>2268.9668525251136</v>
      </c>
      <c r="AS144" s="9">
        <f t="shared" si="151"/>
        <v>3332.9534359530589</v>
      </c>
      <c r="AT144" s="9">
        <f t="shared" si="151"/>
        <v>4821.7389455413877</v>
      </c>
      <c r="AU144" s="9">
        <f t="shared" si="151"/>
        <v>6720.9685441770298</v>
      </c>
      <c r="AW144" s="1"/>
      <c r="AX144" s="3"/>
      <c r="AZ144" s="3"/>
    </row>
    <row r="145" spans="2:52">
      <c r="U145" s="477"/>
      <c r="AH145" s="232"/>
      <c r="AK145" s="3"/>
      <c r="AL145" s="3"/>
      <c r="AM145" s="3"/>
      <c r="AN145" s="3"/>
      <c r="AX145" s="3"/>
      <c r="AZ145" s="3"/>
    </row>
    <row r="146" spans="2:52" s="7" customFormat="1">
      <c r="B146"/>
      <c r="C146"/>
      <c r="D146"/>
      <c r="E146"/>
      <c r="F146"/>
      <c r="G146"/>
      <c r="I146" s="7" t="s">
        <v>53</v>
      </c>
      <c r="U146" s="587">
        <f>+U144+U136</f>
        <v>938.93599999999992</v>
      </c>
      <c r="W146" s="9"/>
      <c r="Y146" s="9">
        <f>+Y144+Y136</f>
        <v>1722.7920000000001</v>
      </c>
      <c r="Z146" s="9">
        <f>+Z144+Z136</f>
        <v>4041.7769999999996</v>
      </c>
      <c r="AA146" s="9">
        <f>+AA144+AA136</f>
        <v>3875.4739999999997</v>
      </c>
      <c r="AB146" s="9">
        <f>+AB144+AB136</f>
        <v>3542.3799999999997</v>
      </c>
      <c r="AC146" s="9">
        <f>+AC144+AC136</f>
        <v>3421.5659999999993</v>
      </c>
      <c r="AD146" s="9">
        <f t="shared" ref="AD146:AG146" si="152">+AD144+AD136</f>
        <v>2995.5025351103768</v>
      </c>
      <c r="AE146" s="9">
        <f t="shared" si="152"/>
        <v>2843.1866358985412</v>
      </c>
      <c r="AF146" s="9">
        <f t="shared" si="152"/>
        <v>2653.7713444487235</v>
      </c>
      <c r="AG146" s="9">
        <f t="shared" si="152"/>
        <v>2549.2172118916787</v>
      </c>
      <c r="AH146" s="232"/>
      <c r="AK146" s="9">
        <f>+U146</f>
        <v>938.93599999999992</v>
      </c>
      <c r="AL146" s="9">
        <f t="shared" ref="AL146:AU146" si="153">+AL144+AL136</f>
        <v>1722.7920000000001</v>
      </c>
      <c r="AM146" s="9">
        <f t="shared" si="108"/>
        <v>3421.5659999999993</v>
      </c>
      <c r="AN146" s="9">
        <f t="shared" si="109"/>
        <v>2549.2172118916787</v>
      </c>
      <c r="AO146" s="9">
        <f t="shared" si="153"/>
        <v>2565.5537243234221</v>
      </c>
      <c r="AP146" s="9">
        <f>+AP144+AP136</f>
        <v>2896.1383559551832</v>
      </c>
      <c r="AQ146" s="9">
        <f t="shared" si="153"/>
        <v>3554.5404468644256</v>
      </c>
      <c r="AR146" s="9">
        <f t="shared" si="153"/>
        <v>4481.4250725167312</v>
      </c>
      <c r="AS146" s="9">
        <f t="shared" si="153"/>
        <v>5740.3277321459755</v>
      </c>
      <c r="AT146" s="9">
        <f t="shared" si="153"/>
        <v>7376.108683355651</v>
      </c>
      <c r="AU146" s="9">
        <f t="shared" si="153"/>
        <v>9412.6997323559026</v>
      </c>
      <c r="AW146" s="1"/>
      <c r="AX146" s="3"/>
      <c r="AZ146" s="3"/>
    </row>
    <row r="147" spans="2:52" s="175" customFormat="1">
      <c r="B147"/>
      <c r="C147"/>
      <c r="D147"/>
      <c r="E147"/>
      <c r="F147"/>
      <c r="G147"/>
      <c r="I147" s="175" t="s">
        <v>207</v>
      </c>
      <c r="U147" s="659">
        <f>U126-U146</f>
        <v>0</v>
      </c>
      <c r="V147" s="659"/>
      <c r="W147" s="659"/>
      <c r="X147" s="659"/>
      <c r="Y147" s="659">
        <f>Y126-Y146</f>
        <v>0</v>
      </c>
      <c r="Z147" s="660">
        <f>Z126-Z146</f>
        <v>0</v>
      </c>
      <c r="AA147" s="659">
        <f>AA126-AA146</f>
        <v>0</v>
      </c>
      <c r="AB147" s="659">
        <f>AB126-AB146</f>
        <v>0</v>
      </c>
      <c r="AC147" s="659">
        <f>AC126-AC146</f>
        <v>0</v>
      </c>
      <c r="AD147" s="659">
        <f t="shared" ref="AD147:AG147" si="154">AD126-AD146</f>
        <v>0</v>
      </c>
      <c r="AE147" s="659">
        <f t="shared" si="154"/>
        <v>0</v>
      </c>
      <c r="AF147" s="659">
        <f t="shared" si="154"/>
        <v>0</v>
      </c>
      <c r="AG147" s="659">
        <f t="shared" si="154"/>
        <v>0</v>
      </c>
      <c r="AH147" s="3"/>
      <c r="AK147" s="658">
        <f t="shared" ref="AK147:AU147" si="155">+AK126-AK146</f>
        <v>0</v>
      </c>
      <c r="AL147" s="658">
        <f t="shared" si="155"/>
        <v>0</v>
      </c>
      <c r="AM147" s="658">
        <f t="shared" ref="AM147" si="156">AM126-AM146</f>
        <v>0</v>
      </c>
      <c r="AN147" s="658">
        <f t="shared" ref="AN147" si="157">AN126-AN146</f>
        <v>0</v>
      </c>
      <c r="AO147" s="658">
        <f t="shared" si="155"/>
        <v>0</v>
      </c>
      <c r="AP147" s="658">
        <f t="shared" si="155"/>
        <v>0</v>
      </c>
      <c r="AQ147" s="658">
        <f t="shared" si="155"/>
        <v>0</v>
      </c>
      <c r="AR147" s="658">
        <f t="shared" si="155"/>
        <v>0</v>
      </c>
      <c r="AS147" s="658">
        <f t="shared" si="155"/>
        <v>0</v>
      </c>
      <c r="AT147" s="658">
        <f t="shared" si="155"/>
        <v>0</v>
      </c>
      <c r="AU147" s="658">
        <f t="shared" si="155"/>
        <v>0</v>
      </c>
      <c r="AX147" s="3"/>
    </row>
    <row r="149" spans="2:52">
      <c r="I149" s="16" t="s">
        <v>132</v>
      </c>
    </row>
    <row r="150" spans="2:52">
      <c r="I150" s="1" t="s">
        <v>133</v>
      </c>
      <c r="U150" s="9"/>
      <c r="V150" s="7"/>
      <c r="W150" s="9"/>
      <c r="Y150" s="3">
        <f t="shared" ref="Y150:AB150" si="158">+(Y118/Y6)*365</f>
        <v>358.34028440023661</v>
      </c>
      <c r="Z150" s="3">
        <f t="shared" si="158"/>
        <v>360.19261867849889</v>
      </c>
      <c r="AA150" s="3">
        <f t="shared" si="158"/>
        <v>344.61540366927028</v>
      </c>
      <c r="AB150" s="3">
        <f t="shared" si="158"/>
        <v>342.24026988943768</v>
      </c>
      <c r="AC150" s="3">
        <f t="shared" ref="AC150" si="159">+(AC118/AC6)*365</f>
        <v>357.05335797516921</v>
      </c>
      <c r="AD150" s="150">
        <f>+Z150</f>
        <v>360.19261867849889</v>
      </c>
      <c r="AE150" s="150">
        <f t="shared" ref="AE150:AG150" si="160">+AA150</f>
        <v>344.61540366927028</v>
      </c>
      <c r="AF150" s="150">
        <f t="shared" si="160"/>
        <v>342.24026988943768</v>
      </c>
      <c r="AG150" s="150">
        <f t="shared" si="160"/>
        <v>357.05335797516921</v>
      </c>
      <c r="AK150" s="3">
        <f>+(AK118/AK6)*365</f>
        <v>275.78925387382168</v>
      </c>
      <c r="AL150" s="3">
        <f>+(AL118/AL6)*365</f>
        <v>146.78164912159255</v>
      </c>
      <c r="AM150" s="3">
        <f t="shared" ref="AM150:AN150" si="161">+(AM118/AM6)*365</f>
        <v>123.65327432362486</v>
      </c>
      <c r="AN150" s="3">
        <f t="shared" si="161"/>
        <v>116.38906109167739</v>
      </c>
      <c r="AO150" s="150">
        <f>+AN150-15</f>
        <v>101.38906109167739</v>
      </c>
      <c r="AP150" s="150">
        <f>+AO150-30</f>
        <v>71.389061091677391</v>
      </c>
      <c r="AQ150" s="150">
        <f>+AP150</f>
        <v>71.389061091677391</v>
      </c>
      <c r="AR150" s="150">
        <f t="shared" ref="AR150:AU150" si="162">+AQ150</f>
        <v>71.389061091677391</v>
      </c>
      <c r="AS150" s="150">
        <f t="shared" si="162"/>
        <v>71.389061091677391</v>
      </c>
      <c r="AT150" s="150">
        <f t="shared" si="162"/>
        <v>71.389061091677391</v>
      </c>
      <c r="AU150" s="150">
        <f t="shared" si="162"/>
        <v>71.389061091677391</v>
      </c>
    </row>
    <row r="151" spans="2:52">
      <c r="I151" s="1" t="s">
        <v>181</v>
      </c>
      <c r="U151" s="9"/>
      <c r="V151" s="7"/>
      <c r="W151" s="9"/>
      <c r="Y151" s="5">
        <f t="shared" ref="Y151:AB151" si="163">Y119/Y6</f>
        <v>0.18081626247872432</v>
      </c>
      <c r="Z151" s="5">
        <f t="shared" si="163"/>
        <v>0.48763097401903133</v>
      </c>
      <c r="AA151" s="5">
        <f t="shared" si="163"/>
        <v>0.42812006319115326</v>
      </c>
      <c r="AB151" s="5">
        <f t="shared" si="163"/>
        <v>0.26302197300143793</v>
      </c>
      <c r="AC151" s="5">
        <f t="shared" ref="AC151" si="164">AC119/AC6</f>
        <v>0.15499854739178068</v>
      </c>
      <c r="AD151" s="478">
        <v>0.18</v>
      </c>
      <c r="AE151" s="478">
        <v>0.18</v>
      </c>
      <c r="AF151" s="478">
        <v>0.18</v>
      </c>
      <c r="AG151" s="478">
        <v>0.18</v>
      </c>
      <c r="AK151" s="5">
        <f>AK119/AK6</f>
        <v>0.12663859673047748</v>
      </c>
      <c r="AL151" s="5">
        <f>AL119/AL6</f>
        <v>7.4065100548355675E-2</v>
      </c>
      <c r="AM151" s="5">
        <f t="shared" ref="AM151:AN151" si="165">AM119/AM6</f>
        <v>5.36784698205586E-2</v>
      </c>
      <c r="AN151" s="5">
        <f t="shared" si="165"/>
        <v>5.867479055597867E-2</v>
      </c>
      <c r="AO151" s="5">
        <f>AN151-0.006</f>
        <v>5.2674790555978672E-2</v>
      </c>
      <c r="AP151" s="5">
        <f t="shared" ref="AP151:AR151" si="166">AO151-0.006</f>
        <v>4.6674790555978674E-2</v>
      </c>
      <c r="AQ151" s="5">
        <f t="shared" si="166"/>
        <v>4.0674790555978675E-2</v>
      </c>
      <c r="AR151" s="5">
        <f t="shared" si="166"/>
        <v>3.4674790555978677E-2</v>
      </c>
      <c r="AS151" s="5">
        <f>+AR151</f>
        <v>3.4674790555978677E-2</v>
      </c>
      <c r="AT151" s="5">
        <f t="shared" ref="AT151:AU151" si="167">+AS151</f>
        <v>3.4674790555978677E-2</v>
      </c>
      <c r="AU151" s="5">
        <f t="shared" si="167"/>
        <v>3.4674790555978677E-2</v>
      </c>
    </row>
    <row r="152" spans="2:52">
      <c r="I152" s="1" t="s">
        <v>134</v>
      </c>
      <c r="Y152" s="3">
        <f>(Y130/Y9)*365</f>
        <v>20.038702314965768</v>
      </c>
      <c r="Z152" s="3">
        <f t="shared" ref="Z152:AB152" si="168">(Z130/Z9)*365</f>
        <v>30.943602394740388</v>
      </c>
      <c r="AA152" s="3">
        <f t="shared" si="168"/>
        <v>42.629873544180668</v>
      </c>
      <c r="AB152" s="3">
        <f t="shared" si="168"/>
        <v>26.342152721750274</v>
      </c>
      <c r="AC152" s="3">
        <f t="shared" ref="AC152" si="169">(AC130/AC9)*365</f>
        <v>135.87635819834139</v>
      </c>
      <c r="AD152" s="3">
        <v>29.388608628925947</v>
      </c>
      <c r="AE152" s="3">
        <v>29.388608628925947</v>
      </c>
      <c r="AF152" s="3">
        <v>29.388608628925947</v>
      </c>
      <c r="AG152" s="3">
        <v>29.388608628925947</v>
      </c>
      <c r="AK152" s="3">
        <f>(AK130/AK9)*365</f>
        <v>1.4052242775897907</v>
      </c>
      <c r="AL152" s="3">
        <f t="shared" ref="AL152:AN152" si="170">(AL130/AL9)*365</f>
        <v>6.803646548288536</v>
      </c>
      <c r="AM152" s="3">
        <f t="shared" si="170"/>
        <v>36.219075017213456</v>
      </c>
      <c r="AN152" s="3">
        <f t="shared" si="170"/>
        <v>8.7042760856858656</v>
      </c>
      <c r="AO152" s="3">
        <f>AN152+5</f>
        <v>13.704276085685866</v>
      </c>
      <c r="AP152" s="3">
        <f>AO152+10</f>
        <v>23.704276085685866</v>
      </c>
      <c r="AQ152" s="3">
        <f t="shared" ref="AQ152" si="171">AP152+5</f>
        <v>28.704276085685866</v>
      </c>
      <c r="AR152" s="3">
        <f>+AQ152</f>
        <v>28.704276085685866</v>
      </c>
      <c r="AS152" s="3">
        <f t="shared" ref="AS152:AU152" si="172">+AR152</f>
        <v>28.704276085685866</v>
      </c>
      <c r="AT152" s="3">
        <f t="shared" si="172"/>
        <v>28.704276085685866</v>
      </c>
      <c r="AU152" s="3">
        <f t="shared" si="172"/>
        <v>28.704276085685866</v>
      </c>
    </row>
    <row r="153" spans="2:52">
      <c r="I153" s="1" t="s">
        <v>182</v>
      </c>
      <c r="Y153" s="5">
        <f t="shared" ref="Y153:AB153" si="173">Y131/Y9</f>
        <v>2.1879165308118682</v>
      </c>
      <c r="Z153" s="5">
        <f t="shared" si="173"/>
        <v>1.3983765717014165</v>
      </c>
      <c r="AA153" s="5">
        <f t="shared" si="173"/>
        <v>1.5809540710360963</v>
      </c>
      <c r="AB153" s="5">
        <f t="shared" si="173"/>
        <v>1.3333823738787907</v>
      </c>
      <c r="AC153" s="5">
        <f t="shared" ref="AC153" si="174">AC131/AC9</f>
        <v>1.4382627610512115</v>
      </c>
      <c r="AD153" s="478">
        <v>0.5</v>
      </c>
      <c r="AE153" s="478">
        <v>0.6</v>
      </c>
      <c r="AF153" s="478">
        <v>0.6</v>
      </c>
      <c r="AG153" s="478">
        <v>0.6</v>
      </c>
      <c r="AK153" s="5">
        <f>AK131/AK9</f>
        <v>0.85310489686905322</v>
      </c>
      <c r="AL153" s="5">
        <f>AL131/AL9</f>
        <v>0.74285303104104861</v>
      </c>
      <c r="AM153" s="5">
        <f t="shared" ref="AM153:AN153" si="175">AM131/AM9</f>
        <v>0.38338197702456717</v>
      </c>
      <c r="AN153" s="5">
        <f t="shared" si="175"/>
        <v>0.29789834469008869</v>
      </c>
      <c r="AO153" s="478">
        <v>0.38</v>
      </c>
      <c r="AP153" s="478">
        <v>0.45</v>
      </c>
      <c r="AQ153" s="478">
        <v>0.45</v>
      </c>
      <c r="AR153" s="478">
        <v>0.4</v>
      </c>
      <c r="AS153" s="478">
        <v>0.35</v>
      </c>
      <c r="AT153" s="478">
        <v>0.31</v>
      </c>
      <c r="AU153" s="478">
        <v>0.28000000000000003</v>
      </c>
    </row>
    <row r="154" spans="2:52">
      <c r="AK154" s="5"/>
      <c r="AL154" s="5"/>
      <c r="AM154" s="5"/>
      <c r="AN154" s="5"/>
      <c r="AO154" s="5"/>
      <c r="AP154" s="5"/>
      <c r="AQ154" s="5"/>
      <c r="AR154" s="5"/>
      <c r="AS154" s="5"/>
      <c r="AT154" s="5"/>
      <c r="AU154" s="5"/>
    </row>
    <row r="155" spans="2:52">
      <c r="I155" s="1" t="s">
        <v>295</v>
      </c>
      <c r="AK155" s="5"/>
      <c r="AL155" s="5"/>
      <c r="AM155" s="5"/>
      <c r="AN155" s="5"/>
      <c r="AO155" s="5"/>
      <c r="AP155" s="5"/>
      <c r="AQ155" s="5"/>
      <c r="AR155" s="5"/>
      <c r="AS155" s="5"/>
      <c r="AT155" s="5"/>
      <c r="AU155" s="5"/>
    </row>
    <row r="156" spans="2:52">
      <c r="I156" s="1" t="s">
        <v>219</v>
      </c>
      <c r="AK156" s="5"/>
      <c r="AL156" s="5"/>
      <c r="AM156" s="5"/>
      <c r="AN156" s="5"/>
      <c r="AO156" s="5"/>
      <c r="AP156" s="5"/>
      <c r="AQ156" s="5"/>
      <c r="AR156" s="5"/>
      <c r="AS156" s="5"/>
      <c r="AT156" s="5"/>
      <c r="AU156" s="5"/>
    </row>
    <row r="157" spans="2:52">
      <c r="I157" s="1" t="s">
        <v>296</v>
      </c>
      <c r="U157" s="13">
        <v>15.055</v>
      </c>
      <c r="V157" s="306"/>
      <c r="W157" s="13">
        <v>18.388999999999999</v>
      </c>
      <c r="AK157" s="5"/>
      <c r="AL157" s="5"/>
      <c r="AM157" s="5"/>
      <c r="AN157" s="5"/>
      <c r="AO157" s="5"/>
      <c r="AP157" s="5"/>
      <c r="AQ157" s="5"/>
      <c r="AR157" s="5"/>
      <c r="AS157" s="5"/>
      <c r="AT157" s="5"/>
      <c r="AU157" s="5"/>
    </row>
    <row r="158" spans="2:52">
      <c r="I158" s="1" t="s">
        <v>297</v>
      </c>
      <c r="U158" s="13">
        <v>5.52</v>
      </c>
      <c r="V158" s="306"/>
      <c r="W158" s="13">
        <v>5.52</v>
      </c>
      <c r="AK158" s="5"/>
      <c r="AL158" s="5"/>
      <c r="AM158" s="5"/>
      <c r="AN158" s="5"/>
      <c r="AO158" s="5"/>
      <c r="AP158" s="5"/>
      <c r="AQ158" s="5"/>
      <c r="AR158" s="5"/>
      <c r="AS158" s="5"/>
      <c r="AT158" s="5"/>
      <c r="AU158" s="5"/>
    </row>
    <row r="159" spans="2:52">
      <c r="I159" s="1" t="s">
        <v>298</v>
      </c>
      <c r="U159" s="13">
        <v>2.5190000000000001</v>
      </c>
      <c r="V159" s="306"/>
      <c r="W159" s="13">
        <v>5.2519999999999998</v>
      </c>
      <c r="AK159" s="5"/>
      <c r="AL159" s="5"/>
      <c r="AM159" s="5"/>
      <c r="AN159" s="5"/>
      <c r="AO159" s="5"/>
      <c r="AP159" s="5"/>
      <c r="AQ159" s="5"/>
      <c r="AR159" s="5"/>
      <c r="AS159" s="5"/>
      <c r="AT159" s="5"/>
      <c r="AU159" s="5"/>
    </row>
    <row r="160" spans="2:52">
      <c r="I160" s="1" t="s">
        <v>299</v>
      </c>
      <c r="U160" s="13">
        <v>4.63</v>
      </c>
      <c r="V160" s="306"/>
      <c r="W160" s="13">
        <v>4.63</v>
      </c>
      <c r="AK160" s="5"/>
      <c r="AL160" s="5"/>
      <c r="AM160" s="5"/>
      <c r="AN160" s="5"/>
      <c r="AO160" s="5"/>
      <c r="AP160" s="5"/>
      <c r="AQ160" s="5"/>
      <c r="AR160" s="5"/>
      <c r="AS160" s="5"/>
      <c r="AT160" s="5"/>
      <c r="AU160" s="5"/>
    </row>
    <row r="161" spans="2:51">
      <c r="I161" s="1" t="s">
        <v>300</v>
      </c>
      <c r="U161" s="13">
        <v>3.3580000000000001</v>
      </c>
      <c r="V161" s="306"/>
      <c r="W161" s="13">
        <v>6.8920000000000003</v>
      </c>
      <c r="AK161" s="5"/>
      <c r="AL161" s="5"/>
      <c r="AM161" s="5"/>
      <c r="AN161" s="5"/>
      <c r="AO161" s="5"/>
      <c r="AP161" s="5"/>
      <c r="AQ161" s="5"/>
      <c r="AR161" s="5"/>
      <c r="AS161" s="5"/>
      <c r="AT161" s="5"/>
      <c r="AU161" s="5"/>
    </row>
    <row r="162" spans="2:51">
      <c r="I162" s="1" t="s">
        <v>301</v>
      </c>
      <c r="U162" s="13">
        <v>19.724</v>
      </c>
      <c r="V162" s="306"/>
      <c r="W162" s="13">
        <v>39.444000000000003</v>
      </c>
      <c r="AK162" s="5"/>
      <c r="AL162" s="5"/>
      <c r="AM162" s="5"/>
      <c r="AN162" s="5"/>
      <c r="AO162" s="5"/>
      <c r="AP162" s="5"/>
      <c r="AQ162" s="5"/>
      <c r="AR162" s="5"/>
      <c r="AS162" s="5"/>
      <c r="AT162" s="5"/>
      <c r="AU162" s="5"/>
    </row>
    <row r="163" spans="2:51">
      <c r="I163" s="7" t="s">
        <v>302</v>
      </c>
      <c r="J163" s="7"/>
      <c r="K163" s="7"/>
      <c r="L163" s="7"/>
      <c r="M163" s="7"/>
      <c r="N163" s="7"/>
      <c r="O163" s="7"/>
      <c r="P163" s="7"/>
      <c r="Q163" s="7"/>
      <c r="R163" s="7"/>
      <c r="S163" s="7"/>
      <c r="T163" s="7"/>
      <c r="U163" s="9">
        <f>+SUM(U157:U162)</f>
        <v>50.805999999999997</v>
      </c>
      <c r="W163" s="9">
        <f>+SUM(W157:W162)</f>
        <v>80.12700000000001</v>
      </c>
      <c r="AK163" s="5"/>
      <c r="AL163" s="5"/>
      <c r="AM163" s="5"/>
      <c r="AN163" s="5"/>
      <c r="AO163" s="5"/>
      <c r="AP163" s="5"/>
      <c r="AQ163" s="5"/>
      <c r="AR163" s="5"/>
      <c r="AS163" s="5"/>
      <c r="AT163" s="5"/>
      <c r="AU163" s="5"/>
    </row>
    <row r="164" spans="2:51" s="23" customFormat="1">
      <c r="B164"/>
      <c r="C164"/>
      <c r="D164"/>
      <c r="E164"/>
      <c r="F164"/>
      <c r="G164"/>
      <c r="I164" s="14" t="s">
        <v>303</v>
      </c>
      <c r="J164" s="1"/>
      <c r="K164" s="1"/>
      <c r="L164" s="1"/>
      <c r="M164" s="1"/>
      <c r="N164" s="1"/>
      <c r="O164" s="1"/>
      <c r="P164" s="1"/>
      <c r="Q164" s="1"/>
      <c r="R164" s="1"/>
      <c r="S164" s="1"/>
      <c r="T164" s="1"/>
      <c r="U164" s="13">
        <v>-6.7270000000000003</v>
      </c>
      <c r="V164" s="306"/>
      <c r="W164" s="13">
        <v>-10.862</v>
      </c>
      <c r="X164" s="1"/>
      <c r="AK164" s="28"/>
      <c r="AL164" s="28"/>
      <c r="AM164" s="28"/>
      <c r="AN164" s="28"/>
      <c r="AO164" s="28"/>
      <c r="AP164" s="28"/>
      <c r="AQ164" s="28"/>
      <c r="AR164" s="28"/>
      <c r="AS164" s="28"/>
      <c r="AT164" s="28"/>
      <c r="AU164" s="28"/>
    </row>
    <row r="165" spans="2:51">
      <c r="I165" s="7" t="s">
        <v>304</v>
      </c>
      <c r="J165" s="7"/>
      <c r="K165" s="7"/>
      <c r="L165" s="7"/>
      <c r="M165" s="7"/>
      <c r="N165" s="7"/>
      <c r="O165" s="7"/>
      <c r="P165" s="7"/>
      <c r="Q165" s="7"/>
      <c r="R165" s="7"/>
      <c r="S165" s="7"/>
      <c r="T165" s="7"/>
      <c r="U165" s="9">
        <f>+U163+U164</f>
        <v>44.078999999999994</v>
      </c>
      <c r="W165" s="9">
        <f>+W163+W164</f>
        <v>69.265000000000015</v>
      </c>
    </row>
    <row r="166" spans="2:51">
      <c r="Y166" s="672"/>
      <c r="Z166" s="672"/>
      <c r="AA166" s="672"/>
      <c r="AB166" s="672"/>
      <c r="AC166" s="672"/>
      <c r="AD166" s="672"/>
      <c r="AE166" s="672"/>
      <c r="AF166" s="672"/>
      <c r="AG166" s="672"/>
      <c r="AK166" s="673"/>
      <c r="AL166" s="673"/>
      <c r="AM166" s="673"/>
      <c r="AN166" s="673"/>
      <c r="AO166" s="673"/>
      <c r="AP166" s="673"/>
      <c r="AQ166" s="673"/>
      <c r="AR166" s="673"/>
      <c r="AS166" s="673"/>
      <c r="AT166" s="673"/>
      <c r="AU166" s="673"/>
    </row>
    <row r="167" spans="2:51">
      <c r="I167" s="11" t="s">
        <v>57</v>
      </c>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c r="AP167" s="11"/>
      <c r="AQ167" s="11"/>
      <c r="AR167" s="11"/>
      <c r="AS167" s="11"/>
      <c r="AT167" s="11"/>
      <c r="AU167" s="11"/>
      <c r="AV167" s="11"/>
    </row>
    <row r="168" spans="2:51">
      <c r="I168" s="11" t="s">
        <v>56</v>
      </c>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f t="shared" ref="AK168:AU168" si="176">+AK3</f>
        <v>2015</v>
      </c>
      <c r="AL168" s="11">
        <f t="shared" si="176"/>
        <v>2016</v>
      </c>
      <c r="AM168" s="517">
        <f t="shared" si="176"/>
        <v>2017</v>
      </c>
      <c r="AN168" s="517">
        <f t="shared" si="176"/>
        <v>2018</v>
      </c>
      <c r="AO168" s="517">
        <f t="shared" si="176"/>
        <v>2019</v>
      </c>
      <c r="AP168" s="517">
        <f t="shared" si="176"/>
        <v>2020</v>
      </c>
      <c r="AQ168" s="517">
        <f t="shared" si="176"/>
        <v>2021</v>
      </c>
      <c r="AR168" s="517">
        <f t="shared" si="176"/>
        <v>2022</v>
      </c>
      <c r="AS168" s="517">
        <f t="shared" si="176"/>
        <v>2023</v>
      </c>
      <c r="AT168" s="517">
        <f t="shared" si="176"/>
        <v>2024</v>
      </c>
      <c r="AU168" s="517">
        <f t="shared" si="176"/>
        <v>2025</v>
      </c>
      <c r="AV168" s="11"/>
    </row>
    <row r="169" spans="2:51">
      <c r="I169" s="16" t="s">
        <v>58</v>
      </c>
    </row>
    <row r="170" spans="2:51">
      <c r="I170" s="1" t="s">
        <v>59</v>
      </c>
      <c r="Z170" s="417">
        <f>+Z43</f>
        <v>-2208.837</v>
      </c>
      <c r="AA170" s="417">
        <f>+AA43</f>
        <v>-443.09300000000007</v>
      </c>
      <c r="AB170" s="417">
        <f>+AB43</f>
        <v>-443.15899999999999</v>
      </c>
      <c r="AC170" s="417">
        <f>+AC43</f>
        <v>-349.97700000000003</v>
      </c>
      <c r="AD170" s="417">
        <f t="shared" ref="AD170:AG170" si="177">+AD43</f>
        <v>-287.09463855421683</v>
      </c>
      <c r="AE170" s="417">
        <f t="shared" si="177"/>
        <v>-307.05685873563226</v>
      </c>
      <c r="AF170" s="417">
        <f t="shared" si="177"/>
        <v>-320.02308964175307</v>
      </c>
      <c r="AG170" s="417">
        <f t="shared" si="177"/>
        <v>-258.2755318917155</v>
      </c>
      <c r="AK170" s="3">
        <f>+AK43</f>
        <v>-372.89300000000003</v>
      </c>
      <c r="AL170" s="3">
        <v>-514.64300000000003</v>
      </c>
      <c r="AM170" s="3">
        <f t="shared" ref="AM170:AU170" si="178">+AM43</f>
        <v>-3445.0660000000003</v>
      </c>
      <c r="AN170" s="3">
        <f t="shared" si="178"/>
        <v>-1172.4501188233176</v>
      </c>
      <c r="AO170" s="3">
        <f>+AO43</f>
        <v>-909.3383986213837</v>
      </c>
      <c r="AP170" s="3">
        <f t="shared" si="178"/>
        <v>-675.89163111927803</v>
      </c>
      <c r="AQ170" s="3">
        <f t="shared" si="178"/>
        <v>-317.00562297508543</v>
      </c>
      <c r="AR170" s="3">
        <f t="shared" si="178"/>
        <v>126.81082406417693</v>
      </c>
      <c r="AS170" s="3">
        <f t="shared" si="178"/>
        <v>530.31484342794511</v>
      </c>
      <c r="AT170" s="3">
        <f t="shared" si="178"/>
        <v>928.43018258832944</v>
      </c>
      <c r="AU170" s="3">
        <f t="shared" si="178"/>
        <v>1310.8565052856413</v>
      </c>
      <c r="AX170" s="3"/>
      <c r="AY170" s="3"/>
    </row>
    <row r="171" spans="2:51">
      <c r="I171" s="1" t="s">
        <v>60</v>
      </c>
      <c r="R171" s="417">
        <f t="shared" ref="R171:AA171" si="179">R56</f>
        <v>3.198</v>
      </c>
      <c r="S171" s="417">
        <f t="shared" si="179"/>
        <v>3.8820000000000001</v>
      </c>
      <c r="T171" s="417">
        <f t="shared" si="179"/>
        <v>4.1180000000000003</v>
      </c>
      <c r="U171" s="417">
        <f t="shared" si="179"/>
        <v>4.109</v>
      </c>
      <c r="V171" s="417">
        <f t="shared" si="179"/>
        <v>5.0490000000000004</v>
      </c>
      <c r="W171" s="417">
        <f t="shared" si="179"/>
        <v>5.9960000000000004</v>
      </c>
      <c r="X171" s="417">
        <f t="shared" si="179"/>
        <v>7.4370000000000003</v>
      </c>
      <c r="Y171" s="417">
        <f t="shared" si="179"/>
        <v>10.632999999999999</v>
      </c>
      <c r="Z171" s="3">
        <f t="shared" si="179"/>
        <v>12.45</v>
      </c>
      <c r="AA171" s="3">
        <f t="shared" si="179"/>
        <v>12.585000000000001</v>
      </c>
      <c r="AB171" s="668">
        <f>AB56</f>
        <v>17.466999999999999</v>
      </c>
      <c r="AC171" s="668">
        <f>AC56</f>
        <v>18.786000000000001</v>
      </c>
      <c r="AD171" s="417">
        <f t="shared" ref="AD171:AG171" si="180">AD56</f>
        <v>13.97045</v>
      </c>
      <c r="AE171" s="417">
        <f t="shared" si="180"/>
        <v>14.86225</v>
      </c>
      <c r="AF171" s="417">
        <f t="shared" si="180"/>
        <v>19.141200000000005</v>
      </c>
      <c r="AG171" s="417">
        <f t="shared" si="180"/>
        <v>16.062799999999999</v>
      </c>
      <c r="AK171" s="3">
        <f>+AK240</f>
        <v>15.307</v>
      </c>
      <c r="AL171" s="3">
        <f>+AL240</f>
        <v>29.115000000000002</v>
      </c>
      <c r="AM171" s="3">
        <f t="shared" ref="AM171:AU171" si="181">+AM240</f>
        <v>61.287999999999997</v>
      </c>
      <c r="AN171" s="3">
        <f>+AN240</f>
        <v>64.036699999999996</v>
      </c>
      <c r="AO171" s="3">
        <f t="shared" si="181"/>
        <v>72.486699999999985</v>
      </c>
      <c r="AP171" s="3">
        <f t="shared" si="181"/>
        <v>74.110799999999983</v>
      </c>
      <c r="AQ171" s="3">
        <f t="shared" si="181"/>
        <v>73.984899999999982</v>
      </c>
      <c r="AR171" s="3">
        <f t="shared" si="181"/>
        <v>80.034899999999979</v>
      </c>
      <c r="AS171" s="3">
        <f t="shared" si="181"/>
        <v>84.984899999999968</v>
      </c>
      <c r="AT171" s="3">
        <f t="shared" si="181"/>
        <v>89.384899999999973</v>
      </c>
      <c r="AU171" s="3">
        <f t="shared" si="181"/>
        <v>93.234899999999968</v>
      </c>
      <c r="AX171" s="3"/>
      <c r="AY171" s="3"/>
    </row>
    <row r="172" spans="2:51">
      <c r="I172" s="1" t="s">
        <v>61</v>
      </c>
      <c r="Z172" s="13">
        <v>1992.1210000000001</v>
      </c>
      <c r="AA172" s="13">
        <f>2237.149-Z172</f>
        <v>245.02799999999979</v>
      </c>
      <c r="AB172" s="13">
        <f>2458.851-AA172-Z172</f>
        <v>221.70200000000023</v>
      </c>
      <c r="AC172" s="13">
        <f>2639.895-AB172-AA172-Z172</f>
        <v>181.04399999999987</v>
      </c>
      <c r="AD172" s="284">
        <f>'Expense Model'!AD162</f>
        <v>69</v>
      </c>
      <c r="AE172" s="284">
        <f>'Expense Model'!AE162</f>
        <v>100</v>
      </c>
      <c r="AF172" s="284">
        <f>'Expense Model'!AF162</f>
        <v>100</v>
      </c>
      <c r="AG172" s="284">
        <f>'Expense Model'!AG162</f>
        <v>100</v>
      </c>
      <c r="AK172" s="15">
        <f>+'Expense Model'!AK162</f>
        <v>73.524000000000001</v>
      </c>
      <c r="AL172" s="15">
        <f>+'Expense Model'!AL162</f>
        <v>31.842000000000002</v>
      </c>
      <c r="AM172" s="15">
        <f>SUM(Z172:AC172)</f>
        <v>2639.895</v>
      </c>
      <c r="AN172" s="15">
        <f>SUM(AD172:AG172)</f>
        <v>369</v>
      </c>
      <c r="AO172" s="3">
        <f>+'Expense Model'!AO162</f>
        <v>415</v>
      </c>
      <c r="AP172" s="3">
        <f>+'Expense Model'!AP162</f>
        <v>448.20000000000005</v>
      </c>
      <c r="AQ172" s="3">
        <f>+'Expense Model'!AQ162</f>
        <v>484.0560000000001</v>
      </c>
      <c r="AR172" s="3">
        <f>+'Expense Model'!AR162</f>
        <v>508.25880000000012</v>
      </c>
      <c r="AS172" s="3">
        <f>+'Expense Model'!AS162</f>
        <v>533.67174000000011</v>
      </c>
      <c r="AT172" s="3">
        <f>+'Expense Model'!AT162</f>
        <v>560.3553270000001</v>
      </c>
      <c r="AU172" s="3">
        <f>+'Expense Model'!AU162</f>
        <v>588.37309335000009</v>
      </c>
      <c r="AX172" s="3"/>
      <c r="AY172" s="3"/>
    </row>
    <row r="173" spans="2:51">
      <c r="I173" s="1" t="s">
        <v>62</v>
      </c>
      <c r="Z173" s="13">
        <v>-1.488</v>
      </c>
      <c r="AA173" s="13">
        <f>+-1.765-Z173</f>
        <v>-0.27699999999999991</v>
      </c>
      <c r="AB173" s="13">
        <f>-14.397-AA173-Z173</f>
        <v>-12.632000000000001</v>
      </c>
      <c r="AC173" s="13">
        <f>-17.49-AB173-AA173-Z173</f>
        <v>-3.0929999999999969</v>
      </c>
      <c r="AD173" s="484">
        <v>0</v>
      </c>
      <c r="AE173" s="484">
        <v>0</v>
      </c>
      <c r="AF173" s="484">
        <v>0</v>
      </c>
      <c r="AG173" s="484">
        <v>0</v>
      </c>
      <c r="AK173" s="15">
        <v>-7.7</v>
      </c>
      <c r="AL173" s="15">
        <v>-7.952</v>
      </c>
      <c r="AM173" s="15">
        <f>SUM(Z173:AC173)</f>
        <v>-17.489999999999998</v>
      </c>
      <c r="AN173" s="15">
        <f>SUM(AD173:AG173)</f>
        <v>0</v>
      </c>
      <c r="AO173" s="13">
        <f t="shared" ref="AO173:AU174" si="182">+AN173</f>
        <v>0</v>
      </c>
      <c r="AP173" s="13">
        <f t="shared" si="182"/>
        <v>0</v>
      </c>
      <c r="AQ173" s="13">
        <f t="shared" si="182"/>
        <v>0</v>
      </c>
      <c r="AR173" s="13">
        <f t="shared" si="182"/>
        <v>0</v>
      </c>
      <c r="AS173" s="13">
        <f t="shared" si="182"/>
        <v>0</v>
      </c>
      <c r="AT173" s="13">
        <f t="shared" si="182"/>
        <v>0</v>
      </c>
      <c r="AU173" s="13">
        <f t="shared" si="182"/>
        <v>0</v>
      </c>
      <c r="AX173" s="3"/>
      <c r="AY173" s="3"/>
    </row>
    <row r="174" spans="2:51">
      <c r="I174" s="1" t="s">
        <v>63</v>
      </c>
      <c r="Z174" s="13">
        <v>1.8919999999999999</v>
      </c>
      <c r="AA174" s="13">
        <f>+-1.672-Z174</f>
        <v>-3.5640000000000001</v>
      </c>
      <c r="AB174" s="13">
        <f>21.997-3.714-AA174-Z174</f>
        <v>19.955000000000002</v>
      </c>
      <c r="AC174" s="13">
        <f>-6.356+21.997-AB174-AA174-Z174</f>
        <v>-2.6420000000000017</v>
      </c>
      <c r="AD174" s="484">
        <v>-10</v>
      </c>
      <c r="AE174" s="484">
        <v>0</v>
      </c>
      <c r="AF174" s="484">
        <v>0</v>
      </c>
      <c r="AG174" s="484">
        <v>0</v>
      </c>
      <c r="AK174" s="15">
        <v>0.626</v>
      </c>
      <c r="AL174" s="15">
        <v>0.88900000000000001</v>
      </c>
      <c r="AM174" s="15">
        <f>SUM(Z174:AC174)</f>
        <v>15.641</v>
      </c>
      <c r="AN174" s="15">
        <f>SUM(AD174:AG174)</f>
        <v>-10</v>
      </c>
      <c r="AO174" s="13">
        <f t="shared" si="182"/>
        <v>-10</v>
      </c>
      <c r="AP174" s="13">
        <f t="shared" si="182"/>
        <v>-10</v>
      </c>
      <c r="AQ174" s="13">
        <f t="shared" si="182"/>
        <v>-10</v>
      </c>
      <c r="AR174" s="13">
        <f t="shared" si="182"/>
        <v>-10</v>
      </c>
      <c r="AS174" s="13">
        <f t="shared" si="182"/>
        <v>-10</v>
      </c>
      <c r="AT174" s="13">
        <f t="shared" si="182"/>
        <v>-10</v>
      </c>
      <c r="AU174" s="13">
        <f t="shared" si="182"/>
        <v>-10</v>
      </c>
      <c r="AX174" s="3"/>
      <c r="AY174" s="3"/>
    </row>
    <row r="175" spans="2:51">
      <c r="Z175" s="13"/>
      <c r="AA175" s="13"/>
      <c r="AB175" s="13"/>
      <c r="AC175" s="13"/>
      <c r="AK175" s="15"/>
      <c r="AL175" s="15"/>
      <c r="AM175" s="182"/>
      <c r="AN175" s="182"/>
      <c r="AX175" s="3"/>
      <c r="AY175" s="3"/>
    </row>
    <row r="176" spans="2:51">
      <c r="I176" s="1" t="s">
        <v>64</v>
      </c>
      <c r="Z176" s="13"/>
      <c r="AA176" s="13"/>
      <c r="AB176" s="13"/>
      <c r="AC176" s="13"/>
      <c r="AK176" s="15"/>
      <c r="AL176" s="15"/>
      <c r="AM176" s="182"/>
      <c r="AN176" s="182"/>
      <c r="AX176" s="3"/>
      <c r="AY176" s="3"/>
    </row>
    <row r="177" spans="2:51">
      <c r="I177" s="1" t="s">
        <v>84</v>
      </c>
      <c r="Z177" s="13">
        <v>13.444000000000001</v>
      </c>
      <c r="AA177" s="13">
        <f>+-8.209-Z177</f>
        <v>-21.652999999999999</v>
      </c>
      <c r="AB177" s="13">
        <f>-24.513-AA177-Z177</f>
        <v>-16.304000000000002</v>
      </c>
      <c r="AC177" s="13">
        <f>-104.357-AB177-AA177-Z177</f>
        <v>-79.844000000000008</v>
      </c>
      <c r="AD177" s="15">
        <f t="shared" ref="AD177:AG178" si="183">AC118-AD118</f>
        <v>33.752556024804903</v>
      </c>
      <c r="AE177" s="15">
        <f t="shared" si="183"/>
        <v>-32.804334332845258</v>
      </c>
      <c r="AF177" s="15">
        <f t="shared" si="183"/>
        <v>-41.212021780448026</v>
      </c>
      <c r="AG177" s="15">
        <f t="shared" si="183"/>
        <v>-98.944945701573033</v>
      </c>
      <c r="AJ177" s="3"/>
      <c r="AK177" s="15">
        <v>-41.905000000000001</v>
      </c>
      <c r="AL177" s="15">
        <v>-118.434</v>
      </c>
      <c r="AM177" s="15">
        <f>SUM(Z177:AC177)</f>
        <v>-104.357</v>
      </c>
      <c r="AN177" s="15">
        <f>SUM(AD177:AG177)</f>
        <v>-139.20874579006141</v>
      </c>
      <c r="AO177" s="3">
        <f t="shared" ref="AO177:AU178" si="184">AN118-AO118</f>
        <v>-128.36495875654271</v>
      </c>
      <c r="AP177" s="3">
        <f t="shared" si="184"/>
        <v>-1.5495814730730899</v>
      </c>
      <c r="AQ177" s="3">
        <f t="shared" si="184"/>
        <v>-197.16060454375645</v>
      </c>
      <c r="AR177" s="3">
        <f t="shared" si="184"/>
        <v>-225.12646647029567</v>
      </c>
      <c r="AS177" s="3">
        <f t="shared" si="184"/>
        <v>-234.62709952589887</v>
      </c>
      <c r="AT177" s="3">
        <f t="shared" si="184"/>
        <v>-233.19954493098066</v>
      </c>
      <c r="AU177" s="3">
        <f t="shared" si="184"/>
        <v>-232.69929589575395</v>
      </c>
      <c r="AV177" s="3"/>
      <c r="AX177" s="3"/>
      <c r="AY177" s="3"/>
    </row>
    <row r="178" spans="2:51">
      <c r="I178" s="1" t="s">
        <v>65</v>
      </c>
      <c r="Z178" s="13">
        <f>-43.436+2.715</f>
        <v>-40.721000000000004</v>
      </c>
      <c r="AA178" s="13">
        <f>+-47.835+-10.108-Z178</f>
        <v>-17.221999999999994</v>
      </c>
      <c r="AB178" s="13">
        <f>-48.965-8.545-AA178-Z178</f>
        <v>0.43299999999999272</v>
      </c>
      <c r="AC178" s="13">
        <f>-39.783-4.771-AB178-AA178-Z178</f>
        <v>12.956000000000003</v>
      </c>
      <c r="AD178" s="15">
        <f t="shared" si="183"/>
        <v>-0.53800000000000381</v>
      </c>
      <c r="AE178" s="15">
        <f t="shared" si="183"/>
        <v>-8.2800000000000011</v>
      </c>
      <c r="AF178" s="15">
        <f t="shared" si="183"/>
        <v>-8.279999999999994</v>
      </c>
      <c r="AG178" s="15">
        <f t="shared" si="183"/>
        <v>-15.659999999999997</v>
      </c>
      <c r="AJ178" s="3"/>
      <c r="AK178" s="15">
        <f>-6.59-4.451</f>
        <v>-11.041</v>
      </c>
      <c r="AL178" s="15">
        <f>-20.521-5.064</f>
        <v>-25.585000000000001</v>
      </c>
      <c r="AM178" s="15">
        <f t="shared" ref="AM178:AM180" si="185">SUM(Z178:AC178)</f>
        <v>-44.554000000000002</v>
      </c>
      <c r="AN178" s="15">
        <f t="shared" ref="AN178:AN180" si="186">SUM(AD178:AG178)</f>
        <v>-32.757999999999996</v>
      </c>
      <c r="AO178" s="3">
        <f t="shared" si="184"/>
        <v>-26.695877921785652</v>
      </c>
      <c r="AP178" s="3">
        <f t="shared" si="184"/>
        <v>-27.181239781427664</v>
      </c>
      <c r="AQ178" s="3">
        <f t="shared" si="184"/>
        <v>-24.172881743521089</v>
      </c>
      <c r="AR178" s="3">
        <f t="shared" si="184"/>
        <v>-17.034264954390835</v>
      </c>
      <c r="AS178" s="3">
        <f t="shared" si="184"/>
        <v>-41.596157377597279</v>
      </c>
      <c r="AT178" s="3">
        <f t="shared" si="184"/>
        <v>-41.34307158437332</v>
      </c>
      <c r="AU178" s="3">
        <f t="shared" si="184"/>
        <v>-41.254384311507948</v>
      </c>
      <c r="AV178" s="3"/>
      <c r="AX178" s="3"/>
      <c r="AY178" s="3"/>
    </row>
    <row r="179" spans="2:51">
      <c r="I179" s="1" t="s">
        <v>42</v>
      </c>
      <c r="Z179" s="13">
        <v>5.6189999999999998</v>
      </c>
      <c r="AA179" s="13">
        <f>9.317-Z179</f>
        <v>3.6980000000000004</v>
      </c>
      <c r="AB179" s="13">
        <f>4.103-AA179-Z179</f>
        <v>-5.2140000000000004</v>
      </c>
      <c r="AC179" s="13">
        <f>49.696-AB179-AA179-Z179</f>
        <v>45.592999999999996</v>
      </c>
      <c r="AD179" s="15">
        <f t="shared" ref="AD179:AG180" si="187">AD130-AC130</f>
        <v>-57.40682633540591</v>
      </c>
      <c r="AE179" s="15">
        <f t="shared" si="187"/>
        <v>2.2409595237964659</v>
      </c>
      <c r="AF179" s="15">
        <f t="shared" si="187"/>
        <v>3.0077981919358088</v>
      </c>
      <c r="AG179" s="15">
        <f t="shared" si="187"/>
        <v>1.5213993346701891</v>
      </c>
      <c r="AJ179" s="3"/>
      <c r="AK179" s="15">
        <v>-6.7240000000000002</v>
      </c>
      <c r="AL179" s="15">
        <v>6.4859999999999998</v>
      </c>
      <c r="AM179" s="15">
        <f t="shared" si="185"/>
        <v>49.695999999999998</v>
      </c>
      <c r="AN179" s="15">
        <f t="shared" si="186"/>
        <v>-50.63666928500345</v>
      </c>
      <c r="AO179" s="208">
        <f t="shared" ref="AO179:AU180" si="188">AO130-AN130</f>
        <v>19.116290274437105</v>
      </c>
      <c r="AP179" s="3">
        <f t="shared" si="188"/>
        <v>44.439547145947181</v>
      </c>
      <c r="AQ179" s="3">
        <f t="shared" si="188"/>
        <v>37.729985273481006</v>
      </c>
      <c r="AR179" s="3">
        <f t="shared" si="188"/>
        <v>22.048169563976373</v>
      </c>
      <c r="AS179" s="3">
        <f t="shared" si="188"/>
        <v>23.251250930236438</v>
      </c>
      <c r="AT179" s="3">
        <f t="shared" si="188"/>
        <v>23.922302560351767</v>
      </c>
      <c r="AU179" s="3">
        <f t="shared" si="188"/>
        <v>24.907337627163116</v>
      </c>
      <c r="AV179" s="3"/>
      <c r="AX179" s="3"/>
      <c r="AY179" s="3"/>
    </row>
    <row r="180" spans="2:51">
      <c r="I180" s="1" t="s">
        <v>66</v>
      </c>
      <c r="Z180" s="13">
        <f>69.204+1.319</f>
        <v>70.522999999999996</v>
      </c>
      <c r="AA180" s="13">
        <f>82.19+3.257-Z180</f>
        <v>14.924000000000007</v>
      </c>
      <c r="AB180" s="13">
        <f>103.449+5.737-AA180-Z180</f>
        <v>23.73899999999999</v>
      </c>
      <c r="AC180" s="13">
        <f>100.988+9.292-AB180-AA180-Z180</f>
        <v>1.0940000000000083</v>
      </c>
      <c r="AD180" s="15">
        <f t="shared" si="187"/>
        <v>-150.56200000000001</v>
      </c>
      <c r="AE180" s="15">
        <f t="shared" si="187"/>
        <v>52.5</v>
      </c>
      <c r="AF180" s="15">
        <f t="shared" si="187"/>
        <v>27.599999999999994</v>
      </c>
      <c r="AG180" s="15">
        <f t="shared" si="187"/>
        <v>52.200000000000017</v>
      </c>
      <c r="AJ180" s="3"/>
      <c r="AK180" s="15">
        <f>40.026+4.158</f>
        <v>44.184000000000005</v>
      </c>
      <c r="AL180" s="15">
        <f>-19.728+6.765</f>
        <v>-12.963000000000001</v>
      </c>
      <c r="AM180" s="15">
        <f t="shared" si="185"/>
        <v>110.28</v>
      </c>
      <c r="AN180" s="15">
        <f t="shared" si="186"/>
        <v>-18.262</v>
      </c>
      <c r="AO180" s="3">
        <f>AO131-AN131</f>
        <v>491.55862077868954</v>
      </c>
      <c r="AP180" s="3">
        <f t="shared" si="188"/>
        <v>513.8367156050906</v>
      </c>
      <c r="AQ180" s="3">
        <f t="shared" si="188"/>
        <v>453.62172861084628</v>
      </c>
      <c r="AR180" s="3">
        <f t="shared" si="188"/>
        <v>269.76683202415256</v>
      </c>
      <c r="AS180" s="3">
        <f t="shared" si="188"/>
        <v>171.66482527106268</v>
      </c>
      <c r="AT180" s="3">
        <f t="shared" si="188"/>
        <v>123.07313906099489</v>
      </c>
      <c r="AU180" s="3">
        <f t="shared" si="188"/>
        <v>112.45411273744639</v>
      </c>
      <c r="AV180" s="3"/>
      <c r="AX180" s="3"/>
      <c r="AY180" s="3"/>
    </row>
    <row r="181" spans="2:51" s="7" customFormat="1">
      <c r="B181"/>
      <c r="C181"/>
      <c r="D181"/>
      <c r="E181"/>
      <c r="F181"/>
      <c r="G181"/>
      <c r="I181" s="7" t="s">
        <v>189</v>
      </c>
      <c r="Z181" s="9">
        <f>SUM(Z177:Z180)</f>
        <v>48.864999999999995</v>
      </c>
      <c r="AA181" s="9">
        <f>SUM(AA177:AA180)</f>
        <v>-20.252999999999986</v>
      </c>
      <c r="AB181" s="9">
        <f>SUM(AB177:AB180)</f>
        <v>2.6539999999999822</v>
      </c>
      <c r="AC181" s="9">
        <f>SUM(AC177:AC180)</f>
        <v>-20.201000000000001</v>
      </c>
      <c r="AD181" s="9">
        <f t="shared" ref="AD181:AG181" si="189">SUM(AD177:AD180)</f>
        <v>-174.75427031060102</v>
      </c>
      <c r="AE181" s="9">
        <f t="shared" si="189"/>
        <v>13.656625190951203</v>
      </c>
      <c r="AF181" s="9">
        <f t="shared" si="189"/>
        <v>-18.884223588512214</v>
      </c>
      <c r="AG181" s="9">
        <f t="shared" si="189"/>
        <v>-60.88354636690282</v>
      </c>
      <c r="AJ181" s="3"/>
      <c r="AK181" s="17">
        <f>SUM(AK177:AK180)</f>
        <v>-15.485999999999997</v>
      </c>
      <c r="AL181" s="17">
        <f t="shared" ref="AL181:AU181" si="190">SUM(AL177:AL180)</f>
        <v>-150.49600000000001</v>
      </c>
      <c r="AM181" s="17">
        <f t="shared" si="190"/>
        <v>11.064999999999998</v>
      </c>
      <c r="AN181" s="17">
        <f t="shared" si="190"/>
        <v>-240.86541507506485</v>
      </c>
      <c r="AO181" s="9">
        <f t="shared" si="190"/>
        <v>355.61407437479829</v>
      </c>
      <c r="AP181" s="9">
        <f t="shared" si="190"/>
        <v>529.54544149653702</v>
      </c>
      <c r="AQ181" s="9">
        <f t="shared" si="190"/>
        <v>270.01822759704976</v>
      </c>
      <c r="AR181" s="9">
        <f t="shared" si="190"/>
        <v>49.654270163442447</v>
      </c>
      <c r="AS181" s="9">
        <f t="shared" si="190"/>
        <v>-81.307180702197002</v>
      </c>
      <c r="AT181" s="9">
        <f t="shared" si="190"/>
        <v>-127.54717489400733</v>
      </c>
      <c r="AU181" s="9">
        <f t="shared" si="190"/>
        <v>-136.59222984265236</v>
      </c>
      <c r="AX181" s="3"/>
      <c r="AY181" s="3"/>
    </row>
    <row r="182" spans="2:51">
      <c r="Z182" s="13"/>
      <c r="AA182" s="13"/>
      <c r="AB182" s="13"/>
      <c r="AC182" s="13"/>
      <c r="AK182" s="15"/>
      <c r="AL182" s="15"/>
      <c r="AM182" s="182"/>
      <c r="AN182" s="182"/>
      <c r="AX182" s="3"/>
      <c r="AY182" s="3"/>
    </row>
    <row r="183" spans="2:51">
      <c r="I183" s="7" t="s">
        <v>67</v>
      </c>
      <c r="Z183" s="15">
        <f t="shared" ref="Z183:AG183" si="191">+SUM(Z170:Z174)+SUM(Z177:Z180)</f>
        <v>-154.99700000000007</v>
      </c>
      <c r="AA183" s="15">
        <f t="shared" si="191"/>
        <v>-209.57400000000027</v>
      </c>
      <c r="AB183" s="15">
        <f t="shared" si="191"/>
        <v>-194.01299999999981</v>
      </c>
      <c r="AC183" s="15">
        <f t="shared" si="191"/>
        <v>-176.08300000000014</v>
      </c>
      <c r="AD183" s="15">
        <f t="shared" si="191"/>
        <v>-388.87845886481784</v>
      </c>
      <c r="AE183" s="15">
        <f t="shared" si="191"/>
        <v>-178.53798354468103</v>
      </c>
      <c r="AF183" s="15">
        <f t="shared" si="191"/>
        <v>-219.76611323026526</v>
      </c>
      <c r="AG183" s="15">
        <f t="shared" si="191"/>
        <v>-203.09627825861833</v>
      </c>
      <c r="AK183" s="15">
        <f t="shared" ref="AK183:AU183" si="192">+SUM(AK170:AK174)+SUM(AK177:AK180)</f>
        <v>-306.62200000000001</v>
      </c>
      <c r="AL183" s="15">
        <f t="shared" si="192"/>
        <v>-611.245</v>
      </c>
      <c r="AM183" s="15">
        <f t="shared" si="192"/>
        <v>-734.66700000000037</v>
      </c>
      <c r="AN183" s="15">
        <f t="shared" si="192"/>
        <v>-990.27883389838235</v>
      </c>
      <c r="AO183" s="15">
        <f t="shared" si="192"/>
        <v>-76.237624246585483</v>
      </c>
      <c r="AP183" s="15">
        <f t="shared" si="192"/>
        <v>365.96461037725908</v>
      </c>
      <c r="AQ183" s="15">
        <f t="shared" si="192"/>
        <v>501.05350462196441</v>
      </c>
      <c r="AR183" s="15">
        <f t="shared" si="192"/>
        <v>754.75879422761943</v>
      </c>
      <c r="AS183" s="15">
        <f t="shared" si="192"/>
        <v>1057.6643027257483</v>
      </c>
      <c r="AT183" s="15">
        <f t="shared" si="192"/>
        <v>1440.6232346943223</v>
      </c>
      <c r="AU183" s="15">
        <f t="shared" si="192"/>
        <v>1845.872268792989</v>
      </c>
      <c r="AX183" s="3"/>
      <c r="AY183" s="3"/>
    </row>
    <row r="184" spans="2:51">
      <c r="U184" s="13"/>
      <c r="AK184" s="182"/>
      <c r="AL184" s="182"/>
      <c r="AM184" s="182"/>
      <c r="AN184" s="182"/>
      <c r="AX184" s="3"/>
      <c r="AY184" s="3"/>
    </row>
    <row r="185" spans="2:51">
      <c r="I185" s="16" t="s">
        <v>68</v>
      </c>
      <c r="U185" s="13"/>
      <c r="AK185" s="182"/>
      <c r="AL185" s="182"/>
      <c r="AM185" s="182"/>
      <c r="AN185" s="182"/>
      <c r="AX185" s="3"/>
      <c r="AY185" s="3"/>
    </row>
    <row r="186" spans="2:51">
      <c r="I186" s="1" t="s">
        <v>69</v>
      </c>
      <c r="R186" s="13">
        <v>-1.5680000000000001</v>
      </c>
      <c r="S186" s="13">
        <v>-8.4730000000000008</v>
      </c>
      <c r="T186" s="13">
        <v>-4.3520000000000003</v>
      </c>
      <c r="U186" s="13">
        <v>-4.8120000000000003</v>
      </c>
      <c r="V186" s="13">
        <v>-12.452</v>
      </c>
      <c r="W186" s="13">
        <v>-16.420999999999999</v>
      </c>
      <c r="X186" s="13">
        <v>-17.192</v>
      </c>
      <c r="Y186" s="13">
        <v>-20.576000000000001</v>
      </c>
      <c r="Z186" s="13">
        <v>-17.992999999999999</v>
      </c>
      <c r="AA186" s="13">
        <f>+-37.358-Z186</f>
        <v>-19.364999999999998</v>
      </c>
      <c r="AB186" s="13">
        <f>-63.306-AA186-Z186</f>
        <v>-25.948000000000004</v>
      </c>
      <c r="AC186" s="13">
        <f>-84.518-AB186-AA186-Z186</f>
        <v>-21.212</v>
      </c>
      <c r="AD186" s="288">
        <f t="shared" ref="AD186:AG186" si="193">-AD233</f>
        <v>-21.492999999999999</v>
      </c>
      <c r="AE186" s="288">
        <f t="shared" si="193"/>
        <v>-22.864999999999998</v>
      </c>
      <c r="AF186" s="288">
        <f t="shared" si="193"/>
        <v>-29.448000000000004</v>
      </c>
      <c r="AG186" s="288">
        <f t="shared" si="193"/>
        <v>-24.712</v>
      </c>
      <c r="AK186" s="15">
        <v>-19.204999999999998</v>
      </c>
      <c r="AL186" s="15">
        <v>-66.441000000000003</v>
      </c>
      <c r="AM186" s="15">
        <f>-AM233</f>
        <v>-84.518000000000001</v>
      </c>
      <c r="AN186" s="15">
        <f t="shared" ref="AN186:AU186" si="194">-AN233</f>
        <v>-98.518000000000001</v>
      </c>
      <c r="AO186" s="3">
        <f t="shared" si="194"/>
        <v>-111.518</v>
      </c>
      <c r="AP186" s="3">
        <f t="shared" si="194"/>
        <v>-123.518</v>
      </c>
      <c r="AQ186" s="3">
        <f t="shared" si="194"/>
        <v>-134.518</v>
      </c>
      <c r="AR186" s="3">
        <f t="shared" si="194"/>
        <v>-145.518</v>
      </c>
      <c r="AS186" s="3">
        <f t="shared" si="194"/>
        <v>-154.518</v>
      </c>
      <c r="AT186" s="3">
        <f t="shared" si="194"/>
        <v>-162.518</v>
      </c>
      <c r="AU186" s="3">
        <f t="shared" si="194"/>
        <v>-169.518</v>
      </c>
      <c r="AX186" s="3"/>
      <c r="AY186" s="3"/>
    </row>
    <row r="187" spans="2:51">
      <c r="I187" s="1" t="s">
        <v>70</v>
      </c>
      <c r="U187" s="13"/>
      <c r="Z187" s="13">
        <v>0</v>
      </c>
      <c r="AA187" s="13">
        <f>+-7.72-Z187</f>
        <v>-7.72</v>
      </c>
      <c r="AB187" s="13">
        <f>-8.025-AA187-Z187</f>
        <v>-0.3050000000000006</v>
      </c>
      <c r="AC187" s="13">
        <f>-8.107-AB187-AA187-Z187</f>
        <v>-8.1999999999998963E-2</v>
      </c>
      <c r="AD187" s="484">
        <v>0</v>
      </c>
      <c r="AE187" s="484">
        <v>0</v>
      </c>
      <c r="AF187" s="484">
        <v>0</v>
      </c>
      <c r="AG187" s="484">
        <v>0</v>
      </c>
      <c r="AK187" s="15">
        <v>-9.1</v>
      </c>
      <c r="AL187" s="15">
        <v>-0.57199999999999995</v>
      </c>
      <c r="AM187" s="15">
        <f>SUM(Z187:AC187)</f>
        <v>-8.1069999999999993</v>
      </c>
      <c r="AN187" s="15">
        <f>SUM(AD187:AG187)</f>
        <v>0</v>
      </c>
      <c r="AO187" s="13">
        <f t="shared" ref="AO187:AU196" si="195">+AN187</f>
        <v>0</v>
      </c>
      <c r="AP187" s="13">
        <f t="shared" si="195"/>
        <v>0</v>
      </c>
      <c r="AQ187" s="13">
        <f t="shared" si="195"/>
        <v>0</v>
      </c>
      <c r="AR187" s="13">
        <f t="shared" si="195"/>
        <v>0</v>
      </c>
      <c r="AS187" s="13">
        <f t="shared" si="195"/>
        <v>0</v>
      </c>
      <c r="AT187" s="13">
        <f t="shared" si="195"/>
        <v>0</v>
      </c>
      <c r="AU187" s="13">
        <f t="shared" si="195"/>
        <v>0</v>
      </c>
      <c r="AX187" s="3"/>
      <c r="AY187" s="3"/>
    </row>
    <row r="188" spans="2:51">
      <c r="I188" s="1" t="s">
        <v>71</v>
      </c>
      <c r="U188" s="13"/>
      <c r="Z188" s="13">
        <v>-0.625</v>
      </c>
      <c r="AA188" s="13">
        <f>+-7.53-Z188</f>
        <v>-6.9050000000000002</v>
      </c>
      <c r="AB188" s="13">
        <f>-7.53-AA188-Z188</f>
        <v>0</v>
      </c>
      <c r="AC188" s="13">
        <f>-10.03-AB188-AA188-Z188</f>
        <v>-2.4999999999999991</v>
      </c>
      <c r="AD188" s="484">
        <v>0</v>
      </c>
      <c r="AE188" s="484">
        <v>0</v>
      </c>
      <c r="AF188" s="484">
        <v>0</v>
      </c>
      <c r="AG188" s="484">
        <v>0</v>
      </c>
      <c r="AK188" s="15">
        <v>-9.5510000000000002</v>
      </c>
      <c r="AL188" s="15">
        <v>-6.5129999999999999</v>
      </c>
      <c r="AM188" s="15">
        <f t="shared" ref="AM188:AM196" si="196">SUM(Z188:AC188)</f>
        <v>-10.029999999999999</v>
      </c>
      <c r="AN188" s="15">
        <f t="shared" ref="AN188:AN196" si="197">SUM(AD188:AG188)</f>
        <v>0</v>
      </c>
      <c r="AO188" s="13">
        <f t="shared" si="195"/>
        <v>0</v>
      </c>
      <c r="AP188" s="13">
        <f t="shared" si="195"/>
        <v>0</v>
      </c>
      <c r="AQ188" s="13">
        <f t="shared" si="195"/>
        <v>0</v>
      </c>
      <c r="AR188" s="13">
        <f t="shared" si="195"/>
        <v>0</v>
      </c>
      <c r="AS188" s="13">
        <f t="shared" si="195"/>
        <v>0</v>
      </c>
      <c r="AT188" s="13">
        <f t="shared" si="195"/>
        <v>0</v>
      </c>
      <c r="AU188" s="13">
        <f t="shared" si="195"/>
        <v>0</v>
      </c>
      <c r="AX188" s="3"/>
      <c r="AY188" s="3"/>
    </row>
    <row r="189" spans="2:51">
      <c r="I189" s="1" t="s">
        <v>72</v>
      </c>
      <c r="U189" s="13"/>
      <c r="Z189" s="13">
        <v>-18.013000000000002</v>
      </c>
      <c r="AA189" s="13">
        <f>+-224.176-Z189</f>
        <v>-206.16299999999998</v>
      </c>
      <c r="AB189" s="13">
        <f>-352.407-AA189-Z189</f>
        <v>-128.23099999999999</v>
      </c>
      <c r="AC189" s="13">
        <f>-386.011-AB189-AA189-Z189</f>
        <v>-33.604000000000042</v>
      </c>
      <c r="AD189" s="484">
        <v>0</v>
      </c>
      <c r="AE189" s="484">
        <v>0</v>
      </c>
      <c r="AF189" s="484">
        <v>0</v>
      </c>
      <c r="AG189" s="484">
        <v>0</v>
      </c>
      <c r="AK189" s="15">
        <v>-48.73</v>
      </c>
      <c r="AL189" s="15">
        <v>-104.001</v>
      </c>
      <c r="AM189" s="15">
        <f t="shared" si="196"/>
        <v>-386.01100000000002</v>
      </c>
      <c r="AN189" s="15">
        <f t="shared" si="197"/>
        <v>0</v>
      </c>
      <c r="AO189" s="13">
        <f t="shared" si="195"/>
        <v>0</v>
      </c>
      <c r="AP189" s="13">
        <f t="shared" si="195"/>
        <v>0</v>
      </c>
      <c r="AQ189" s="13">
        <f t="shared" si="195"/>
        <v>0</v>
      </c>
      <c r="AR189" s="13">
        <f t="shared" si="195"/>
        <v>0</v>
      </c>
      <c r="AS189" s="13">
        <f t="shared" si="195"/>
        <v>0</v>
      </c>
      <c r="AT189" s="13">
        <f t="shared" si="195"/>
        <v>0</v>
      </c>
      <c r="AU189" s="13">
        <f t="shared" si="195"/>
        <v>0</v>
      </c>
      <c r="AX189" s="3"/>
      <c r="AY189" s="3"/>
    </row>
    <row r="190" spans="2:51">
      <c r="I190" s="1" t="s">
        <v>245</v>
      </c>
      <c r="U190" s="13"/>
      <c r="Z190" s="13">
        <v>0</v>
      </c>
      <c r="AA190" s="13">
        <f>0-Z190</f>
        <v>0</v>
      </c>
      <c r="AB190" s="13">
        <f>0-AA190-Z190</f>
        <v>0</v>
      </c>
      <c r="AC190" s="13">
        <v>0</v>
      </c>
      <c r="AD190" s="484">
        <v>0</v>
      </c>
      <c r="AE190" s="484">
        <v>0</v>
      </c>
      <c r="AF190" s="484">
        <v>0</v>
      </c>
      <c r="AG190" s="484">
        <v>0</v>
      </c>
      <c r="AK190" s="15">
        <v>-7.5</v>
      </c>
      <c r="AL190" s="15">
        <v>-15</v>
      </c>
      <c r="AM190" s="15">
        <f t="shared" si="196"/>
        <v>0</v>
      </c>
      <c r="AN190" s="15">
        <f t="shared" si="197"/>
        <v>0</v>
      </c>
      <c r="AO190" s="13">
        <f t="shared" ref="AO190:AU191" si="198">+AN190</f>
        <v>0</v>
      </c>
      <c r="AP190" s="13">
        <f t="shared" si="198"/>
        <v>0</v>
      </c>
      <c r="AQ190" s="13">
        <f t="shared" si="195"/>
        <v>0</v>
      </c>
      <c r="AR190" s="13">
        <f t="shared" si="195"/>
        <v>0</v>
      </c>
      <c r="AS190" s="13">
        <f t="shared" si="195"/>
        <v>0</v>
      </c>
      <c r="AT190" s="13">
        <f t="shared" si="195"/>
        <v>0</v>
      </c>
      <c r="AU190" s="13">
        <f t="shared" si="195"/>
        <v>0</v>
      </c>
      <c r="AX190" s="3"/>
      <c r="AY190" s="3"/>
    </row>
    <row r="191" spans="2:51">
      <c r="I191" s="1" t="s">
        <v>246</v>
      </c>
      <c r="U191" s="13"/>
      <c r="Z191" s="13">
        <v>0</v>
      </c>
      <c r="AA191" s="13">
        <f>0-Z191</f>
        <v>0</v>
      </c>
      <c r="AB191" s="13">
        <f>0-AA191-Z191</f>
        <v>0</v>
      </c>
      <c r="AC191" s="13">
        <v>0</v>
      </c>
      <c r="AD191" s="484">
        <v>0</v>
      </c>
      <c r="AE191" s="484">
        <v>0</v>
      </c>
      <c r="AF191" s="484">
        <v>0</v>
      </c>
      <c r="AG191" s="484">
        <v>0</v>
      </c>
      <c r="AK191" s="15">
        <v>0</v>
      </c>
      <c r="AL191" s="15">
        <v>15</v>
      </c>
      <c r="AM191" s="15">
        <f t="shared" si="196"/>
        <v>0</v>
      </c>
      <c r="AN191" s="15">
        <f t="shared" si="197"/>
        <v>0</v>
      </c>
      <c r="AO191" s="13">
        <f t="shared" si="198"/>
        <v>0</v>
      </c>
      <c r="AP191" s="13">
        <f t="shared" si="198"/>
        <v>0</v>
      </c>
      <c r="AQ191" s="13">
        <f t="shared" si="198"/>
        <v>0</v>
      </c>
      <c r="AR191" s="13">
        <f t="shared" si="198"/>
        <v>0</v>
      </c>
      <c r="AS191" s="13">
        <f t="shared" si="198"/>
        <v>0</v>
      </c>
      <c r="AT191" s="13">
        <f t="shared" si="198"/>
        <v>0</v>
      </c>
      <c r="AU191" s="13">
        <f t="shared" si="198"/>
        <v>0</v>
      </c>
      <c r="AX191" s="3"/>
      <c r="AY191" s="3"/>
    </row>
    <row r="192" spans="2:51">
      <c r="I192" s="1" t="s">
        <v>73</v>
      </c>
      <c r="U192" s="13"/>
      <c r="Z192" s="13">
        <v>-1423.2139999999999</v>
      </c>
      <c r="AA192" s="13">
        <f>+-2742.37-Z192</f>
        <v>-1319.1559999999999</v>
      </c>
      <c r="AB192" s="13">
        <f>-3412.776-AA192-Z192</f>
        <v>-670.40599999999995</v>
      </c>
      <c r="AC192" s="13">
        <f>-3862.637-AB192-AA192-Z192</f>
        <v>-449.86100000000033</v>
      </c>
      <c r="AD192" s="484">
        <v>0</v>
      </c>
      <c r="AE192" s="484">
        <v>0</v>
      </c>
      <c r="AF192" s="484">
        <v>0</v>
      </c>
      <c r="AG192" s="484">
        <v>0</v>
      </c>
      <c r="AK192" s="15">
        <v>0</v>
      </c>
      <c r="AL192" s="15">
        <v>-1565.347</v>
      </c>
      <c r="AM192" s="15">
        <f t="shared" si="196"/>
        <v>-3862.6370000000002</v>
      </c>
      <c r="AN192" s="15">
        <f t="shared" si="197"/>
        <v>0</v>
      </c>
      <c r="AO192" s="13">
        <f t="shared" si="195"/>
        <v>0</v>
      </c>
      <c r="AP192" s="13">
        <f t="shared" si="195"/>
        <v>0</v>
      </c>
      <c r="AQ192" s="13">
        <f t="shared" si="195"/>
        <v>0</v>
      </c>
      <c r="AR192" s="13">
        <f t="shared" si="195"/>
        <v>0</v>
      </c>
      <c r="AS192" s="13">
        <f t="shared" si="195"/>
        <v>0</v>
      </c>
      <c r="AT192" s="13">
        <f t="shared" si="195"/>
        <v>0</v>
      </c>
      <c r="AU192" s="13">
        <f t="shared" si="195"/>
        <v>0</v>
      </c>
      <c r="AX192" s="3"/>
      <c r="AY192" s="3"/>
    </row>
    <row r="193" spans="2:51">
      <c r="I193" s="1" t="s">
        <v>74</v>
      </c>
      <c r="U193" s="13"/>
      <c r="Z193" s="13">
        <v>0</v>
      </c>
      <c r="AA193" s="13">
        <f>237.095-Z193</f>
        <v>237.095</v>
      </c>
      <c r="AB193" s="13">
        <f>441.089-AA193-Z193</f>
        <v>203.994</v>
      </c>
      <c r="AC193" s="13">
        <f>511.068-AB193-AA193-Z193</f>
        <v>69.978999999999957</v>
      </c>
      <c r="AD193" s="484">
        <v>200</v>
      </c>
      <c r="AE193" s="484">
        <v>300</v>
      </c>
      <c r="AF193" s="484">
        <v>300</v>
      </c>
      <c r="AG193" s="484">
        <v>350</v>
      </c>
      <c r="AK193" s="15">
        <v>0</v>
      </c>
      <c r="AL193" s="15">
        <v>195.898</v>
      </c>
      <c r="AM193" s="15">
        <f t="shared" si="196"/>
        <v>511.06799999999998</v>
      </c>
      <c r="AN193" s="15">
        <f t="shared" si="197"/>
        <v>1150</v>
      </c>
      <c r="AO193" s="13">
        <v>450</v>
      </c>
      <c r="AP193" s="13">
        <v>0</v>
      </c>
      <c r="AQ193" s="13">
        <v>0</v>
      </c>
      <c r="AR193" s="13">
        <v>0</v>
      </c>
      <c r="AS193" s="13">
        <f t="shared" si="195"/>
        <v>0</v>
      </c>
      <c r="AT193" s="13">
        <f t="shared" si="195"/>
        <v>0</v>
      </c>
      <c r="AU193" s="13">
        <f t="shared" si="195"/>
        <v>0</v>
      </c>
      <c r="AX193" s="3"/>
      <c r="AY193" s="3"/>
    </row>
    <row r="194" spans="2:51">
      <c r="I194" s="1" t="s">
        <v>247</v>
      </c>
      <c r="U194" s="13"/>
      <c r="Z194" s="13">
        <v>445.04700000000003</v>
      </c>
      <c r="AA194" s="13">
        <f>1047.479-Z194</f>
        <v>602.43200000000002</v>
      </c>
      <c r="AB194" s="13">
        <f>1831.327-AA194-Z194</f>
        <v>783.84799999999996</v>
      </c>
      <c r="AC194" s="13">
        <f>2483.225-AB194-AA194-Z194</f>
        <v>651.89799999999991</v>
      </c>
      <c r="AD194" s="484">
        <v>0</v>
      </c>
      <c r="AE194" s="484">
        <v>0</v>
      </c>
      <c r="AF194" s="484">
        <v>0</v>
      </c>
      <c r="AG194" s="484">
        <v>0</v>
      </c>
      <c r="AK194" s="15">
        <v>0</v>
      </c>
      <c r="AL194" s="15">
        <v>532.69000000000005</v>
      </c>
      <c r="AM194" s="15">
        <f t="shared" si="196"/>
        <v>2483.2249999999999</v>
      </c>
      <c r="AN194" s="15">
        <f t="shared" si="197"/>
        <v>0</v>
      </c>
      <c r="AO194" s="13">
        <f>+AN194</f>
        <v>0</v>
      </c>
      <c r="AP194" s="13">
        <f>+AO194</f>
        <v>0</v>
      </c>
      <c r="AQ194" s="13">
        <f t="shared" ref="AQ194:AU194" si="199">+AP194</f>
        <v>0</v>
      </c>
      <c r="AR194" s="13">
        <f t="shared" si="199"/>
        <v>0</v>
      </c>
      <c r="AS194" s="13">
        <f t="shared" si="199"/>
        <v>0</v>
      </c>
      <c r="AT194" s="13">
        <f t="shared" si="199"/>
        <v>0</v>
      </c>
      <c r="AU194" s="13">
        <f t="shared" si="199"/>
        <v>0</v>
      </c>
      <c r="AX194" s="3"/>
      <c r="AY194" s="3"/>
    </row>
    <row r="195" spans="2:51">
      <c r="I195" s="1" t="s">
        <v>75</v>
      </c>
      <c r="U195" s="13"/>
      <c r="Z195" s="13">
        <v>0</v>
      </c>
      <c r="AA195" s="13">
        <f>9.899-Z195</f>
        <v>9.8989999999999991</v>
      </c>
      <c r="AB195" s="13">
        <f>9.899-AA195-Z195</f>
        <v>0</v>
      </c>
      <c r="AC195" s="13">
        <f>10.271-AB195-AA195-Z195</f>
        <v>0.37200000000000166</v>
      </c>
      <c r="AD195" s="484">
        <v>0</v>
      </c>
      <c r="AE195" s="484">
        <v>0</v>
      </c>
      <c r="AF195" s="484">
        <v>0</v>
      </c>
      <c r="AG195" s="484">
        <v>0</v>
      </c>
      <c r="AK195" s="15">
        <v>-1.8560000000000001</v>
      </c>
      <c r="AL195" s="15">
        <v>-7.048</v>
      </c>
      <c r="AM195" s="15">
        <f t="shared" si="196"/>
        <v>10.271000000000001</v>
      </c>
      <c r="AN195" s="15">
        <f t="shared" si="197"/>
        <v>0</v>
      </c>
      <c r="AO195" s="13">
        <f t="shared" si="195"/>
        <v>0</v>
      </c>
      <c r="AP195" s="13">
        <f t="shared" si="195"/>
        <v>0</v>
      </c>
      <c r="AQ195" s="13">
        <f t="shared" si="195"/>
        <v>0</v>
      </c>
      <c r="AR195" s="13">
        <f t="shared" si="195"/>
        <v>0</v>
      </c>
      <c r="AS195" s="13">
        <f t="shared" si="195"/>
        <v>0</v>
      </c>
      <c r="AT195" s="13">
        <f t="shared" si="195"/>
        <v>0</v>
      </c>
      <c r="AU195" s="13">
        <f t="shared" si="195"/>
        <v>0</v>
      </c>
      <c r="AX195" s="3"/>
      <c r="AY195" s="3"/>
    </row>
    <row r="196" spans="2:51">
      <c r="I196" s="1" t="s">
        <v>76</v>
      </c>
      <c r="U196" s="13"/>
      <c r="Z196" s="13">
        <v>0</v>
      </c>
      <c r="AA196" s="13">
        <f>0-Z196</f>
        <v>0</v>
      </c>
      <c r="AB196" s="13">
        <f>0-AA196-Z196</f>
        <v>0</v>
      </c>
      <c r="AC196" s="13">
        <v>0</v>
      </c>
      <c r="AD196" s="484">
        <v>0</v>
      </c>
      <c r="AE196" s="484">
        <v>0</v>
      </c>
      <c r="AF196" s="484">
        <v>0</v>
      </c>
      <c r="AG196" s="484">
        <v>0</v>
      </c>
      <c r="AK196" s="15">
        <v>-5</v>
      </c>
      <c r="AL196" s="15">
        <v>0</v>
      </c>
      <c r="AM196" s="15">
        <f t="shared" si="196"/>
        <v>0</v>
      </c>
      <c r="AN196" s="15">
        <f t="shared" si="197"/>
        <v>0</v>
      </c>
      <c r="AO196" s="13">
        <f t="shared" si="195"/>
        <v>0</v>
      </c>
      <c r="AP196" s="13">
        <f t="shared" si="195"/>
        <v>0</v>
      </c>
      <c r="AQ196" s="13">
        <f t="shared" si="195"/>
        <v>0</v>
      </c>
      <c r="AR196" s="13">
        <f t="shared" si="195"/>
        <v>0</v>
      </c>
      <c r="AS196" s="13">
        <f t="shared" si="195"/>
        <v>0</v>
      </c>
      <c r="AT196" s="13">
        <f t="shared" si="195"/>
        <v>0</v>
      </c>
      <c r="AU196" s="13">
        <f t="shared" si="195"/>
        <v>0</v>
      </c>
      <c r="AX196" s="3"/>
      <c r="AY196" s="3"/>
    </row>
    <row r="197" spans="2:51" s="7" customFormat="1">
      <c r="B197"/>
      <c r="C197"/>
      <c r="D197"/>
      <c r="E197"/>
      <c r="F197"/>
      <c r="G197"/>
      <c r="I197" s="7" t="s">
        <v>77</v>
      </c>
      <c r="U197" s="13"/>
      <c r="Z197" s="17">
        <f t="shared" ref="Z197:AA197" si="200">+SUM(Z186:Z196)</f>
        <v>-1014.798</v>
      </c>
      <c r="AA197" s="17">
        <f t="shared" si="200"/>
        <v>-709.88299999999992</v>
      </c>
      <c r="AB197" s="17">
        <f t="shared" ref="AB197" si="201">+SUM(AB186:AB196)</f>
        <v>162.952</v>
      </c>
      <c r="AC197" s="17">
        <f t="shared" ref="AC197" si="202">+SUM(AC186:AC196)</f>
        <v>214.9899999999995</v>
      </c>
      <c r="AD197" s="17">
        <f t="shared" ref="AD197:AG197" si="203">+SUM(AD186:AD196)</f>
        <v>178.50700000000001</v>
      </c>
      <c r="AE197" s="17">
        <f t="shared" si="203"/>
        <v>277.13499999999999</v>
      </c>
      <c r="AF197" s="17">
        <f t="shared" si="203"/>
        <v>270.55200000000002</v>
      </c>
      <c r="AG197" s="17">
        <f t="shared" si="203"/>
        <v>325.28800000000001</v>
      </c>
      <c r="AK197" s="17">
        <f t="shared" ref="AK197:AU197" si="204">+SUM(AK186:AK196)</f>
        <v>-100.94199999999999</v>
      </c>
      <c r="AL197" s="17">
        <f t="shared" si="204"/>
        <v>-1021.3340000000001</v>
      </c>
      <c r="AM197" s="17">
        <f t="shared" si="204"/>
        <v>-1346.7389999999998</v>
      </c>
      <c r="AN197" s="17">
        <f t="shared" si="204"/>
        <v>1051.482</v>
      </c>
      <c r="AO197" s="17">
        <f t="shared" si="204"/>
        <v>338.48199999999997</v>
      </c>
      <c r="AP197" s="17">
        <f t="shared" si="204"/>
        <v>-123.518</v>
      </c>
      <c r="AQ197" s="17">
        <f t="shared" si="204"/>
        <v>-134.518</v>
      </c>
      <c r="AR197" s="17">
        <f t="shared" si="204"/>
        <v>-145.518</v>
      </c>
      <c r="AS197" s="17">
        <f t="shared" si="204"/>
        <v>-154.518</v>
      </c>
      <c r="AT197" s="17">
        <f t="shared" si="204"/>
        <v>-162.518</v>
      </c>
      <c r="AU197" s="17">
        <f t="shared" si="204"/>
        <v>-169.518</v>
      </c>
      <c r="AX197" s="3"/>
      <c r="AY197" s="3"/>
    </row>
    <row r="198" spans="2:51">
      <c r="U198" s="13"/>
      <c r="AD198" s="105"/>
      <c r="AE198" s="105"/>
      <c r="AF198" s="105"/>
      <c r="AG198" s="105"/>
      <c r="AK198" s="182"/>
      <c r="AL198" s="182"/>
      <c r="AM198" s="182"/>
      <c r="AN198" s="182"/>
      <c r="AX198" s="3"/>
      <c r="AY198" s="3"/>
    </row>
    <row r="199" spans="2:51">
      <c r="I199" s="16" t="s">
        <v>78</v>
      </c>
      <c r="U199" s="13"/>
      <c r="AD199" s="105"/>
      <c r="AE199" s="105"/>
      <c r="AF199" s="105"/>
      <c r="AG199" s="105"/>
      <c r="AK199" s="182"/>
      <c r="AL199" s="182"/>
      <c r="AM199" s="182"/>
      <c r="AN199" s="182"/>
      <c r="AX199" s="3"/>
      <c r="AY199" s="3"/>
    </row>
    <row r="200" spans="2:51">
      <c r="I200" s="1" t="s">
        <v>79</v>
      </c>
      <c r="U200" s="13"/>
      <c r="Z200" s="13">
        <v>0.59399999999999997</v>
      </c>
      <c r="AA200" s="13">
        <f>0.783-Z200</f>
        <v>0.18900000000000006</v>
      </c>
      <c r="AB200" s="13">
        <f>6.855-AA200-Z200</f>
        <v>6.0720000000000001</v>
      </c>
      <c r="AC200" s="13">
        <f>11.379-AB200-AA200-Z200</f>
        <v>4.5239999999999991</v>
      </c>
      <c r="AD200" s="484">
        <v>0</v>
      </c>
      <c r="AE200" s="484">
        <v>0</v>
      </c>
      <c r="AF200" s="484">
        <v>0</v>
      </c>
      <c r="AG200" s="484">
        <v>0</v>
      </c>
      <c r="AK200" s="15">
        <v>0.06</v>
      </c>
      <c r="AL200" s="15">
        <v>0.73099999999999998</v>
      </c>
      <c r="AM200" s="15">
        <f>SUM(Z200:AC200)</f>
        <v>11.379</v>
      </c>
      <c r="AN200" s="15">
        <f>SUM(AD200:AG200)</f>
        <v>0</v>
      </c>
      <c r="AO200" s="13">
        <f>AN200</f>
        <v>0</v>
      </c>
      <c r="AP200" s="13">
        <f t="shared" ref="AP200:AU200" si="205">AO200</f>
        <v>0</v>
      </c>
      <c r="AQ200" s="13">
        <f t="shared" si="205"/>
        <v>0</v>
      </c>
      <c r="AR200" s="13">
        <f t="shared" si="205"/>
        <v>0</v>
      </c>
      <c r="AS200" s="13">
        <f t="shared" si="205"/>
        <v>0</v>
      </c>
      <c r="AT200" s="13">
        <f t="shared" si="205"/>
        <v>0</v>
      </c>
      <c r="AU200" s="13">
        <f t="shared" si="205"/>
        <v>0</v>
      </c>
      <c r="AX200" s="3"/>
      <c r="AY200" s="3"/>
    </row>
    <row r="201" spans="2:51">
      <c r="I201" s="1" t="s">
        <v>248</v>
      </c>
      <c r="U201" s="13"/>
      <c r="Z201" s="13">
        <v>-206.57900000000001</v>
      </c>
      <c r="AA201" s="13">
        <f>+-208.407-Z201</f>
        <v>-1.828000000000003</v>
      </c>
      <c r="AB201" s="13">
        <f>-367.234-AA201-Z201</f>
        <v>-158.82699999999994</v>
      </c>
      <c r="AC201" s="13">
        <f>-394.156-AB201-AA201-Z201</f>
        <v>-26.922000000000054</v>
      </c>
      <c r="AD201" s="484">
        <v>0</v>
      </c>
      <c r="AE201" s="484">
        <v>0</v>
      </c>
      <c r="AF201" s="484">
        <v>0</v>
      </c>
      <c r="AG201" s="484">
        <v>0</v>
      </c>
      <c r="AK201" s="15">
        <v>-1</v>
      </c>
      <c r="AL201" s="15">
        <v>-10.593</v>
      </c>
      <c r="AM201" s="15">
        <f t="shared" ref="AM201:AM205" si="206">SUM(Z201:AC201)</f>
        <v>-394.15599999999995</v>
      </c>
      <c r="AN201" s="15">
        <f t="shared" ref="AN201:AN205" si="207">SUM(AD201:AG201)</f>
        <v>0</v>
      </c>
      <c r="AO201" s="13">
        <f t="shared" ref="AO201:AU205" si="208">AN201</f>
        <v>0</v>
      </c>
      <c r="AP201" s="13">
        <f t="shared" si="208"/>
        <v>0</v>
      </c>
      <c r="AQ201" s="13">
        <f t="shared" si="208"/>
        <v>0</v>
      </c>
      <c r="AR201" s="13">
        <f t="shared" si="208"/>
        <v>0</v>
      </c>
      <c r="AS201" s="13">
        <f t="shared" si="208"/>
        <v>0</v>
      </c>
      <c r="AT201" s="13">
        <f t="shared" si="208"/>
        <v>0</v>
      </c>
      <c r="AU201" s="13">
        <f t="shared" si="208"/>
        <v>0</v>
      </c>
      <c r="AX201" s="3"/>
      <c r="AY201" s="3"/>
    </row>
    <row r="202" spans="2:51">
      <c r="I202" s="1" t="s">
        <v>208</v>
      </c>
      <c r="U202" s="13"/>
      <c r="Z202" s="13">
        <v>2657.797</v>
      </c>
      <c r="AA202" s="13">
        <f>2657.797-Z202</f>
        <v>0</v>
      </c>
      <c r="AB202" s="13">
        <f>2657.797-AA202-Z202</f>
        <v>0</v>
      </c>
      <c r="AC202" s="13">
        <v>0</v>
      </c>
      <c r="AD202" s="484">
        <v>0</v>
      </c>
      <c r="AE202" s="484">
        <v>0</v>
      </c>
      <c r="AF202" s="484">
        <v>0</v>
      </c>
      <c r="AG202" s="484">
        <v>0</v>
      </c>
      <c r="AK202" s="15">
        <v>651.30600000000004</v>
      </c>
      <c r="AL202" s="15">
        <v>1157.1469999999999</v>
      </c>
      <c r="AM202" s="15">
        <f t="shared" si="206"/>
        <v>2657.797</v>
      </c>
      <c r="AN202" s="15">
        <f t="shared" si="207"/>
        <v>0</v>
      </c>
      <c r="AO202" s="13">
        <f t="shared" si="208"/>
        <v>0</v>
      </c>
      <c r="AP202" s="13">
        <f t="shared" si="208"/>
        <v>0</v>
      </c>
      <c r="AQ202" s="13">
        <f t="shared" si="208"/>
        <v>0</v>
      </c>
      <c r="AR202" s="13">
        <f t="shared" si="208"/>
        <v>0</v>
      </c>
      <c r="AS202" s="13">
        <f t="shared" si="208"/>
        <v>0</v>
      </c>
      <c r="AT202" s="13">
        <f t="shared" si="208"/>
        <v>0</v>
      </c>
      <c r="AU202" s="13">
        <f t="shared" si="208"/>
        <v>0</v>
      </c>
      <c r="AX202" s="3"/>
      <c r="AY202" s="3"/>
    </row>
    <row r="203" spans="2:51">
      <c r="I203" s="1" t="s">
        <v>249</v>
      </c>
      <c r="U203" s="13"/>
      <c r="Z203" s="13">
        <v>0</v>
      </c>
      <c r="AA203" s="13">
        <f>0-Z203</f>
        <v>0</v>
      </c>
      <c r="AB203" s="13">
        <f>0-AA203</f>
        <v>0</v>
      </c>
      <c r="AC203" s="13">
        <v>0</v>
      </c>
      <c r="AD203" s="484">
        <v>0</v>
      </c>
      <c r="AE203" s="484">
        <v>0</v>
      </c>
      <c r="AF203" s="484">
        <v>0</v>
      </c>
      <c r="AG203" s="484">
        <v>0</v>
      </c>
      <c r="AK203" s="15">
        <v>0</v>
      </c>
      <c r="AL203" s="15">
        <v>5</v>
      </c>
      <c r="AM203" s="15">
        <f t="shared" si="206"/>
        <v>0</v>
      </c>
      <c r="AN203" s="15">
        <f t="shared" si="207"/>
        <v>0</v>
      </c>
      <c r="AO203" s="13">
        <f t="shared" si="208"/>
        <v>0</v>
      </c>
      <c r="AP203" s="13">
        <f t="shared" si="208"/>
        <v>0</v>
      </c>
      <c r="AQ203" s="13">
        <f t="shared" si="208"/>
        <v>0</v>
      </c>
      <c r="AR203" s="13">
        <f t="shared" si="208"/>
        <v>0</v>
      </c>
      <c r="AS203" s="13">
        <f t="shared" si="208"/>
        <v>0</v>
      </c>
      <c r="AT203" s="13">
        <f t="shared" si="208"/>
        <v>0</v>
      </c>
      <c r="AU203" s="13">
        <f t="shared" si="208"/>
        <v>0</v>
      </c>
      <c r="AX203" s="3"/>
      <c r="AY203" s="3"/>
    </row>
    <row r="204" spans="2:51">
      <c r="I204" s="1" t="s">
        <v>250</v>
      </c>
      <c r="U204" s="13"/>
      <c r="Z204" s="13">
        <v>0</v>
      </c>
      <c r="AA204" s="13">
        <f>0-Z204</f>
        <v>0</v>
      </c>
      <c r="AB204" s="13">
        <f>0-AA204</f>
        <v>0</v>
      </c>
      <c r="AC204" s="13">
        <v>0</v>
      </c>
      <c r="AD204" s="484">
        <v>0</v>
      </c>
      <c r="AE204" s="484">
        <v>0</v>
      </c>
      <c r="AF204" s="484">
        <v>0</v>
      </c>
      <c r="AG204" s="484">
        <v>0</v>
      </c>
      <c r="AK204" s="15">
        <v>0</v>
      </c>
      <c r="AL204" s="15">
        <v>-5</v>
      </c>
      <c r="AM204" s="15">
        <f t="shared" si="206"/>
        <v>0</v>
      </c>
      <c r="AN204" s="15">
        <f t="shared" si="207"/>
        <v>0</v>
      </c>
      <c r="AO204" s="13">
        <f t="shared" si="208"/>
        <v>0</v>
      </c>
      <c r="AP204" s="13">
        <f t="shared" si="208"/>
        <v>0</v>
      </c>
      <c r="AQ204" s="13">
        <f t="shared" si="208"/>
        <v>0</v>
      </c>
      <c r="AR204" s="13">
        <f t="shared" si="208"/>
        <v>0</v>
      </c>
      <c r="AS204" s="13">
        <f t="shared" si="208"/>
        <v>0</v>
      </c>
      <c r="AT204" s="13">
        <f t="shared" si="208"/>
        <v>0</v>
      </c>
      <c r="AU204" s="13">
        <f t="shared" si="208"/>
        <v>0</v>
      </c>
      <c r="AX204" s="3"/>
      <c r="AY204" s="3"/>
    </row>
    <row r="205" spans="2:51">
      <c r="I205" s="1" t="s">
        <v>251</v>
      </c>
      <c r="U205" s="13"/>
      <c r="Z205" s="13">
        <v>-5.024</v>
      </c>
      <c r="AA205" s="13">
        <f>+-9.365-Z205</f>
        <v>-4.3410000000000002</v>
      </c>
      <c r="AB205" s="13">
        <f>-9.672-AA205-Z205</f>
        <v>-0.30700000000000038</v>
      </c>
      <c r="AC205" s="13">
        <f>-9.672-AB205-AA205-Z205</f>
        <v>0</v>
      </c>
      <c r="AD205" s="484">
        <v>0</v>
      </c>
      <c r="AE205" s="484">
        <v>0</v>
      </c>
      <c r="AF205" s="484">
        <v>0</v>
      </c>
      <c r="AG205" s="484">
        <v>0</v>
      </c>
      <c r="AK205" s="15">
        <v>0</v>
      </c>
      <c r="AL205" s="15">
        <v>-5.3949999999999996</v>
      </c>
      <c r="AM205" s="15">
        <f t="shared" si="206"/>
        <v>-9.6720000000000006</v>
      </c>
      <c r="AN205" s="15">
        <f t="shared" si="207"/>
        <v>0</v>
      </c>
      <c r="AO205" s="13">
        <f t="shared" si="208"/>
        <v>0</v>
      </c>
      <c r="AP205" s="13">
        <v>0</v>
      </c>
      <c r="AQ205" s="13">
        <v>0</v>
      </c>
      <c r="AR205" s="13">
        <v>0</v>
      </c>
      <c r="AS205" s="13">
        <v>0</v>
      </c>
      <c r="AT205" s="13">
        <v>0</v>
      </c>
      <c r="AU205" s="13">
        <v>0</v>
      </c>
      <c r="AX205" s="3"/>
      <c r="AY205" s="3"/>
    </row>
    <row r="206" spans="2:51">
      <c r="U206" s="13"/>
      <c r="AD206" s="105"/>
      <c r="AE206" s="105"/>
      <c r="AF206" s="105"/>
      <c r="AG206" s="105"/>
      <c r="AK206" s="182"/>
      <c r="AL206" s="182"/>
      <c r="AM206" s="182"/>
      <c r="AN206" s="182"/>
      <c r="AX206" s="3"/>
      <c r="AY206" s="3"/>
    </row>
    <row r="207" spans="2:51" s="7" customFormat="1">
      <c r="B207"/>
      <c r="C207"/>
      <c r="D207"/>
      <c r="E207"/>
      <c r="F207"/>
      <c r="G207"/>
      <c r="I207" s="7" t="s">
        <v>80</v>
      </c>
      <c r="U207" s="238"/>
      <c r="Z207" s="9">
        <f>+SUM(Z200:Z205)</f>
        <v>2446.788</v>
      </c>
      <c r="AA207" s="9">
        <f>+SUM(AA200:AA205)</f>
        <v>-5.9800000000000031</v>
      </c>
      <c r="AB207" s="9">
        <f>+SUM(AB200:AB205)</f>
        <v>-153.06199999999993</v>
      </c>
      <c r="AC207" s="9">
        <f>+SUM(AC200:AC205)</f>
        <v>-22.398000000000053</v>
      </c>
      <c r="AD207" s="9">
        <f t="shared" ref="AD207:AG207" si="209">+SUM(AD200:AD205)</f>
        <v>0</v>
      </c>
      <c r="AE207" s="9">
        <f t="shared" si="209"/>
        <v>0</v>
      </c>
      <c r="AF207" s="9">
        <f t="shared" si="209"/>
        <v>0</v>
      </c>
      <c r="AG207" s="9">
        <f t="shared" si="209"/>
        <v>0</v>
      </c>
      <c r="AK207" s="17">
        <f>+SUM(AK200:AK205)</f>
        <v>650.36599999999999</v>
      </c>
      <c r="AL207" s="17">
        <f>+SUM(AL200:AL205)</f>
        <v>1141.8899999999999</v>
      </c>
      <c r="AM207" s="17">
        <f t="shared" ref="AM207:AU207" si="210">+SUM(AM200:AM205)</f>
        <v>2265.348</v>
      </c>
      <c r="AN207" s="17">
        <f t="shared" si="210"/>
        <v>0</v>
      </c>
      <c r="AO207" s="9">
        <f t="shared" si="210"/>
        <v>0</v>
      </c>
      <c r="AP207" s="9">
        <f t="shared" si="210"/>
        <v>0</v>
      </c>
      <c r="AQ207" s="9">
        <f t="shared" si="210"/>
        <v>0</v>
      </c>
      <c r="AR207" s="9">
        <f t="shared" si="210"/>
        <v>0</v>
      </c>
      <c r="AS207" s="9">
        <f t="shared" si="210"/>
        <v>0</v>
      </c>
      <c r="AT207" s="9">
        <f t="shared" si="210"/>
        <v>0</v>
      </c>
      <c r="AU207" s="9">
        <f t="shared" si="210"/>
        <v>0</v>
      </c>
      <c r="AX207" s="3"/>
      <c r="AY207" s="3"/>
    </row>
    <row r="208" spans="2:51">
      <c r="I208" s="7"/>
      <c r="U208" s="13"/>
      <c r="AK208" s="182"/>
      <c r="AL208" s="182"/>
      <c r="AM208" s="182"/>
      <c r="AN208" s="182"/>
      <c r="AX208" s="3"/>
      <c r="AY208" s="3"/>
    </row>
    <row r="209" spans="2:51">
      <c r="I209" s="1" t="s">
        <v>82</v>
      </c>
      <c r="U209" s="13"/>
      <c r="Z209" s="13">
        <v>150.12100000000001</v>
      </c>
      <c r="AA209" s="15">
        <f>+Z211</f>
        <v>1427.114</v>
      </c>
      <c r="AB209" s="15">
        <f>+AA211</f>
        <v>501.67699999999979</v>
      </c>
      <c r="AC209" s="15">
        <f>+AB211</f>
        <v>317.55400000000009</v>
      </c>
      <c r="AD209" s="15">
        <f t="shared" ref="AD209:AG209" si="211">+AC211</f>
        <v>334.06299999999942</v>
      </c>
      <c r="AE209" s="15">
        <f t="shared" si="211"/>
        <v>123.69154113518158</v>
      </c>
      <c r="AF209" s="15">
        <f t="shared" si="211"/>
        <v>222.28855759050055</v>
      </c>
      <c r="AG209" s="15">
        <f t="shared" si="211"/>
        <v>273.0744443602353</v>
      </c>
      <c r="AK209" s="15">
        <v>398.00799999999998</v>
      </c>
      <c r="AL209" s="15">
        <f t="shared" ref="AL209:AU209" si="212">+AK211</f>
        <v>640.80999999999995</v>
      </c>
      <c r="AM209" s="15">
        <f t="shared" si="212"/>
        <v>150.12099999999975</v>
      </c>
      <c r="AN209" s="15">
        <f t="shared" si="212"/>
        <v>334.06299999999953</v>
      </c>
      <c r="AO209" s="3">
        <f t="shared" si="212"/>
        <v>395.26616610161716</v>
      </c>
      <c r="AP209" s="3">
        <f t="shared" si="212"/>
        <v>657.51054185503165</v>
      </c>
      <c r="AQ209" s="3">
        <f t="shared" si="212"/>
        <v>899.9571522322907</v>
      </c>
      <c r="AR209" s="3">
        <f t="shared" si="212"/>
        <v>1266.4926568542551</v>
      </c>
      <c r="AS209" s="3">
        <f t="shared" si="212"/>
        <v>1875.7334510818746</v>
      </c>
      <c r="AT209" s="3">
        <f t="shared" si="212"/>
        <v>2778.8797538076228</v>
      </c>
      <c r="AU209" s="3">
        <f t="shared" si="212"/>
        <v>4056.9849885019448</v>
      </c>
      <c r="AV209" s="3"/>
      <c r="AX209" s="3"/>
      <c r="AY209" s="3"/>
    </row>
    <row r="210" spans="2:51">
      <c r="I210" s="1" t="s">
        <v>81</v>
      </c>
      <c r="U210" s="13"/>
      <c r="Z210" s="3">
        <f t="shared" ref="Z210:AA210" si="213">+Z207+Z197+Z183</f>
        <v>1276.9929999999999</v>
      </c>
      <c r="AA210" s="3">
        <f t="shared" si="213"/>
        <v>-925.43700000000024</v>
      </c>
      <c r="AB210" s="3">
        <f t="shared" ref="AB210" si="214">+AB207+AB197+AB183</f>
        <v>-184.12299999999973</v>
      </c>
      <c r="AC210" s="3">
        <f t="shared" ref="AC210" si="215">+AC207+AC197+AC183</f>
        <v>16.508999999999304</v>
      </c>
      <c r="AD210" s="3">
        <f t="shared" ref="AD210:AG210" si="216">+AD207+AD197+AD183</f>
        <v>-210.37145886481784</v>
      </c>
      <c r="AE210" s="3">
        <f t="shared" si="216"/>
        <v>98.597016455318965</v>
      </c>
      <c r="AF210" s="3">
        <f t="shared" si="216"/>
        <v>50.785886769734759</v>
      </c>
      <c r="AG210" s="3">
        <f t="shared" si="216"/>
        <v>122.19172174138168</v>
      </c>
      <c r="AK210" s="3">
        <f t="shared" ref="AK210:AU210" si="217">+AK207+AK197+AK183</f>
        <v>242.80199999999996</v>
      </c>
      <c r="AL210" s="3">
        <f t="shared" si="217"/>
        <v>-490.68900000000019</v>
      </c>
      <c r="AM210" s="3">
        <f>+AM207+AM197+AM183</f>
        <v>183.94199999999978</v>
      </c>
      <c r="AN210" s="3">
        <f t="shared" si="217"/>
        <v>61.203166101617626</v>
      </c>
      <c r="AO210" s="3">
        <f>+AO207+AO197+AO183</f>
        <v>262.24437575341449</v>
      </c>
      <c r="AP210" s="3">
        <f t="shared" si="217"/>
        <v>242.44661037725908</v>
      </c>
      <c r="AQ210" s="3">
        <f t="shared" si="217"/>
        <v>366.53550462196438</v>
      </c>
      <c r="AR210" s="3">
        <f t="shared" si="217"/>
        <v>609.2407942276194</v>
      </c>
      <c r="AS210" s="3">
        <f t="shared" si="217"/>
        <v>903.14630272574823</v>
      </c>
      <c r="AT210" s="3">
        <f t="shared" si="217"/>
        <v>1278.1052346943222</v>
      </c>
      <c r="AU210" s="3">
        <f t="shared" si="217"/>
        <v>1676.3542687929889</v>
      </c>
      <c r="AV210" s="3"/>
    </row>
    <row r="211" spans="2:51">
      <c r="I211" s="1" t="s">
        <v>83</v>
      </c>
      <c r="U211" s="13"/>
      <c r="Z211" s="3">
        <f t="shared" ref="Z211:AA211" si="218">+Z209+Z210</f>
        <v>1427.114</v>
      </c>
      <c r="AA211" s="3">
        <f t="shared" si="218"/>
        <v>501.67699999999979</v>
      </c>
      <c r="AB211" s="3">
        <f t="shared" ref="AB211" si="219">+AB209+AB210</f>
        <v>317.55400000000009</v>
      </c>
      <c r="AC211" s="3">
        <f t="shared" ref="AC211" si="220">+AC209+AC210</f>
        <v>334.06299999999942</v>
      </c>
      <c r="AD211" s="3">
        <f t="shared" ref="AD211:AG211" si="221">+AD209+AD210</f>
        <v>123.69154113518158</v>
      </c>
      <c r="AE211" s="3">
        <f t="shared" si="221"/>
        <v>222.28855759050055</v>
      </c>
      <c r="AF211" s="3">
        <f t="shared" si="221"/>
        <v>273.0744443602353</v>
      </c>
      <c r="AG211" s="3">
        <f t="shared" si="221"/>
        <v>395.26616610161699</v>
      </c>
      <c r="AK211" s="3">
        <f t="shared" ref="AK211:AU211" si="222">+AK209+AK210</f>
        <v>640.80999999999995</v>
      </c>
      <c r="AL211" s="3">
        <f t="shared" si="222"/>
        <v>150.12099999999975</v>
      </c>
      <c r="AM211" s="3">
        <f t="shared" si="222"/>
        <v>334.06299999999953</v>
      </c>
      <c r="AN211" s="3">
        <f t="shared" si="222"/>
        <v>395.26616610161716</v>
      </c>
      <c r="AO211" s="3">
        <f t="shared" si="222"/>
        <v>657.51054185503165</v>
      </c>
      <c r="AP211" s="3">
        <f t="shared" si="222"/>
        <v>899.9571522322907</v>
      </c>
      <c r="AQ211" s="3">
        <f t="shared" si="222"/>
        <v>1266.4926568542551</v>
      </c>
      <c r="AR211" s="3">
        <f t="shared" si="222"/>
        <v>1875.7334510818746</v>
      </c>
      <c r="AS211" s="3">
        <f t="shared" si="222"/>
        <v>2778.8797538076228</v>
      </c>
      <c r="AT211" s="3">
        <f t="shared" si="222"/>
        <v>4056.9849885019448</v>
      </c>
      <c r="AU211" s="3">
        <f t="shared" si="222"/>
        <v>5733.3392572949342</v>
      </c>
      <c r="AV211" s="3"/>
    </row>
    <row r="212" spans="2:51">
      <c r="U212" s="13"/>
      <c r="AK212" s="3"/>
      <c r="AL212" s="3"/>
      <c r="AM212" s="3"/>
      <c r="AN212" s="3"/>
      <c r="AO212" s="3"/>
      <c r="AP212" s="3"/>
      <c r="AQ212" s="3"/>
      <c r="AR212" s="3"/>
      <c r="AS212" s="3"/>
      <c r="AT212" s="3"/>
      <c r="AU212" s="3"/>
      <c r="AV212" s="3"/>
    </row>
    <row r="213" spans="2:51">
      <c r="I213" s="11" t="s">
        <v>369</v>
      </c>
      <c r="J213" s="11"/>
      <c r="K213" s="11"/>
      <c r="L213" s="11"/>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c r="AJ213" s="11"/>
      <c r="AK213" s="11"/>
      <c r="AL213" s="11"/>
      <c r="AM213" s="11"/>
      <c r="AN213" s="11"/>
      <c r="AO213" s="11"/>
      <c r="AP213" s="11"/>
      <c r="AQ213" s="11"/>
      <c r="AR213" s="11"/>
      <c r="AS213" s="11"/>
      <c r="AT213" s="11"/>
      <c r="AU213" s="11"/>
      <c r="AV213" s="3"/>
    </row>
    <row r="214" spans="2:51">
      <c r="I214" s="1" t="s">
        <v>58</v>
      </c>
      <c r="U214" s="13"/>
      <c r="Z214" s="3">
        <f t="shared" ref="Z214:AG214" si="223">+Z183</f>
        <v>-154.99700000000007</v>
      </c>
      <c r="AA214" s="3">
        <f t="shared" si="223"/>
        <v>-209.57400000000027</v>
      </c>
      <c r="AB214" s="3">
        <f t="shared" si="223"/>
        <v>-194.01299999999981</v>
      </c>
      <c r="AC214" s="3">
        <f t="shared" si="223"/>
        <v>-176.08300000000014</v>
      </c>
      <c r="AD214" s="3">
        <f t="shared" si="223"/>
        <v>-388.87845886481784</v>
      </c>
      <c r="AE214" s="3">
        <f t="shared" si="223"/>
        <v>-178.53798354468103</v>
      </c>
      <c r="AF214" s="3">
        <f t="shared" si="223"/>
        <v>-219.76611323026526</v>
      </c>
      <c r="AG214" s="3">
        <f t="shared" si="223"/>
        <v>-203.09627825861833</v>
      </c>
      <c r="AK214" s="3">
        <f>+AK183</f>
        <v>-306.62200000000001</v>
      </c>
      <c r="AL214" s="3">
        <f t="shared" ref="AL214:AU214" si="224">+AL183</f>
        <v>-611.245</v>
      </c>
      <c r="AM214" s="3">
        <f t="shared" si="224"/>
        <v>-734.66700000000037</v>
      </c>
      <c r="AN214" s="3">
        <f t="shared" si="224"/>
        <v>-990.27883389838235</v>
      </c>
      <c r="AO214" s="3">
        <f>+AO183</f>
        <v>-76.237624246585483</v>
      </c>
      <c r="AP214" s="3">
        <f t="shared" si="224"/>
        <v>365.96461037725908</v>
      </c>
      <c r="AQ214" s="3">
        <f t="shared" si="224"/>
        <v>501.05350462196441</v>
      </c>
      <c r="AR214" s="3">
        <f t="shared" si="224"/>
        <v>754.75879422761943</v>
      </c>
      <c r="AS214" s="3">
        <f t="shared" si="224"/>
        <v>1057.6643027257483</v>
      </c>
      <c r="AT214" s="3">
        <f t="shared" si="224"/>
        <v>1440.6232346943223</v>
      </c>
      <c r="AU214" s="3">
        <f t="shared" si="224"/>
        <v>1845.872268792989</v>
      </c>
      <c r="AV214" s="3"/>
    </row>
    <row r="215" spans="2:51" s="339" customFormat="1">
      <c r="B215"/>
      <c r="C215"/>
      <c r="D215"/>
      <c r="E215"/>
      <c r="F215"/>
      <c r="G215"/>
      <c r="I215" s="339" t="s">
        <v>342</v>
      </c>
      <c r="U215" s="562"/>
      <c r="Z215" s="343">
        <f t="shared" ref="Z215:AG215" si="225">+Z233</f>
        <v>17.992999999999999</v>
      </c>
      <c r="AA215" s="343">
        <f t="shared" si="225"/>
        <v>19.364999999999998</v>
      </c>
      <c r="AB215" s="343">
        <f t="shared" si="225"/>
        <v>25.948000000000004</v>
      </c>
      <c r="AC215" s="343">
        <f t="shared" si="225"/>
        <v>21.212</v>
      </c>
      <c r="AD215" s="343">
        <f t="shared" si="225"/>
        <v>21.492999999999999</v>
      </c>
      <c r="AE215" s="343">
        <f t="shared" si="225"/>
        <v>22.864999999999998</v>
      </c>
      <c r="AF215" s="343">
        <f t="shared" si="225"/>
        <v>29.448000000000004</v>
      </c>
      <c r="AG215" s="343">
        <f t="shared" si="225"/>
        <v>24.712</v>
      </c>
      <c r="AK215" s="343">
        <f>+AK233</f>
        <v>19.205000000000002</v>
      </c>
      <c r="AL215" s="343">
        <f t="shared" ref="AL215:AU215" si="226">+AL233</f>
        <v>66.640999999999991</v>
      </c>
      <c r="AM215" s="343">
        <f t="shared" si="226"/>
        <v>84.518000000000001</v>
      </c>
      <c r="AN215" s="343">
        <f t="shared" si="226"/>
        <v>98.518000000000001</v>
      </c>
      <c r="AO215" s="343">
        <f t="shared" si="226"/>
        <v>111.518</v>
      </c>
      <c r="AP215" s="343">
        <f t="shared" si="226"/>
        <v>123.518</v>
      </c>
      <c r="AQ215" s="343">
        <f t="shared" si="226"/>
        <v>134.518</v>
      </c>
      <c r="AR215" s="343">
        <f t="shared" si="226"/>
        <v>145.518</v>
      </c>
      <c r="AS215" s="343">
        <f t="shared" si="226"/>
        <v>154.518</v>
      </c>
      <c r="AT215" s="343">
        <f t="shared" si="226"/>
        <v>162.518</v>
      </c>
      <c r="AU215" s="343">
        <f t="shared" si="226"/>
        <v>169.518</v>
      </c>
      <c r="AV215" s="343"/>
    </row>
    <row r="216" spans="2:51" s="7" customFormat="1">
      <c r="B216"/>
      <c r="C216"/>
      <c r="D216"/>
      <c r="E216"/>
      <c r="F216"/>
      <c r="G216"/>
      <c r="I216" s="7" t="s">
        <v>370</v>
      </c>
      <c r="U216" s="238"/>
      <c r="Z216" s="9">
        <f t="shared" ref="Z216:AG216" si="227">+Z214-Z215</f>
        <v>-172.99000000000007</v>
      </c>
      <c r="AA216" s="9">
        <f t="shared" si="227"/>
        <v>-228.93900000000028</v>
      </c>
      <c r="AB216" s="9">
        <f t="shared" si="227"/>
        <v>-219.96099999999981</v>
      </c>
      <c r="AC216" s="9">
        <f t="shared" si="227"/>
        <v>-197.29500000000013</v>
      </c>
      <c r="AD216" s="9">
        <f t="shared" si="227"/>
        <v>-410.37145886481784</v>
      </c>
      <c r="AE216" s="9">
        <f t="shared" si="227"/>
        <v>-201.40298354468104</v>
      </c>
      <c r="AF216" s="9">
        <f t="shared" si="227"/>
        <v>-249.21411323026527</v>
      </c>
      <c r="AG216" s="9">
        <f t="shared" si="227"/>
        <v>-227.80827825861832</v>
      </c>
      <c r="AK216" s="9">
        <f>+AK214-AK215</f>
        <v>-325.827</v>
      </c>
      <c r="AL216" s="9">
        <f t="shared" ref="AL216:AU216" si="228">+AL214-AL215</f>
        <v>-677.88599999999997</v>
      </c>
      <c r="AM216" s="9">
        <f t="shared" si="228"/>
        <v>-819.1850000000004</v>
      </c>
      <c r="AN216" s="9">
        <f t="shared" si="228"/>
        <v>-1088.7968338983824</v>
      </c>
      <c r="AO216" s="9">
        <f t="shared" si="228"/>
        <v>-187.75562424658548</v>
      </c>
      <c r="AP216" s="9">
        <f t="shared" si="228"/>
        <v>242.44661037725908</v>
      </c>
      <c r="AQ216" s="9">
        <f t="shared" si="228"/>
        <v>366.53550462196438</v>
      </c>
      <c r="AR216" s="9">
        <f t="shared" si="228"/>
        <v>609.2407942276194</v>
      </c>
      <c r="AS216" s="9">
        <f t="shared" si="228"/>
        <v>903.14630272574823</v>
      </c>
      <c r="AT216" s="9">
        <f t="shared" si="228"/>
        <v>1278.1052346943222</v>
      </c>
      <c r="AU216" s="9">
        <f t="shared" si="228"/>
        <v>1676.3542687929889</v>
      </c>
      <c r="AV216" s="9"/>
    </row>
    <row r="217" spans="2:51">
      <c r="I217" s="14" t="s">
        <v>227</v>
      </c>
      <c r="U217" s="13"/>
      <c r="Z217" s="3"/>
      <c r="AA217" s="3"/>
      <c r="AB217" s="3"/>
      <c r="AC217" s="3"/>
      <c r="AD217" s="3"/>
      <c r="AE217" s="3"/>
      <c r="AF217" s="3"/>
      <c r="AG217" s="3"/>
      <c r="AK217" s="3"/>
      <c r="AL217" s="3"/>
      <c r="AM217" s="3"/>
      <c r="AN217" s="3"/>
      <c r="AO217" s="3"/>
      <c r="AP217" s="3"/>
      <c r="AQ217" s="3"/>
      <c r="AR217" s="5"/>
      <c r="AS217" s="5"/>
      <c r="AT217" s="5"/>
      <c r="AU217" s="5"/>
      <c r="AV217" s="3"/>
    </row>
    <row r="218" spans="2:51">
      <c r="I218" s="1" t="s">
        <v>371</v>
      </c>
      <c r="U218" s="13"/>
      <c r="Z218" s="188">
        <f t="shared" ref="Z218:AG218" si="229">+Z216/Z6</f>
        <v>-1.155979364909655</v>
      </c>
      <c r="AA218" s="188">
        <f t="shared" si="229"/>
        <v>-1.2601846194494459</v>
      </c>
      <c r="AB218" s="188">
        <f t="shared" si="229"/>
        <v>-1.0578252066731741</v>
      </c>
      <c r="AC218" s="188">
        <f t="shared" si="229"/>
        <v>-0.69058394850416405</v>
      </c>
      <c r="AD218" s="188">
        <f t="shared" si="229"/>
        <v>-1.6480781480514772</v>
      </c>
      <c r="AE218" s="188">
        <f t="shared" si="229"/>
        <v>-0.68272197811756286</v>
      </c>
      <c r="AF218" s="188">
        <f t="shared" si="229"/>
        <v>-0.73083317662834391</v>
      </c>
      <c r="AG218" s="188">
        <f t="shared" si="229"/>
        <v>-0.53226233237994935</v>
      </c>
      <c r="AK218" s="3"/>
      <c r="AL218" s="188">
        <f t="shared" ref="AL218:AU218" si="230">+AL216/AL6</f>
        <v>-1.6759361356005953</v>
      </c>
      <c r="AM218" s="188">
        <f t="shared" si="230"/>
        <v>-0.99301290140360243</v>
      </c>
      <c r="AN218" s="188">
        <f t="shared" si="230"/>
        <v>-0.82924359017393934</v>
      </c>
      <c r="AO218" s="188">
        <f t="shared" si="230"/>
        <v>-9.5338164394316249E-2</v>
      </c>
      <c r="AP218" s="188">
        <f t="shared" si="230"/>
        <v>8.6437472493238243E-2</v>
      </c>
      <c r="AQ218" s="188">
        <f t="shared" si="230"/>
        <v>9.6129698465494948E-2</v>
      </c>
      <c r="AR218" s="188">
        <f t="shared" si="230"/>
        <v>0.12273282335586093</v>
      </c>
      <c r="AS218" s="188">
        <f t="shared" si="230"/>
        <v>0.14652979171473646</v>
      </c>
      <c r="AT218" s="188">
        <f t="shared" si="230"/>
        <v>0.17375293789470933</v>
      </c>
      <c r="AU218" s="188">
        <f t="shared" si="230"/>
        <v>0.19616512383315954</v>
      </c>
      <c r="AV218" s="3"/>
    </row>
    <row r="219" spans="2:51">
      <c r="U219" s="13"/>
      <c r="AK219" s="3"/>
      <c r="AL219" s="3"/>
      <c r="AM219" s="3"/>
      <c r="AN219" s="3"/>
      <c r="AO219" s="3"/>
      <c r="AP219" s="3"/>
      <c r="AQ219" s="3"/>
      <c r="AR219" s="3"/>
      <c r="AS219" s="3"/>
      <c r="AT219" s="3"/>
      <c r="AU219" s="3"/>
      <c r="AV219" s="3"/>
    </row>
    <row r="220" spans="2:51">
      <c r="U220" s="13"/>
    </row>
    <row r="221" spans="2:51">
      <c r="I221" s="11" t="s">
        <v>130</v>
      </c>
      <c r="J221" s="11"/>
      <c r="K221" s="11"/>
      <c r="L221" s="11"/>
      <c r="M221" s="11"/>
      <c r="N221" s="11"/>
      <c r="O221" s="11"/>
      <c r="P221" s="11"/>
      <c r="Q221" s="11"/>
      <c r="R221" s="11"/>
      <c r="S221" s="11"/>
      <c r="T221" s="11"/>
      <c r="U221" s="11"/>
      <c r="V221" s="11"/>
      <c r="W221" s="11"/>
      <c r="X221" s="11"/>
      <c r="Y221" s="11"/>
      <c r="Z221" s="11"/>
      <c r="AA221" s="11"/>
      <c r="AB221" s="11"/>
      <c r="AC221" s="11"/>
      <c r="AD221" s="11"/>
      <c r="AE221" s="11"/>
      <c r="AF221" s="11"/>
      <c r="AG221" s="11"/>
      <c r="AH221" s="11"/>
      <c r="AI221" s="11"/>
      <c r="AJ221" s="11"/>
      <c r="AK221" s="11"/>
      <c r="AL221" s="11"/>
      <c r="AM221" s="11"/>
      <c r="AN221" s="11"/>
      <c r="AO221" s="11"/>
      <c r="AP221" s="11"/>
      <c r="AQ221" s="11"/>
      <c r="AR221" s="11"/>
      <c r="AS221" s="11"/>
      <c r="AT221" s="11"/>
      <c r="AU221" s="11"/>
      <c r="AV221" s="11"/>
    </row>
    <row r="222" spans="2:51">
      <c r="I222" s="1" t="s">
        <v>26</v>
      </c>
      <c r="R222" s="3">
        <f t="shared" ref="R222:AG222" si="231">+R31</f>
        <v>0.19400000000000001</v>
      </c>
      <c r="S222" s="3">
        <f t="shared" si="231"/>
        <v>0.33200000000000002</v>
      </c>
      <c r="T222" s="3">
        <f t="shared" si="231"/>
        <v>0.47499999999999998</v>
      </c>
      <c r="U222" s="3">
        <f t="shared" si="231"/>
        <v>0.39800000000000002</v>
      </c>
      <c r="V222" s="3">
        <f t="shared" si="231"/>
        <v>0.35899999999999999</v>
      </c>
      <c r="W222" s="3">
        <f t="shared" si="231"/>
        <v>0.874</v>
      </c>
      <c r="X222" s="3">
        <f t="shared" si="231"/>
        <v>1.9379999999999999</v>
      </c>
      <c r="Y222" s="3">
        <f t="shared" si="231"/>
        <v>1.486</v>
      </c>
      <c r="Z222" s="3">
        <f t="shared" si="231"/>
        <v>2.4239999999999999</v>
      </c>
      <c r="AA222" s="3">
        <f t="shared" si="231"/>
        <v>6.3490000000000002</v>
      </c>
      <c r="AB222" s="3">
        <f t="shared" si="231"/>
        <v>6.2530000000000001</v>
      </c>
      <c r="AC222" s="3">
        <f t="shared" si="231"/>
        <v>6.07</v>
      </c>
      <c r="AD222" s="3">
        <f t="shared" si="231"/>
        <v>1.25</v>
      </c>
      <c r="AE222" s="3">
        <f t="shared" si="231"/>
        <v>1.25</v>
      </c>
      <c r="AF222" s="3">
        <f t="shared" si="231"/>
        <v>1.25</v>
      </c>
      <c r="AG222" s="3">
        <f t="shared" si="231"/>
        <v>1.25</v>
      </c>
      <c r="AK222" s="3">
        <f>SUM(R222:U222)</f>
        <v>1.399</v>
      </c>
      <c r="AL222" s="3">
        <f>SUM(V222:Y222)</f>
        <v>4.657</v>
      </c>
      <c r="AM222" s="3">
        <f>SUM(Z222:AC222)</f>
        <v>21.096</v>
      </c>
      <c r="AN222" s="3">
        <f>SUM(AD222:AG222)</f>
        <v>5</v>
      </c>
      <c r="AO222" s="208">
        <f t="shared" ref="AO222:AU222" si="232">+AN222</f>
        <v>5</v>
      </c>
      <c r="AP222" s="208">
        <f t="shared" si="232"/>
        <v>5</v>
      </c>
      <c r="AQ222" s="208">
        <f t="shared" si="232"/>
        <v>5</v>
      </c>
      <c r="AR222" s="208">
        <f t="shared" si="232"/>
        <v>5</v>
      </c>
      <c r="AS222" s="208">
        <f t="shared" si="232"/>
        <v>5</v>
      </c>
      <c r="AT222" s="208">
        <f t="shared" si="232"/>
        <v>5</v>
      </c>
      <c r="AU222" s="208">
        <f t="shared" si="232"/>
        <v>5</v>
      </c>
      <c r="AV222" s="3"/>
    </row>
    <row r="223" spans="2:51">
      <c r="I223" s="1" t="s">
        <v>131</v>
      </c>
      <c r="W223" s="5"/>
      <c r="X223" s="5"/>
      <c r="Y223" s="5"/>
      <c r="Z223" s="117"/>
      <c r="AA223" s="117"/>
      <c r="AB223" s="117"/>
      <c r="AC223" s="117"/>
      <c r="AD223" s="117"/>
      <c r="AE223" s="117"/>
      <c r="AF223" s="117"/>
      <c r="AG223" s="117"/>
      <c r="AK223" s="5"/>
      <c r="AL223" s="5">
        <f t="shared" ref="AL223:AU223" si="233">AL222/SUM(AL116:AL117)</f>
        <v>4.7165798364946004E-3</v>
      </c>
      <c r="AM223" s="5">
        <f t="shared" si="233"/>
        <v>1.0325794074415612E-2</v>
      </c>
      <c r="AN223" s="5">
        <f t="shared" si="233"/>
        <v>5.2397600709960142E-3</v>
      </c>
      <c r="AO223" s="5">
        <f t="shared" si="233"/>
        <v>6.5232717431660623E-3</v>
      </c>
      <c r="AP223" s="5">
        <f t="shared" si="233"/>
        <v>4.9557297120600809E-3</v>
      </c>
      <c r="AQ223" s="5">
        <f t="shared" si="233"/>
        <v>3.6351246355807005E-3</v>
      </c>
      <c r="AR223" s="5">
        <f t="shared" si="233"/>
        <v>2.5192604374783805E-3</v>
      </c>
      <c r="AS223" s="5">
        <f t="shared" si="233"/>
        <v>1.7313884162695888E-3</v>
      </c>
      <c r="AT223" s="5">
        <f t="shared" si="233"/>
        <v>1.2002032697377635E-3</v>
      </c>
      <c r="AU223" s="5">
        <f t="shared" si="233"/>
        <v>8.5582509327219406E-4</v>
      </c>
    </row>
    <row r="225" spans="2:47">
      <c r="I225" s="1" t="s">
        <v>209</v>
      </c>
      <c r="Q225" s="102"/>
      <c r="R225" s="3">
        <f t="shared" ref="R225:AG225" si="234">R32</f>
        <v>0</v>
      </c>
      <c r="S225" s="3">
        <f t="shared" si="234"/>
        <v>0</v>
      </c>
      <c r="T225" s="3">
        <f t="shared" si="234"/>
        <v>0</v>
      </c>
      <c r="U225" s="3">
        <f t="shared" si="234"/>
        <v>0</v>
      </c>
      <c r="V225" s="3">
        <f t="shared" si="234"/>
        <v>0</v>
      </c>
      <c r="W225" s="3">
        <f t="shared" si="234"/>
        <v>0</v>
      </c>
      <c r="X225" s="3">
        <f t="shared" si="234"/>
        <v>-0.64800000000000002</v>
      </c>
      <c r="Y225" s="3">
        <f t="shared" si="234"/>
        <v>-0.77600000000000002</v>
      </c>
      <c r="Z225" s="3">
        <f t="shared" si="234"/>
        <v>-0.69499999999999995</v>
      </c>
      <c r="AA225" s="3">
        <f t="shared" si="234"/>
        <v>-0.998</v>
      </c>
      <c r="AB225" s="3">
        <f t="shared" si="234"/>
        <v>-0.88700000000000001</v>
      </c>
      <c r="AC225" s="3">
        <f t="shared" si="234"/>
        <v>-0.876</v>
      </c>
      <c r="AD225" s="3">
        <f t="shared" si="234"/>
        <v>-0.7</v>
      </c>
      <c r="AE225" s="3">
        <f t="shared" si="234"/>
        <v>-0.7</v>
      </c>
      <c r="AF225" s="3">
        <f t="shared" si="234"/>
        <v>-0.7</v>
      </c>
      <c r="AG225" s="3">
        <f t="shared" si="234"/>
        <v>-0.7</v>
      </c>
      <c r="AK225" s="3">
        <f>+AK32</f>
        <v>0</v>
      </c>
      <c r="AL225" s="3">
        <f>-AL32</f>
        <v>1.4239999999999999</v>
      </c>
      <c r="AM225" s="3">
        <f>-AM32</f>
        <v>3.456</v>
      </c>
      <c r="AN225" s="3">
        <f>-AN32</f>
        <v>2.8</v>
      </c>
      <c r="AO225" s="3">
        <f t="shared" ref="AO225:AU225" si="235">+AO226*AO134</f>
        <v>4.97898</v>
      </c>
      <c r="AP225" s="3">
        <f t="shared" si="235"/>
        <v>4.97898</v>
      </c>
      <c r="AQ225" s="3">
        <f t="shared" si="235"/>
        <v>4.97898</v>
      </c>
      <c r="AR225" s="3">
        <f t="shared" si="235"/>
        <v>4.97898</v>
      </c>
      <c r="AS225" s="3">
        <f t="shared" si="235"/>
        <v>4.97898</v>
      </c>
      <c r="AT225" s="3">
        <f t="shared" si="235"/>
        <v>4.97898</v>
      </c>
      <c r="AU225" s="3">
        <f t="shared" si="235"/>
        <v>4.97898</v>
      </c>
    </row>
    <row r="226" spans="2:47">
      <c r="I226" s="1" t="s">
        <v>243</v>
      </c>
      <c r="AL226" s="5">
        <f>+AL225/AL134</f>
        <v>3.0211736750541011E-2</v>
      </c>
      <c r="AM226" s="5">
        <f>+AM225/AM134</f>
        <v>4.1647084342576191E-2</v>
      </c>
      <c r="AN226" s="5">
        <f>+AN225/AN134</f>
        <v>3.3741850740513113E-2</v>
      </c>
      <c r="AO226" s="147">
        <v>0.06</v>
      </c>
      <c r="AP226" s="147">
        <f t="shared" ref="AP226:AU226" si="236">+AO226</f>
        <v>0.06</v>
      </c>
      <c r="AQ226" s="147">
        <f t="shared" si="236"/>
        <v>0.06</v>
      </c>
      <c r="AR226" s="147">
        <f t="shared" si="236"/>
        <v>0.06</v>
      </c>
      <c r="AS226" s="147">
        <f t="shared" si="236"/>
        <v>0.06</v>
      </c>
      <c r="AT226" s="147">
        <f t="shared" si="236"/>
        <v>0.06</v>
      </c>
      <c r="AU226" s="147">
        <f t="shared" si="236"/>
        <v>0.06</v>
      </c>
    </row>
    <row r="228" spans="2:47">
      <c r="I228" s="1" t="s">
        <v>186</v>
      </c>
      <c r="AK228" s="3">
        <f>+AK222-AK225</f>
        <v>1.399</v>
      </c>
      <c r="AL228" s="3">
        <f>+AL222-AL225</f>
        <v>3.2330000000000001</v>
      </c>
      <c r="AM228" s="3">
        <f t="shared" ref="AM228:AU228" si="237">+AM222-AM225</f>
        <v>17.64</v>
      </c>
      <c r="AN228" s="3">
        <f t="shared" si="237"/>
        <v>2.2000000000000002</v>
      </c>
      <c r="AO228" s="3">
        <f t="shared" si="237"/>
        <v>2.1020000000000039E-2</v>
      </c>
      <c r="AP228" s="3">
        <f t="shared" si="237"/>
        <v>2.1020000000000039E-2</v>
      </c>
      <c r="AQ228" s="3">
        <f t="shared" si="237"/>
        <v>2.1020000000000039E-2</v>
      </c>
      <c r="AR228" s="3">
        <f t="shared" si="237"/>
        <v>2.1020000000000039E-2</v>
      </c>
      <c r="AS228" s="3">
        <f t="shared" si="237"/>
        <v>2.1020000000000039E-2</v>
      </c>
      <c r="AT228" s="3">
        <f t="shared" si="237"/>
        <v>2.1020000000000039E-2</v>
      </c>
      <c r="AU228" s="3">
        <f t="shared" si="237"/>
        <v>2.1020000000000039E-2</v>
      </c>
    </row>
    <row r="229" spans="2:47">
      <c r="AK229" s="5">
        <f t="shared" ref="AK229:AU229" si="238">AK228/SUM(AK116:AK117)</f>
        <v>2.1831744198748462E-3</v>
      </c>
      <c r="AL229" s="5">
        <f t="shared" si="238"/>
        <v>3.2743617374676923E-3</v>
      </c>
      <c r="AM229" s="5">
        <f t="shared" si="238"/>
        <v>8.6341964103475253E-3</v>
      </c>
      <c r="AN229" s="5">
        <f t="shared" si="238"/>
        <v>2.3054944312382464E-3</v>
      </c>
      <c r="AO229" s="5">
        <f t="shared" si="238"/>
        <v>2.7423834408270175E-5</v>
      </c>
      <c r="AP229" s="5">
        <f t="shared" si="238"/>
        <v>2.0833887709500616E-5</v>
      </c>
      <c r="AQ229" s="5">
        <f t="shared" si="238"/>
        <v>1.5282063967981293E-5</v>
      </c>
      <c r="AR229" s="5">
        <f t="shared" si="238"/>
        <v>1.059097087915913E-5</v>
      </c>
      <c r="AS229" s="5">
        <f t="shared" si="238"/>
        <v>7.2787569019973651E-6</v>
      </c>
      <c r="AT229" s="5">
        <f t="shared" si="238"/>
        <v>5.0456545459775671E-6</v>
      </c>
      <c r="AU229" s="5">
        <f t="shared" si="238"/>
        <v>3.5978886921163103E-6</v>
      </c>
    </row>
    <row r="231" spans="2:47">
      <c r="I231" s="1" t="s">
        <v>187</v>
      </c>
      <c r="Z231" s="3"/>
    </row>
    <row r="232" spans="2:47">
      <c r="Z232" s="3"/>
      <c r="AA232" s="3"/>
      <c r="AB232" s="3"/>
      <c r="AC232" s="3"/>
      <c r="AD232" s="3"/>
      <c r="AE232" s="3"/>
    </row>
    <row r="233" spans="2:47" s="7" customFormat="1">
      <c r="B233"/>
      <c r="C233"/>
      <c r="D233"/>
      <c r="E233"/>
      <c r="F233"/>
      <c r="G233"/>
      <c r="I233" s="7" t="s">
        <v>188</v>
      </c>
      <c r="R233" s="9">
        <f t="shared" ref="R233:AA233" si="239">-R186</f>
        <v>1.5680000000000001</v>
      </c>
      <c r="S233" s="9">
        <f t="shared" si="239"/>
        <v>8.4730000000000008</v>
      </c>
      <c r="T233" s="9">
        <f t="shared" si="239"/>
        <v>4.3520000000000003</v>
      </c>
      <c r="U233" s="9">
        <f t="shared" si="239"/>
        <v>4.8120000000000003</v>
      </c>
      <c r="V233" s="9">
        <f t="shared" si="239"/>
        <v>12.452</v>
      </c>
      <c r="W233" s="9">
        <f t="shared" si="239"/>
        <v>16.420999999999999</v>
      </c>
      <c r="X233" s="9">
        <f t="shared" si="239"/>
        <v>17.192</v>
      </c>
      <c r="Y233" s="9">
        <f t="shared" si="239"/>
        <v>20.576000000000001</v>
      </c>
      <c r="Z233" s="9">
        <f t="shared" si="239"/>
        <v>17.992999999999999</v>
      </c>
      <c r="AA233" s="9">
        <f t="shared" si="239"/>
        <v>19.364999999999998</v>
      </c>
      <c r="AB233" s="9">
        <f t="shared" ref="AB233:AC233" si="240">-AB186</f>
        <v>25.948000000000004</v>
      </c>
      <c r="AC233" s="9">
        <f t="shared" si="240"/>
        <v>21.212</v>
      </c>
      <c r="AD233" s="9">
        <f t="shared" ref="AD233:AG233" si="241">+Z233+AD236</f>
        <v>21.492999999999999</v>
      </c>
      <c r="AE233" s="9">
        <f t="shared" si="241"/>
        <v>22.864999999999998</v>
      </c>
      <c r="AF233" s="9">
        <f t="shared" si="241"/>
        <v>29.448000000000004</v>
      </c>
      <c r="AG233" s="9">
        <f t="shared" si="241"/>
        <v>24.712</v>
      </c>
      <c r="AJ233" s="298"/>
      <c r="AK233" s="9">
        <f>SUM(R233:U233)</f>
        <v>19.205000000000002</v>
      </c>
      <c r="AL233" s="9">
        <f>SUM(V233:Y233)</f>
        <v>66.640999999999991</v>
      </c>
      <c r="AM233" s="9">
        <f>SUM(Z233:AC233)</f>
        <v>84.518000000000001</v>
      </c>
      <c r="AN233" s="9">
        <f>SUM(AD233:AG233)</f>
        <v>98.518000000000001</v>
      </c>
      <c r="AO233" s="9">
        <f t="shared" ref="AO233:AU233" si="242">+AN233+AO236</f>
        <v>111.518</v>
      </c>
      <c r="AP233" s="9">
        <f t="shared" si="242"/>
        <v>123.518</v>
      </c>
      <c r="AQ233" s="9">
        <f t="shared" si="242"/>
        <v>134.518</v>
      </c>
      <c r="AR233" s="9">
        <f t="shared" si="242"/>
        <v>145.518</v>
      </c>
      <c r="AS233" s="9">
        <f t="shared" si="242"/>
        <v>154.518</v>
      </c>
      <c r="AT233" s="9">
        <f t="shared" si="242"/>
        <v>162.518</v>
      </c>
      <c r="AU233" s="9">
        <f t="shared" si="242"/>
        <v>169.518</v>
      </c>
    </row>
    <row r="234" spans="2:47">
      <c r="I234" s="1" t="s">
        <v>18</v>
      </c>
      <c r="R234" s="5">
        <f t="shared" ref="R234:AG234" si="243">R233/R6</f>
        <v>0.4</v>
      </c>
      <c r="S234" s="5">
        <f t="shared" si="243"/>
        <v>1.598679245283019</v>
      </c>
      <c r="T234" s="5">
        <f t="shared" si="243"/>
        <v>0.26020926756352764</v>
      </c>
      <c r="U234" s="5">
        <f t="shared" si="243"/>
        <v>0.1470750045846323</v>
      </c>
      <c r="V234" s="5">
        <f t="shared" si="243"/>
        <v>0.32094437857621527</v>
      </c>
      <c r="W234" s="5">
        <f t="shared" si="243"/>
        <v>0.22871110615894591</v>
      </c>
      <c r="X234" s="5">
        <f t="shared" si="243"/>
        <v>0.13409878006926459</v>
      </c>
      <c r="Y234" s="5">
        <f t="shared" si="243"/>
        <v>0.12418971282336043</v>
      </c>
      <c r="Z234" s="5">
        <f t="shared" si="243"/>
        <v>0.12023548594033999</v>
      </c>
      <c r="AA234" s="5">
        <f t="shared" si="243"/>
        <v>0.10659378767111977</v>
      </c>
      <c r="AB234" s="5">
        <f t="shared" si="243"/>
        <v>0.12478779630368815</v>
      </c>
      <c r="AC234" s="5">
        <f t="shared" si="243"/>
        <v>7.4247531441092363E-2</v>
      </c>
      <c r="AD234" s="5">
        <f t="shared" si="243"/>
        <v>8.6317269076305214E-2</v>
      </c>
      <c r="AE234" s="5">
        <f t="shared" si="243"/>
        <v>7.7508474576271177E-2</v>
      </c>
      <c r="AF234" s="5">
        <f t="shared" si="243"/>
        <v>8.6357771260997085E-2</v>
      </c>
      <c r="AG234" s="5">
        <f t="shared" si="243"/>
        <v>5.7738317757009348E-2</v>
      </c>
      <c r="AH234" s="149"/>
      <c r="AK234" s="5">
        <f t="shared" ref="AK234:AU234" si="244">AK233/AK6</f>
        <v>0.32737841569643561</v>
      </c>
      <c r="AL234" s="5">
        <f t="shared" si="244"/>
        <v>0.16475640448771514</v>
      </c>
      <c r="AM234" s="5">
        <f t="shared" si="244"/>
        <v>0.10245239402678227</v>
      </c>
      <c r="AN234" s="5">
        <f t="shared" si="244"/>
        <v>7.5032749428789028E-2</v>
      </c>
      <c r="AO234" s="5">
        <f t="shared" si="244"/>
        <v>5.6626380485743089E-2</v>
      </c>
      <c r="AP234" s="5">
        <f t="shared" si="244"/>
        <v>4.4036844692555206E-2</v>
      </c>
      <c r="AQ234" s="5">
        <f t="shared" si="244"/>
        <v>3.5279460284531897E-2</v>
      </c>
      <c r="AR234" s="5">
        <f t="shared" si="244"/>
        <v>2.9314903332664115E-2</v>
      </c>
      <c r="AS234" s="5">
        <f t="shared" si="244"/>
        <v>2.5069570996243143E-2</v>
      </c>
      <c r="AT234" s="5">
        <f t="shared" si="244"/>
        <v>2.2093626717306969E-2</v>
      </c>
      <c r="AU234" s="5">
        <f t="shared" si="244"/>
        <v>1.9836809009287033E-2</v>
      </c>
    </row>
    <row r="235" spans="2:47" s="105" customFormat="1">
      <c r="B235"/>
      <c r="C235"/>
      <c r="D235"/>
      <c r="E235"/>
      <c r="F235"/>
      <c r="G235"/>
      <c r="I235" s="105" t="s">
        <v>1</v>
      </c>
      <c r="R235" s="116"/>
      <c r="S235" s="116"/>
      <c r="T235" s="116"/>
      <c r="U235" s="116"/>
      <c r="V235" s="116">
        <f>+V233/R233-1</f>
        <v>6.9413265306122449</v>
      </c>
      <c r="W235" s="116">
        <f t="shared" ref="W235:AG235" si="245">+W233/S233-1</f>
        <v>0.93803847515637884</v>
      </c>
      <c r="X235" s="116">
        <f t="shared" si="245"/>
        <v>2.9503676470588234</v>
      </c>
      <c r="Y235" s="116">
        <f t="shared" si="245"/>
        <v>3.2759767248545302</v>
      </c>
      <c r="Z235" s="116">
        <f t="shared" si="245"/>
        <v>0.44498875682621253</v>
      </c>
      <c r="AA235" s="116">
        <f t="shared" si="245"/>
        <v>0.1792826259058522</v>
      </c>
      <c r="AB235" s="116">
        <f t="shared" si="245"/>
        <v>0.50930665425779464</v>
      </c>
      <c r="AC235" s="116">
        <f t="shared" si="245"/>
        <v>3.0909797822705976E-2</v>
      </c>
      <c r="AD235" s="116">
        <f t="shared" si="245"/>
        <v>0.19452009114655699</v>
      </c>
      <c r="AE235" s="116">
        <f t="shared" si="245"/>
        <v>0.18073844564936747</v>
      </c>
      <c r="AF235" s="116">
        <f t="shared" si="245"/>
        <v>0.13488515492523501</v>
      </c>
      <c r="AG235" s="116">
        <f t="shared" si="245"/>
        <v>0.16500094286253075</v>
      </c>
      <c r="AH235" s="149"/>
      <c r="AK235" s="116"/>
      <c r="AL235" s="116">
        <f t="shared" ref="AL235:AU235" si="246">+AL233/AK233-1</f>
        <v>2.4699817755792752</v>
      </c>
      <c r="AM235" s="116">
        <f t="shared" si="246"/>
        <v>0.26825827943758362</v>
      </c>
      <c r="AN235" s="116">
        <f t="shared" si="246"/>
        <v>0.16564518800728845</v>
      </c>
      <c r="AO235" s="116">
        <f t="shared" si="246"/>
        <v>0.13195558172110688</v>
      </c>
      <c r="AP235" s="116">
        <f t="shared" si="246"/>
        <v>0.10760594702200543</v>
      </c>
      <c r="AQ235" s="116">
        <f t="shared" si="246"/>
        <v>8.9055846111497861E-2</v>
      </c>
      <c r="AR235" s="116">
        <f t="shared" si="246"/>
        <v>8.1773442959306664E-2</v>
      </c>
      <c r="AS235" s="116">
        <f t="shared" si="246"/>
        <v>6.1848018801797799E-2</v>
      </c>
      <c r="AT235" s="116">
        <f t="shared" si="246"/>
        <v>5.1773903364009444E-2</v>
      </c>
      <c r="AU235" s="116">
        <f t="shared" si="246"/>
        <v>4.3072152007777698E-2</v>
      </c>
    </row>
    <row r="236" spans="2:47" s="105" customFormat="1">
      <c r="B236"/>
      <c r="C236"/>
      <c r="D236"/>
      <c r="E236"/>
      <c r="F236"/>
      <c r="G236"/>
      <c r="I236" s="105" t="s">
        <v>23</v>
      </c>
      <c r="R236" s="116"/>
      <c r="S236" s="116"/>
      <c r="T236" s="116"/>
      <c r="U236" s="116"/>
      <c r="V236" s="208">
        <f t="shared" ref="V236:AC236" si="247">+V233-R233</f>
        <v>10.884</v>
      </c>
      <c r="W236" s="208">
        <f t="shared" si="247"/>
        <v>7.9479999999999986</v>
      </c>
      <c r="X236" s="208">
        <f t="shared" si="247"/>
        <v>12.84</v>
      </c>
      <c r="Y236" s="208">
        <f t="shared" si="247"/>
        <v>15.763999999999999</v>
      </c>
      <c r="Z236" s="208">
        <f t="shared" si="247"/>
        <v>5.5409999999999986</v>
      </c>
      <c r="AA236" s="208">
        <f t="shared" si="247"/>
        <v>2.9439999999999991</v>
      </c>
      <c r="AB236" s="208">
        <f t="shared" si="247"/>
        <v>8.7560000000000038</v>
      </c>
      <c r="AC236" s="208">
        <f t="shared" si="247"/>
        <v>0.63599999999999923</v>
      </c>
      <c r="AD236" s="88">
        <v>3.5</v>
      </c>
      <c r="AE236" s="88">
        <v>3.5</v>
      </c>
      <c r="AF236" s="88">
        <v>3.5</v>
      </c>
      <c r="AG236" s="88">
        <v>3.5</v>
      </c>
      <c r="AH236" s="149"/>
      <c r="AK236" s="116"/>
      <c r="AL236" s="210">
        <f>+(AL233-AK233)</f>
        <v>47.435999999999993</v>
      </c>
      <c r="AM236" s="210">
        <f>+(AM233-AL233)</f>
        <v>17.87700000000001</v>
      </c>
      <c r="AN236" s="210">
        <f>+(AN233-AM233)</f>
        <v>14</v>
      </c>
      <c r="AO236" s="364">
        <v>13</v>
      </c>
      <c r="AP236" s="364">
        <v>12</v>
      </c>
      <c r="AQ236" s="364">
        <v>11</v>
      </c>
      <c r="AR236" s="364">
        <v>11</v>
      </c>
      <c r="AS236" s="364">
        <v>9</v>
      </c>
      <c r="AT236" s="364">
        <v>8</v>
      </c>
      <c r="AU236" s="364">
        <v>7</v>
      </c>
    </row>
    <row r="237" spans="2:47" s="105" customFormat="1">
      <c r="B237"/>
      <c r="C237"/>
      <c r="D237"/>
      <c r="E237"/>
      <c r="F237"/>
      <c r="G237"/>
      <c r="R237" s="116"/>
      <c r="S237" s="116"/>
      <c r="T237" s="116"/>
      <c r="U237" s="116"/>
      <c r="V237" s="116"/>
      <c r="W237" s="116"/>
      <c r="X237" s="116"/>
      <c r="Y237" s="116"/>
      <c r="Z237" s="149"/>
      <c r="AA237" s="149"/>
      <c r="AB237" s="149"/>
      <c r="AC237" s="149"/>
      <c r="AD237" s="149"/>
      <c r="AE237" s="149"/>
      <c r="AF237" s="149"/>
      <c r="AG237" s="149"/>
      <c r="AH237" s="149"/>
      <c r="AK237" s="116"/>
      <c r="AL237" s="116"/>
      <c r="AM237" s="116"/>
      <c r="AN237" s="116"/>
      <c r="AO237" s="149"/>
      <c r="AP237" s="149"/>
      <c r="AQ237" s="149"/>
      <c r="AR237" s="149"/>
      <c r="AS237" s="149"/>
      <c r="AT237" s="149"/>
      <c r="AU237" s="149"/>
    </row>
    <row r="238" spans="2:47" s="105" customFormat="1">
      <c r="B238"/>
      <c r="C238"/>
      <c r="D238"/>
      <c r="E238"/>
      <c r="F238"/>
      <c r="G238"/>
      <c r="R238" s="116"/>
      <c r="S238" s="116"/>
      <c r="T238" s="116"/>
      <c r="U238" s="116"/>
      <c r="V238" s="116"/>
      <c r="W238" s="116"/>
      <c r="X238" s="116"/>
      <c r="Y238" s="116"/>
      <c r="Z238" s="149"/>
      <c r="AA238" s="149"/>
      <c r="AB238" s="149"/>
      <c r="AC238" s="149"/>
      <c r="AD238" s="149"/>
      <c r="AE238" s="149"/>
      <c r="AF238" s="149"/>
      <c r="AG238" s="149"/>
      <c r="AH238" s="149"/>
      <c r="AK238" s="116"/>
      <c r="AL238" s="116"/>
      <c r="AM238" s="116"/>
      <c r="AN238" s="116"/>
      <c r="AO238" s="149"/>
      <c r="AP238" s="149"/>
      <c r="AQ238" s="149"/>
      <c r="AR238" s="149"/>
      <c r="AS238" s="149"/>
      <c r="AT238" s="149"/>
      <c r="AU238" s="149"/>
    </row>
    <row r="239" spans="2:47">
      <c r="AB239" s="3"/>
    </row>
    <row r="240" spans="2:47">
      <c r="I240" s="1" t="s">
        <v>224</v>
      </c>
      <c r="R240" s="3">
        <f t="shared" ref="R240:AC240" si="248">R56</f>
        <v>3.198</v>
      </c>
      <c r="S240" s="3">
        <f t="shared" si="248"/>
        <v>3.8820000000000001</v>
      </c>
      <c r="T240" s="3">
        <f t="shared" si="248"/>
        <v>4.1180000000000003</v>
      </c>
      <c r="U240" s="3">
        <f t="shared" si="248"/>
        <v>4.109</v>
      </c>
      <c r="V240" s="3">
        <f t="shared" si="248"/>
        <v>5.0490000000000004</v>
      </c>
      <c r="W240" s="3">
        <f t="shared" si="248"/>
        <v>5.9960000000000004</v>
      </c>
      <c r="X240" s="3">
        <f t="shared" si="248"/>
        <v>7.4370000000000003</v>
      </c>
      <c r="Y240" s="3">
        <f t="shared" si="248"/>
        <v>10.632999999999999</v>
      </c>
      <c r="Z240" s="3">
        <f t="shared" si="248"/>
        <v>12.45</v>
      </c>
      <c r="AA240" s="3">
        <f t="shared" si="248"/>
        <v>12.585000000000001</v>
      </c>
      <c r="AB240" s="3">
        <f t="shared" si="248"/>
        <v>17.466999999999999</v>
      </c>
      <c r="AC240" s="3">
        <f t="shared" si="248"/>
        <v>18.786000000000001</v>
      </c>
      <c r="AD240" s="3">
        <f t="shared" ref="AD240:AG240" si="249">+AD241*AD233</f>
        <v>13.97045</v>
      </c>
      <c r="AE240" s="3">
        <f t="shared" si="249"/>
        <v>14.86225</v>
      </c>
      <c r="AF240" s="3">
        <f t="shared" si="249"/>
        <v>19.141200000000005</v>
      </c>
      <c r="AG240" s="3">
        <f t="shared" si="249"/>
        <v>16.062799999999999</v>
      </c>
      <c r="AK240" s="3">
        <f>SUM(R240:U240)</f>
        <v>15.307</v>
      </c>
      <c r="AL240" s="3">
        <f>SUM(V240:Y240)</f>
        <v>29.115000000000002</v>
      </c>
      <c r="AM240" s="3">
        <f>SUM(Z240:AC240)</f>
        <v>61.287999999999997</v>
      </c>
      <c r="AN240" s="3">
        <f>SUM(AD240:AG240)</f>
        <v>64.036699999999996</v>
      </c>
      <c r="AO240" s="3">
        <f t="shared" ref="AO240:AU240" si="250">AO241*AO233</f>
        <v>72.486699999999985</v>
      </c>
      <c r="AP240" s="3">
        <f t="shared" si="250"/>
        <v>74.110799999999983</v>
      </c>
      <c r="AQ240" s="3">
        <f t="shared" si="250"/>
        <v>73.984899999999982</v>
      </c>
      <c r="AR240" s="3">
        <f t="shared" si="250"/>
        <v>80.034899999999979</v>
      </c>
      <c r="AS240" s="3">
        <f t="shared" si="250"/>
        <v>84.984899999999968</v>
      </c>
      <c r="AT240" s="3">
        <f t="shared" si="250"/>
        <v>89.384899999999973</v>
      </c>
      <c r="AU240" s="3">
        <f t="shared" si="250"/>
        <v>93.234899999999968</v>
      </c>
    </row>
    <row r="241" spans="2:48">
      <c r="I241" s="1" t="s">
        <v>206</v>
      </c>
      <c r="R241" s="5">
        <f t="shared" ref="R241:AA241" si="251">+R240/R233</f>
        <v>2.0395408163265305</v>
      </c>
      <c r="S241" s="5">
        <f t="shared" si="251"/>
        <v>0.45816121798654547</v>
      </c>
      <c r="T241" s="5">
        <f t="shared" si="251"/>
        <v>0.94623161764705888</v>
      </c>
      <c r="U241" s="5">
        <f t="shared" si="251"/>
        <v>0.85390689941812126</v>
      </c>
      <c r="V241" s="5">
        <f t="shared" si="251"/>
        <v>0.40547703180212019</v>
      </c>
      <c r="W241" s="5">
        <f t="shared" si="251"/>
        <v>0.36514219596857689</v>
      </c>
      <c r="X241" s="5">
        <f t="shared" si="251"/>
        <v>0.43258492322010239</v>
      </c>
      <c r="Y241" s="5">
        <f t="shared" si="251"/>
        <v>0.51676710730948672</v>
      </c>
      <c r="Z241" s="5">
        <f t="shared" si="251"/>
        <v>0.69193575279275277</v>
      </c>
      <c r="AA241" s="5">
        <f t="shared" si="251"/>
        <v>0.64988381099922554</v>
      </c>
      <c r="AB241" s="5">
        <f t="shared" ref="AB241:AC241" si="252">+AB240/AB233</f>
        <v>0.67315400030830874</v>
      </c>
      <c r="AC241" s="5">
        <f t="shared" si="252"/>
        <v>0.88563077503300025</v>
      </c>
      <c r="AD241" s="147">
        <v>0.65</v>
      </c>
      <c r="AE241" s="147">
        <v>0.65</v>
      </c>
      <c r="AF241" s="147">
        <v>0.65</v>
      </c>
      <c r="AG241" s="147">
        <v>0.65</v>
      </c>
      <c r="AK241" s="5">
        <f>AK240/AK233</f>
        <v>0.7970320229107003</v>
      </c>
      <c r="AL241" s="5">
        <f>AL240/AL233</f>
        <v>0.43689320388349523</v>
      </c>
      <c r="AM241" s="5">
        <f>AM240/AM233</f>
        <v>0.72514730589933496</v>
      </c>
      <c r="AN241" s="5">
        <f>AN240/AN233</f>
        <v>0.64999999999999991</v>
      </c>
      <c r="AO241" s="147">
        <f t="shared" ref="AO241" si="253">AN241</f>
        <v>0.64999999999999991</v>
      </c>
      <c r="AP241" s="147">
        <f>AO241-0.05</f>
        <v>0.59999999999999987</v>
      </c>
      <c r="AQ241" s="147">
        <f>AP241-0.05</f>
        <v>0.54999999999999982</v>
      </c>
      <c r="AR241" s="147">
        <f>+AQ241</f>
        <v>0.54999999999999982</v>
      </c>
      <c r="AS241" s="147">
        <f t="shared" ref="AS241:AU241" si="254">+AR241</f>
        <v>0.54999999999999982</v>
      </c>
      <c r="AT241" s="147">
        <f t="shared" si="254"/>
        <v>0.54999999999999982</v>
      </c>
      <c r="AU241" s="147">
        <f t="shared" si="254"/>
        <v>0.54999999999999982</v>
      </c>
      <c r="AV241" s="149"/>
    </row>
    <row r="242" spans="2:48" s="105" customFormat="1">
      <c r="B242"/>
      <c r="C242"/>
      <c r="D242"/>
      <c r="E242"/>
      <c r="F242"/>
      <c r="G242"/>
      <c r="I242" s="105" t="s">
        <v>232</v>
      </c>
      <c r="AK242" s="116"/>
      <c r="AL242" s="116"/>
      <c r="AM242" s="5"/>
      <c r="AN242" s="149"/>
      <c r="AO242" s="149"/>
      <c r="AP242" s="149"/>
      <c r="AQ242" s="149"/>
      <c r="AR242" s="149"/>
      <c r="AS242" s="149"/>
      <c r="AT242" s="149"/>
      <c r="AU242" s="149"/>
      <c r="AV242" s="149"/>
    </row>
    <row r="243" spans="2:48" s="105" customFormat="1">
      <c r="B243"/>
      <c r="C243"/>
      <c r="D243"/>
      <c r="E243"/>
      <c r="F243"/>
      <c r="G243"/>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5"/>
      <c r="AL243" s="5"/>
      <c r="AM243" s="149"/>
      <c r="AN243" s="149"/>
      <c r="AO243" s="149"/>
      <c r="AP243" s="149"/>
      <c r="AQ243" s="149"/>
      <c r="AR243" s="149"/>
      <c r="AS243" s="149"/>
      <c r="AT243" s="149"/>
      <c r="AU243" s="149"/>
      <c r="AV243" s="149"/>
    </row>
    <row r="244" spans="2:48" s="105" customFormat="1">
      <c r="B244"/>
      <c r="C244"/>
      <c r="D244"/>
      <c r="E244"/>
      <c r="F244"/>
      <c r="G244"/>
      <c r="I244" s="105" t="s">
        <v>223</v>
      </c>
      <c r="AK244" s="208"/>
    </row>
    <row r="245" spans="2:48" s="105" customFormat="1">
      <c r="B245"/>
      <c r="C245"/>
      <c r="D245"/>
      <c r="E245"/>
      <c r="F245"/>
      <c r="G245"/>
      <c r="I245" s="105" t="s">
        <v>305</v>
      </c>
      <c r="AL245" s="484">
        <v>10.715</v>
      </c>
      <c r="AM245" s="484">
        <v>9.8040000000000003</v>
      </c>
      <c r="AN245" s="484">
        <v>9.4960000000000004</v>
      </c>
      <c r="AO245" s="484">
        <v>6.907</v>
      </c>
      <c r="AP245" s="484">
        <v>1.7609999999999999</v>
      </c>
      <c r="AQ245" s="484">
        <f>4.455/3</f>
        <v>1.4850000000000001</v>
      </c>
      <c r="AR245" s="484">
        <f>4.455/3</f>
        <v>1.4850000000000001</v>
      </c>
      <c r="AS245" s="484">
        <f>4.455/3</f>
        <v>1.4850000000000001</v>
      </c>
      <c r="AT245" s="208">
        <v>0</v>
      </c>
      <c r="AU245" s="208">
        <v>0</v>
      </c>
    </row>
    <row r="246" spans="2:48" s="105" customFormat="1">
      <c r="B246"/>
      <c r="C246"/>
      <c r="D246"/>
      <c r="E246"/>
      <c r="F246"/>
      <c r="G246"/>
    </row>
    <row r="247" spans="2:48" s="105" customFormat="1">
      <c r="B247"/>
      <c r="C247"/>
      <c r="D247"/>
      <c r="E247"/>
      <c r="F247"/>
      <c r="G247"/>
      <c r="I247" s="105" t="s">
        <v>306</v>
      </c>
      <c r="AL247" s="208">
        <f t="shared" ref="AL247:AU247" si="255">+AL240-AL245</f>
        <v>18.400000000000002</v>
      </c>
      <c r="AM247" s="208">
        <f t="shared" si="255"/>
        <v>51.483999999999995</v>
      </c>
      <c r="AN247" s="208">
        <f t="shared" si="255"/>
        <v>54.540699999999994</v>
      </c>
      <c r="AO247" s="208">
        <f t="shared" si="255"/>
        <v>65.579699999999988</v>
      </c>
      <c r="AP247" s="208">
        <f t="shared" si="255"/>
        <v>72.349799999999988</v>
      </c>
      <c r="AQ247" s="208">
        <f t="shared" si="255"/>
        <v>72.499899999999982</v>
      </c>
      <c r="AR247" s="208">
        <f t="shared" si="255"/>
        <v>78.54989999999998</v>
      </c>
      <c r="AS247" s="208">
        <f t="shared" si="255"/>
        <v>83.499899999999968</v>
      </c>
      <c r="AT247" s="208">
        <f t="shared" si="255"/>
        <v>89.384899999999973</v>
      </c>
      <c r="AU247" s="208">
        <f t="shared" si="255"/>
        <v>93.234899999999968</v>
      </c>
    </row>
    <row r="248" spans="2:48" s="105" customFormat="1">
      <c r="B248"/>
      <c r="C248"/>
      <c r="D248"/>
      <c r="E248"/>
      <c r="F248"/>
      <c r="G248"/>
      <c r="I248" s="105" t="s">
        <v>206</v>
      </c>
      <c r="AL248" s="116">
        <f t="shared" ref="AL248:AU248" si="256">+AL247/AL233</f>
        <v>0.27610630092585653</v>
      </c>
      <c r="AM248" s="116">
        <f t="shared" si="256"/>
        <v>0.60914834709765964</v>
      </c>
      <c r="AN248" s="116">
        <f t="shared" si="256"/>
        <v>0.55361152276741299</v>
      </c>
      <c r="AO248" s="116">
        <f t="shared" si="256"/>
        <v>0.58806381032658395</v>
      </c>
      <c r="AP248" s="116">
        <f t="shared" si="256"/>
        <v>0.58574296863615005</v>
      </c>
      <c r="AQ248" s="116">
        <f t="shared" si="256"/>
        <v>0.5389605852004935</v>
      </c>
      <c r="AR248" s="116">
        <f t="shared" si="256"/>
        <v>0.53979507689770323</v>
      </c>
      <c r="AS248" s="116">
        <f t="shared" si="256"/>
        <v>0.54038946918805553</v>
      </c>
      <c r="AT248" s="116">
        <f t="shared" si="256"/>
        <v>0.54999999999999982</v>
      </c>
      <c r="AU248" s="116">
        <f t="shared" si="256"/>
        <v>0.54999999999999982</v>
      </c>
    </row>
    <row r="254" spans="2:48" customFormat="1"/>
    <row r="255" spans="2:48">
      <c r="I255" s="7" t="s">
        <v>413</v>
      </c>
    </row>
    <row r="256" spans="2:48">
      <c r="I256" s="1" t="s">
        <v>414</v>
      </c>
      <c r="N256" s="2" t="s">
        <v>417</v>
      </c>
      <c r="O256" s="2" t="s">
        <v>417</v>
      </c>
      <c r="P256" s="2" t="s">
        <v>417</v>
      </c>
      <c r="Q256" s="2" t="s">
        <v>417</v>
      </c>
      <c r="R256" s="2" t="s">
        <v>417</v>
      </c>
      <c r="S256" s="2" t="s">
        <v>417</v>
      </c>
      <c r="T256" s="2" t="s">
        <v>417</v>
      </c>
      <c r="U256" s="2" t="s">
        <v>417</v>
      </c>
      <c r="V256" s="2" t="s">
        <v>417</v>
      </c>
      <c r="W256" s="2" t="s">
        <v>417</v>
      </c>
      <c r="X256" s="2" t="s">
        <v>417</v>
      </c>
      <c r="Y256" s="2" t="s">
        <v>417</v>
      </c>
      <c r="Z256" s="2" t="s">
        <v>417</v>
      </c>
      <c r="AA256" s="2" t="s">
        <v>417</v>
      </c>
      <c r="AB256" s="2" t="s">
        <v>417</v>
      </c>
      <c r="AC256" s="2" t="s">
        <v>417</v>
      </c>
      <c r="AD256" s="2" t="s">
        <v>417</v>
      </c>
      <c r="AE256" s="2" t="s">
        <v>417</v>
      </c>
      <c r="AF256" s="2" t="s">
        <v>417</v>
      </c>
      <c r="AG256" s="2" t="s">
        <v>417</v>
      </c>
      <c r="AK256" s="2" t="s">
        <v>417</v>
      </c>
      <c r="AL256" s="2" t="s">
        <v>417</v>
      </c>
      <c r="AM256" s="2" t="s">
        <v>417</v>
      </c>
      <c r="AN256" s="2" t="s">
        <v>417</v>
      </c>
      <c r="AO256" s="2" t="s">
        <v>417</v>
      </c>
      <c r="AP256" s="2" t="s">
        <v>417</v>
      </c>
      <c r="AQ256" s="2" t="s">
        <v>417</v>
      </c>
      <c r="AR256" s="2" t="s">
        <v>417</v>
      </c>
      <c r="AS256" s="2" t="s">
        <v>417</v>
      </c>
      <c r="AT256" s="2" t="s">
        <v>417</v>
      </c>
      <c r="AU256" s="2" t="s">
        <v>417</v>
      </c>
    </row>
    <row r="257" spans="2:47" s="4" customFormat="1">
      <c r="B257"/>
      <c r="C257"/>
      <c r="D257"/>
      <c r="E257"/>
      <c r="F257"/>
      <c r="G257"/>
      <c r="I257" s="4" t="s">
        <v>415</v>
      </c>
      <c r="N257" s="583">
        <v>0.35</v>
      </c>
      <c r="O257" s="583">
        <v>0.35</v>
      </c>
      <c r="P257" s="583">
        <v>0.35</v>
      </c>
      <c r="Q257" s="583">
        <v>0.35</v>
      </c>
      <c r="R257" s="583">
        <v>0.35</v>
      </c>
      <c r="S257" s="583">
        <v>0.35</v>
      </c>
      <c r="T257" s="583">
        <v>0.35</v>
      </c>
      <c r="U257" s="583">
        <v>0.35</v>
      </c>
      <c r="V257" s="583">
        <v>0.35</v>
      </c>
      <c r="W257" s="583">
        <v>0.35</v>
      </c>
      <c r="X257" s="583">
        <v>0.35</v>
      </c>
      <c r="Y257" s="583">
        <v>0.35</v>
      </c>
      <c r="Z257" s="583">
        <v>0.35</v>
      </c>
      <c r="AA257" s="583">
        <v>0.35</v>
      </c>
      <c r="AB257" s="583">
        <v>0.35</v>
      </c>
      <c r="AC257" s="583">
        <v>0.35</v>
      </c>
      <c r="AD257" s="583">
        <v>0.35</v>
      </c>
      <c r="AE257" s="583">
        <v>0.35</v>
      </c>
      <c r="AF257" s="583">
        <v>0.35</v>
      </c>
      <c r="AG257" s="583">
        <v>0.35</v>
      </c>
      <c r="AK257" s="583">
        <v>0.35</v>
      </c>
      <c r="AL257" s="583">
        <v>0.35</v>
      </c>
      <c r="AM257" s="583">
        <v>0.35</v>
      </c>
      <c r="AN257" s="583">
        <v>0.35</v>
      </c>
      <c r="AO257" s="583">
        <v>0.35</v>
      </c>
      <c r="AP257" s="583">
        <v>0.35</v>
      </c>
      <c r="AQ257" s="583">
        <v>0.35</v>
      </c>
      <c r="AR257" s="583">
        <v>0.35</v>
      </c>
      <c r="AS257" s="583">
        <v>0.35</v>
      </c>
      <c r="AT257" s="583">
        <v>0.35</v>
      </c>
      <c r="AU257" s="583">
        <v>0.35</v>
      </c>
    </row>
    <row r="258" spans="2:47" s="417" customFormat="1">
      <c r="B258"/>
      <c r="C258"/>
      <c r="D258"/>
      <c r="E258"/>
      <c r="F258"/>
      <c r="G258"/>
      <c r="I258" s="4" t="s">
        <v>416</v>
      </c>
      <c r="N258" s="417">
        <f>N64</f>
        <v>0</v>
      </c>
      <c r="O258" s="417">
        <f>O64</f>
        <v>0</v>
      </c>
      <c r="P258" s="417">
        <f>P64</f>
        <v>0</v>
      </c>
      <c r="Q258" s="417">
        <f>Q64</f>
        <v>0</v>
      </c>
      <c r="R258" s="2" t="s">
        <v>417</v>
      </c>
      <c r="S258" s="2" t="s">
        <v>417</v>
      </c>
      <c r="T258" s="2" t="s">
        <v>417</v>
      </c>
      <c r="U258" s="2" t="s">
        <v>417</v>
      </c>
      <c r="V258" s="2" t="s">
        <v>417</v>
      </c>
      <c r="W258" s="2" t="s">
        <v>417</v>
      </c>
      <c r="X258" s="2" t="s">
        <v>417</v>
      </c>
      <c r="Y258" s="2" t="s">
        <v>417</v>
      </c>
      <c r="Z258" s="417">
        <f t="shared" ref="Z258:AG258" si="257">Z64</f>
        <v>1404.1021930973332</v>
      </c>
      <c r="AA258" s="417">
        <f t="shared" si="257"/>
        <v>1422.5510965486665</v>
      </c>
      <c r="AB258" s="417">
        <f t="shared" si="257"/>
        <v>1441</v>
      </c>
      <c r="AC258" s="417">
        <f t="shared" si="257"/>
        <v>1420</v>
      </c>
      <c r="AD258" s="417">
        <f t="shared" si="257"/>
        <v>1430</v>
      </c>
      <c r="AE258" s="417">
        <f t="shared" si="257"/>
        <v>1440</v>
      </c>
      <c r="AF258" s="417">
        <f t="shared" si="257"/>
        <v>1450</v>
      </c>
      <c r="AG258" s="417">
        <f t="shared" si="257"/>
        <v>1460</v>
      </c>
      <c r="AK258" s="584" t="s">
        <v>417</v>
      </c>
      <c r="AL258" s="584" t="s">
        <v>417</v>
      </c>
      <c r="AM258" s="417">
        <f t="shared" ref="AM258:AU258" si="258">AM64</f>
        <v>1421.9133224114998</v>
      </c>
      <c r="AN258" s="417">
        <f t="shared" si="258"/>
        <v>1445</v>
      </c>
      <c r="AO258" s="417">
        <f t="shared" si="258"/>
        <v>1480</v>
      </c>
      <c r="AP258" s="417">
        <f t="shared" si="258"/>
        <v>1513</v>
      </c>
      <c r="AQ258" s="417">
        <f t="shared" si="258"/>
        <v>1545</v>
      </c>
      <c r="AR258" s="417">
        <f t="shared" si="258"/>
        <v>1575</v>
      </c>
      <c r="AS258" s="417">
        <f t="shared" si="258"/>
        <v>1605</v>
      </c>
      <c r="AT258" s="417">
        <f t="shared" si="258"/>
        <v>1632</v>
      </c>
      <c r="AU258" s="417">
        <f t="shared" si="258"/>
        <v>1659</v>
      </c>
    </row>
    <row r="259" spans="2:47" s="417" customFormat="1">
      <c r="B259"/>
      <c r="C259"/>
      <c r="D259"/>
      <c r="E259"/>
      <c r="F259"/>
      <c r="G259"/>
      <c r="I259" s="4" t="s">
        <v>418</v>
      </c>
      <c r="N259" s="417">
        <f t="shared" ref="N259:AG259" si="259">N200+N201+N202</f>
        <v>0</v>
      </c>
      <c r="O259" s="417">
        <f t="shared" si="259"/>
        <v>0</v>
      </c>
      <c r="P259" s="417">
        <f t="shared" si="259"/>
        <v>0</v>
      </c>
      <c r="Q259" s="417">
        <f t="shared" si="259"/>
        <v>0</v>
      </c>
      <c r="R259" s="417">
        <f t="shared" si="259"/>
        <v>0</v>
      </c>
      <c r="S259" s="417">
        <f t="shared" si="259"/>
        <v>0</v>
      </c>
      <c r="T259" s="417">
        <f t="shared" si="259"/>
        <v>0</v>
      </c>
      <c r="U259" s="417">
        <f t="shared" si="259"/>
        <v>0</v>
      </c>
      <c r="V259" s="417">
        <f t="shared" si="259"/>
        <v>0</v>
      </c>
      <c r="W259" s="417">
        <f t="shared" si="259"/>
        <v>0</v>
      </c>
      <c r="X259" s="417">
        <f t="shared" si="259"/>
        <v>0</v>
      </c>
      <c r="Y259" s="417">
        <f t="shared" si="259"/>
        <v>0</v>
      </c>
      <c r="Z259" s="417">
        <f t="shared" si="259"/>
        <v>2451.8119999999999</v>
      </c>
      <c r="AA259" s="417">
        <f t="shared" si="259"/>
        <v>-1.6390000000000029</v>
      </c>
      <c r="AB259" s="417">
        <f t="shared" ref="AB259" si="260">AB200+AB201+AB202</f>
        <v>-152.75499999999994</v>
      </c>
      <c r="AC259" s="417">
        <f t="shared" si="259"/>
        <v>-22.398000000000053</v>
      </c>
      <c r="AD259" s="417">
        <f t="shared" si="259"/>
        <v>0</v>
      </c>
      <c r="AE259" s="417">
        <f t="shared" si="259"/>
        <v>0</v>
      </c>
      <c r="AF259" s="417">
        <f t="shared" si="259"/>
        <v>0</v>
      </c>
      <c r="AG259" s="417">
        <f t="shared" si="259"/>
        <v>0</v>
      </c>
      <c r="AK259" s="417">
        <f>AK200+AK201+AK202</f>
        <v>650.36599999999999</v>
      </c>
      <c r="AL259" s="417">
        <f>AL200+AL201+AL202</f>
        <v>1147.2849999999999</v>
      </c>
      <c r="AM259" s="417">
        <f>AM200+AM201+AM202</f>
        <v>2275.02</v>
      </c>
      <c r="AN259" s="417">
        <f t="shared" ref="AN259:AU259" si="261">AN200+AN201+AN202</f>
        <v>0</v>
      </c>
      <c r="AO259" s="417">
        <f t="shared" si="261"/>
        <v>0</v>
      </c>
      <c r="AP259" s="417">
        <f t="shared" si="261"/>
        <v>0</v>
      </c>
      <c r="AQ259" s="417">
        <f t="shared" si="261"/>
        <v>0</v>
      </c>
      <c r="AR259" s="417">
        <f t="shared" si="261"/>
        <v>0</v>
      </c>
      <c r="AS259" s="417">
        <f t="shared" si="261"/>
        <v>0</v>
      </c>
      <c r="AT259" s="417">
        <f t="shared" si="261"/>
        <v>0</v>
      </c>
      <c r="AU259" s="417">
        <f t="shared" si="261"/>
        <v>0</v>
      </c>
    </row>
  </sheetData>
  <pageMargins left="0" right="0" top="0" bottom="0" header="0" footer="0"/>
  <pageSetup paperSize="5" scale="23"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F2"/>
  <sheetViews>
    <sheetView workbookViewId="0"/>
  </sheetViews>
  <sheetFormatPr defaultRowHeight="15"/>
  <sheetData>
    <row r="1" spans="1:6">
      <c r="A1" t="s">
        <v>426</v>
      </c>
    </row>
    <row r="2" spans="1:6">
      <c r="A2" s="589" t="s">
        <v>425</v>
      </c>
      <c r="B2" s="589" t="s">
        <v>410</v>
      </c>
      <c r="C2" s="589" t="s">
        <v>423</v>
      </c>
      <c r="D2" s="589" t="s">
        <v>444</v>
      </c>
      <c r="E2" s="589" t="s">
        <v>424</v>
      </c>
      <c r="F2" s="589" t="s">
        <v>451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Y183"/>
  <sheetViews>
    <sheetView showGridLines="0" zoomScale="130" zoomScaleNormal="130" workbookViewId="0">
      <pane xSplit="9" ySplit="3" topLeftCell="AJ76" activePane="bottomRight" state="frozen"/>
      <selection pane="topRight" activeCell="B1" sqref="B1"/>
      <selection pane="bottomLeft" activeCell="A4" sqref="A4"/>
      <selection pane="bottomRight" activeCell="AW86" sqref="AW86"/>
    </sheetView>
  </sheetViews>
  <sheetFormatPr defaultColWidth="9.7109375" defaultRowHeight="11.25" outlineLevelCol="1"/>
  <cols>
    <col min="1" max="7" width="0" style="1" hidden="1" customWidth="1" outlineLevel="1"/>
    <col min="8" max="8" width="1.7109375" style="1" customWidth="1" collapsed="1"/>
    <col min="9" max="9" width="27.7109375" style="1" customWidth="1"/>
    <col min="10" max="17" width="9.7109375" style="1" hidden="1" customWidth="1" outlineLevel="1"/>
    <col min="18" max="18" width="9.7109375" style="1" customWidth="1" collapsed="1"/>
    <col min="19" max="36" width="9.7109375" style="1" customWidth="1"/>
    <col min="37" max="40" width="9.7109375" style="1"/>
    <col min="41" max="41" width="10.5703125" style="1" bestFit="1" customWidth="1"/>
    <col min="42" max="42" width="10.85546875" style="1" bestFit="1" customWidth="1"/>
    <col min="43" max="44" width="10.85546875" style="1" customWidth="1" outlineLevel="1"/>
    <col min="45" max="47" width="12.140625" style="1" customWidth="1" outlineLevel="1"/>
    <col min="48" max="48" width="9.7109375" style="1"/>
    <col min="49" max="49" width="12.7109375" style="1" bestFit="1" customWidth="1"/>
    <col min="50" max="16384" width="9.7109375" style="1"/>
  </cols>
  <sheetData>
    <row r="1" spans="9:49">
      <c r="I1" s="308">
        <f>'Base DCF'!$E$47</f>
        <v>12</v>
      </c>
      <c r="T1" s="232"/>
      <c r="V1" s="475"/>
      <c r="W1" s="475"/>
      <c r="X1" s="476"/>
      <c r="Y1" s="475"/>
      <c r="Z1" s="477"/>
      <c r="AA1" s="477"/>
      <c r="AB1" s="477"/>
      <c r="AC1" s="477"/>
      <c r="AD1" s="683"/>
      <c r="AE1" s="477"/>
      <c r="AN1" s="3"/>
      <c r="AQ1" s="3"/>
      <c r="AR1" s="3"/>
      <c r="AS1" s="3"/>
      <c r="AT1" s="3"/>
      <c r="AU1" s="3"/>
    </row>
    <row r="2" spans="9:49">
      <c r="I2" s="97"/>
      <c r="J2" s="70">
        <v>2013</v>
      </c>
      <c r="K2" s="70"/>
      <c r="L2" s="70"/>
      <c r="M2" s="72"/>
      <c r="N2" s="70">
        <v>2014</v>
      </c>
      <c r="O2" s="70"/>
      <c r="P2" s="70"/>
      <c r="Q2" s="72"/>
      <c r="R2" s="70">
        <v>2015</v>
      </c>
      <c r="S2" s="70"/>
      <c r="T2" s="70"/>
      <c r="U2" s="72"/>
      <c r="V2" s="231">
        <f>+R2+1</f>
        <v>2016</v>
      </c>
      <c r="W2" s="70"/>
      <c r="X2" s="70"/>
      <c r="Y2" s="72"/>
      <c r="Z2" s="231">
        <f>+V2+1</f>
        <v>2017</v>
      </c>
      <c r="AA2" s="70"/>
      <c r="AB2" s="70"/>
      <c r="AC2" s="72"/>
      <c r="AD2" s="71">
        <f>+Z2+1</f>
        <v>2018</v>
      </c>
      <c r="AE2" s="70"/>
      <c r="AF2" s="70"/>
      <c r="AG2" s="72"/>
      <c r="AI2" s="75"/>
      <c r="AJ2" s="75"/>
      <c r="AK2" s="75"/>
      <c r="AL2" s="76"/>
      <c r="AM2" s="76"/>
      <c r="AN2" s="76"/>
      <c r="AO2" s="76"/>
      <c r="AP2" s="76"/>
      <c r="AQ2" s="76"/>
      <c r="AR2" s="76"/>
      <c r="AS2" s="76"/>
      <c r="AT2" s="76"/>
      <c r="AU2" s="95"/>
      <c r="AW2" s="76"/>
    </row>
    <row r="3" spans="9:49">
      <c r="I3" s="96" t="s">
        <v>142</v>
      </c>
      <c r="J3" s="73" t="s">
        <v>88</v>
      </c>
      <c r="K3" s="73" t="s">
        <v>89</v>
      </c>
      <c r="L3" s="73" t="s">
        <v>90</v>
      </c>
      <c r="M3" s="74" t="s">
        <v>91</v>
      </c>
      <c r="N3" s="73" t="s">
        <v>92</v>
      </c>
      <c r="O3" s="73" t="s">
        <v>93</v>
      </c>
      <c r="P3" s="73" t="s">
        <v>94</v>
      </c>
      <c r="Q3" s="74" t="s">
        <v>95</v>
      </c>
      <c r="R3" s="73" t="s">
        <v>96</v>
      </c>
      <c r="S3" s="73" t="s">
        <v>97</v>
      </c>
      <c r="T3" s="73" t="s">
        <v>98</v>
      </c>
      <c r="U3" s="74" t="s">
        <v>99</v>
      </c>
      <c r="V3" s="73" t="s">
        <v>100</v>
      </c>
      <c r="W3" s="73" t="s">
        <v>101</v>
      </c>
      <c r="X3" s="73" t="s">
        <v>185</v>
      </c>
      <c r="Y3" s="74" t="s">
        <v>184</v>
      </c>
      <c r="Z3" s="73" t="s">
        <v>443</v>
      </c>
      <c r="AA3" s="73" t="s">
        <v>446</v>
      </c>
      <c r="AB3" s="73" t="s">
        <v>447</v>
      </c>
      <c r="AC3" s="74" t="s">
        <v>450</v>
      </c>
      <c r="AD3" s="73" t="s">
        <v>102</v>
      </c>
      <c r="AE3" s="73" t="s">
        <v>103</v>
      </c>
      <c r="AF3" s="73" t="s">
        <v>104</v>
      </c>
      <c r="AG3" s="74" t="s">
        <v>105</v>
      </c>
      <c r="AI3" s="75">
        <v>2013</v>
      </c>
      <c r="AJ3" s="75">
        <v>2014</v>
      </c>
      <c r="AK3" s="75">
        <v>2015</v>
      </c>
      <c r="AL3" s="75">
        <f t="shared" ref="AL3:AU3" si="0">+AK3+1</f>
        <v>2016</v>
      </c>
      <c r="AM3" s="75">
        <f t="shared" si="0"/>
        <v>2017</v>
      </c>
      <c r="AN3" s="76">
        <f t="shared" si="0"/>
        <v>2018</v>
      </c>
      <c r="AO3" s="76">
        <f t="shared" si="0"/>
        <v>2019</v>
      </c>
      <c r="AP3" s="76">
        <f t="shared" si="0"/>
        <v>2020</v>
      </c>
      <c r="AQ3" s="76">
        <f t="shared" si="0"/>
        <v>2021</v>
      </c>
      <c r="AR3" s="76">
        <f t="shared" si="0"/>
        <v>2022</v>
      </c>
      <c r="AS3" s="76">
        <f t="shared" si="0"/>
        <v>2023</v>
      </c>
      <c r="AT3" s="76">
        <f t="shared" si="0"/>
        <v>2024</v>
      </c>
      <c r="AU3" s="95">
        <f t="shared" si="0"/>
        <v>2025</v>
      </c>
      <c r="AW3" s="525" t="s">
        <v>381</v>
      </c>
    </row>
    <row r="4" spans="9:49" s="7" customFormat="1">
      <c r="I4" s="7" t="s">
        <v>124</v>
      </c>
      <c r="J4" s="22"/>
      <c r="K4" s="23"/>
      <c r="L4" s="23"/>
      <c r="M4" s="24"/>
      <c r="N4" s="33"/>
      <c r="O4" s="34"/>
      <c r="P4" s="34"/>
      <c r="Q4" s="35"/>
      <c r="R4" s="189">
        <v>3.92</v>
      </c>
      <c r="S4" s="190">
        <v>5.3</v>
      </c>
      <c r="T4" s="190">
        <v>16.725000000000001</v>
      </c>
      <c r="U4" s="191">
        <v>32.718000000000004</v>
      </c>
      <c r="V4" s="189">
        <v>38.798000000000002</v>
      </c>
      <c r="W4" s="190">
        <v>71.798000000000002</v>
      </c>
      <c r="X4" s="190">
        <f>128.204</f>
        <v>128.20400000000001</v>
      </c>
      <c r="Y4" s="191">
        <f>165.682</f>
        <v>165.68199999999999</v>
      </c>
      <c r="Z4" s="189">
        <v>149.648</v>
      </c>
      <c r="AA4" s="190">
        <v>181.67099999999999</v>
      </c>
      <c r="AB4" s="190">
        <v>207.93700000000001</v>
      </c>
      <c r="AC4" s="191">
        <v>285.69299999999998</v>
      </c>
      <c r="AD4" s="53">
        <f>+AD98+AD121+AD145</f>
        <v>249</v>
      </c>
      <c r="AE4" s="54">
        <f t="shared" ref="AE4:AG4" si="1">+AE98+AE121+AE145</f>
        <v>295</v>
      </c>
      <c r="AF4" s="54">
        <f t="shared" si="1"/>
        <v>341</v>
      </c>
      <c r="AG4" s="55">
        <f t="shared" si="1"/>
        <v>428</v>
      </c>
      <c r="AI4" s="36"/>
      <c r="AJ4" s="8"/>
      <c r="AK4" s="8">
        <f>+SUM(R4:U4)</f>
        <v>58.663000000000004</v>
      </c>
      <c r="AL4" s="8">
        <f>+SUM(V4:Y4)</f>
        <v>404.48199999999997</v>
      </c>
      <c r="AM4" s="9">
        <f>+SUM(Z4:AC4)</f>
        <v>824.94899999999996</v>
      </c>
      <c r="AN4" s="9">
        <f>+SUM(AD4:AG4)</f>
        <v>1313</v>
      </c>
      <c r="AO4" s="9">
        <f t="shared" ref="AO4:AU4" si="2">+AO98+AO121+AO145</f>
        <v>1969.3647915228673</v>
      </c>
      <c r="AP4" s="9">
        <f t="shared" si="2"/>
        <v>2804.8785252972893</v>
      </c>
      <c r="AQ4" s="9">
        <f t="shared" si="2"/>
        <v>3812.9268110991698</v>
      </c>
      <c r="AR4" s="9">
        <f t="shared" si="2"/>
        <v>4963.9597425469474</v>
      </c>
      <c r="AS4" s="9">
        <f t="shared" si="2"/>
        <v>6163.5677779709767</v>
      </c>
      <c r="AT4" s="9">
        <f t="shared" si="2"/>
        <v>7355.8769720994733</v>
      </c>
      <c r="AU4" s="55">
        <f t="shared" si="2"/>
        <v>8545.6284788867233</v>
      </c>
      <c r="AV4" s="9"/>
      <c r="AW4" s="519">
        <f>+(AP4/AL4)^(1/4)-1</f>
        <v>0.62275783411936159</v>
      </c>
    </row>
    <row r="5" spans="9:49">
      <c r="I5" s="14" t="s">
        <v>1</v>
      </c>
      <c r="J5" s="22"/>
      <c r="K5" s="23"/>
      <c r="L5" s="23"/>
      <c r="M5" s="24"/>
      <c r="N5" s="22"/>
      <c r="O5" s="23"/>
      <c r="P5" s="23"/>
      <c r="Q5" s="24"/>
      <c r="R5" s="47"/>
      <c r="S5" s="48"/>
      <c r="T5" s="48"/>
      <c r="U5" s="49"/>
      <c r="V5" s="42">
        <f t="shared" ref="V5:AG5" si="3">+V4/R4-1</f>
        <v>8.8974489795918377</v>
      </c>
      <c r="W5" s="28">
        <f t="shared" si="3"/>
        <v>12.546792452830189</v>
      </c>
      <c r="X5" s="28">
        <f t="shared" si="3"/>
        <v>6.6654110612855009</v>
      </c>
      <c r="Y5" s="29">
        <f t="shared" si="3"/>
        <v>4.0639403386515056</v>
      </c>
      <c r="Z5" s="42">
        <f t="shared" si="3"/>
        <v>2.8571060363936285</v>
      </c>
      <c r="AA5" s="28">
        <f t="shared" si="3"/>
        <v>1.5303072508983537</v>
      </c>
      <c r="AB5" s="28">
        <f t="shared" si="3"/>
        <v>0.62192287292128179</v>
      </c>
      <c r="AC5" s="29">
        <f t="shared" si="3"/>
        <v>0.7243454328170833</v>
      </c>
      <c r="AD5" s="42">
        <f t="shared" si="3"/>
        <v>0.6639046295306319</v>
      </c>
      <c r="AE5" s="28">
        <f t="shared" si="3"/>
        <v>0.62381447781979515</v>
      </c>
      <c r="AF5" s="28">
        <f t="shared" si="3"/>
        <v>0.63991978339593225</v>
      </c>
      <c r="AG5" s="29">
        <f t="shared" si="3"/>
        <v>0.49811160931489407</v>
      </c>
      <c r="AI5" s="22"/>
      <c r="AL5" s="5">
        <f t="shared" ref="AL5:AU5" si="4">+AL4/AK4-1</f>
        <v>5.8950104836097701</v>
      </c>
      <c r="AM5" s="5">
        <f t="shared" si="4"/>
        <v>1.0395196819635979</v>
      </c>
      <c r="AN5" s="5">
        <f t="shared" si="4"/>
        <v>0.59161354217048578</v>
      </c>
      <c r="AO5" s="5">
        <f t="shared" si="4"/>
        <v>0.49989702324666219</v>
      </c>
      <c r="AP5" s="5">
        <f t="shared" si="4"/>
        <v>0.42425544387250747</v>
      </c>
      <c r="AQ5" s="5">
        <f t="shared" si="4"/>
        <v>0.35939106692509526</v>
      </c>
      <c r="AR5" s="5">
        <f t="shared" si="4"/>
        <v>0.30187648189238758</v>
      </c>
      <c r="AS5" s="5">
        <f t="shared" si="4"/>
        <v>0.24166353025428156</v>
      </c>
      <c r="AT5" s="5">
        <f t="shared" si="4"/>
        <v>0.19344464717170684</v>
      </c>
      <c r="AU5" s="29">
        <f t="shared" si="4"/>
        <v>0.16174162663404057</v>
      </c>
    </row>
    <row r="6" spans="9:49" s="105" customFormat="1">
      <c r="I6" s="163" t="s">
        <v>3</v>
      </c>
      <c r="J6" s="106"/>
      <c r="K6" s="192"/>
      <c r="L6" s="192"/>
      <c r="M6" s="193"/>
      <c r="N6" s="106"/>
      <c r="O6" s="192"/>
      <c r="P6" s="192"/>
      <c r="Q6" s="193"/>
      <c r="R6" s="194"/>
      <c r="S6" s="111">
        <f>+S4/R4-1</f>
        <v>0.3520408163265305</v>
      </c>
      <c r="T6" s="111">
        <f t="shared" ref="T6:AG6" si="5">+T4/S4-1</f>
        <v>2.1556603773584908</v>
      </c>
      <c r="U6" s="112">
        <f t="shared" si="5"/>
        <v>0.95623318385650236</v>
      </c>
      <c r="V6" s="110">
        <f t="shared" si="5"/>
        <v>0.18583042973286878</v>
      </c>
      <c r="W6" s="111">
        <f t="shared" si="5"/>
        <v>0.85055930718078243</v>
      </c>
      <c r="X6" s="111">
        <f t="shared" si="5"/>
        <v>0.78562076938076286</v>
      </c>
      <c r="Y6" s="112">
        <f t="shared" si="5"/>
        <v>0.29233097251255802</v>
      </c>
      <c r="Z6" s="110">
        <f t="shared" si="5"/>
        <v>-9.6775751137721633E-2</v>
      </c>
      <c r="AA6" s="111">
        <f t="shared" si="5"/>
        <v>0.2139888271142949</v>
      </c>
      <c r="AB6" s="111">
        <f t="shared" si="5"/>
        <v>0.14458003754038895</v>
      </c>
      <c r="AC6" s="112">
        <f t="shared" si="5"/>
        <v>0.37394018380567173</v>
      </c>
      <c r="AD6" s="110">
        <f t="shared" si="5"/>
        <v>-0.12843506841259666</v>
      </c>
      <c r="AE6" s="111">
        <f t="shared" si="5"/>
        <v>0.18473895582329325</v>
      </c>
      <c r="AF6" s="111">
        <f t="shared" si="5"/>
        <v>0.15593220338983049</v>
      </c>
      <c r="AG6" s="112">
        <f t="shared" si="5"/>
        <v>0.25513196480938416</v>
      </c>
      <c r="AI6" s="106"/>
      <c r="AL6" s="116"/>
      <c r="AM6" s="116"/>
      <c r="AN6" s="116"/>
      <c r="AO6" s="116"/>
      <c r="AP6" s="116"/>
      <c r="AQ6" s="116"/>
      <c r="AR6" s="116"/>
      <c r="AS6" s="116"/>
      <c r="AT6" s="116"/>
      <c r="AU6" s="112"/>
    </row>
    <row r="7" spans="9:49" s="105" customFormat="1">
      <c r="I7" s="163" t="s">
        <v>23</v>
      </c>
      <c r="J7" s="106"/>
      <c r="K7" s="192"/>
      <c r="L7" s="192"/>
      <c r="M7" s="193"/>
      <c r="N7" s="106"/>
      <c r="O7" s="192"/>
      <c r="P7" s="192"/>
      <c r="Q7" s="193"/>
      <c r="R7" s="194"/>
      <c r="S7" s="195"/>
      <c r="T7" s="195"/>
      <c r="U7" s="196"/>
      <c r="V7" s="197">
        <f>+V4-R4</f>
        <v>34.878</v>
      </c>
      <c r="W7" s="198">
        <f t="shared" ref="W7:AG7" si="6">+W4-S4</f>
        <v>66.498000000000005</v>
      </c>
      <c r="X7" s="198">
        <f t="shared" si="6"/>
        <v>111.47900000000001</v>
      </c>
      <c r="Y7" s="199">
        <f t="shared" si="6"/>
        <v>132.964</v>
      </c>
      <c r="Z7" s="197">
        <f>+Z4-V4</f>
        <v>110.85</v>
      </c>
      <c r="AA7" s="198">
        <f t="shared" si="6"/>
        <v>109.87299999999999</v>
      </c>
      <c r="AB7" s="198">
        <f t="shared" si="6"/>
        <v>79.733000000000004</v>
      </c>
      <c r="AC7" s="199">
        <f t="shared" si="6"/>
        <v>120.011</v>
      </c>
      <c r="AD7" s="197">
        <f t="shared" si="6"/>
        <v>99.352000000000004</v>
      </c>
      <c r="AE7" s="198">
        <f t="shared" si="6"/>
        <v>113.32900000000001</v>
      </c>
      <c r="AF7" s="198">
        <f t="shared" si="6"/>
        <v>133.06299999999999</v>
      </c>
      <c r="AG7" s="199">
        <f t="shared" si="6"/>
        <v>142.30700000000002</v>
      </c>
      <c r="AI7" s="106"/>
      <c r="AL7" s="200">
        <f>+AL4-AK4</f>
        <v>345.81899999999996</v>
      </c>
      <c r="AM7" s="200">
        <f t="shared" ref="AM7:AU7" si="7">+AM4-AL4</f>
        <v>420.46699999999998</v>
      </c>
      <c r="AN7" s="200">
        <f t="shared" si="7"/>
        <v>488.05100000000004</v>
      </c>
      <c r="AO7" s="200">
        <f t="shared" si="7"/>
        <v>656.36479152286734</v>
      </c>
      <c r="AP7" s="200">
        <f t="shared" si="7"/>
        <v>835.51373377442201</v>
      </c>
      <c r="AQ7" s="200">
        <f t="shared" si="7"/>
        <v>1008.0482858018804</v>
      </c>
      <c r="AR7" s="200">
        <f t="shared" si="7"/>
        <v>1151.0329314477776</v>
      </c>
      <c r="AS7" s="200">
        <f t="shared" si="7"/>
        <v>1199.6080354240294</v>
      </c>
      <c r="AT7" s="200">
        <f t="shared" si="7"/>
        <v>1192.3091941284965</v>
      </c>
      <c r="AU7" s="201">
        <f t="shared" si="7"/>
        <v>1189.75150678725</v>
      </c>
    </row>
    <row r="8" spans="9:49" s="105" customFormat="1">
      <c r="I8" s="163" t="s">
        <v>4</v>
      </c>
      <c r="J8" s="106"/>
      <c r="K8" s="192"/>
      <c r="L8" s="192"/>
      <c r="M8" s="193"/>
      <c r="N8" s="106"/>
      <c r="O8" s="192"/>
      <c r="P8" s="192"/>
      <c r="Q8" s="193"/>
      <c r="R8" s="194"/>
      <c r="S8" s="195">
        <f>+S4-R4</f>
        <v>1.38</v>
      </c>
      <c r="T8" s="195">
        <f t="shared" ref="T8:AG8" si="8">+T4-S4</f>
        <v>11.425000000000001</v>
      </c>
      <c r="U8" s="195">
        <f t="shared" si="8"/>
        <v>15.993000000000002</v>
      </c>
      <c r="V8" s="194">
        <f t="shared" si="8"/>
        <v>6.0799999999999983</v>
      </c>
      <c r="W8" s="195">
        <f t="shared" si="8"/>
        <v>33</v>
      </c>
      <c r="X8" s="195">
        <f t="shared" si="8"/>
        <v>56.406000000000006</v>
      </c>
      <c r="Y8" s="196">
        <f t="shared" si="8"/>
        <v>37.47799999999998</v>
      </c>
      <c r="Z8" s="194">
        <f t="shared" si="8"/>
        <v>-16.033999999999992</v>
      </c>
      <c r="AA8" s="195">
        <f t="shared" si="8"/>
        <v>32.022999999999996</v>
      </c>
      <c r="AB8" s="195">
        <f t="shared" si="8"/>
        <v>26.26600000000002</v>
      </c>
      <c r="AC8" s="196">
        <f t="shared" si="8"/>
        <v>77.755999999999972</v>
      </c>
      <c r="AD8" s="194">
        <f t="shared" si="8"/>
        <v>-36.692999999999984</v>
      </c>
      <c r="AE8" s="195">
        <f t="shared" si="8"/>
        <v>46</v>
      </c>
      <c r="AF8" s="195">
        <f t="shared" si="8"/>
        <v>46</v>
      </c>
      <c r="AG8" s="196">
        <f t="shared" si="8"/>
        <v>87</v>
      </c>
      <c r="AI8" s="106"/>
      <c r="AL8" s="116"/>
      <c r="AM8" s="116"/>
      <c r="AN8" s="116"/>
      <c r="AO8" s="116"/>
      <c r="AP8" s="277"/>
      <c r="AQ8" s="277"/>
      <c r="AR8" s="116"/>
      <c r="AS8" s="116"/>
      <c r="AT8" s="116"/>
      <c r="AU8" s="112"/>
    </row>
    <row r="9" spans="9:49">
      <c r="J9" s="22"/>
      <c r="K9" s="23"/>
      <c r="L9" s="23"/>
      <c r="M9" s="24"/>
      <c r="N9" s="22"/>
      <c r="O9" s="23"/>
      <c r="P9" s="23"/>
      <c r="Q9" s="24"/>
      <c r="R9" s="47"/>
      <c r="S9" s="351"/>
      <c r="T9" s="351"/>
      <c r="U9" s="49"/>
      <c r="V9" s="42"/>
      <c r="W9" s="265"/>
      <c r="X9" s="351"/>
      <c r="Y9" s="55"/>
      <c r="Z9" s="42"/>
      <c r="AA9" s="265"/>
      <c r="AB9" s="351"/>
      <c r="AC9" s="55"/>
      <c r="AD9" s="42"/>
      <c r="AE9" s="265"/>
      <c r="AF9" s="351"/>
      <c r="AG9" s="55"/>
      <c r="AH9" s="188"/>
      <c r="AI9" s="22"/>
      <c r="AL9" s="5"/>
      <c r="AM9" s="5"/>
      <c r="AN9" s="5"/>
      <c r="AO9" s="383"/>
      <c r="AP9" s="539"/>
      <c r="AQ9" s="258"/>
      <c r="AR9" s="383"/>
      <c r="AS9" s="5"/>
      <c r="AT9" s="5"/>
      <c r="AU9" s="29"/>
    </row>
    <row r="10" spans="9:49">
      <c r="J10" s="22"/>
      <c r="K10" s="23"/>
      <c r="L10" s="23"/>
      <c r="M10" s="24"/>
      <c r="N10" s="22"/>
      <c r="O10" s="23"/>
      <c r="P10" s="23"/>
      <c r="Q10" s="24"/>
      <c r="R10" s="22"/>
      <c r="S10" s="352"/>
      <c r="T10" s="23"/>
      <c r="U10" s="27"/>
      <c r="V10" s="22"/>
      <c r="W10" s="352"/>
      <c r="X10" s="23"/>
      <c r="Y10" s="27"/>
      <c r="Z10" s="22"/>
      <c r="AA10" s="352"/>
      <c r="AB10" s="352"/>
      <c r="AC10" s="24"/>
      <c r="AD10" s="22"/>
      <c r="AE10" s="352"/>
      <c r="AF10" s="23"/>
      <c r="AG10" s="24"/>
      <c r="AH10" s="4"/>
      <c r="AI10" s="22"/>
      <c r="AL10" s="6"/>
      <c r="AM10" s="6"/>
      <c r="AU10" s="24"/>
    </row>
    <row r="11" spans="9:49" s="7" customFormat="1">
      <c r="I11" s="7" t="s">
        <v>2</v>
      </c>
      <c r="J11" s="25">
        <f>+N11/(1+N13)</f>
        <v>8.9320388349514559</v>
      </c>
      <c r="K11" s="26">
        <f>+O11/(1+O13)</f>
        <v>20.87912087912088</v>
      </c>
      <c r="L11" s="26">
        <f>+P11/(1+P13)</f>
        <v>27.876106194690269</v>
      </c>
      <c r="M11" s="27">
        <f>+Q11/(1+Q13)</f>
        <v>36.979166666666671</v>
      </c>
      <c r="N11" s="36">
        <f t="shared" ref="N11:AG11" si="9">+N91+N114+N138</f>
        <v>46</v>
      </c>
      <c r="O11" s="37">
        <f t="shared" si="9"/>
        <v>57</v>
      </c>
      <c r="P11" s="37">
        <f t="shared" si="9"/>
        <v>63</v>
      </c>
      <c r="Q11" s="38">
        <f t="shared" si="9"/>
        <v>71</v>
      </c>
      <c r="R11" s="36">
        <f t="shared" si="9"/>
        <v>81</v>
      </c>
      <c r="S11" s="37">
        <f t="shared" si="9"/>
        <v>87</v>
      </c>
      <c r="T11" s="37">
        <f t="shared" si="9"/>
        <v>94.7</v>
      </c>
      <c r="U11" s="38">
        <f t="shared" si="9"/>
        <v>106</v>
      </c>
      <c r="V11" s="36">
        <f t="shared" si="9"/>
        <v>122</v>
      </c>
      <c r="W11" s="37">
        <f t="shared" si="9"/>
        <v>143</v>
      </c>
      <c r="X11" s="37">
        <f t="shared" si="9"/>
        <v>153</v>
      </c>
      <c r="Y11" s="38">
        <f t="shared" si="9"/>
        <v>158.30000000000001</v>
      </c>
      <c r="Z11" s="36">
        <f t="shared" si="9"/>
        <v>166</v>
      </c>
      <c r="AA11" s="37">
        <f t="shared" si="9"/>
        <v>174</v>
      </c>
      <c r="AB11" s="37">
        <f t="shared" ref="AB11" si="10">+AB91+AB114+AB138</f>
        <v>178</v>
      </c>
      <c r="AC11" s="38">
        <f t="shared" si="9"/>
        <v>187</v>
      </c>
      <c r="AD11" s="36">
        <f t="shared" si="9"/>
        <v>193.92</v>
      </c>
      <c r="AE11" s="37">
        <f t="shared" si="9"/>
        <v>201.30099999999999</v>
      </c>
      <c r="AF11" s="37">
        <f t="shared" si="9"/>
        <v>207.83674999999997</v>
      </c>
      <c r="AG11" s="38">
        <f t="shared" si="9"/>
        <v>214.99928749999998</v>
      </c>
      <c r="AI11" s="36">
        <f>+M11</f>
        <v>36.979166666666671</v>
      </c>
      <c r="AJ11" s="8">
        <f>+Q11</f>
        <v>71</v>
      </c>
      <c r="AK11" s="8">
        <f>+U11</f>
        <v>106</v>
      </c>
      <c r="AL11" s="8">
        <f>+Y11</f>
        <v>158.30000000000001</v>
      </c>
      <c r="AM11" s="9">
        <f>+AC11</f>
        <v>187</v>
      </c>
      <c r="AN11" s="9">
        <f>+AG11</f>
        <v>214.99928749999998</v>
      </c>
      <c r="AO11" s="8">
        <f t="shared" ref="AO11:AU11" si="11">+AO91+AO114+AO138</f>
        <v>241.59861062499999</v>
      </c>
      <c r="AP11" s="8">
        <f t="shared" si="11"/>
        <v>266.24666759374998</v>
      </c>
      <c r="AQ11" s="8">
        <f t="shared" si="11"/>
        <v>288.57849886562497</v>
      </c>
      <c r="AR11" s="8">
        <f t="shared" si="11"/>
        <v>308.67714701031241</v>
      </c>
      <c r="AS11" s="8">
        <f t="shared" si="11"/>
        <v>326.76593034053121</v>
      </c>
      <c r="AT11" s="8">
        <f t="shared" si="11"/>
        <v>343.04583533772802</v>
      </c>
      <c r="AU11" s="38">
        <f t="shared" si="11"/>
        <v>359.32574033492494</v>
      </c>
      <c r="AV11" s="8"/>
      <c r="AW11" s="519">
        <f>+(AP11/AL11)^(1/4)-1</f>
        <v>0.13880880531864515</v>
      </c>
    </row>
    <row r="12" spans="9:49" s="7" customFormat="1">
      <c r="I12" s="1" t="s">
        <v>85</v>
      </c>
      <c r="J12" s="25"/>
      <c r="K12" s="26">
        <f t="shared" ref="K12:AG12" si="12">+K11-J11</f>
        <v>11.947082044169424</v>
      </c>
      <c r="L12" s="26">
        <f t="shared" si="12"/>
        <v>6.9969853155693897</v>
      </c>
      <c r="M12" s="27">
        <f t="shared" si="12"/>
        <v>9.1030604719764021</v>
      </c>
      <c r="N12" s="25">
        <f t="shared" si="12"/>
        <v>9.0208333333333286</v>
      </c>
      <c r="O12" s="26">
        <f t="shared" si="12"/>
        <v>11</v>
      </c>
      <c r="P12" s="26">
        <f t="shared" si="12"/>
        <v>6</v>
      </c>
      <c r="Q12" s="27">
        <f t="shared" si="12"/>
        <v>8</v>
      </c>
      <c r="R12" s="25">
        <f t="shared" si="12"/>
        <v>10</v>
      </c>
      <c r="S12" s="26">
        <f t="shared" si="12"/>
        <v>6</v>
      </c>
      <c r="T12" s="26">
        <f t="shared" si="12"/>
        <v>7.7000000000000028</v>
      </c>
      <c r="U12" s="27">
        <f t="shared" si="12"/>
        <v>11.299999999999997</v>
      </c>
      <c r="V12" s="25">
        <f t="shared" si="12"/>
        <v>16</v>
      </c>
      <c r="W12" s="26">
        <f t="shared" si="12"/>
        <v>21</v>
      </c>
      <c r="X12" s="26">
        <f t="shared" si="12"/>
        <v>10</v>
      </c>
      <c r="Y12" s="27">
        <f t="shared" si="12"/>
        <v>5.3000000000000114</v>
      </c>
      <c r="Z12" s="25">
        <f t="shared" si="12"/>
        <v>7.6999999999999886</v>
      </c>
      <c r="AA12" s="26">
        <f t="shared" si="12"/>
        <v>8</v>
      </c>
      <c r="AB12" s="26">
        <f t="shared" si="12"/>
        <v>4</v>
      </c>
      <c r="AC12" s="27">
        <f t="shared" si="12"/>
        <v>9</v>
      </c>
      <c r="AD12" s="25">
        <f t="shared" si="12"/>
        <v>6.9199999999999875</v>
      </c>
      <c r="AE12" s="26">
        <f t="shared" si="12"/>
        <v>7.3810000000000002</v>
      </c>
      <c r="AF12" s="26">
        <f t="shared" si="12"/>
        <v>6.5357499999999789</v>
      </c>
      <c r="AG12" s="27">
        <f t="shared" si="12"/>
        <v>7.1625375000000133</v>
      </c>
      <c r="AI12" s="36"/>
      <c r="AJ12" s="6">
        <f t="shared" ref="AJ12:AU12" si="13">+AJ11-AI11</f>
        <v>34.020833333333329</v>
      </c>
      <c r="AK12" s="6">
        <f t="shared" si="13"/>
        <v>35</v>
      </c>
      <c r="AL12" s="6">
        <f t="shared" si="13"/>
        <v>52.300000000000011</v>
      </c>
      <c r="AM12" s="6">
        <f t="shared" si="13"/>
        <v>28.699999999999989</v>
      </c>
      <c r="AN12" s="6">
        <f t="shared" si="13"/>
        <v>27.99928749999998</v>
      </c>
      <c r="AO12" s="6">
        <f t="shared" si="13"/>
        <v>26.599323125000012</v>
      </c>
      <c r="AP12" s="6">
        <f t="shared" si="13"/>
        <v>24.648056968749984</v>
      </c>
      <c r="AQ12" s="6">
        <f t="shared" si="13"/>
        <v>22.331831271874989</v>
      </c>
      <c r="AR12" s="6">
        <f t="shared" si="13"/>
        <v>20.098648144687445</v>
      </c>
      <c r="AS12" s="6">
        <f t="shared" si="13"/>
        <v>18.088783330218803</v>
      </c>
      <c r="AT12" s="6">
        <f t="shared" si="13"/>
        <v>16.279904997196809</v>
      </c>
      <c r="AU12" s="27">
        <f t="shared" si="13"/>
        <v>16.279904997196923</v>
      </c>
      <c r="AV12" s="6"/>
    </row>
    <row r="13" spans="9:49">
      <c r="I13" s="1" t="s">
        <v>1</v>
      </c>
      <c r="J13" s="22"/>
      <c r="K13" s="23"/>
      <c r="L13" s="23"/>
      <c r="M13" s="24"/>
      <c r="N13" s="39">
        <v>4.1500000000000004</v>
      </c>
      <c r="O13" s="40">
        <v>1.73</v>
      </c>
      <c r="P13" s="40">
        <v>1.26</v>
      </c>
      <c r="Q13" s="41">
        <v>0.92</v>
      </c>
      <c r="R13" s="42">
        <f>+R11/N11-1</f>
        <v>0.76086956521739135</v>
      </c>
      <c r="S13" s="28">
        <f>+S11/O11-1</f>
        <v>0.52631578947368429</v>
      </c>
      <c r="T13" s="28">
        <f>+T11/P11-1</f>
        <v>0.50317460317460316</v>
      </c>
      <c r="U13" s="29">
        <f>+U11/Q11-1</f>
        <v>0.49295774647887325</v>
      </c>
      <c r="V13" s="42">
        <f>+V11/R11-1</f>
        <v>0.50617283950617287</v>
      </c>
      <c r="W13" s="28">
        <f t="shared" ref="W13:AG13" si="14">+W11/S11-1</f>
        <v>0.64367816091954033</v>
      </c>
      <c r="X13" s="28">
        <f t="shared" si="14"/>
        <v>0.61562829989440337</v>
      </c>
      <c r="Y13" s="29">
        <f t="shared" si="14"/>
        <v>0.4933962264150944</v>
      </c>
      <c r="Z13" s="42">
        <f>+Z11/V11-1</f>
        <v>0.36065573770491799</v>
      </c>
      <c r="AA13" s="28">
        <f t="shared" si="14"/>
        <v>0.21678321678321688</v>
      </c>
      <c r="AB13" s="28">
        <f t="shared" si="14"/>
        <v>0.1633986928104576</v>
      </c>
      <c r="AC13" s="29">
        <f t="shared" si="14"/>
        <v>0.18130132659507248</v>
      </c>
      <c r="AD13" s="42">
        <f t="shared" si="14"/>
        <v>0.16819277108433717</v>
      </c>
      <c r="AE13" s="28">
        <f t="shared" si="14"/>
        <v>0.15690229885057461</v>
      </c>
      <c r="AF13" s="28">
        <f t="shared" si="14"/>
        <v>0.16762219101123588</v>
      </c>
      <c r="AG13" s="29">
        <f t="shared" si="14"/>
        <v>0.14972881016042772</v>
      </c>
      <c r="AI13" s="22"/>
      <c r="AJ13" s="5">
        <f t="shared" ref="AJ13:AU13" si="15">+AJ11/AI11-1</f>
        <v>0.91999999999999971</v>
      </c>
      <c r="AK13" s="5">
        <f t="shared" si="15"/>
        <v>0.49295774647887325</v>
      </c>
      <c r="AL13" s="5">
        <f t="shared" si="15"/>
        <v>0.4933962264150944</v>
      </c>
      <c r="AM13" s="5">
        <f t="shared" si="15"/>
        <v>0.18130132659507248</v>
      </c>
      <c r="AN13" s="5">
        <f t="shared" si="15"/>
        <v>0.14972881016042772</v>
      </c>
      <c r="AO13" s="5">
        <f t="shared" si="15"/>
        <v>0.1237181919730781</v>
      </c>
      <c r="AP13" s="5">
        <f t="shared" si="15"/>
        <v>0.1020206900403402</v>
      </c>
      <c r="AQ13" s="5">
        <f t="shared" si="15"/>
        <v>8.3876472421994031E-2</v>
      </c>
      <c r="AR13" s="5">
        <f t="shared" si="15"/>
        <v>6.9647074275087428E-2</v>
      </c>
      <c r="AS13" s="5">
        <f t="shared" si="15"/>
        <v>5.8600980038261419E-2</v>
      </c>
      <c r="AT13" s="5">
        <f t="shared" si="15"/>
        <v>4.9821304749338768E-2</v>
      </c>
      <c r="AU13" s="29">
        <f t="shared" si="15"/>
        <v>4.7456938170286733E-2</v>
      </c>
      <c r="AV13" s="5"/>
    </row>
    <row r="14" spans="9:49">
      <c r="I14" s="1" t="s">
        <v>3</v>
      </c>
      <c r="J14" s="22"/>
      <c r="K14" s="28">
        <f>+K11/J11-1</f>
        <v>1.337553750597229</v>
      </c>
      <c r="L14" s="28">
        <f t="shared" ref="L14:V14" si="16">+L11/K11-1</f>
        <v>0.33511877037727067</v>
      </c>
      <c r="M14" s="29">
        <f t="shared" si="16"/>
        <v>0.32655423280423279</v>
      </c>
      <c r="N14" s="42">
        <f t="shared" si="16"/>
        <v>0.24394366197183093</v>
      </c>
      <c r="O14" s="28">
        <f t="shared" si="16"/>
        <v>0.23913043478260865</v>
      </c>
      <c r="P14" s="28">
        <f t="shared" si="16"/>
        <v>0.10526315789473695</v>
      </c>
      <c r="Q14" s="29">
        <f t="shared" si="16"/>
        <v>0.12698412698412698</v>
      </c>
      <c r="R14" s="42">
        <f t="shared" si="16"/>
        <v>0.14084507042253525</v>
      </c>
      <c r="S14" s="28">
        <f t="shared" si="16"/>
        <v>7.4074074074074181E-2</v>
      </c>
      <c r="T14" s="28">
        <f t="shared" si="16"/>
        <v>8.8505747126436773E-2</v>
      </c>
      <c r="U14" s="29">
        <f t="shared" si="16"/>
        <v>0.11932418162618785</v>
      </c>
      <c r="V14" s="42">
        <f t="shared" si="16"/>
        <v>0.15094339622641506</v>
      </c>
      <c r="W14" s="28">
        <f t="shared" ref="W14:AG14" si="17">+W11/V11-1</f>
        <v>0.17213114754098369</v>
      </c>
      <c r="X14" s="28">
        <f t="shared" si="17"/>
        <v>6.9930069930070005E-2</v>
      </c>
      <c r="Y14" s="29">
        <f t="shared" si="17"/>
        <v>3.4640522875817092E-2</v>
      </c>
      <c r="Z14" s="42">
        <f t="shared" si="17"/>
        <v>4.864181933038525E-2</v>
      </c>
      <c r="AA14" s="28">
        <f t="shared" si="17"/>
        <v>4.8192771084337283E-2</v>
      </c>
      <c r="AB14" s="28">
        <f t="shared" si="17"/>
        <v>2.2988505747126409E-2</v>
      </c>
      <c r="AC14" s="29">
        <f t="shared" si="17"/>
        <v>5.0561797752809001E-2</v>
      </c>
      <c r="AD14" s="42">
        <f t="shared" si="17"/>
        <v>3.700534759358276E-2</v>
      </c>
      <c r="AE14" s="28">
        <f t="shared" si="17"/>
        <v>3.8062087458745841E-2</v>
      </c>
      <c r="AF14" s="28">
        <f t="shared" si="17"/>
        <v>3.2467548596380347E-2</v>
      </c>
      <c r="AG14" s="29">
        <f t="shared" si="17"/>
        <v>3.4462324396431487E-2</v>
      </c>
      <c r="AI14" s="22"/>
      <c r="AU14" s="24"/>
    </row>
    <row r="15" spans="9:49">
      <c r="J15" s="22"/>
      <c r="K15" s="26"/>
      <c r="L15" s="26"/>
      <c r="M15" s="27"/>
      <c r="N15" s="25"/>
      <c r="O15" s="26"/>
      <c r="P15" s="26"/>
      <c r="Q15" s="27"/>
      <c r="R15" s="25"/>
      <c r="S15" s="26"/>
      <c r="T15" s="26"/>
      <c r="U15" s="27"/>
      <c r="V15" s="25"/>
      <c r="W15" s="26"/>
      <c r="X15" s="23"/>
      <c r="Y15" s="24"/>
      <c r="Z15" s="25"/>
      <c r="AA15" s="23"/>
      <c r="AB15" s="23"/>
      <c r="AC15" s="24"/>
      <c r="AD15" s="22"/>
      <c r="AE15" s="23"/>
      <c r="AF15" s="23"/>
      <c r="AG15" s="24"/>
      <c r="AI15" s="22"/>
      <c r="AU15" s="24"/>
    </row>
    <row r="16" spans="9:49" s="7" customFormat="1">
      <c r="I16" s="7" t="s">
        <v>17</v>
      </c>
      <c r="J16" s="22"/>
      <c r="K16" s="26"/>
      <c r="L16" s="26"/>
      <c r="M16" s="27"/>
      <c r="N16" s="36"/>
      <c r="O16" s="37"/>
      <c r="P16" s="37"/>
      <c r="Q16" s="38"/>
      <c r="R16" s="50">
        <f>R4/R11</f>
        <v>4.8395061728395063E-2</v>
      </c>
      <c r="S16" s="51">
        <f t="shared" ref="S16:AG16" si="18">S4/S11</f>
        <v>6.0919540229885057E-2</v>
      </c>
      <c r="T16" s="51">
        <f t="shared" si="18"/>
        <v>0.17661034846884902</v>
      </c>
      <c r="U16" s="52">
        <f t="shared" si="18"/>
        <v>0.30866037735849061</v>
      </c>
      <c r="V16" s="50">
        <f t="shared" si="18"/>
        <v>0.31801639344262295</v>
      </c>
      <c r="W16" s="57">
        <f t="shared" si="18"/>
        <v>0.50208391608391612</v>
      </c>
      <c r="X16" s="57">
        <f t="shared" si="18"/>
        <v>0.83793464052287592</v>
      </c>
      <c r="Y16" s="58">
        <f t="shared" si="18"/>
        <v>1.0466329753632342</v>
      </c>
      <c r="Z16" s="50">
        <f t="shared" ref="Z16" si="19">Z4/Z11</f>
        <v>0.90149397590361446</v>
      </c>
      <c r="AA16" s="57">
        <f t="shared" si="18"/>
        <v>1.0440862068965517</v>
      </c>
      <c r="AB16" s="57">
        <f t="shared" ref="AB16" si="20">AB4/AB11</f>
        <v>1.168185393258427</v>
      </c>
      <c r="AC16" s="58">
        <f t="shared" si="18"/>
        <v>1.5277700534759358</v>
      </c>
      <c r="AD16" s="65">
        <f t="shared" si="18"/>
        <v>1.2840346534653466</v>
      </c>
      <c r="AE16" s="57">
        <f t="shared" si="18"/>
        <v>1.4654671362785083</v>
      </c>
      <c r="AF16" s="57">
        <f t="shared" si="18"/>
        <v>1.6407107982587297</v>
      </c>
      <c r="AG16" s="58">
        <f t="shared" si="18"/>
        <v>1.9907042715199696</v>
      </c>
      <c r="AI16" s="33"/>
      <c r="AJ16" s="12">
        <f>AJ4/AJ11</f>
        <v>0</v>
      </c>
      <c r="AK16" s="12">
        <f t="shared" ref="AK16:AU16" si="21">AK4/AK11</f>
        <v>0.55342452830188682</v>
      </c>
      <c r="AL16" s="12">
        <f>AL4/AL11</f>
        <v>2.5551610865445351</v>
      </c>
      <c r="AM16" s="12">
        <f t="shared" si="21"/>
        <v>4.4114919786096252</v>
      </c>
      <c r="AN16" s="12">
        <f t="shared" si="21"/>
        <v>6.106996982490001</v>
      </c>
      <c r="AO16" s="12">
        <f t="shared" si="21"/>
        <v>8.1513912121772876</v>
      </c>
      <c r="AP16" s="12">
        <f t="shared" si="21"/>
        <v>10.534886880075762</v>
      </c>
      <c r="AQ16" s="12">
        <f t="shared" si="21"/>
        <v>13.212788984929327</v>
      </c>
      <c r="AR16" s="12">
        <f t="shared" si="21"/>
        <v>16.08139698913671</v>
      </c>
      <c r="AS16" s="12">
        <f t="shared" si="21"/>
        <v>18.862332959705327</v>
      </c>
      <c r="AT16" s="12">
        <f t="shared" si="21"/>
        <v>21.442840035815113</v>
      </c>
      <c r="AU16" s="52">
        <f t="shared" si="21"/>
        <v>23.782399977584138</v>
      </c>
      <c r="AV16" s="12"/>
      <c r="AW16" s="519">
        <f>+(AP16/AL16)^(1/4)-1</f>
        <v>0.4249607366403394</v>
      </c>
    </row>
    <row r="17" spans="9:49">
      <c r="I17" s="1" t="s">
        <v>1</v>
      </c>
      <c r="J17" s="22"/>
      <c r="K17" s="26"/>
      <c r="L17" s="26"/>
      <c r="M17" s="27"/>
      <c r="N17" s="25"/>
      <c r="O17" s="26"/>
      <c r="P17" s="26"/>
      <c r="Q17" s="27"/>
      <c r="R17" s="42"/>
      <c r="S17" s="28"/>
      <c r="T17" s="28"/>
      <c r="U17" s="29"/>
      <c r="V17" s="42">
        <f>+V16/R16-1</f>
        <v>5.5712571094011372</v>
      </c>
      <c r="W17" s="28">
        <f>+W16/S16-1</f>
        <v>7.2417548489246606</v>
      </c>
      <c r="X17" s="28">
        <f t="shared" ref="X17:AG17" si="22">+X16/T16-1</f>
        <v>3.7445387418544893</v>
      </c>
      <c r="Y17" s="29">
        <f t="shared" si="22"/>
        <v>2.3908886664375211</v>
      </c>
      <c r="Z17" s="42">
        <f>+Z16/V16-1</f>
        <v>1.8347405809639921</v>
      </c>
      <c r="AA17" s="28">
        <f t="shared" si="22"/>
        <v>1.0795053843589919</v>
      </c>
      <c r="AB17" s="28">
        <f t="shared" si="22"/>
        <v>0.39412471661211268</v>
      </c>
      <c r="AC17" s="29">
        <f t="shared" si="22"/>
        <v>0.45969990382323167</v>
      </c>
      <c r="AD17" s="42">
        <f t="shared" si="22"/>
        <v>0.42434080291916731</v>
      </c>
      <c r="AE17" s="28">
        <f t="shared" si="22"/>
        <v>0.40358825411023469</v>
      </c>
      <c r="AF17" s="28">
        <f t="shared" si="22"/>
        <v>0.40449521773447672</v>
      </c>
      <c r="AG17" s="29">
        <f t="shared" si="22"/>
        <v>0.30301302017982357</v>
      </c>
      <c r="AI17" s="22"/>
      <c r="AK17" s="21"/>
      <c r="AL17" s="5">
        <f t="shared" ref="AL17:AU17" si="23">+AL16/AK16-1</f>
        <v>3.6170000711474133</v>
      </c>
      <c r="AM17" s="5">
        <f t="shared" si="23"/>
        <v>0.7265024901328212</v>
      </c>
      <c r="AN17" s="5">
        <f t="shared" si="23"/>
        <v>0.38433822663659245</v>
      </c>
      <c r="AO17" s="5">
        <f t="shared" si="23"/>
        <v>0.33476260681788106</v>
      </c>
      <c r="AP17" s="5">
        <f t="shared" si="23"/>
        <v>0.29240354264162804</v>
      </c>
      <c r="AQ17" s="5">
        <f t="shared" si="23"/>
        <v>0.25419372180618116</v>
      </c>
      <c r="AR17" s="5">
        <f t="shared" si="23"/>
        <v>0.2171084399727683</v>
      </c>
      <c r="AS17" s="5">
        <f t="shared" si="23"/>
        <v>0.17292875565768284</v>
      </c>
      <c r="AT17" s="5">
        <f t="shared" si="23"/>
        <v>0.13680741834121979</v>
      </c>
      <c r="AU17" s="29">
        <f t="shared" si="23"/>
        <v>0.10910681317686244</v>
      </c>
      <c r="AV17" s="5"/>
    </row>
    <row r="18" spans="9:49">
      <c r="I18" s="1" t="s">
        <v>3</v>
      </c>
      <c r="J18" s="22"/>
      <c r="K18" s="26"/>
      <c r="L18" s="26"/>
      <c r="M18" s="27"/>
      <c r="N18" s="25"/>
      <c r="O18" s="26"/>
      <c r="P18" s="26"/>
      <c r="Q18" s="27"/>
      <c r="R18" s="42"/>
      <c r="S18" s="28">
        <f>+S16/R16-1</f>
        <v>0.25879662209711474</v>
      </c>
      <c r="T18" s="28">
        <f>+T16/S16-1</f>
        <v>1.8990755314697858</v>
      </c>
      <c r="U18" s="29">
        <f>+U16/T16-1</f>
        <v>0.74769134444538454</v>
      </c>
      <c r="V18" s="42">
        <f>+V16/U16-1</f>
        <v>3.0311684849869458E-2</v>
      </c>
      <c r="W18" s="28">
        <f>+W16/V16-1</f>
        <v>0.5787988494829055</v>
      </c>
      <c r="X18" s="28">
        <f t="shared" ref="X18:AG18" si="24">+X16/W16-1</f>
        <v>0.66891352955195482</v>
      </c>
      <c r="Y18" s="29">
        <f t="shared" si="24"/>
        <v>0.24906278455098763</v>
      </c>
      <c r="Z18" s="42">
        <f>+Z16/Y16-1</f>
        <v>-0.13867229762109223</v>
      </c>
      <c r="AA18" s="28">
        <f t="shared" si="24"/>
        <v>0.15817324885616646</v>
      </c>
      <c r="AB18" s="28">
        <f t="shared" si="24"/>
        <v>0.11885913782038027</v>
      </c>
      <c r="AC18" s="29">
        <f t="shared" si="24"/>
        <v>0.30781472041395497</v>
      </c>
      <c r="AD18" s="42">
        <f t="shared" si="24"/>
        <v>-0.15953670479143756</v>
      </c>
      <c r="AE18" s="28">
        <f t="shared" si="24"/>
        <v>0.14129874324147917</v>
      </c>
      <c r="AF18" s="28">
        <f t="shared" si="24"/>
        <v>0.11958211661112039</v>
      </c>
      <c r="AG18" s="29">
        <f t="shared" si="24"/>
        <v>0.21331819942471553</v>
      </c>
      <c r="AI18" s="22"/>
      <c r="AU18" s="24"/>
    </row>
    <row r="19" spans="9:49" s="242" customFormat="1">
      <c r="I19" s="242" t="s">
        <v>4</v>
      </c>
      <c r="J19" s="243"/>
      <c r="K19" s="244"/>
      <c r="L19" s="244"/>
      <c r="M19" s="245"/>
      <c r="N19" s="243"/>
      <c r="O19" s="244"/>
      <c r="P19" s="244"/>
      <c r="Q19" s="245"/>
      <c r="R19" s="243"/>
      <c r="S19" s="244">
        <f>+S16-R16</f>
        <v>1.2524478501489994E-2</v>
      </c>
      <c r="T19" s="244">
        <f>+T16-S16</f>
        <v>0.11569080823896397</v>
      </c>
      <c r="U19" s="245">
        <f>+U16-T16</f>
        <v>0.1320500288896416</v>
      </c>
      <c r="V19" s="243">
        <f>+V16-U16</f>
        <v>9.3560160841323348E-3</v>
      </c>
      <c r="W19" s="244">
        <f>+W16-V16</f>
        <v>0.18406752264129317</v>
      </c>
      <c r="X19" s="244">
        <f t="shared" ref="X19:AG19" si="25">+X16-W16</f>
        <v>0.3358507244389598</v>
      </c>
      <c r="Y19" s="245">
        <f t="shared" si="25"/>
        <v>0.20869833484035827</v>
      </c>
      <c r="Z19" s="81">
        <f>+Z16-Y16</f>
        <v>-0.14513899945961972</v>
      </c>
      <c r="AA19" s="244">
        <f t="shared" si="25"/>
        <v>0.14259223099293727</v>
      </c>
      <c r="AB19" s="244">
        <f t="shared" si="25"/>
        <v>0.12409918636187522</v>
      </c>
      <c r="AC19" s="245">
        <f t="shared" si="25"/>
        <v>0.35958466021750879</v>
      </c>
      <c r="AD19" s="81">
        <f>+AD16-AC16</f>
        <v>-0.24373540001058913</v>
      </c>
      <c r="AE19" s="244">
        <f t="shared" si="25"/>
        <v>0.18143248281316171</v>
      </c>
      <c r="AF19" s="244">
        <f t="shared" si="25"/>
        <v>0.17524366198022134</v>
      </c>
      <c r="AG19" s="245">
        <f t="shared" si="25"/>
        <v>0.34999347326123997</v>
      </c>
      <c r="AI19" s="243"/>
      <c r="AU19" s="245"/>
    </row>
    <row r="20" spans="9:49">
      <c r="J20" s="22"/>
      <c r="K20" s="26"/>
      <c r="L20" s="26"/>
      <c r="M20" s="27"/>
      <c r="N20" s="25"/>
      <c r="O20" s="26"/>
      <c r="P20" s="26"/>
      <c r="Q20" s="27"/>
      <c r="R20" s="25"/>
      <c r="S20" s="26"/>
      <c r="T20" s="26"/>
      <c r="U20" s="27"/>
      <c r="V20" s="25"/>
      <c r="W20" s="26"/>
      <c r="X20" s="26"/>
      <c r="Y20" s="27"/>
      <c r="Z20" s="25"/>
      <c r="AA20" s="26"/>
      <c r="AB20" s="26"/>
      <c r="AC20" s="27"/>
      <c r="AD20" s="25"/>
      <c r="AE20" s="26"/>
      <c r="AF20" s="26"/>
      <c r="AG20" s="27"/>
      <c r="AI20" s="22"/>
      <c r="AU20" s="24"/>
    </row>
    <row r="21" spans="9:49">
      <c r="I21" s="11" t="s">
        <v>118</v>
      </c>
      <c r="J21" s="30"/>
      <c r="K21" s="31"/>
      <c r="L21" s="31"/>
      <c r="M21" s="32"/>
      <c r="N21" s="43"/>
      <c r="O21" s="31"/>
      <c r="P21" s="31"/>
      <c r="Q21" s="32"/>
      <c r="R21" s="43"/>
      <c r="S21" s="31"/>
      <c r="T21" s="31"/>
      <c r="U21" s="32"/>
      <c r="V21" s="43"/>
      <c r="W21" s="31"/>
      <c r="X21" s="59"/>
      <c r="Y21" s="60"/>
      <c r="Z21" s="30"/>
      <c r="AA21" s="59"/>
      <c r="AB21" s="59"/>
      <c r="AC21" s="60"/>
      <c r="AD21" s="30"/>
      <c r="AE21" s="59"/>
      <c r="AF21" s="59"/>
      <c r="AG21" s="60"/>
      <c r="AH21" s="10"/>
      <c r="AI21" s="30"/>
      <c r="AJ21" s="10"/>
      <c r="AK21" s="10"/>
      <c r="AL21" s="10"/>
      <c r="AM21" s="10"/>
      <c r="AN21" s="10"/>
      <c r="AO21" s="10"/>
      <c r="AP21" s="10"/>
      <c r="AQ21" s="10"/>
      <c r="AR21" s="10"/>
      <c r="AS21" s="10"/>
      <c r="AT21" s="10"/>
      <c r="AU21" s="60"/>
    </row>
    <row r="22" spans="9:49">
      <c r="I22" s="1" t="s">
        <v>117</v>
      </c>
      <c r="J22" s="36">
        <v>0</v>
      </c>
      <c r="K22" s="37">
        <v>0</v>
      </c>
      <c r="L22" s="37">
        <v>0</v>
      </c>
      <c r="M22" s="38">
        <v>0</v>
      </c>
      <c r="N22" s="36">
        <v>0</v>
      </c>
      <c r="O22" s="37">
        <v>0</v>
      </c>
      <c r="P22" s="37">
        <v>0</v>
      </c>
      <c r="Q22" s="38">
        <v>0</v>
      </c>
      <c r="R22" s="36">
        <v>0</v>
      </c>
      <c r="S22" s="37">
        <v>0</v>
      </c>
      <c r="T22" s="37">
        <v>0</v>
      </c>
      <c r="U22" s="38">
        <v>0</v>
      </c>
      <c r="V22" s="36">
        <v>0</v>
      </c>
      <c r="W22" s="37">
        <v>0</v>
      </c>
      <c r="X22" s="37">
        <v>0</v>
      </c>
      <c r="Y22" s="633">
        <f>+(Y31/Y28)*1000</f>
        <v>35.246153846154073</v>
      </c>
      <c r="Z22" s="634">
        <f>+(Z31/Z28)*1000</f>
        <v>64.166988790104384</v>
      </c>
      <c r="AA22" s="633">
        <f>+(AA31/AA28)*1000</f>
        <v>41.956982438283418</v>
      </c>
      <c r="AB22" s="633">
        <f>+(AB31/AB28)*1000</f>
        <v>28.111881030675658</v>
      </c>
      <c r="AC22" s="46">
        <v>37</v>
      </c>
      <c r="AD22" s="45">
        <v>20</v>
      </c>
      <c r="AE22" s="45">
        <f>+AA22/1.1</f>
        <v>38.142711307530377</v>
      </c>
      <c r="AF22" s="45">
        <f>+AB22/1.1</f>
        <v>25.556255482432416</v>
      </c>
      <c r="AG22" s="45">
        <f>+AC22/1.1</f>
        <v>33.636363636363633</v>
      </c>
      <c r="AI22" s="36">
        <f>+SUM(J22:M22)</f>
        <v>0</v>
      </c>
      <c r="AJ22" s="8">
        <f>+SUM(N22:Q22)</f>
        <v>0</v>
      </c>
      <c r="AK22" s="8">
        <f>+SUM(R22:U22)</f>
        <v>0</v>
      </c>
      <c r="AL22" s="8">
        <f>+SUM(V22:Y22)</f>
        <v>35.246153846154073</v>
      </c>
      <c r="AM22" s="9">
        <f>+SUM(Z22:AC22)</f>
        <v>171.23585225906345</v>
      </c>
      <c r="AN22" s="9">
        <f>+SUM(AD22:AG22)</f>
        <v>117.33533042632644</v>
      </c>
      <c r="AO22" s="9">
        <f t="shared" ref="AO22:AU22" si="26">+AN22+AO24</f>
        <v>58.044756410315721</v>
      </c>
      <c r="AP22" s="9">
        <f t="shared" si="26"/>
        <v>58.044756410315721</v>
      </c>
      <c r="AQ22" s="9">
        <f t="shared" si="26"/>
        <v>58.044756410315721</v>
      </c>
      <c r="AR22" s="9">
        <f t="shared" si="26"/>
        <v>58.044756410315721</v>
      </c>
      <c r="AS22" s="9">
        <f t="shared" si="26"/>
        <v>58.044756410315721</v>
      </c>
      <c r="AT22" s="9">
        <f t="shared" si="26"/>
        <v>58.044756410315721</v>
      </c>
      <c r="AU22" s="55">
        <f t="shared" si="26"/>
        <v>58.044756410315721</v>
      </c>
      <c r="AW22" s="519">
        <f>+(AP22/AL22)^(1/4)-1</f>
        <v>0.13282497478495747</v>
      </c>
    </row>
    <row r="23" spans="9:49">
      <c r="I23" s="1" t="s">
        <v>1</v>
      </c>
      <c r="J23" s="22"/>
      <c r="K23" s="26"/>
      <c r="L23" s="26"/>
      <c r="M23" s="27"/>
      <c r="N23" s="25"/>
      <c r="O23" s="26"/>
      <c r="P23" s="26"/>
      <c r="Q23" s="27"/>
      <c r="R23" s="25"/>
      <c r="S23" s="26"/>
      <c r="T23" s="26"/>
      <c r="U23" s="27"/>
      <c r="V23" s="25"/>
      <c r="W23" s="26"/>
      <c r="X23" s="26"/>
      <c r="Y23" s="27"/>
      <c r="Z23" s="25"/>
      <c r="AA23" s="26"/>
      <c r="AB23" s="26"/>
      <c r="AC23" s="29">
        <f>+AC22/Y22-1</f>
        <v>4.9759930161494825E-2</v>
      </c>
      <c r="AD23" s="42">
        <f>+AD22/Z22-1</f>
        <v>-0.68831325301204827</v>
      </c>
      <c r="AE23" s="28">
        <f>+AE22/AA22-1</f>
        <v>-9.090909090909105E-2</v>
      </c>
      <c r="AF23" s="28">
        <f>+AF22/AB22-1</f>
        <v>-9.0909090909090939E-2</v>
      </c>
      <c r="AG23" s="29">
        <f>+AG22/AC22-1</f>
        <v>-9.090909090909105E-2</v>
      </c>
      <c r="AI23" s="22"/>
      <c r="AM23" s="4">
        <f>+AM22/AL22-1</f>
        <v>3.8582847650977969</v>
      </c>
      <c r="AN23" s="4">
        <f t="shared" ref="AN23:AU23" si="27">+AN22/AM22-1</f>
        <v>-0.31477357762199643</v>
      </c>
      <c r="AO23" s="4">
        <f t="shared" si="27"/>
        <v>-0.50530879148321506</v>
      </c>
      <c r="AP23" s="4">
        <f t="shared" si="27"/>
        <v>0</v>
      </c>
      <c r="AQ23" s="4">
        <f t="shared" si="27"/>
        <v>0</v>
      </c>
      <c r="AR23" s="4">
        <f t="shared" si="27"/>
        <v>0</v>
      </c>
      <c r="AS23" s="4">
        <f t="shared" si="27"/>
        <v>0</v>
      </c>
      <c r="AT23" s="4">
        <f t="shared" si="27"/>
        <v>0</v>
      </c>
      <c r="AU23" s="77">
        <f t="shared" si="27"/>
        <v>0</v>
      </c>
    </row>
    <row r="24" spans="9:49">
      <c r="I24" s="1" t="s">
        <v>23</v>
      </c>
      <c r="J24" s="22"/>
      <c r="K24" s="26"/>
      <c r="L24" s="26"/>
      <c r="M24" s="27"/>
      <c r="N24" s="25"/>
      <c r="O24" s="26"/>
      <c r="P24" s="26"/>
      <c r="Q24" s="27"/>
      <c r="R24" s="25"/>
      <c r="S24" s="26"/>
      <c r="T24" s="26"/>
      <c r="U24" s="27"/>
      <c r="V24" s="25"/>
      <c r="W24" s="26"/>
      <c r="X24" s="26"/>
      <c r="Y24" s="27"/>
      <c r="Z24" s="25"/>
      <c r="AA24" s="26"/>
      <c r="AB24" s="26"/>
      <c r="AC24" s="27">
        <f>+AC22-Y22</f>
        <v>1.7538461538459273</v>
      </c>
      <c r="AD24" s="25">
        <f>+AD22-Z22</f>
        <v>-44.166988790104384</v>
      </c>
      <c r="AE24" s="26">
        <f>+AE22-AA22</f>
        <v>-3.8142711307530419</v>
      </c>
      <c r="AF24" s="26">
        <f>+AF22-AB22</f>
        <v>-2.555625548243242</v>
      </c>
      <c r="AG24" s="27">
        <f>+AG22-AC22</f>
        <v>-3.3636363636363669</v>
      </c>
      <c r="AI24" s="22"/>
      <c r="AM24" s="3">
        <f>+AM22-AL22</f>
        <v>135.98969841290938</v>
      </c>
      <c r="AN24" s="3">
        <f>+AN22-AM22</f>
        <v>-53.900521832737013</v>
      </c>
      <c r="AO24" s="88">
        <f>+AN24*1.1</f>
        <v>-59.290574016010716</v>
      </c>
      <c r="AP24" s="88">
        <v>0</v>
      </c>
      <c r="AQ24" s="88">
        <f>+AP24*1</f>
        <v>0</v>
      </c>
      <c r="AR24" s="88">
        <f>+AQ24*0.9</f>
        <v>0</v>
      </c>
      <c r="AS24" s="88">
        <f>+AR24*0.9</f>
        <v>0</v>
      </c>
      <c r="AT24" s="88">
        <f>+AS24*0.9</f>
        <v>0</v>
      </c>
      <c r="AU24" s="88">
        <f>+AT24*0.9</f>
        <v>0</v>
      </c>
    </row>
    <row r="25" spans="9:49">
      <c r="I25" s="1" t="s">
        <v>3</v>
      </c>
      <c r="J25" s="22"/>
      <c r="K25" s="26"/>
      <c r="L25" s="26"/>
      <c r="M25" s="27"/>
      <c r="N25" s="25"/>
      <c r="O25" s="26"/>
      <c r="P25" s="26"/>
      <c r="Q25" s="27"/>
      <c r="R25" s="25"/>
      <c r="S25" s="26"/>
      <c r="T25" s="26"/>
      <c r="U25" s="27"/>
      <c r="V25" s="25"/>
      <c r="W25" s="26"/>
      <c r="X25" s="26"/>
      <c r="Y25" s="27"/>
      <c r="Z25" s="42">
        <f>+Z22/Y22-1</f>
        <v>0.82053874786414593</v>
      </c>
      <c r="AA25" s="28">
        <f t="shared" ref="AA25:AG25" si="28">+AA22/Z22-1</f>
        <v>-0.34612823151904115</v>
      </c>
      <c r="AB25" s="28">
        <f t="shared" si="28"/>
        <v>-0.32998324958123948</v>
      </c>
      <c r="AC25" s="29">
        <f t="shared" si="28"/>
        <v>0.31616948576388881</v>
      </c>
      <c r="AD25" s="42">
        <f t="shared" si="28"/>
        <v>-0.45945945945945943</v>
      </c>
      <c r="AE25" s="28">
        <f t="shared" si="28"/>
        <v>0.90713556537651874</v>
      </c>
      <c r="AF25" s="28">
        <f t="shared" si="28"/>
        <v>-0.32998324958123948</v>
      </c>
      <c r="AG25" s="29">
        <f t="shared" si="28"/>
        <v>0.31616948576388859</v>
      </c>
      <c r="AI25" s="22"/>
      <c r="AM25" s="87"/>
      <c r="AN25" s="87"/>
      <c r="AO25" s="4"/>
      <c r="AP25" s="4"/>
      <c r="AQ25" s="4"/>
      <c r="AR25" s="4"/>
      <c r="AS25" s="4"/>
      <c r="AT25" s="4"/>
      <c r="AU25" s="77"/>
    </row>
    <row r="26" spans="9:49">
      <c r="I26" s="1" t="s">
        <v>4</v>
      </c>
      <c r="J26" s="22"/>
      <c r="K26" s="26"/>
      <c r="L26" s="26"/>
      <c r="M26" s="27"/>
      <c r="N26" s="25"/>
      <c r="O26" s="26"/>
      <c r="P26" s="26"/>
      <c r="Q26" s="27"/>
      <c r="R26" s="25"/>
      <c r="S26" s="26"/>
      <c r="T26" s="26"/>
      <c r="U26" s="27"/>
      <c r="V26" s="25"/>
      <c r="W26" s="26"/>
      <c r="X26" s="26"/>
      <c r="Y26" s="27"/>
      <c r="Z26" s="25">
        <f>+Z22-Y22</f>
        <v>28.920834943950311</v>
      </c>
      <c r="AA26" s="26">
        <f t="shared" ref="AA26:AG26" si="29">+AA22-Z22</f>
        <v>-22.210006351820965</v>
      </c>
      <c r="AB26" s="26">
        <f t="shared" si="29"/>
        <v>-13.845101407607761</v>
      </c>
      <c r="AC26" s="27">
        <f t="shared" si="29"/>
        <v>8.8881189693243421</v>
      </c>
      <c r="AD26" s="25">
        <f t="shared" si="29"/>
        <v>-17</v>
      </c>
      <c r="AE26" s="26">
        <f t="shared" si="29"/>
        <v>18.142711307530377</v>
      </c>
      <c r="AF26" s="26">
        <f t="shared" si="29"/>
        <v>-12.586455825097961</v>
      </c>
      <c r="AG26" s="27">
        <f t="shared" si="29"/>
        <v>8.0801081539312172</v>
      </c>
      <c r="AI26" s="22"/>
      <c r="AM26" s="90"/>
      <c r="AN26" s="90"/>
      <c r="AO26" s="4"/>
      <c r="AP26" s="4"/>
      <c r="AQ26" s="4"/>
      <c r="AR26" s="4"/>
      <c r="AS26" s="4"/>
      <c r="AT26" s="4"/>
      <c r="AU26" s="77"/>
    </row>
    <row r="27" spans="9:49">
      <c r="J27" s="22"/>
      <c r="K27" s="26"/>
      <c r="L27" s="26"/>
      <c r="M27" s="27"/>
      <c r="N27" s="25"/>
      <c r="O27" s="26"/>
      <c r="P27" s="26"/>
      <c r="Q27" s="27"/>
      <c r="R27" s="25"/>
      <c r="S27" s="26"/>
      <c r="T27" s="26"/>
      <c r="U27" s="27"/>
      <c r="V27" s="25"/>
      <c r="W27" s="26"/>
      <c r="X27" s="26"/>
      <c r="Y27" s="27"/>
      <c r="Z27" s="25"/>
      <c r="AA27" s="26"/>
      <c r="AB27" s="26"/>
      <c r="AC27" s="27"/>
      <c r="AD27" s="25"/>
      <c r="AE27" s="26"/>
      <c r="AF27" s="26"/>
      <c r="AG27" s="27"/>
      <c r="AI27" s="22"/>
      <c r="AM27" s="188"/>
      <c r="AU27" s="24"/>
    </row>
    <row r="28" spans="9:49" s="7" customFormat="1">
      <c r="I28" s="7" t="s">
        <v>114</v>
      </c>
      <c r="J28" s="33"/>
      <c r="K28" s="37"/>
      <c r="L28" s="37"/>
      <c r="M28" s="38"/>
      <c r="N28" s="36"/>
      <c r="O28" s="37"/>
      <c r="P28" s="37"/>
      <c r="Q28" s="38"/>
      <c r="R28" s="36"/>
      <c r="S28" s="37"/>
      <c r="T28" s="37"/>
      <c r="U28" s="38"/>
      <c r="V28" s="36"/>
      <c r="W28" s="37"/>
      <c r="X28" s="37"/>
      <c r="Y28" s="104">
        <v>130</v>
      </c>
      <c r="Z28" s="89">
        <f>+Y28*0.995</f>
        <v>129.35</v>
      </c>
      <c r="AA28" s="90">
        <f>+Z28*0.995</f>
        <v>128.70325</v>
      </c>
      <c r="AB28" s="90">
        <f>+AA28*0.995</f>
        <v>128.05973374999999</v>
      </c>
      <c r="AC28" s="91">
        <f>+AB28*0.995</f>
        <v>127.41943508124999</v>
      </c>
      <c r="AD28" s="89">
        <f>+AC28*0.99</f>
        <v>126.14524073043748</v>
      </c>
      <c r="AE28" s="90">
        <f>+AD28*0.99</f>
        <v>124.8837883231331</v>
      </c>
      <c r="AF28" s="90">
        <f>+AE28*0.99</f>
        <v>123.63495043990177</v>
      </c>
      <c r="AG28" s="91">
        <f>+AF28*0.99</f>
        <v>122.39860093550276</v>
      </c>
      <c r="AI28" s="33"/>
      <c r="AL28" s="90">
        <f>+(AL31*1000)/AL22</f>
        <v>130</v>
      </c>
      <c r="AM28" s="90">
        <f>+(AM31*1000)/AM22</f>
        <v>130.22973697273534</v>
      </c>
      <c r="AN28" s="90">
        <f>+(AN31*1000)/AN22</f>
        <v>124.11437609068162</v>
      </c>
      <c r="AO28" s="90">
        <f>+AN28</f>
        <v>124.11437609068162</v>
      </c>
      <c r="AP28" s="90">
        <f t="shared" ref="AP28:AU28" si="30">+AO28</f>
        <v>124.11437609068162</v>
      </c>
      <c r="AQ28" s="90">
        <f t="shared" si="30"/>
        <v>124.11437609068162</v>
      </c>
      <c r="AR28" s="90">
        <f t="shared" si="30"/>
        <v>124.11437609068162</v>
      </c>
      <c r="AS28" s="90">
        <f t="shared" si="30"/>
        <v>124.11437609068162</v>
      </c>
      <c r="AT28" s="90">
        <f t="shared" si="30"/>
        <v>124.11437609068162</v>
      </c>
      <c r="AU28" s="91">
        <f t="shared" si="30"/>
        <v>124.11437609068162</v>
      </c>
      <c r="AW28" s="519">
        <f>+(AP28/AL28)^(1/4)-1</f>
        <v>-1.1515908957751453E-2</v>
      </c>
    </row>
    <row r="29" spans="9:49" ht="14.25">
      <c r="I29" s="1" t="s">
        <v>120</v>
      </c>
      <c r="J29" s="22"/>
      <c r="K29" s="26"/>
      <c r="L29" s="26"/>
      <c r="M29" s="27"/>
      <c r="N29" s="25"/>
      <c r="O29" s="121"/>
      <c r="P29" s="26"/>
      <c r="Q29" s="27"/>
      <c r="R29" s="25"/>
      <c r="S29" s="26"/>
      <c r="T29" s="26"/>
      <c r="U29" s="27"/>
      <c r="V29" s="25"/>
      <c r="W29" s="26"/>
      <c r="X29" s="26"/>
      <c r="Y29" s="78"/>
      <c r="Z29" s="79"/>
      <c r="AA29" s="80"/>
      <c r="AB29" s="80"/>
      <c r="AC29" s="29">
        <f>+AC28/Y28-1</f>
        <v>-1.9850499375000052E-2</v>
      </c>
      <c r="AD29" s="42">
        <f>+AD28/Z28-1</f>
        <v>-2.4775873750000121E-2</v>
      </c>
      <c r="AE29" s="28">
        <f>+AE28/AA28-1</f>
        <v>-2.9676497500000121E-2</v>
      </c>
      <c r="AF29" s="28">
        <f>+AF28/AB28-1</f>
        <v>-3.4552495000000127E-2</v>
      </c>
      <c r="AG29" s="29">
        <f>+AG28/AC28-1</f>
        <v>-3.9403990000000055E-2</v>
      </c>
      <c r="AI29" s="22"/>
      <c r="AM29" s="5">
        <f t="shared" ref="AM29:AU29" si="31">+AM28/AL28-1</f>
        <v>1.7672074825796358E-3</v>
      </c>
      <c r="AN29" s="5">
        <f t="shared" si="31"/>
        <v>-4.6958252578933046E-2</v>
      </c>
      <c r="AO29" s="5">
        <f t="shared" si="31"/>
        <v>0</v>
      </c>
      <c r="AP29" s="5">
        <f t="shared" si="31"/>
        <v>0</v>
      </c>
      <c r="AQ29" s="5">
        <f t="shared" si="31"/>
        <v>0</v>
      </c>
      <c r="AR29" s="5">
        <f t="shared" si="31"/>
        <v>0</v>
      </c>
      <c r="AS29" s="5">
        <f t="shared" si="31"/>
        <v>0</v>
      </c>
      <c r="AT29" s="5">
        <f t="shared" si="31"/>
        <v>0</v>
      </c>
      <c r="AU29" s="29">
        <f t="shared" si="31"/>
        <v>0</v>
      </c>
      <c r="AV29" s="5"/>
    </row>
    <row r="30" spans="9:49">
      <c r="J30" s="22"/>
      <c r="K30" s="26"/>
      <c r="L30" s="26"/>
      <c r="M30" s="27"/>
      <c r="N30" s="25"/>
      <c r="O30" s="26"/>
      <c r="P30" s="26"/>
      <c r="Q30" s="27"/>
      <c r="R30" s="25"/>
      <c r="S30" s="26"/>
      <c r="T30" s="26"/>
      <c r="U30" s="27"/>
      <c r="V30" s="25"/>
      <c r="W30" s="26"/>
      <c r="X30" s="26"/>
      <c r="Y30" s="27"/>
      <c r="Z30" s="25"/>
      <c r="AA30" s="26"/>
      <c r="AB30" s="26"/>
      <c r="AC30" s="27"/>
      <c r="AD30" s="25"/>
      <c r="AE30" s="26"/>
      <c r="AF30" s="26"/>
      <c r="AG30" s="27"/>
      <c r="AI30" s="22"/>
      <c r="AU30" s="24"/>
    </row>
    <row r="31" spans="9:49" ht="14.25">
      <c r="I31" s="7" t="s">
        <v>115</v>
      </c>
      <c r="J31" s="33"/>
      <c r="K31" s="37"/>
      <c r="L31" s="37"/>
      <c r="M31" s="38"/>
      <c r="N31" s="36"/>
      <c r="O31" s="122"/>
      <c r="P31" s="37"/>
      <c r="Q31" s="38"/>
      <c r="R31" s="36"/>
      <c r="S31" s="37"/>
      <c r="T31" s="37"/>
      <c r="U31" s="38"/>
      <c r="V31" s="36"/>
      <c r="W31" s="37"/>
      <c r="X31" s="37"/>
      <c r="Y31" s="38">
        <f>404.482-365-34.9</f>
        <v>4.5820000000000292</v>
      </c>
      <c r="Z31" s="44">
        <v>8.3000000000000007</v>
      </c>
      <c r="AA31" s="373">
        <v>5.4</v>
      </c>
      <c r="AB31" s="373">
        <v>3.6</v>
      </c>
      <c r="AC31" s="374">
        <v>5</v>
      </c>
      <c r="AD31" s="36">
        <f t="shared" ref="AD31:AG31" si="32">+(AD28/1000)*AD22</f>
        <v>2.5229048146087498</v>
      </c>
      <c r="AE31" s="37">
        <f t="shared" si="32"/>
        <v>4.7634062849999985</v>
      </c>
      <c r="AF31" s="37">
        <f t="shared" si="32"/>
        <v>3.1596463799999999</v>
      </c>
      <c r="AG31" s="38">
        <f t="shared" si="32"/>
        <v>4.1170438496487289</v>
      </c>
      <c r="AI31" s="36"/>
      <c r="AJ31" s="8"/>
      <c r="AK31" s="8"/>
      <c r="AL31" s="8">
        <f>+SUM(V31:Y31)</f>
        <v>4.5820000000000292</v>
      </c>
      <c r="AM31" s="9">
        <f>+SUM(Z31:AC31)</f>
        <v>22.3</v>
      </c>
      <c r="AN31" s="9">
        <f>+SUM(AD31:AG31)</f>
        <v>14.563001329257476</v>
      </c>
      <c r="AO31" s="37">
        <f t="shared" ref="AO31:AU31" si="33">+(AO28/1000)*AO22</f>
        <v>7.2041887272019274</v>
      </c>
      <c r="AP31" s="37">
        <f t="shared" si="33"/>
        <v>7.2041887272019274</v>
      </c>
      <c r="AQ31" s="37">
        <f t="shared" si="33"/>
        <v>7.2041887272019274</v>
      </c>
      <c r="AR31" s="37">
        <f t="shared" si="33"/>
        <v>7.2041887272019274</v>
      </c>
      <c r="AS31" s="37">
        <f t="shared" si="33"/>
        <v>7.2041887272019274</v>
      </c>
      <c r="AT31" s="37">
        <f t="shared" si="33"/>
        <v>7.2041887272019274</v>
      </c>
      <c r="AU31" s="38">
        <f t="shared" si="33"/>
        <v>7.2041887272019274</v>
      </c>
      <c r="AW31" s="519">
        <f>+(AP31/AL31)^(1/4)-1</f>
        <v>0.11977946551026686</v>
      </c>
    </row>
    <row r="32" spans="9:49">
      <c r="I32" s="1" t="s">
        <v>1</v>
      </c>
      <c r="J32" s="22"/>
      <c r="K32" s="26"/>
      <c r="L32" s="26"/>
      <c r="M32" s="27"/>
      <c r="N32" s="25"/>
      <c r="O32" s="26"/>
      <c r="P32" s="26"/>
      <c r="Q32" s="27"/>
      <c r="R32" s="25"/>
      <c r="S32" s="26"/>
      <c r="T32" s="26"/>
      <c r="U32" s="27"/>
      <c r="V32" s="25"/>
      <c r="W32" s="26"/>
      <c r="X32" s="26"/>
      <c r="Y32" s="27"/>
      <c r="Z32" s="25"/>
      <c r="AA32" s="26"/>
      <c r="AB32" s="26"/>
      <c r="AC32" s="29">
        <f>+AC31/Y31-1</f>
        <v>9.1226538629412435E-2</v>
      </c>
      <c r="AD32" s="42">
        <f>+AD31/Z31-1</f>
        <v>-0.69603556450496995</v>
      </c>
      <c r="AE32" s="28">
        <f>+AE31/AA31-1</f>
        <v>-0.11788772500000033</v>
      </c>
      <c r="AF32" s="28">
        <f>+AF31/AB31-1</f>
        <v>-0.12232045000000002</v>
      </c>
      <c r="AG32" s="29">
        <f>+AG31/AC31-1</f>
        <v>-0.17659123007025423</v>
      </c>
      <c r="AI32" s="22"/>
      <c r="AM32" s="4">
        <f t="shared" ref="AM32:AU32" si="34">+AM31/AL31-1</f>
        <v>3.8668703622871803</v>
      </c>
      <c r="AN32" s="4">
        <f t="shared" si="34"/>
        <v>-0.34695061303778141</v>
      </c>
      <c r="AO32" s="4">
        <f t="shared" si="34"/>
        <v>-0.50530879148321506</v>
      </c>
      <c r="AP32" s="4">
        <f t="shared" si="34"/>
        <v>0</v>
      </c>
      <c r="AQ32" s="4">
        <f t="shared" si="34"/>
        <v>0</v>
      </c>
      <c r="AR32" s="4">
        <f t="shared" si="34"/>
        <v>0</v>
      </c>
      <c r="AS32" s="4">
        <f t="shared" si="34"/>
        <v>0</v>
      </c>
      <c r="AT32" s="4">
        <f t="shared" si="34"/>
        <v>0</v>
      </c>
      <c r="AU32" s="77">
        <f t="shared" si="34"/>
        <v>0</v>
      </c>
    </row>
    <row r="33" spans="9:49">
      <c r="J33" s="22"/>
      <c r="K33" s="26"/>
      <c r="L33" s="26"/>
      <c r="M33" s="27"/>
      <c r="N33" s="25"/>
      <c r="O33" s="26"/>
      <c r="P33" s="26"/>
      <c r="Q33" s="27"/>
      <c r="R33" s="25"/>
      <c r="S33" s="26"/>
      <c r="T33" s="26"/>
      <c r="U33" s="27"/>
      <c r="V33" s="25"/>
      <c r="W33" s="26"/>
      <c r="X33" s="26"/>
      <c r="Y33" s="27"/>
      <c r="Z33" s="25"/>
      <c r="AA33" s="352"/>
      <c r="AB33" s="352"/>
      <c r="AC33" s="29"/>
      <c r="AD33" s="42"/>
      <c r="AE33" s="28"/>
      <c r="AF33" s="28"/>
      <c r="AG33" s="29"/>
      <c r="AI33" s="22"/>
      <c r="AP33" s="5"/>
      <c r="AU33" s="24"/>
    </row>
    <row r="34" spans="9:49">
      <c r="I34" s="7" t="s">
        <v>116</v>
      </c>
      <c r="J34" s="22"/>
      <c r="K34" s="26"/>
      <c r="L34" s="26"/>
      <c r="M34" s="27"/>
      <c r="N34" s="25"/>
      <c r="O34" s="26"/>
      <c r="P34" s="26"/>
      <c r="Q34" s="27"/>
      <c r="R34" s="36">
        <f t="shared" ref="R34:X34" si="35">+R4</f>
        <v>3.92</v>
      </c>
      <c r="S34" s="37">
        <f t="shared" si="35"/>
        <v>5.3</v>
      </c>
      <c r="T34" s="37">
        <f t="shared" si="35"/>
        <v>16.725000000000001</v>
      </c>
      <c r="U34" s="38">
        <f t="shared" si="35"/>
        <v>32.718000000000004</v>
      </c>
      <c r="V34" s="37">
        <f>+V4-V31</f>
        <v>38.798000000000002</v>
      </c>
      <c r="W34" s="37">
        <f t="shared" si="35"/>
        <v>71.798000000000002</v>
      </c>
      <c r="X34" s="37">
        <f t="shared" si="35"/>
        <v>128.20400000000001</v>
      </c>
      <c r="Y34" s="38">
        <f>+Y4-Y31</f>
        <v>161.09999999999997</v>
      </c>
      <c r="Z34" s="37">
        <f>+Z4-Z31</f>
        <v>141.34799999999998</v>
      </c>
      <c r="AA34" s="37">
        <f>+AA4-AA31</f>
        <v>176.27099999999999</v>
      </c>
      <c r="AB34" s="37">
        <f>+AB4-AB31</f>
        <v>204.33700000000002</v>
      </c>
      <c r="AC34" s="38">
        <f t="shared" ref="AC34:AU34" si="36">+AC4-AC31</f>
        <v>280.69299999999998</v>
      </c>
      <c r="AD34" s="36">
        <f t="shared" si="36"/>
        <v>246.47709518539125</v>
      </c>
      <c r="AE34" s="37">
        <f t="shared" si="36"/>
        <v>290.23659371500003</v>
      </c>
      <c r="AF34" s="37">
        <f t="shared" si="36"/>
        <v>337.84035361999997</v>
      </c>
      <c r="AG34" s="38">
        <f t="shared" si="36"/>
        <v>423.88295615035128</v>
      </c>
      <c r="AI34" s="36">
        <f t="shared" si="36"/>
        <v>0</v>
      </c>
      <c r="AJ34" s="8">
        <f t="shared" si="36"/>
        <v>0</v>
      </c>
      <c r="AK34" s="8">
        <f t="shared" si="36"/>
        <v>58.663000000000004</v>
      </c>
      <c r="AL34" s="8">
        <f t="shared" si="36"/>
        <v>399.89999999999992</v>
      </c>
      <c r="AM34" s="9">
        <f t="shared" si="36"/>
        <v>802.649</v>
      </c>
      <c r="AN34" s="9">
        <f t="shared" si="36"/>
        <v>1298.4369986707425</v>
      </c>
      <c r="AO34" s="9">
        <f t="shared" si="36"/>
        <v>1962.1606027956655</v>
      </c>
      <c r="AP34" s="9">
        <f t="shared" si="36"/>
        <v>2797.6743365700872</v>
      </c>
      <c r="AQ34" s="9">
        <f t="shared" si="36"/>
        <v>3805.7226223719676</v>
      </c>
      <c r="AR34" s="9">
        <f t="shared" si="36"/>
        <v>4956.7555538197457</v>
      </c>
      <c r="AS34" s="9">
        <f t="shared" si="36"/>
        <v>6156.3635892437751</v>
      </c>
      <c r="AT34" s="9">
        <f t="shared" si="36"/>
        <v>7348.6727833722716</v>
      </c>
      <c r="AU34" s="55">
        <f t="shared" si="36"/>
        <v>8538.4242901595208</v>
      </c>
      <c r="AW34" s="519">
        <f>+(AP34/AL34)^(1/4)-1</f>
        <v>0.62634035603133498</v>
      </c>
    </row>
    <row r="35" spans="9:49">
      <c r="I35" s="1" t="s">
        <v>1</v>
      </c>
      <c r="J35" s="22"/>
      <c r="K35" s="26"/>
      <c r="L35" s="26"/>
      <c r="M35" s="27"/>
      <c r="N35" s="25"/>
      <c r="O35" s="26"/>
      <c r="P35" s="26"/>
      <c r="Q35" s="27"/>
      <c r="R35" s="25"/>
      <c r="S35" s="26"/>
      <c r="T35" s="26"/>
      <c r="U35" s="27"/>
      <c r="V35" s="42">
        <f t="shared" ref="V35:AB35" si="37">+V34/R34-1</f>
        <v>8.8974489795918377</v>
      </c>
      <c r="W35" s="28">
        <f t="shared" si="37"/>
        <v>12.546792452830189</v>
      </c>
      <c r="X35" s="28">
        <f t="shared" si="37"/>
        <v>6.6654110612855009</v>
      </c>
      <c r="Y35" s="29">
        <f t="shared" si="37"/>
        <v>3.923895103612689</v>
      </c>
      <c r="Z35" s="42">
        <f t="shared" si="37"/>
        <v>2.6431774833754313</v>
      </c>
      <c r="AA35" s="28">
        <f t="shared" si="37"/>
        <v>1.4550962422351597</v>
      </c>
      <c r="AB35" s="28">
        <f t="shared" si="37"/>
        <v>0.59384262581510727</v>
      </c>
      <c r="AC35" s="29">
        <f>+AC34/Y34-1</f>
        <v>0.74235257603972715</v>
      </c>
      <c r="AD35" s="110">
        <f>+AD34/Z34-1</f>
        <v>0.74376075491263594</v>
      </c>
      <c r="AE35" s="28">
        <f>+AE34/AA34-1</f>
        <v>0.64653626356575988</v>
      </c>
      <c r="AF35" s="28">
        <f>+AF34/AB34-1</f>
        <v>0.65334889726285472</v>
      </c>
      <c r="AG35" s="29">
        <f>+AG34/AC34-1</f>
        <v>0.51013012846900807</v>
      </c>
      <c r="AI35" s="22"/>
      <c r="AM35" s="5">
        <f t="shared" ref="AM35:AU35" si="38">+AM34/AL34-1</f>
        <v>1.0071242810702681</v>
      </c>
      <c r="AN35" s="5">
        <f t="shared" si="38"/>
        <v>0.61768967340735803</v>
      </c>
      <c r="AO35" s="5">
        <f t="shared" si="38"/>
        <v>0.51117120415114559</v>
      </c>
      <c r="AP35" s="5">
        <f t="shared" si="38"/>
        <v>0.42581312283204076</v>
      </c>
      <c r="AQ35" s="5">
        <f t="shared" si="38"/>
        <v>0.36031652169985406</v>
      </c>
      <c r="AR35" s="5">
        <f t="shared" si="38"/>
        <v>0.30244793056683195</v>
      </c>
      <c r="AS35" s="5">
        <f t="shared" si="38"/>
        <v>0.24201476598933636</v>
      </c>
      <c r="AT35" s="5">
        <f t="shared" si="38"/>
        <v>0.19367101647662022</v>
      </c>
      <c r="AU35" s="29">
        <f t="shared" si="38"/>
        <v>0.16190018821892327</v>
      </c>
    </row>
    <row r="36" spans="9:49" s="105" customFormat="1">
      <c r="I36" s="163" t="s">
        <v>3</v>
      </c>
      <c r="J36" s="106"/>
      <c r="K36" s="192"/>
      <c r="L36" s="192"/>
      <c r="M36" s="193"/>
      <c r="N36" s="106"/>
      <c r="O36" s="192"/>
      <c r="P36" s="192"/>
      <c r="Q36" s="193"/>
      <c r="R36" s="194"/>
      <c r="S36" s="111">
        <f t="shared" ref="S36:AG36" si="39">+S34/R34-1</f>
        <v>0.3520408163265305</v>
      </c>
      <c r="T36" s="111">
        <f t="shared" si="39"/>
        <v>2.1556603773584908</v>
      </c>
      <c r="U36" s="112">
        <f t="shared" si="39"/>
        <v>0.95623318385650236</v>
      </c>
      <c r="V36" s="110">
        <f t="shared" si="39"/>
        <v>0.18583042973286878</v>
      </c>
      <c r="W36" s="111">
        <f t="shared" si="39"/>
        <v>0.85055930718078243</v>
      </c>
      <c r="X36" s="111">
        <f t="shared" si="39"/>
        <v>0.78562076938076286</v>
      </c>
      <c r="Y36" s="112">
        <f t="shared" si="39"/>
        <v>0.25659105800130999</v>
      </c>
      <c r="Z36" s="110">
        <f t="shared" si="39"/>
        <v>-0.12260707635009305</v>
      </c>
      <c r="AA36" s="111">
        <f t="shared" si="39"/>
        <v>0.2470710586637237</v>
      </c>
      <c r="AB36" s="111">
        <f t="shared" si="39"/>
        <v>0.15922074532963459</v>
      </c>
      <c r="AC36" s="112">
        <f t="shared" si="39"/>
        <v>0.37367681819738952</v>
      </c>
      <c r="AD36" s="110">
        <f t="shared" si="39"/>
        <v>-0.12189796259475205</v>
      </c>
      <c r="AE36" s="111">
        <f t="shared" si="39"/>
        <v>0.17753981763171311</v>
      </c>
      <c r="AF36" s="111">
        <f t="shared" si="39"/>
        <v>0.1640170844609099</v>
      </c>
      <c r="AG36" s="112">
        <f t="shared" si="39"/>
        <v>0.25468420692908489</v>
      </c>
      <c r="AI36" s="106"/>
      <c r="AL36" s="116"/>
      <c r="AM36" s="116"/>
      <c r="AN36" s="116"/>
      <c r="AO36" s="116"/>
      <c r="AP36" s="116"/>
      <c r="AQ36" s="116"/>
      <c r="AR36" s="116"/>
      <c r="AS36" s="116"/>
      <c r="AT36" s="116"/>
      <c r="AU36" s="112"/>
    </row>
    <row r="37" spans="9:49" s="105" customFormat="1">
      <c r="I37" s="163"/>
      <c r="J37" s="106"/>
      <c r="K37" s="192"/>
      <c r="L37" s="192"/>
      <c r="M37" s="193"/>
      <c r="N37" s="106"/>
      <c r="O37" s="192"/>
      <c r="P37" s="192"/>
      <c r="Q37" s="193"/>
      <c r="R37" s="194"/>
      <c r="S37" s="111"/>
      <c r="T37" s="111"/>
      <c r="U37" s="112"/>
      <c r="V37" s="110"/>
      <c r="W37" s="111"/>
      <c r="X37" s="111"/>
      <c r="Y37" s="112"/>
      <c r="Z37" s="111"/>
      <c r="AA37" s="111"/>
      <c r="AB37" s="111"/>
      <c r="AC37" s="112"/>
      <c r="AD37" s="110"/>
      <c r="AE37" s="111"/>
      <c r="AF37" s="111"/>
      <c r="AG37" s="112"/>
      <c r="AI37" s="106"/>
      <c r="AL37" s="116"/>
      <c r="AM37" s="116"/>
      <c r="AN37" s="116"/>
      <c r="AO37" s="116"/>
      <c r="AP37" s="116"/>
      <c r="AQ37" s="116"/>
      <c r="AR37" s="116"/>
      <c r="AS37" s="116"/>
      <c r="AT37" s="116"/>
      <c r="AU37" s="112"/>
    </row>
    <row r="38" spans="9:49">
      <c r="I38" s="14" t="s">
        <v>119</v>
      </c>
      <c r="J38" s="22"/>
      <c r="K38" s="26"/>
      <c r="L38" s="26"/>
      <c r="M38" s="27"/>
      <c r="N38" s="25"/>
      <c r="O38" s="26"/>
      <c r="P38" s="26"/>
      <c r="Q38" s="27"/>
      <c r="R38" s="81">
        <f>+R34/AVERAGE(Q11:R11)</f>
        <v>5.1578947368421051E-2</v>
      </c>
      <c r="S38" s="82">
        <f t="shared" ref="S38:AG38" si="40">+S34/AVERAGE(R11:S11)</f>
        <v>6.3095238095238093E-2</v>
      </c>
      <c r="T38" s="82">
        <f t="shared" si="40"/>
        <v>0.18409466152999451</v>
      </c>
      <c r="U38" s="83">
        <f t="shared" si="40"/>
        <v>0.32603886397608378</v>
      </c>
      <c r="V38" s="81">
        <f t="shared" si="40"/>
        <v>0.34033333333333338</v>
      </c>
      <c r="W38" s="84">
        <f t="shared" si="40"/>
        <v>0.54187169811320757</v>
      </c>
      <c r="X38" s="84">
        <f t="shared" si="40"/>
        <v>0.86624324324324331</v>
      </c>
      <c r="Y38" s="85">
        <f t="shared" si="40"/>
        <v>1.0350144555091549</v>
      </c>
      <c r="Z38" s="82">
        <f t="shared" si="40"/>
        <v>0.87171137835337642</v>
      </c>
      <c r="AA38" s="84">
        <f t="shared" si="40"/>
        <v>1.0368882352941176</v>
      </c>
      <c r="AB38" s="84">
        <f t="shared" si="40"/>
        <v>1.161005681818182</v>
      </c>
      <c r="AC38" s="85">
        <f t="shared" si="40"/>
        <v>1.5380438356164383</v>
      </c>
      <c r="AD38" s="86">
        <f t="shared" si="40"/>
        <v>1.2941147494770098</v>
      </c>
      <c r="AE38" s="84">
        <f t="shared" si="40"/>
        <v>1.4687306277500438</v>
      </c>
      <c r="AF38" s="84">
        <f t="shared" si="40"/>
        <v>1.6514748571599662</v>
      </c>
      <c r="AG38" s="85">
        <f t="shared" si="40"/>
        <v>2.0049518894205005</v>
      </c>
      <c r="AI38" s="22"/>
      <c r="AJ38" s="84">
        <f t="shared" ref="AJ38:AU38" si="41">+AJ34/AVERAGE(AI11:AJ11)</f>
        <v>0</v>
      </c>
      <c r="AK38" s="84">
        <f t="shared" si="41"/>
        <v>0.66285875706214692</v>
      </c>
      <c r="AL38" s="84">
        <f t="shared" si="41"/>
        <v>3.0261066969353001</v>
      </c>
      <c r="AM38" s="84">
        <f t="shared" si="41"/>
        <v>4.6489950767448596</v>
      </c>
      <c r="AN38" s="84">
        <f t="shared" si="41"/>
        <v>6.4598970149704185</v>
      </c>
      <c r="AO38" s="84">
        <f t="shared" si="41"/>
        <v>8.5946983586792456</v>
      </c>
      <c r="AP38" s="84">
        <f t="shared" si="41"/>
        <v>11.017821594729932</v>
      </c>
      <c r="AQ38" s="84">
        <f t="shared" si="41"/>
        <v>13.718637338166339</v>
      </c>
      <c r="AR38" s="84">
        <f t="shared" si="41"/>
        <v>16.598438501322661</v>
      </c>
      <c r="AS38" s="84">
        <f t="shared" si="41"/>
        <v>19.37660133118327</v>
      </c>
      <c r="AT38" s="84">
        <f t="shared" si="41"/>
        <v>21.942501341196714</v>
      </c>
      <c r="AU38" s="85">
        <f t="shared" si="41"/>
        <v>24.313125946141465</v>
      </c>
    </row>
    <row r="39" spans="9:49">
      <c r="I39" s="14" t="s">
        <v>1</v>
      </c>
      <c r="J39" s="22"/>
      <c r="K39" s="26"/>
      <c r="L39" s="26"/>
      <c r="M39" s="27"/>
      <c r="N39" s="25"/>
      <c r="O39" s="26"/>
      <c r="P39" s="26"/>
      <c r="Q39" s="27"/>
      <c r="R39" s="42"/>
      <c r="S39" s="28"/>
      <c r="T39" s="28"/>
      <c r="U39" s="29"/>
      <c r="V39" s="42">
        <f t="shared" ref="V39:AG39" si="42">+V38/R38-1</f>
        <v>5.5982993197278921</v>
      </c>
      <c r="W39" s="28">
        <f t="shared" si="42"/>
        <v>7.588155215379139</v>
      </c>
      <c r="X39" s="28">
        <f t="shared" si="42"/>
        <v>3.705422938633701</v>
      </c>
      <c r="Y39" s="29">
        <f t="shared" si="42"/>
        <v>2.1745125194187809</v>
      </c>
      <c r="Z39" s="28">
        <f t="shared" si="42"/>
        <v>1.5613458717533093</v>
      </c>
      <c r="AA39" s="28">
        <f t="shared" si="42"/>
        <v>0.91353089468328608</v>
      </c>
      <c r="AB39" s="28">
        <f t="shared" si="42"/>
        <v>0.34027675352634024</v>
      </c>
      <c r="AC39" s="29">
        <f t="shared" si="42"/>
        <v>0.48601193677032084</v>
      </c>
      <c r="AD39" s="42">
        <f t="shared" si="42"/>
        <v>0.48456792192105413</v>
      </c>
      <c r="AE39" s="28">
        <f t="shared" si="42"/>
        <v>0.41647920938502336</v>
      </c>
      <c r="AF39" s="28">
        <f t="shared" si="42"/>
        <v>0.42245200262387139</v>
      </c>
      <c r="AG39" s="29">
        <f t="shared" si="42"/>
        <v>0.3035726570282884</v>
      </c>
      <c r="AI39" s="22"/>
      <c r="AM39" s="4">
        <f t="shared" ref="AM39:AU39" si="43">+AM38/AL38-1</f>
        <v>0.53629582243519214</v>
      </c>
      <c r="AN39" s="4">
        <f t="shared" si="43"/>
        <v>0.38952545836927821</v>
      </c>
      <c r="AO39" s="4">
        <f t="shared" si="43"/>
        <v>0.33046987262514471</v>
      </c>
      <c r="AP39" s="4">
        <f t="shared" si="43"/>
        <v>0.28193231861403567</v>
      </c>
      <c r="AQ39" s="4">
        <f t="shared" si="43"/>
        <v>0.24513155529113551</v>
      </c>
      <c r="AR39" s="4">
        <f t="shared" si="43"/>
        <v>0.20991889297521471</v>
      </c>
      <c r="AS39" s="4">
        <f t="shared" si="43"/>
        <v>0.16737495094127253</v>
      </c>
      <c r="AT39" s="4">
        <f t="shared" si="43"/>
        <v>0.13242260426156749</v>
      </c>
      <c r="AU39" s="77">
        <f t="shared" si="43"/>
        <v>0.10803802939703777</v>
      </c>
    </row>
    <row r="40" spans="9:49">
      <c r="I40" s="14"/>
      <c r="J40" s="22"/>
      <c r="K40" s="26"/>
      <c r="L40" s="26"/>
      <c r="M40" s="26"/>
      <c r="N40" s="25"/>
      <c r="O40" s="26"/>
      <c r="P40" s="26"/>
      <c r="Q40" s="27"/>
      <c r="R40" s="42"/>
      <c r="S40" s="28"/>
      <c r="T40" s="28"/>
      <c r="U40" s="29"/>
      <c r="V40" s="28"/>
      <c r="W40" s="28"/>
      <c r="X40" s="28"/>
      <c r="Y40" s="29"/>
      <c r="Z40" s="28"/>
      <c r="AA40" s="28"/>
      <c r="AB40" s="28"/>
      <c r="AC40" s="29"/>
      <c r="AD40" s="42"/>
      <c r="AE40" s="28"/>
      <c r="AF40" s="28"/>
      <c r="AG40" s="29"/>
      <c r="AI40" s="22"/>
      <c r="AM40" s="4"/>
      <c r="AN40" s="4"/>
      <c r="AO40" s="4"/>
      <c r="AP40" s="4"/>
      <c r="AQ40" s="4"/>
      <c r="AR40" s="4"/>
      <c r="AS40" s="4"/>
      <c r="AT40" s="4"/>
      <c r="AU40" s="77"/>
    </row>
    <row r="41" spans="9:49">
      <c r="I41" s="14"/>
      <c r="J41" s="22"/>
      <c r="K41" s="26"/>
      <c r="L41" s="26"/>
      <c r="M41" s="26"/>
      <c r="N41" s="25"/>
      <c r="O41" s="26"/>
      <c r="P41" s="26"/>
      <c r="Q41" s="27"/>
      <c r="R41" s="42"/>
      <c r="S41" s="28"/>
      <c r="T41" s="28"/>
      <c r="U41" s="29"/>
      <c r="V41" s="28"/>
      <c r="W41" s="28"/>
      <c r="X41" s="28"/>
      <c r="Y41" s="29"/>
      <c r="Z41" s="28"/>
      <c r="AA41" s="28"/>
      <c r="AB41" s="28"/>
      <c r="AC41" s="29"/>
      <c r="AD41" s="42"/>
      <c r="AE41" s="28"/>
      <c r="AF41" s="28"/>
      <c r="AG41" s="29"/>
      <c r="AI41" s="22"/>
      <c r="AM41" s="4"/>
      <c r="AN41" s="4"/>
      <c r="AO41" s="4"/>
      <c r="AP41" s="4"/>
      <c r="AQ41" s="4"/>
      <c r="AR41" s="4"/>
      <c r="AS41" s="4"/>
      <c r="AT41" s="4"/>
      <c r="AU41" s="77"/>
    </row>
    <row r="42" spans="9:49">
      <c r="I42" s="14" t="s">
        <v>148</v>
      </c>
      <c r="J42" s="22"/>
      <c r="K42" s="26"/>
      <c r="L42" s="26"/>
      <c r="M42" s="26"/>
      <c r="N42" s="25"/>
      <c r="O42" s="26"/>
      <c r="P42" s="26"/>
      <c r="Q42" s="27"/>
      <c r="R42" s="36">
        <f t="shared" ref="R42:AG42" si="44">+R43*R34</f>
        <v>0.50960000000000005</v>
      </c>
      <c r="S42" s="37">
        <f t="shared" si="44"/>
        <v>0.68899999999999995</v>
      </c>
      <c r="T42" s="37">
        <f t="shared" si="44"/>
        <v>2.1742500000000002</v>
      </c>
      <c r="U42" s="38">
        <f t="shared" si="44"/>
        <v>4.3514940000000006</v>
      </c>
      <c r="V42" s="45">
        <v>3.7</v>
      </c>
      <c r="W42" s="45">
        <v>8.5</v>
      </c>
      <c r="X42" s="45">
        <v>9.6999999999999993</v>
      </c>
      <c r="Y42" s="38">
        <f>+AL42-SUM(V42:X42)</f>
        <v>13</v>
      </c>
      <c r="Z42" s="37">
        <f t="shared" ref="Z42" si="45">+Z43*Z34</f>
        <v>12.297275999999998</v>
      </c>
      <c r="AA42" s="45">
        <v>11.5</v>
      </c>
      <c r="AB42" s="45">
        <v>12.5</v>
      </c>
      <c r="AC42" s="425">
        <f>+AM42-SUM(Z42:AB42)</f>
        <v>12.202724000000003</v>
      </c>
      <c r="AD42" s="36">
        <f t="shared" si="44"/>
        <v>24.647709518539127</v>
      </c>
      <c r="AE42" s="37">
        <f t="shared" si="44"/>
        <v>34.828391245799999</v>
      </c>
      <c r="AF42" s="37">
        <f t="shared" si="44"/>
        <v>40.540842434399998</v>
      </c>
      <c r="AG42" s="38">
        <f t="shared" si="44"/>
        <v>50.865954738042149</v>
      </c>
      <c r="AI42" s="36">
        <f>+SUM(J42:M42)</f>
        <v>0</v>
      </c>
      <c r="AJ42" s="8">
        <f>+SUM(N42:Q42)</f>
        <v>0</v>
      </c>
      <c r="AK42" s="8">
        <f>+SUM(R42:U42)</f>
        <v>7.7243440000000003</v>
      </c>
      <c r="AL42" s="45">
        <v>34.9</v>
      </c>
      <c r="AM42" s="45">
        <v>48.5</v>
      </c>
      <c r="AN42" s="9">
        <f>+SUM(AD42:AG42)</f>
        <v>150.88289793678126</v>
      </c>
      <c r="AO42" s="9">
        <f>+AO43*AO34</f>
        <v>257.44229960287515</v>
      </c>
      <c r="AP42" s="9">
        <f t="shared" ref="AP42:AU42" si="46">+AP43*AP34</f>
        <v>409.02972419438856</v>
      </c>
      <c r="AQ42" s="9">
        <f t="shared" si="46"/>
        <v>613.49573102354088</v>
      </c>
      <c r="AR42" s="9">
        <f t="shared" si="46"/>
        <v>873.39757859049269</v>
      </c>
      <c r="AS42" s="9">
        <f t="shared" si="46"/>
        <v>1177.1181430273807</v>
      </c>
      <c r="AT42" s="9">
        <f t="shared" si="46"/>
        <v>1515.3219020511492</v>
      </c>
      <c r="AU42" s="55">
        <f t="shared" si="46"/>
        <v>1888.7291675578799</v>
      </c>
      <c r="AW42" s="519">
        <f>+(AP42/AL42)^(1/4)-1</f>
        <v>0.85025829797533081</v>
      </c>
    </row>
    <row r="43" spans="9:49">
      <c r="I43" s="120" t="s">
        <v>147</v>
      </c>
      <c r="J43" s="22"/>
      <c r="K43" s="26"/>
      <c r="L43" s="26"/>
      <c r="M43" s="26"/>
      <c r="N43" s="25"/>
      <c r="O43" s="26"/>
      <c r="P43" s="26"/>
      <c r="Q43" s="27"/>
      <c r="R43" s="42">
        <v>0.13</v>
      </c>
      <c r="S43" s="28">
        <v>0.13</v>
      </c>
      <c r="T43" s="28">
        <v>0.13</v>
      </c>
      <c r="U43" s="29">
        <v>0.13300000000000001</v>
      </c>
      <c r="V43" s="28">
        <f>V42/V34</f>
        <v>9.5365740502087737E-2</v>
      </c>
      <c r="W43" s="28">
        <f>W42/W34</f>
        <v>0.1183876988216942</v>
      </c>
      <c r="X43" s="28">
        <f>X42/X34</f>
        <v>7.5660665813859149E-2</v>
      </c>
      <c r="Y43" s="29">
        <f>Y42/Y34</f>
        <v>8.0695220360024841E-2</v>
      </c>
      <c r="Z43" s="28">
        <v>8.6999999999999994E-2</v>
      </c>
      <c r="AA43" s="28">
        <f>AA42/AA34</f>
        <v>6.5240453619710564E-2</v>
      </c>
      <c r="AB43" s="28">
        <f>AB42/AB34</f>
        <v>6.117345365743844E-2</v>
      </c>
      <c r="AC43" s="29">
        <f>AC42/AC34</f>
        <v>4.3473560081655059E-2</v>
      </c>
      <c r="AD43" s="124">
        <v>0.1</v>
      </c>
      <c r="AE43" s="118">
        <v>0.12</v>
      </c>
      <c r="AF43" s="118">
        <v>0.12</v>
      </c>
      <c r="AG43" s="119">
        <v>0.12</v>
      </c>
      <c r="AI43" s="22"/>
      <c r="AJ43" s="28"/>
      <c r="AK43" s="28">
        <f>+AK42/AK34</f>
        <v>0.13167318411946202</v>
      </c>
      <c r="AL43" s="28">
        <f>+AL42/AL34</f>
        <v>8.7271817954488642E-2</v>
      </c>
      <c r="AM43" s="28">
        <f>+AM42/AM34</f>
        <v>6.0424917990304604E-2</v>
      </c>
      <c r="AN43" s="28">
        <f>+AN42/AN34</f>
        <v>0.11620348010049437</v>
      </c>
      <c r="AO43" s="20">
        <f>+AN43+0.015</f>
        <v>0.13120348010049437</v>
      </c>
      <c r="AP43" s="20">
        <f t="shared" ref="AP43:AU43" si="47">+AO43+0.015</f>
        <v>0.14620348010049439</v>
      </c>
      <c r="AQ43" s="20">
        <f t="shared" si="47"/>
        <v>0.1612034801004944</v>
      </c>
      <c r="AR43" s="20">
        <f t="shared" si="47"/>
        <v>0.17620348010049441</v>
      </c>
      <c r="AS43" s="20">
        <f t="shared" si="47"/>
        <v>0.19120348010049443</v>
      </c>
      <c r="AT43" s="20">
        <f t="shared" si="47"/>
        <v>0.20620348010049444</v>
      </c>
      <c r="AU43" s="69">
        <f t="shared" si="47"/>
        <v>0.22120348010049445</v>
      </c>
    </row>
    <row r="44" spans="9:49" s="105" customFormat="1">
      <c r="I44" s="123" t="s">
        <v>1</v>
      </c>
      <c r="J44" s="106"/>
      <c r="K44" s="107"/>
      <c r="L44" s="107"/>
      <c r="M44" s="107"/>
      <c r="N44" s="109"/>
      <c r="O44" s="107"/>
      <c r="P44" s="107"/>
      <c r="Q44" s="108"/>
      <c r="R44" s="110"/>
      <c r="S44" s="111"/>
      <c r="T44" s="111"/>
      <c r="U44" s="112"/>
      <c r="V44" s="111">
        <f>+V42/R42-1</f>
        <v>6.2605965463108317</v>
      </c>
      <c r="W44" s="111">
        <f t="shared" ref="W44:AG44" si="48">+W42/S42-1</f>
        <v>11.336719883889696</v>
      </c>
      <c r="X44" s="111">
        <f t="shared" si="48"/>
        <v>3.4613084971829355</v>
      </c>
      <c r="Y44" s="112">
        <f t="shared" si="48"/>
        <v>1.9874797023734834</v>
      </c>
      <c r="Z44" s="111">
        <f>+Z42/V42-1</f>
        <v>2.3235881081081073</v>
      </c>
      <c r="AA44" s="111">
        <f t="shared" si="48"/>
        <v>0.35294117647058831</v>
      </c>
      <c r="AB44" s="111">
        <f t="shared" si="48"/>
        <v>0.28865979381443307</v>
      </c>
      <c r="AC44" s="112">
        <f t="shared" si="48"/>
        <v>-6.1328923076922837E-2</v>
      </c>
      <c r="AD44" s="111">
        <f t="shared" si="48"/>
        <v>1.0043227067961338</v>
      </c>
      <c r="AE44" s="111">
        <f t="shared" si="48"/>
        <v>2.0285557605043478</v>
      </c>
      <c r="AF44" s="111">
        <f t="shared" si="48"/>
        <v>2.2432673947519999</v>
      </c>
      <c r="AG44" s="112">
        <f t="shared" si="48"/>
        <v>3.1684098352172949</v>
      </c>
      <c r="AI44" s="106"/>
      <c r="AJ44" s="111"/>
      <c r="AK44" s="111"/>
      <c r="AL44" s="111">
        <f>+AL42/AK42-1</f>
        <v>3.5181830327598043</v>
      </c>
      <c r="AM44" s="111">
        <f t="shared" ref="AM44:AU44" si="49">+AM42/AL42-1</f>
        <v>0.38968481375358177</v>
      </c>
      <c r="AN44" s="111">
        <f>+AN42/AM42-1</f>
        <v>2.1109875863253866</v>
      </c>
      <c r="AO44" s="111">
        <f t="shared" si="49"/>
        <v>0.7062390974936168</v>
      </c>
      <c r="AP44" s="111">
        <f t="shared" si="49"/>
        <v>0.58882097007892198</v>
      </c>
      <c r="AQ44" s="111">
        <f t="shared" si="49"/>
        <v>0.49988055814736154</v>
      </c>
      <c r="AR44" s="111">
        <f t="shared" si="49"/>
        <v>0.42364084120575396</v>
      </c>
      <c r="AS44" s="111">
        <f t="shared" si="49"/>
        <v>0.3477460573305442</v>
      </c>
      <c r="AT44" s="111">
        <f t="shared" si="49"/>
        <v>0.28731505076793429</v>
      </c>
      <c r="AU44" s="112">
        <f t="shared" si="49"/>
        <v>0.24642108386428285</v>
      </c>
    </row>
    <row r="45" spans="9:49" s="105" customFormat="1">
      <c r="I45" s="123"/>
      <c r="J45" s="106"/>
      <c r="K45" s="107"/>
      <c r="L45" s="107"/>
      <c r="M45" s="107"/>
      <c r="N45" s="109"/>
      <c r="O45" s="107"/>
      <c r="P45" s="107"/>
      <c r="Q45" s="108"/>
      <c r="R45" s="110"/>
      <c r="S45" s="111"/>
      <c r="T45" s="111"/>
      <c r="U45" s="112"/>
      <c r="V45" s="111"/>
      <c r="W45" s="111"/>
      <c r="X45" s="111"/>
      <c r="Y45" s="112"/>
      <c r="Z45" s="111"/>
      <c r="AA45" s="118"/>
      <c r="AB45" s="118"/>
      <c r="AC45" s="119"/>
      <c r="AD45" s="124"/>
      <c r="AE45" s="118"/>
      <c r="AF45" s="118"/>
      <c r="AG45" s="119"/>
      <c r="AI45" s="106"/>
      <c r="AJ45" s="111"/>
      <c r="AK45" s="111"/>
      <c r="AL45" s="287"/>
      <c r="AM45" s="111"/>
      <c r="AN45" s="111"/>
      <c r="AO45" s="125"/>
      <c r="AP45" s="125"/>
      <c r="AQ45" s="125"/>
      <c r="AR45" s="125"/>
      <c r="AS45" s="125"/>
      <c r="AT45" s="125"/>
      <c r="AU45" s="126"/>
    </row>
    <row r="46" spans="9:49">
      <c r="I46" s="14"/>
      <c r="J46" s="22"/>
      <c r="K46" s="26"/>
      <c r="L46" s="26"/>
      <c r="M46" s="26"/>
      <c r="N46" s="25"/>
      <c r="O46" s="26"/>
      <c r="P46" s="26"/>
      <c r="Q46" s="27"/>
      <c r="R46" s="42"/>
      <c r="S46" s="28"/>
      <c r="T46" s="28"/>
      <c r="U46" s="29"/>
      <c r="V46" s="28"/>
      <c r="W46" s="28"/>
      <c r="X46" s="28"/>
      <c r="Y46" s="29"/>
      <c r="Z46" s="28"/>
      <c r="AA46" s="28"/>
      <c r="AB46" s="28"/>
      <c r="AC46" s="29"/>
      <c r="AD46" s="42"/>
      <c r="AE46" s="28"/>
      <c r="AF46" s="28"/>
      <c r="AG46" s="29"/>
      <c r="AI46" s="22"/>
      <c r="AL46" s="417"/>
      <c r="AM46" s="4"/>
      <c r="AN46" s="4"/>
      <c r="AO46" s="4"/>
      <c r="AP46" s="4"/>
      <c r="AQ46" s="4"/>
      <c r="AR46" s="4"/>
      <c r="AS46" s="4"/>
      <c r="AT46" s="4"/>
      <c r="AU46" s="77"/>
    </row>
    <row r="47" spans="9:49">
      <c r="I47" s="14" t="s">
        <v>149</v>
      </c>
      <c r="J47" s="22"/>
      <c r="K47" s="26"/>
      <c r="L47" s="26"/>
      <c r="M47" s="26"/>
      <c r="N47" s="25"/>
      <c r="O47" s="26"/>
      <c r="P47" s="26"/>
      <c r="Q47" s="27"/>
      <c r="R47" s="36">
        <f t="shared" ref="R47:AD47" si="50">+R34-R42</f>
        <v>3.4104000000000001</v>
      </c>
      <c r="S47" s="37">
        <f t="shared" si="50"/>
        <v>4.6109999999999998</v>
      </c>
      <c r="T47" s="37">
        <f t="shared" si="50"/>
        <v>14.550750000000001</v>
      </c>
      <c r="U47" s="38">
        <f t="shared" si="50"/>
        <v>28.366506000000001</v>
      </c>
      <c r="V47" s="36">
        <f t="shared" si="50"/>
        <v>35.097999999999999</v>
      </c>
      <c r="W47" s="37">
        <f t="shared" si="50"/>
        <v>63.298000000000002</v>
      </c>
      <c r="X47" s="37">
        <f t="shared" si="50"/>
        <v>118.504</v>
      </c>
      <c r="Y47" s="38">
        <f t="shared" si="50"/>
        <v>148.09999999999997</v>
      </c>
      <c r="Z47" s="37">
        <f t="shared" ref="Z47" si="51">+Z34-Z42</f>
        <v>129.05072399999997</v>
      </c>
      <c r="AA47" s="37">
        <f t="shared" si="50"/>
        <v>164.77099999999999</v>
      </c>
      <c r="AB47" s="37">
        <f t="shared" ref="AB47" si="52">+AB34-AB42</f>
        <v>191.83700000000002</v>
      </c>
      <c r="AC47" s="38">
        <f t="shared" si="50"/>
        <v>268.49027599999999</v>
      </c>
      <c r="AD47" s="36">
        <f t="shared" si="50"/>
        <v>221.82938566685212</v>
      </c>
      <c r="AE47" s="37">
        <f>+AE34-AE42</f>
        <v>255.40820246920003</v>
      </c>
      <c r="AF47" s="37">
        <f>+AF34-AF42</f>
        <v>297.29951118559995</v>
      </c>
      <c r="AG47" s="38">
        <f>+AG34-AG42</f>
        <v>373.01700141230913</v>
      </c>
      <c r="AI47" s="36">
        <f>+AI34-AI42</f>
        <v>0</v>
      </c>
      <c r="AJ47" s="8">
        <f>+AJ34-AJ42</f>
        <v>0</v>
      </c>
      <c r="AK47" s="8">
        <f>+AK34-AK42</f>
        <v>50.938656000000002</v>
      </c>
      <c r="AL47" s="8">
        <f t="shared" ref="AL47:AU47" si="53">+AL34-AL42</f>
        <v>364.99999999999994</v>
      </c>
      <c r="AM47" s="9">
        <f t="shared" si="53"/>
        <v>754.149</v>
      </c>
      <c r="AN47" s="9">
        <f t="shared" si="53"/>
        <v>1147.5541007339611</v>
      </c>
      <c r="AO47" s="9">
        <f t="shared" si="53"/>
        <v>1704.7183031927902</v>
      </c>
      <c r="AP47" s="9">
        <f t="shared" si="53"/>
        <v>2388.6446123756987</v>
      </c>
      <c r="AQ47" s="9">
        <f t="shared" si="53"/>
        <v>3192.2268913484268</v>
      </c>
      <c r="AR47" s="9">
        <f t="shared" si="53"/>
        <v>4083.357975229253</v>
      </c>
      <c r="AS47" s="9">
        <f t="shared" si="53"/>
        <v>4979.2454462163942</v>
      </c>
      <c r="AT47" s="9">
        <f t="shared" si="53"/>
        <v>5833.3508813211229</v>
      </c>
      <c r="AU47" s="55">
        <f t="shared" si="53"/>
        <v>6649.6951226016408</v>
      </c>
      <c r="AW47" s="519">
        <f>+(AP47/AL47)^(1/4)-1</f>
        <v>0.59942790458393413</v>
      </c>
    </row>
    <row r="48" spans="9:49">
      <c r="I48" s="120" t="s">
        <v>147</v>
      </c>
      <c r="J48" s="22"/>
      <c r="K48" s="26"/>
      <c r="L48" s="26"/>
      <c r="M48" s="26"/>
      <c r="N48" s="25"/>
      <c r="O48" s="26"/>
      <c r="P48" s="26"/>
      <c r="Q48" s="27"/>
      <c r="R48" s="42">
        <f>+R47/R34</f>
        <v>0.87</v>
      </c>
      <c r="S48" s="28">
        <f t="shared" ref="S48:AG48" si="54">+S47/S34</f>
        <v>0.87</v>
      </c>
      <c r="T48" s="28">
        <f t="shared" si="54"/>
        <v>0.87</v>
      </c>
      <c r="U48" s="29">
        <f t="shared" si="54"/>
        <v>0.86699999999999999</v>
      </c>
      <c r="V48" s="28">
        <f t="shared" si="54"/>
        <v>0.90463425949791221</v>
      </c>
      <c r="W48" s="28">
        <f t="shared" si="54"/>
        <v>0.8816123011783058</v>
      </c>
      <c r="X48" s="28">
        <f t="shared" si="54"/>
        <v>0.92433933418614078</v>
      </c>
      <c r="Y48" s="29">
        <f t="shared" si="54"/>
        <v>0.91930477963997514</v>
      </c>
      <c r="Z48" s="28">
        <f t="shared" ref="Z48" si="55">+Z47/Z34</f>
        <v>0.91299999999999992</v>
      </c>
      <c r="AA48" s="28">
        <f t="shared" si="54"/>
        <v>0.93475954638028946</v>
      </c>
      <c r="AB48" s="28">
        <f t="shared" ref="AB48" si="56">+AB47/AB34</f>
        <v>0.93882654634256157</v>
      </c>
      <c r="AC48" s="29">
        <f t="shared" si="54"/>
        <v>0.95652643991834496</v>
      </c>
      <c r="AD48" s="42">
        <f t="shared" si="54"/>
        <v>0.9</v>
      </c>
      <c r="AE48" s="28">
        <f t="shared" si="54"/>
        <v>0.88</v>
      </c>
      <c r="AF48" s="28">
        <f t="shared" si="54"/>
        <v>0.87999999999999989</v>
      </c>
      <c r="AG48" s="29">
        <f t="shared" si="54"/>
        <v>0.88</v>
      </c>
      <c r="AI48" s="42"/>
      <c r="AJ48" s="28"/>
      <c r="AK48" s="28">
        <f t="shared" ref="AK48:AU48" si="57">+AK47/AK34</f>
        <v>0.86832681588053795</v>
      </c>
      <c r="AL48" s="28">
        <f t="shared" si="57"/>
        <v>0.91272818204551143</v>
      </c>
      <c r="AM48" s="28">
        <f t="shared" si="57"/>
        <v>0.93957508200969542</v>
      </c>
      <c r="AN48" s="28">
        <f t="shared" si="57"/>
        <v>0.88379651989950558</v>
      </c>
      <c r="AO48" s="28">
        <f t="shared" si="57"/>
        <v>0.86879651989950557</v>
      </c>
      <c r="AP48" s="28">
        <f t="shared" si="57"/>
        <v>0.85379651989950567</v>
      </c>
      <c r="AQ48" s="28">
        <f t="shared" si="57"/>
        <v>0.83879651989950554</v>
      </c>
      <c r="AR48" s="28">
        <f t="shared" si="57"/>
        <v>0.82379651989950564</v>
      </c>
      <c r="AS48" s="28">
        <f t="shared" si="57"/>
        <v>0.80879651989950552</v>
      </c>
      <c r="AT48" s="28">
        <f t="shared" si="57"/>
        <v>0.79379651989950561</v>
      </c>
      <c r="AU48" s="29">
        <f t="shared" si="57"/>
        <v>0.7787965198995056</v>
      </c>
    </row>
    <row r="49" spans="9:50">
      <c r="I49" s="123" t="s">
        <v>1</v>
      </c>
      <c r="J49" s="22"/>
      <c r="K49" s="26"/>
      <c r="L49" s="26"/>
      <c r="M49" s="26"/>
      <c r="N49" s="25"/>
      <c r="O49" s="26"/>
      <c r="P49" s="26"/>
      <c r="Q49" s="27"/>
      <c r="R49" s="42"/>
      <c r="S49" s="28"/>
      <c r="T49" s="28"/>
      <c r="U49" s="29"/>
      <c r="V49" s="111">
        <f t="shared" ref="V49:AG49" si="58">+V47/R47-1</f>
        <v>9.291461412151067</v>
      </c>
      <c r="W49" s="111">
        <f t="shared" si="58"/>
        <v>12.727607894166125</v>
      </c>
      <c r="X49" s="111">
        <f t="shared" si="58"/>
        <v>7.1441850076456532</v>
      </c>
      <c r="Y49" s="112">
        <f t="shared" si="58"/>
        <v>4.2209461397889454</v>
      </c>
      <c r="Z49" s="111">
        <f t="shared" si="58"/>
        <v>2.676868311584705</v>
      </c>
      <c r="AA49" s="111">
        <f t="shared" si="58"/>
        <v>1.603099624000758</v>
      </c>
      <c r="AB49" s="111">
        <f t="shared" si="58"/>
        <v>0.61882299331668134</v>
      </c>
      <c r="AC49" s="112">
        <f t="shared" si="58"/>
        <v>0.81289855503038533</v>
      </c>
      <c r="AD49" s="111">
        <f t="shared" si="58"/>
        <v>0.71893174087773559</v>
      </c>
      <c r="AE49" s="111">
        <f t="shared" si="58"/>
        <v>0.55007982271880396</v>
      </c>
      <c r="AF49" s="111">
        <f t="shared" si="58"/>
        <v>0.54975062780172723</v>
      </c>
      <c r="AG49" s="112">
        <f t="shared" si="58"/>
        <v>0.38931289046873774</v>
      </c>
      <c r="AI49" s="22"/>
      <c r="AL49" s="111">
        <f>+AL47/AK47-1</f>
        <v>6.1654815549118522</v>
      </c>
      <c r="AM49" s="111">
        <f t="shared" ref="AM49:AU49" si="59">+AM47/AL47-1</f>
        <v>1.066161643835617</v>
      </c>
      <c r="AN49" s="111">
        <f>+AN47/AM47-1</f>
        <v>0.52165434248929743</v>
      </c>
      <c r="AO49" s="111">
        <f t="shared" si="59"/>
        <v>0.48552325515849226</v>
      </c>
      <c r="AP49" s="111">
        <f t="shared" si="59"/>
        <v>0.401196084949621</v>
      </c>
      <c r="AQ49" s="111">
        <f t="shared" si="59"/>
        <v>0.33641768005559491</v>
      </c>
      <c r="AR49" s="111">
        <f t="shared" si="59"/>
        <v>0.27915656192733973</v>
      </c>
      <c r="AS49" s="111">
        <f t="shared" si="59"/>
        <v>0.21939968928069375</v>
      </c>
      <c r="AT49" s="111">
        <f t="shared" si="59"/>
        <v>0.17153310563425683</v>
      </c>
      <c r="AU49" s="112">
        <f t="shared" si="59"/>
        <v>0.1399443060924932</v>
      </c>
    </row>
    <row r="50" spans="9:50">
      <c r="I50" s="123"/>
      <c r="J50" s="22"/>
      <c r="K50" s="26"/>
      <c r="L50" s="26"/>
      <c r="M50" s="26"/>
      <c r="N50" s="25"/>
      <c r="O50" s="26"/>
      <c r="P50" s="26"/>
      <c r="Q50" s="27"/>
      <c r="R50" s="42"/>
      <c r="S50" s="28"/>
      <c r="T50" s="28"/>
      <c r="U50" s="29"/>
      <c r="V50" s="111"/>
      <c r="W50" s="111"/>
      <c r="X50" s="111"/>
      <c r="Y50" s="111"/>
      <c r="Z50" s="110"/>
      <c r="AA50" s="111"/>
      <c r="AB50" s="111"/>
      <c r="AC50" s="112"/>
      <c r="AD50" s="111"/>
      <c r="AE50" s="111"/>
      <c r="AF50" s="111"/>
      <c r="AG50" s="112"/>
      <c r="AI50" s="22"/>
      <c r="AL50" s="111"/>
      <c r="AM50" s="111"/>
      <c r="AN50" s="111"/>
      <c r="AO50" s="111"/>
      <c r="AP50" s="111"/>
      <c r="AQ50" s="111"/>
      <c r="AR50" s="111"/>
      <c r="AS50" s="111"/>
      <c r="AT50" s="111"/>
      <c r="AU50" s="112"/>
    </row>
    <row r="51" spans="9:50">
      <c r="I51" s="11" t="s">
        <v>136</v>
      </c>
      <c r="J51" s="30"/>
      <c r="K51" s="31"/>
      <c r="L51" s="31"/>
      <c r="M51" s="31"/>
      <c r="N51" s="43"/>
      <c r="O51" s="31"/>
      <c r="P51" s="31"/>
      <c r="Q51" s="32"/>
      <c r="R51" s="43"/>
      <c r="S51" s="31"/>
      <c r="T51" s="31"/>
      <c r="U51" s="32"/>
      <c r="V51" s="31"/>
      <c r="W51" s="31"/>
      <c r="X51" s="59"/>
      <c r="Y51" s="59"/>
      <c r="Z51" s="30"/>
      <c r="AA51" s="59"/>
      <c r="AB51" s="59"/>
      <c r="AC51" s="60"/>
      <c r="AD51" s="30"/>
      <c r="AE51" s="59"/>
      <c r="AF51" s="59"/>
      <c r="AG51" s="60"/>
      <c r="AH51" s="10"/>
      <c r="AI51" s="30"/>
      <c r="AJ51" s="10"/>
      <c r="AK51" s="10"/>
      <c r="AL51" s="10"/>
      <c r="AM51" s="10"/>
      <c r="AN51" s="10"/>
      <c r="AO51" s="10"/>
      <c r="AP51" s="10"/>
      <c r="AQ51" s="10"/>
      <c r="AR51" s="10"/>
      <c r="AS51" s="10"/>
      <c r="AT51" s="10"/>
      <c r="AU51" s="60"/>
    </row>
    <row r="52" spans="9:50" s="7" customFormat="1">
      <c r="I52" s="7" t="s">
        <v>106</v>
      </c>
      <c r="J52" s="8">
        <f t="shared" ref="J52:AG52" si="60">+J11</f>
        <v>8.9320388349514559</v>
      </c>
      <c r="K52" s="8">
        <f t="shared" si="60"/>
        <v>20.87912087912088</v>
      </c>
      <c r="L52" s="8">
        <f t="shared" si="60"/>
        <v>27.876106194690269</v>
      </c>
      <c r="M52" s="8">
        <f t="shared" si="60"/>
        <v>36.979166666666671</v>
      </c>
      <c r="N52" s="36">
        <f t="shared" si="60"/>
        <v>46</v>
      </c>
      <c r="O52" s="37">
        <f t="shared" si="60"/>
        <v>57</v>
      </c>
      <c r="P52" s="37">
        <f t="shared" si="60"/>
        <v>63</v>
      </c>
      <c r="Q52" s="38">
        <f t="shared" si="60"/>
        <v>71</v>
      </c>
      <c r="R52" s="36">
        <f t="shared" si="60"/>
        <v>81</v>
      </c>
      <c r="S52" s="37">
        <f t="shared" si="60"/>
        <v>87</v>
      </c>
      <c r="T52" s="37">
        <f t="shared" si="60"/>
        <v>94.7</v>
      </c>
      <c r="U52" s="38">
        <f t="shared" si="60"/>
        <v>106</v>
      </c>
      <c r="V52" s="8">
        <f t="shared" si="60"/>
        <v>122</v>
      </c>
      <c r="W52" s="8">
        <f t="shared" si="60"/>
        <v>143</v>
      </c>
      <c r="X52" s="8">
        <f t="shared" si="60"/>
        <v>153</v>
      </c>
      <c r="Y52" s="38">
        <f t="shared" si="60"/>
        <v>158.30000000000001</v>
      </c>
      <c r="Z52" s="8">
        <f t="shared" ref="Z52" si="61">+Z11</f>
        <v>166</v>
      </c>
      <c r="AA52" s="37">
        <f t="shared" si="60"/>
        <v>174</v>
      </c>
      <c r="AB52" s="37">
        <f t="shared" si="60"/>
        <v>178</v>
      </c>
      <c r="AC52" s="38">
        <f t="shared" si="60"/>
        <v>187</v>
      </c>
      <c r="AD52" s="36">
        <f t="shared" si="60"/>
        <v>193.92</v>
      </c>
      <c r="AE52" s="37">
        <f t="shared" si="60"/>
        <v>201.30099999999999</v>
      </c>
      <c r="AF52" s="37">
        <f t="shared" si="60"/>
        <v>207.83674999999997</v>
      </c>
      <c r="AG52" s="38">
        <f t="shared" si="60"/>
        <v>214.99928749999998</v>
      </c>
      <c r="AI52" s="36">
        <f>+M52</f>
        <v>36.979166666666671</v>
      </c>
      <c r="AJ52" s="8">
        <f>+Q52</f>
        <v>71</v>
      </c>
      <c r="AK52" s="8">
        <f>+U52</f>
        <v>106</v>
      </c>
      <c r="AL52" s="8">
        <f>+Y52</f>
        <v>158.30000000000001</v>
      </c>
      <c r="AM52" s="9">
        <f>+AC52</f>
        <v>187</v>
      </c>
      <c r="AN52" s="9">
        <f>+AG52</f>
        <v>214.99928749999998</v>
      </c>
      <c r="AO52" s="9">
        <f t="shared" ref="AO52:AU52" si="62">+AO11</f>
        <v>241.59861062499999</v>
      </c>
      <c r="AP52" s="9">
        <f t="shared" si="62"/>
        <v>266.24666759374998</v>
      </c>
      <c r="AQ52" s="9">
        <f t="shared" si="62"/>
        <v>288.57849886562497</v>
      </c>
      <c r="AR52" s="8">
        <f t="shared" si="62"/>
        <v>308.67714701031241</v>
      </c>
      <c r="AS52" s="8">
        <f t="shared" si="62"/>
        <v>326.76593034053121</v>
      </c>
      <c r="AT52" s="8">
        <f t="shared" si="62"/>
        <v>343.04583533772802</v>
      </c>
      <c r="AU52" s="38">
        <f t="shared" si="62"/>
        <v>359.32574033492494</v>
      </c>
      <c r="AW52" s="519">
        <f>+(AP52/AL52)^(1/4)-1</f>
        <v>0.13880880531864515</v>
      </c>
    </row>
    <row r="53" spans="9:50" s="7" customFormat="1">
      <c r="I53" s="1" t="s">
        <v>146</v>
      </c>
      <c r="J53" s="8"/>
      <c r="K53" s="26">
        <f t="shared" ref="K53:AG53" si="63">+K52-J52</f>
        <v>11.947082044169424</v>
      </c>
      <c r="L53" s="26">
        <f t="shared" si="63"/>
        <v>6.9969853155693897</v>
      </c>
      <c r="M53" s="26">
        <f t="shared" si="63"/>
        <v>9.1030604719764021</v>
      </c>
      <c r="N53" s="25">
        <f t="shared" si="63"/>
        <v>9.0208333333333286</v>
      </c>
      <c r="O53" s="26">
        <f t="shared" si="63"/>
        <v>11</v>
      </c>
      <c r="P53" s="26">
        <f t="shared" si="63"/>
        <v>6</v>
      </c>
      <c r="Q53" s="27">
        <f t="shared" si="63"/>
        <v>8</v>
      </c>
      <c r="R53" s="25">
        <f t="shared" si="63"/>
        <v>10</v>
      </c>
      <c r="S53" s="26">
        <f t="shared" si="63"/>
        <v>6</v>
      </c>
      <c r="T53" s="26">
        <f t="shared" si="63"/>
        <v>7.7000000000000028</v>
      </c>
      <c r="U53" s="27">
        <f t="shared" si="63"/>
        <v>11.299999999999997</v>
      </c>
      <c r="V53" s="26">
        <f t="shared" si="63"/>
        <v>16</v>
      </c>
      <c r="W53" s="26">
        <f t="shared" si="63"/>
        <v>21</v>
      </c>
      <c r="X53" s="26">
        <f t="shared" si="63"/>
        <v>10</v>
      </c>
      <c r="Y53" s="27">
        <f t="shared" si="63"/>
        <v>5.3000000000000114</v>
      </c>
      <c r="Z53" s="26">
        <f t="shared" si="63"/>
        <v>7.6999999999999886</v>
      </c>
      <c r="AA53" s="26">
        <f t="shared" si="63"/>
        <v>8</v>
      </c>
      <c r="AB53" s="26">
        <f t="shared" si="63"/>
        <v>4</v>
      </c>
      <c r="AC53" s="27">
        <f t="shared" si="63"/>
        <v>9</v>
      </c>
      <c r="AD53" s="25">
        <f t="shared" si="63"/>
        <v>6.9199999999999875</v>
      </c>
      <c r="AE53" s="26">
        <f t="shared" si="63"/>
        <v>7.3810000000000002</v>
      </c>
      <c r="AF53" s="26">
        <f t="shared" si="63"/>
        <v>6.5357499999999789</v>
      </c>
      <c r="AG53" s="27">
        <f t="shared" si="63"/>
        <v>7.1625375000000133</v>
      </c>
      <c r="AI53" s="36"/>
      <c r="AJ53" s="26">
        <f t="shared" ref="AJ53:AU53" si="64">+AJ52-AI52</f>
        <v>34.020833333333329</v>
      </c>
      <c r="AK53" s="26">
        <f t="shared" si="64"/>
        <v>35</v>
      </c>
      <c r="AL53" s="26">
        <f t="shared" si="64"/>
        <v>52.300000000000011</v>
      </c>
      <c r="AM53" s="26">
        <f t="shared" si="64"/>
        <v>28.699999999999989</v>
      </c>
      <c r="AN53" s="26">
        <f t="shared" si="64"/>
        <v>27.99928749999998</v>
      </c>
      <c r="AO53" s="26">
        <f t="shared" si="64"/>
        <v>26.599323125000012</v>
      </c>
      <c r="AP53" s="26">
        <f t="shared" si="64"/>
        <v>24.648056968749984</v>
      </c>
      <c r="AQ53" s="26">
        <f t="shared" si="64"/>
        <v>22.331831271874989</v>
      </c>
      <c r="AR53" s="26">
        <f t="shared" si="64"/>
        <v>20.098648144687445</v>
      </c>
      <c r="AS53" s="26">
        <f t="shared" si="64"/>
        <v>18.088783330218803</v>
      </c>
      <c r="AT53" s="26">
        <f t="shared" si="64"/>
        <v>16.279904997196809</v>
      </c>
      <c r="AU53" s="27">
        <f t="shared" si="64"/>
        <v>16.279904997196923</v>
      </c>
    </row>
    <row r="54" spans="9:50">
      <c r="I54" s="1" t="s">
        <v>1</v>
      </c>
      <c r="J54" s="22"/>
      <c r="K54" s="23"/>
      <c r="L54" s="23"/>
      <c r="M54" s="24"/>
      <c r="N54" s="42">
        <f t="shared" ref="N54:AG54" si="65">+N52/J52-1</f>
        <v>4.1500000000000004</v>
      </c>
      <c r="O54" s="28">
        <f t="shared" si="65"/>
        <v>1.73</v>
      </c>
      <c r="P54" s="28">
        <f t="shared" si="65"/>
        <v>1.2599999999999998</v>
      </c>
      <c r="Q54" s="29">
        <f t="shared" si="65"/>
        <v>0.91999999999999971</v>
      </c>
      <c r="R54" s="42">
        <f t="shared" si="65"/>
        <v>0.76086956521739135</v>
      </c>
      <c r="S54" s="28">
        <f t="shared" si="65"/>
        <v>0.52631578947368429</v>
      </c>
      <c r="T54" s="28">
        <f t="shared" si="65"/>
        <v>0.50317460317460316</v>
      </c>
      <c r="U54" s="29">
        <f t="shared" si="65"/>
        <v>0.49295774647887325</v>
      </c>
      <c r="V54" s="42">
        <f t="shared" si="65"/>
        <v>0.50617283950617287</v>
      </c>
      <c r="W54" s="28">
        <f t="shared" si="65"/>
        <v>0.64367816091954033</v>
      </c>
      <c r="X54" s="28">
        <f t="shared" si="65"/>
        <v>0.61562829989440337</v>
      </c>
      <c r="Y54" s="29">
        <f t="shared" si="65"/>
        <v>0.4933962264150944</v>
      </c>
      <c r="Z54" s="28">
        <f t="shared" si="65"/>
        <v>0.36065573770491799</v>
      </c>
      <c r="AA54" s="28">
        <f t="shared" si="65"/>
        <v>0.21678321678321688</v>
      </c>
      <c r="AB54" s="28">
        <f t="shared" si="65"/>
        <v>0.1633986928104576</v>
      </c>
      <c r="AC54" s="29">
        <f t="shared" si="65"/>
        <v>0.18130132659507248</v>
      </c>
      <c r="AD54" s="42">
        <f t="shared" si="65"/>
        <v>0.16819277108433717</v>
      </c>
      <c r="AE54" s="28">
        <f t="shared" si="65"/>
        <v>0.15690229885057461</v>
      </c>
      <c r="AF54" s="28">
        <f t="shared" si="65"/>
        <v>0.16762219101123588</v>
      </c>
      <c r="AG54" s="29">
        <f t="shared" si="65"/>
        <v>0.14972881016042772</v>
      </c>
      <c r="AI54" s="22"/>
      <c r="AJ54" s="5">
        <f t="shared" ref="AJ54:AU54" si="66">+AJ52/AI52-1</f>
        <v>0.91999999999999971</v>
      </c>
      <c r="AK54" s="5">
        <f t="shared" si="66"/>
        <v>0.49295774647887325</v>
      </c>
      <c r="AL54" s="5">
        <f t="shared" si="66"/>
        <v>0.4933962264150944</v>
      </c>
      <c r="AM54" s="5">
        <f t="shared" si="66"/>
        <v>0.18130132659507248</v>
      </c>
      <c r="AN54" s="5">
        <f t="shared" si="66"/>
        <v>0.14972881016042772</v>
      </c>
      <c r="AO54" s="5">
        <f t="shared" si="66"/>
        <v>0.1237181919730781</v>
      </c>
      <c r="AP54" s="5">
        <f t="shared" si="66"/>
        <v>0.1020206900403402</v>
      </c>
      <c r="AQ54" s="5">
        <f t="shared" si="66"/>
        <v>8.3876472421994031E-2</v>
      </c>
      <c r="AR54" s="5">
        <f t="shared" si="66"/>
        <v>6.9647074275087428E-2</v>
      </c>
      <c r="AS54" s="5">
        <f t="shared" si="66"/>
        <v>5.8600980038261419E-2</v>
      </c>
      <c r="AT54" s="5">
        <f t="shared" si="66"/>
        <v>4.9821304749338768E-2</v>
      </c>
      <c r="AU54" s="29">
        <f t="shared" si="66"/>
        <v>4.7456938170286733E-2</v>
      </c>
    </row>
    <row r="55" spans="9:50">
      <c r="I55" s="1" t="s">
        <v>3</v>
      </c>
      <c r="J55" s="23"/>
      <c r="K55" s="28">
        <f t="shared" ref="K55:Z55" si="67">+K52/J52-1</f>
        <v>1.337553750597229</v>
      </c>
      <c r="L55" s="28">
        <f t="shared" si="67"/>
        <v>0.33511877037727067</v>
      </c>
      <c r="M55" s="28">
        <f t="shared" si="67"/>
        <v>0.32655423280423279</v>
      </c>
      <c r="N55" s="42">
        <f t="shared" si="67"/>
        <v>0.24394366197183093</v>
      </c>
      <c r="O55" s="28">
        <f t="shared" si="67"/>
        <v>0.23913043478260865</v>
      </c>
      <c r="P55" s="28">
        <f t="shared" si="67"/>
        <v>0.10526315789473695</v>
      </c>
      <c r="Q55" s="29">
        <f t="shared" si="67"/>
        <v>0.12698412698412698</v>
      </c>
      <c r="R55" s="42">
        <f t="shared" si="67"/>
        <v>0.14084507042253525</v>
      </c>
      <c r="S55" s="28">
        <f t="shared" si="67"/>
        <v>7.4074074074074181E-2</v>
      </c>
      <c r="T55" s="28">
        <f t="shared" si="67"/>
        <v>8.8505747126436773E-2</v>
      </c>
      <c r="U55" s="29">
        <f t="shared" si="67"/>
        <v>0.11932418162618785</v>
      </c>
      <c r="V55" s="28">
        <f t="shared" si="67"/>
        <v>0.15094339622641506</v>
      </c>
      <c r="W55" s="28">
        <f t="shared" si="67"/>
        <v>0.17213114754098369</v>
      </c>
      <c r="X55" s="28">
        <f t="shared" si="67"/>
        <v>6.9930069930070005E-2</v>
      </c>
      <c r="Y55" s="29">
        <f t="shared" si="67"/>
        <v>3.4640522875817092E-2</v>
      </c>
      <c r="Z55" s="28">
        <f t="shared" si="67"/>
        <v>4.864181933038525E-2</v>
      </c>
      <c r="AA55" s="28">
        <f t="shared" ref="AA55:AG55" si="68">+AA52/Z52-1</f>
        <v>4.8192771084337283E-2</v>
      </c>
      <c r="AB55" s="28">
        <f t="shared" si="68"/>
        <v>2.2988505747126409E-2</v>
      </c>
      <c r="AC55" s="29">
        <f t="shared" si="68"/>
        <v>5.0561797752809001E-2</v>
      </c>
      <c r="AD55" s="42">
        <f t="shared" si="68"/>
        <v>3.700534759358276E-2</v>
      </c>
      <c r="AE55" s="28">
        <f t="shared" si="68"/>
        <v>3.8062087458745841E-2</v>
      </c>
      <c r="AF55" s="28">
        <f t="shared" si="68"/>
        <v>3.2467548596380347E-2</v>
      </c>
      <c r="AG55" s="29">
        <f t="shared" si="68"/>
        <v>3.4462324396431487E-2</v>
      </c>
      <c r="AI55" s="22"/>
      <c r="AJ55" s="5"/>
      <c r="AK55" s="5"/>
      <c r="AL55" s="5"/>
      <c r="AM55" s="5"/>
      <c r="AN55" s="5"/>
      <c r="AO55" s="5"/>
      <c r="AP55" s="5"/>
      <c r="AQ55" s="5"/>
      <c r="AR55" s="5"/>
      <c r="AS55" s="5"/>
      <c r="AT55" s="5"/>
      <c r="AU55" s="29"/>
    </row>
    <row r="56" spans="9:50">
      <c r="N56" s="22"/>
      <c r="O56" s="23"/>
      <c r="P56" s="23"/>
      <c r="Q56" s="24"/>
      <c r="R56" s="22"/>
      <c r="S56" s="23"/>
      <c r="T56" s="23"/>
      <c r="U56" s="24"/>
      <c r="Y56" s="24"/>
      <c r="AA56" s="257"/>
      <c r="AB56" s="23"/>
      <c r="AC56" s="24"/>
      <c r="AD56" s="22"/>
      <c r="AE56" s="23"/>
      <c r="AF56" s="23"/>
      <c r="AG56" s="24"/>
      <c r="AI56" s="22"/>
      <c r="AO56" s="105"/>
      <c r="AP56" s="105"/>
      <c r="AQ56" s="105"/>
      <c r="AR56" s="105"/>
      <c r="AS56" s="105"/>
      <c r="AT56" s="105"/>
      <c r="AU56" s="193"/>
    </row>
    <row r="57" spans="9:50">
      <c r="I57" s="16" t="s">
        <v>258</v>
      </c>
      <c r="N57" s="22"/>
      <c r="O57" s="23"/>
      <c r="P57" s="23"/>
      <c r="Q57" s="24"/>
      <c r="R57" s="22"/>
      <c r="S57" s="23"/>
      <c r="T57" s="23"/>
      <c r="U57" s="24"/>
      <c r="Y57" s="24"/>
      <c r="AA57" s="257"/>
      <c r="AB57" s="23"/>
      <c r="AC57" s="24"/>
      <c r="AD57" s="22"/>
      <c r="AE57" s="23"/>
      <c r="AF57" s="23"/>
      <c r="AG57" s="24"/>
      <c r="AI57" s="22"/>
      <c r="AO57" s="105"/>
      <c r="AP57" s="105"/>
      <c r="AQ57" s="105"/>
      <c r="AR57" s="105"/>
      <c r="AS57" s="105"/>
      <c r="AT57" s="105"/>
      <c r="AU57" s="193"/>
    </row>
    <row r="58" spans="9:50">
      <c r="I58" s="14" t="s">
        <v>256</v>
      </c>
      <c r="N58" s="22"/>
      <c r="O58" s="23"/>
      <c r="P58" s="23"/>
      <c r="Q58" s="24"/>
      <c r="R58" s="22"/>
      <c r="S58" s="23"/>
      <c r="T58" s="23"/>
      <c r="U58" s="24"/>
      <c r="V58" s="662">
        <v>21</v>
      </c>
      <c r="W58" s="662">
        <v>21</v>
      </c>
      <c r="X58" s="662">
        <v>21</v>
      </c>
      <c r="Y58" s="684">
        <v>21</v>
      </c>
      <c r="Z58" s="662"/>
      <c r="AA58" s="662"/>
      <c r="AB58" s="23"/>
      <c r="AC58" s="24"/>
      <c r="AD58" s="22"/>
      <c r="AE58" s="23"/>
      <c r="AF58" s="23"/>
      <c r="AG58" s="24"/>
      <c r="AI58" s="22"/>
      <c r="AO58" s="105"/>
      <c r="AP58" s="105"/>
      <c r="AQ58" s="105"/>
      <c r="AR58" s="105"/>
      <c r="AS58" s="105"/>
      <c r="AT58" s="105"/>
      <c r="AU58" s="193"/>
    </row>
    <row r="59" spans="9:50">
      <c r="I59" s="14" t="s">
        <v>257</v>
      </c>
      <c r="N59" s="22"/>
      <c r="O59" s="23"/>
      <c r="P59" s="23"/>
      <c r="Q59" s="24"/>
      <c r="R59" s="22"/>
      <c r="S59" s="23"/>
      <c r="T59" s="23"/>
      <c r="U59" s="24"/>
      <c r="V59" s="266">
        <v>27</v>
      </c>
      <c r="W59" s="266">
        <v>27</v>
      </c>
      <c r="X59" s="266">
        <v>27</v>
      </c>
      <c r="Y59" s="684">
        <v>27</v>
      </c>
      <c r="Z59" s="266"/>
      <c r="AA59" s="266"/>
      <c r="AB59" s="23"/>
      <c r="AC59" s="24"/>
      <c r="AD59" s="22"/>
      <c r="AE59" s="23"/>
      <c r="AF59" s="23"/>
      <c r="AG59" s="24"/>
      <c r="AI59" s="22"/>
      <c r="AO59" s="105"/>
      <c r="AP59" s="105"/>
      <c r="AQ59" s="105"/>
      <c r="AR59" s="105"/>
      <c r="AS59" s="105"/>
      <c r="AT59" s="105"/>
      <c r="AU59" s="193"/>
    </row>
    <row r="60" spans="9:50">
      <c r="I60" s="14"/>
      <c r="N60" s="22"/>
      <c r="O60" s="23"/>
      <c r="P60" s="23"/>
      <c r="Q60" s="24"/>
      <c r="R60" s="22"/>
      <c r="S60" s="23"/>
      <c r="T60" s="23"/>
      <c r="U60" s="24"/>
      <c r="Y60" s="24"/>
      <c r="AA60" s="257"/>
      <c r="AB60" s="23"/>
      <c r="AC60" s="24"/>
      <c r="AD60" s="22"/>
      <c r="AE60" s="23"/>
      <c r="AF60" s="23"/>
      <c r="AG60" s="24"/>
      <c r="AI60" s="22"/>
      <c r="AO60" s="105"/>
      <c r="AP60" s="105"/>
      <c r="AQ60" s="105"/>
      <c r="AR60" s="105"/>
      <c r="AS60" s="105"/>
      <c r="AT60" s="105"/>
      <c r="AU60" s="193"/>
    </row>
    <row r="61" spans="9:50">
      <c r="I61" s="16" t="s">
        <v>259</v>
      </c>
      <c r="N61" s="22"/>
      <c r="O61" s="23"/>
      <c r="P61" s="23"/>
      <c r="Q61" s="24"/>
      <c r="R61" s="22"/>
      <c r="S61" s="23"/>
      <c r="T61" s="23"/>
      <c r="U61" s="24"/>
      <c r="V61" s="92">
        <v>0.5</v>
      </c>
      <c r="W61" s="93">
        <v>0.5</v>
      </c>
      <c r="X61" s="93">
        <v>0.5</v>
      </c>
      <c r="Y61" s="94">
        <v>0.5</v>
      </c>
      <c r="Z61" s="93">
        <v>0.5</v>
      </c>
      <c r="AA61" s="257"/>
      <c r="AB61" s="23"/>
      <c r="AC61" s="24"/>
      <c r="AD61" s="22"/>
      <c r="AE61" s="23"/>
      <c r="AF61" s="23"/>
      <c r="AG61" s="24"/>
      <c r="AI61" s="22"/>
      <c r="AO61" s="105"/>
      <c r="AP61" s="105"/>
      <c r="AQ61" s="105"/>
      <c r="AR61" s="105"/>
      <c r="AS61" s="105"/>
      <c r="AT61" s="105"/>
      <c r="AU61" s="193"/>
    </row>
    <row r="62" spans="9:50">
      <c r="I62" s="14" t="s">
        <v>256</v>
      </c>
      <c r="N62" s="22"/>
      <c r="O62" s="23"/>
      <c r="P62" s="23"/>
      <c r="Q62" s="24"/>
      <c r="R62" s="22"/>
      <c r="S62" s="23"/>
      <c r="T62" s="23"/>
      <c r="U62" s="24"/>
      <c r="V62" s="188">
        <f>1-V61</f>
        <v>0.5</v>
      </c>
      <c r="W62" s="188">
        <f>1-W61</f>
        <v>0.5</v>
      </c>
      <c r="X62" s="188">
        <f>1-X61</f>
        <v>0.5</v>
      </c>
      <c r="Y62" s="337">
        <f>1-Y61</f>
        <v>0.5</v>
      </c>
      <c r="Z62" s="188">
        <f>1-Z61</f>
        <v>0.5</v>
      </c>
      <c r="AA62" s="257"/>
      <c r="AB62" s="23"/>
      <c r="AC62" s="24"/>
      <c r="AD62" s="22"/>
      <c r="AE62" s="23"/>
      <c r="AF62" s="23"/>
      <c r="AG62" s="24"/>
      <c r="AI62" s="22"/>
      <c r="AO62" s="105"/>
      <c r="AP62" s="105"/>
      <c r="AQ62" s="105"/>
      <c r="AR62" s="105"/>
      <c r="AS62" s="105"/>
      <c r="AT62" s="105"/>
      <c r="AU62" s="193"/>
    </row>
    <row r="63" spans="9:50">
      <c r="I63" s="14" t="s">
        <v>257</v>
      </c>
      <c r="N63" s="22"/>
      <c r="O63" s="23"/>
      <c r="P63" s="23"/>
      <c r="Q63" s="24"/>
      <c r="R63" s="22"/>
      <c r="S63" s="23"/>
      <c r="T63" s="23"/>
      <c r="U63" s="24"/>
      <c r="Y63" s="24"/>
      <c r="AA63" s="257"/>
      <c r="AB63" s="23"/>
      <c r="AC63" s="24"/>
      <c r="AD63" s="22"/>
      <c r="AE63" s="23"/>
      <c r="AF63" s="23"/>
      <c r="AG63" s="24"/>
      <c r="AI63" s="22"/>
      <c r="AO63" s="105"/>
      <c r="AP63" s="105"/>
      <c r="AQ63" s="105"/>
      <c r="AR63" s="105"/>
      <c r="AS63" s="105"/>
      <c r="AT63" s="105"/>
      <c r="AU63" s="193"/>
      <c r="AX63" s="26"/>
    </row>
    <row r="64" spans="9:50">
      <c r="I64" s="14"/>
      <c r="N64" s="22"/>
      <c r="O64" s="23"/>
      <c r="P64" s="23"/>
      <c r="Q64" s="24"/>
      <c r="R64" s="22"/>
      <c r="S64" s="23"/>
      <c r="T64" s="23"/>
      <c r="U64" s="24"/>
      <c r="Y64" s="24"/>
      <c r="AA64" s="257"/>
      <c r="AB64" s="352"/>
      <c r="AC64" s="337"/>
      <c r="AD64" s="22"/>
      <c r="AE64" s="23"/>
      <c r="AF64" s="23"/>
      <c r="AG64" s="24"/>
      <c r="AI64" s="22"/>
      <c r="AO64" s="105"/>
      <c r="AP64" s="105"/>
      <c r="AQ64" s="105"/>
      <c r="AR64" s="105"/>
      <c r="AS64" s="105"/>
      <c r="AT64" s="105"/>
      <c r="AU64" s="193"/>
      <c r="AX64" s="26"/>
    </row>
    <row r="65" spans="9:50" s="7" customFormat="1">
      <c r="I65" s="7" t="s">
        <v>121</v>
      </c>
      <c r="J65" s="12">
        <v>40</v>
      </c>
      <c r="K65" s="12">
        <v>40</v>
      </c>
      <c r="L65" s="12">
        <v>40</v>
      </c>
      <c r="M65" s="12">
        <v>40</v>
      </c>
      <c r="N65" s="50">
        <v>35</v>
      </c>
      <c r="O65" s="51">
        <v>35</v>
      </c>
      <c r="P65" s="51">
        <v>35</v>
      </c>
      <c r="Q65" s="52">
        <v>35</v>
      </c>
      <c r="R65" s="50">
        <v>26</v>
      </c>
      <c r="S65" s="51">
        <v>26</v>
      </c>
      <c r="T65" s="51">
        <v>26</v>
      </c>
      <c r="U65" s="52">
        <v>26</v>
      </c>
      <c r="V65" s="690">
        <v>24</v>
      </c>
      <c r="W65" s="690">
        <v>24</v>
      </c>
      <c r="X65" s="690">
        <v>23</v>
      </c>
      <c r="Y65" s="684">
        <v>24</v>
      </c>
      <c r="Z65" s="51">
        <f t="shared" ref="Z65:AG65" si="69">+V65*(1+Z66)</f>
        <v>16.799999999999997</v>
      </c>
      <c r="AA65" s="51">
        <f>+AB65*1.25</f>
        <v>9.164595098436866</v>
      </c>
      <c r="AB65" s="51">
        <f>+(AB34/AB68)*1000</f>
        <v>7.331676078749493</v>
      </c>
      <c r="AC65" s="52">
        <f>+(AC34/AC68)*1000</f>
        <v>6.1950313814745863</v>
      </c>
      <c r="AD65" s="50">
        <f t="shared" si="69"/>
        <v>6.7199999999999989</v>
      </c>
      <c r="AE65" s="51">
        <f t="shared" si="69"/>
        <v>3.6658380393747465</v>
      </c>
      <c r="AF65" s="51">
        <f t="shared" si="69"/>
        <v>6.5985084708745436</v>
      </c>
      <c r="AG65" s="52">
        <f t="shared" si="69"/>
        <v>5.5755282433271276</v>
      </c>
      <c r="AI65" s="33"/>
      <c r="AK65" s="51">
        <f>+AK34/(AK68/1000)</f>
        <v>26</v>
      </c>
      <c r="AL65" s="51">
        <f>+AL34/(AL68/1000)</f>
        <v>23.670069947106462</v>
      </c>
      <c r="AM65" s="51">
        <f>+AM34/(AM68/1000)</f>
        <v>7.9606323647242121</v>
      </c>
      <c r="AN65" s="51">
        <f>+AN34/(AN68/1000)</f>
        <v>5.3416786770368558</v>
      </c>
      <c r="AO65" s="57">
        <f t="shared" ref="AO65:AU65" si="70">+AN65*(1+AO66)</f>
        <v>4.5404268754813275</v>
      </c>
      <c r="AP65" s="57">
        <f t="shared" si="70"/>
        <v>4.086384187933195</v>
      </c>
      <c r="AQ65" s="57">
        <f t="shared" si="70"/>
        <v>3.8820649785365351</v>
      </c>
      <c r="AR65" s="57">
        <f t="shared" si="70"/>
        <v>3.8820649785365351</v>
      </c>
      <c r="AS65" s="57">
        <f t="shared" si="70"/>
        <v>3.8820649785365351</v>
      </c>
      <c r="AT65" s="57">
        <f t="shared" si="70"/>
        <v>3.8820649785365351</v>
      </c>
      <c r="AU65" s="58">
        <f t="shared" si="70"/>
        <v>3.8820649785365351</v>
      </c>
    </row>
    <row r="66" spans="9:50">
      <c r="I66" s="1" t="s">
        <v>1</v>
      </c>
      <c r="N66" s="42">
        <f t="shared" ref="N66:Y66" si="71">+N65/J65-1</f>
        <v>-0.125</v>
      </c>
      <c r="O66" s="28">
        <f t="shared" si="71"/>
        <v>-0.125</v>
      </c>
      <c r="P66" s="28">
        <f t="shared" si="71"/>
        <v>-0.125</v>
      </c>
      <c r="Q66" s="29">
        <f t="shared" si="71"/>
        <v>-0.125</v>
      </c>
      <c r="R66" s="42">
        <f t="shared" si="71"/>
        <v>-0.25714285714285712</v>
      </c>
      <c r="S66" s="28">
        <f t="shared" si="71"/>
        <v>-0.25714285714285712</v>
      </c>
      <c r="T66" s="28">
        <f t="shared" si="71"/>
        <v>-0.25714285714285712</v>
      </c>
      <c r="U66" s="29">
        <f t="shared" si="71"/>
        <v>-0.25714285714285712</v>
      </c>
      <c r="V66" s="5">
        <f t="shared" si="71"/>
        <v>-7.6923076923076872E-2</v>
      </c>
      <c r="W66" s="5">
        <f t="shared" si="71"/>
        <v>-7.6923076923076872E-2</v>
      </c>
      <c r="X66" s="5">
        <f t="shared" si="71"/>
        <v>-0.11538461538461542</v>
      </c>
      <c r="Y66" s="29">
        <f t="shared" si="71"/>
        <v>-7.6923076923076872E-2</v>
      </c>
      <c r="Z66" s="118">
        <v>-0.3</v>
      </c>
      <c r="AA66" s="118">
        <f>+AA65/W65-1</f>
        <v>-0.61814187089846384</v>
      </c>
      <c r="AB66" s="215">
        <f>+AB65/X65-1</f>
        <v>-0.68123147483697855</v>
      </c>
      <c r="AC66" s="216">
        <f>+AC65/Y65-1</f>
        <v>-0.74187369243855894</v>
      </c>
      <c r="AD66" s="92">
        <v>-0.6</v>
      </c>
      <c r="AE66" s="93">
        <v>-0.6</v>
      </c>
      <c r="AF66" s="93">
        <v>-0.1</v>
      </c>
      <c r="AG66" s="94">
        <v>-0.1</v>
      </c>
      <c r="AI66" s="22"/>
      <c r="AK66" s="5"/>
      <c r="AL66" s="5">
        <f>+AL65/AK65-1</f>
        <v>-8.9612694342059096E-2</v>
      </c>
      <c r="AM66" s="5">
        <f>+AM65/AL65-1</f>
        <v>-0.66368361468668335</v>
      </c>
      <c r="AN66" s="5">
        <f>+AN65/AM65-1</f>
        <v>-0.32898814663175158</v>
      </c>
      <c r="AO66" s="20">
        <v>-0.15</v>
      </c>
      <c r="AP66" s="20">
        <v>-0.1</v>
      </c>
      <c r="AQ66" s="20">
        <v>-0.05</v>
      </c>
      <c r="AR66" s="20">
        <v>0</v>
      </c>
      <c r="AS66" s="20">
        <v>0</v>
      </c>
      <c r="AT66" s="20">
        <v>0</v>
      </c>
      <c r="AU66" s="69">
        <v>0</v>
      </c>
    </row>
    <row r="67" spans="9:50">
      <c r="N67" s="22"/>
      <c r="O67" s="23"/>
      <c r="P67" s="23"/>
      <c r="Q67" s="24"/>
      <c r="R67" s="22"/>
      <c r="S67" s="23"/>
      <c r="T67" s="23"/>
      <c r="U67" s="24"/>
      <c r="Y67" s="167"/>
      <c r="AA67" s="23"/>
      <c r="AB67" s="23"/>
      <c r="AC67" s="167"/>
      <c r="AD67" s="22"/>
      <c r="AE67" s="23"/>
      <c r="AF67" s="23"/>
      <c r="AG67" s="24"/>
      <c r="AI67" s="22"/>
      <c r="AO67" s="105"/>
      <c r="AP67" s="105"/>
      <c r="AQ67" s="105"/>
      <c r="AR67" s="105"/>
      <c r="AS67" s="105"/>
      <c r="AT67" s="105"/>
      <c r="AU67" s="193"/>
    </row>
    <row r="68" spans="9:50" s="160" customFormat="1">
      <c r="I68" s="646" t="s">
        <v>122</v>
      </c>
      <c r="N68" s="647"/>
      <c r="O68" s="648"/>
      <c r="P68" s="648"/>
      <c r="Q68" s="166"/>
      <c r="R68" s="649">
        <f t="shared" ref="R68:AG68" si="72">+R34/(R65/1000)</f>
        <v>150.76923076923077</v>
      </c>
      <c r="S68" s="650">
        <f t="shared" si="72"/>
        <v>203.84615384615384</v>
      </c>
      <c r="T68" s="650">
        <f t="shared" si="72"/>
        <v>643.26923076923083</v>
      </c>
      <c r="U68" s="167">
        <f t="shared" si="72"/>
        <v>1258.3846153846155</v>
      </c>
      <c r="V68" s="646">
        <f t="shared" si="72"/>
        <v>1616.5833333333335</v>
      </c>
      <c r="W68" s="646">
        <f>+W34/(W65/1000)</f>
        <v>2991.5833333333335</v>
      </c>
      <c r="X68" s="646">
        <f t="shared" si="72"/>
        <v>5574.0869565217399</v>
      </c>
      <c r="Y68" s="167">
        <f>+Y34/(Y65/1000)</f>
        <v>6712.4999999999982</v>
      </c>
      <c r="Z68" s="646">
        <f t="shared" ref="Z68" si="73">+Z34/(Z65/1000)</f>
        <v>8413.5714285714294</v>
      </c>
      <c r="AA68" s="650">
        <f t="shared" si="72"/>
        <v>19233.910293545337</v>
      </c>
      <c r="AB68" s="650">
        <f>+X68*(1+AB69)</f>
        <v>27870.4347826087</v>
      </c>
      <c r="AC68" s="167">
        <f>+Y68*(1+AC69)</f>
        <v>45309.374999999985</v>
      </c>
      <c r="AD68" s="649">
        <f t="shared" si="72"/>
        <v>36678.13916449275</v>
      </c>
      <c r="AE68" s="650">
        <f t="shared" si="72"/>
        <v>79173.326971232877</v>
      </c>
      <c r="AF68" s="650">
        <f t="shared" si="72"/>
        <v>51199.502904513778</v>
      </c>
      <c r="AG68" s="167">
        <f t="shared" si="72"/>
        <v>76025.613655111607</v>
      </c>
      <c r="AI68" s="649"/>
      <c r="AJ68" s="646"/>
      <c r="AK68" s="646">
        <f>+SUM(R68:U68)</f>
        <v>2256.2692307692309</v>
      </c>
      <c r="AL68" s="646">
        <f>+SUM(V68:Y68)</f>
        <v>16894.753623188408</v>
      </c>
      <c r="AM68" s="646">
        <f>+SUM(Z68:AC68)</f>
        <v>100827.29150472545</v>
      </c>
      <c r="AN68" s="646">
        <f>+SUM(AD68:AG68)</f>
        <v>243076.58269535101</v>
      </c>
      <c r="AO68" s="651">
        <f t="shared" ref="AO68:AU68" si="74">+AO34/(AO65/1000)</f>
        <v>432153.33196785778</v>
      </c>
      <c r="AP68" s="651">
        <f>+AP34/(AP65/1000)</f>
        <v>684633.21310595865</v>
      </c>
      <c r="AQ68" s="651">
        <f t="shared" si="74"/>
        <v>980334.60114999232</v>
      </c>
      <c r="AR68" s="651">
        <f t="shared" si="74"/>
        <v>1276834.772530868</v>
      </c>
      <c r="AS68" s="651">
        <f t="shared" si="74"/>
        <v>1585847.6412119737</v>
      </c>
      <c r="AT68" s="651">
        <f t="shared" si="74"/>
        <v>1892980.3658625472</v>
      </c>
      <c r="AU68" s="630">
        <f t="shared" si="74"/>
        <v>2199454.24339042</v>
      </c>
      <c r="AX68" s="646"/>
    </row>
    <row r="69" spans="9:50">
      <c r="I69" s="1" t="s">
        <v>1</v>
      </c>
      <c r="J69" s="22"/>
      <c r="K69" s="23"/>
      <c r="L69" s="23"/>
      <c r="M69" s="23"/>
      <c r="N69" s="22"/>
      <c r="O69" s="23"/>
      <c r="P69" s="23"/>
      <c r="Q69" s="24"/>
      <c r="R69" s="56"/>
      <c r="S69" s="28"/>
      <c r="T69" s="28"/>
      <c r="U69" s="29"/>
      <c r="V69" s="28">
        <f t="shared" ref="V69:AA69" si="75">+V68/R68-1</f>
        <v>9.7222363945578234</v>
      </c>
      <c r="W69" s="28">
        <f t="shared" si="75"/>
        <v>13.675691823899372</v>
      </c>
      <c r="X69" s="28">
        <f t="shared" si="75"/>
        <v>7.6652472866705672</v>
      </c>
      <c r="Y69" s="112">
        <f t="shared" si="75"/>
        <v>4.3342196955804129</v>
      </c>
      <c r="Z69" s="28">
        <f t="shared" si="75"/>
        <v>4.2045392619649027</v>
      </c>
      <c r="AA69" s="28">
        <f t="shared" si="75"/>
        <v>5.4293413053997055</v>
      </c>
      <c r="AB69" s="40">
        <v>4</v>
      </c>
      <c r="AC69" s="41">
        <v>5.75</v>
      </c>
      <c r="AD69" s="42">
        <f>+AD68/Z68-1</f>
        <v>3.3594018872815896</v>
      </c>
      <c r="AE69" s="28">
        <f>+AE68/AA68-1</f>
        <v>3.1163406589144005</v>
      </c>
      <c r="AF69" s="28">
        <f>+AF68/AB68-1</f>
        <v>0.83705433029206056</v>
      </c>
      <c r="AG69" s="29">
        <f>+AG68/AC68-1</f>
        <v>0.67792236496556457</v>
      </c>
      <c r="AI69" s="22"/>
      <c r="AL69" s="5">
        <f>+AL68/AK68-1</f>
        <v>6.4879156231849473</v>
      </c>
      <c r="AM69" s="5">
        <f>+AM68/AL68-1</f>
        <v>4.9679645973847082</v>
      </c>
      <c r="AN69" s="5">
        <f>+AN68/AM68-1</f>
        <v>1.4108213070858775</v>
      </c>
      <c r="AO69" s="116">
        <f t="shared" ref="AO69:AU69" si="76">+AO68/AN68-1</f>
        <v>0.77784847547193614</v>
      </c>
      <c r="AP69" s="116">
        <f t="shared" si="76"/>
        <v>0.58423680314671178</v>
      </c>
      <c r="AQ69" s="116">
        <f t="shared" si="76"/>
        <v>0.4319121281051097</v>
      </c>
      <c r="AR69" s="116">
        <f t="shared" si="76"/>
        <v>0.30244793056683172</v>
      </c>
      <c r="AS69" s="116">
        <f t="shared" si="76"/>
        <v>0.24201476598933658</v>
      </c>
      <c r="AT69" s="116">
        <f t="shared" si="76"/>
        <v>0.19367101647662022</v>
      </c>
      <c r="AU69" s="112">
        <f t="shared" si="76"/>
        <v>0.16190018821892327</v>
      </c>
      <c r="AX69" s="9"/>
    </row>
    <row r="70" spans="9:50">
      <c r="I70" s="1" t="s">
        <v>3</v>
      </c>
      <c r="J70" s="23"/>
      <c r="K70" s="28"/>
      <c r="L70" s="28"/>
      <c r="M70" s="28"/>
      <c r="N70" s="42"/>
      <c r="O70" s="28"/>
      <c r="P70" s="28"/>
      <c r="Q70" s="29"/>
      <c r="R70" s="42"/>
      <c r="S70" s="28">
        <f t="shared" ref="S70:Z70" si="77">+S68/R68-1</f>
        <v>0.3520408163265305</v>
      </c>
      <c r="T70" s="28">
        <f t="shared" si="77"/>
        <v>2.1556603773584908</v>
      </c>
      <c r="U70" s="29">
        <f t="shared" si="77"/>
        <v>0.95623318385650213</v>
      </c>
      <c r="V70" s="28">
        <f t="shared" si="77"/>
        <v>0.28464963221060779</v>
      </c>
      <c r="W70" s="28">
        <f t="shared" si="77"/>
        <v>0.85055930718078243</v>
      </c>
      <c r="X70" s="28">
        <f t="shared" si="77"/>
        <v>0.86325645500601333</v>
      </c>
      <c r="Y70" s="29">
        <f t="shared" si="77"/>
        <v>0.20423309725125538</v>
      </c>
      <c r="Z70" s="28">
        <f t="shared" si="77"/>
        <v>0.25341846235701038</v>
      </c>
      <c r="AA70" s="28">
        <f t="shared" ref="AA70:AG70" si="78">+AA68/Z68-1</f>
        <v>1.2860577647477265</v>
      </c>
      <c r="AB70" s="28">
        <f t="shared" si="78"/>
        <v>0.44902593166204352</v>
      </c>
      <c r="AC70" s="29">
        <f t="shared" si="78"/>
        <v>0.6257146812891945</v>
      </c>
      <c r="AD70" s="42">
        <f t="shared" si="78"/>
        <v>-0.19049558365144603</v>
      </c>
      <c r="AE70" s="28">
        <f t="shared" si="78"/>
        <v>1.1585971582734689</v>
      </c>
      <c r="AF70" s="28">
        <f t="shared" si="78"/>
        <v>-0.35332384196616129</v>
      </c>
      <c r="AG70" s="29">
        <f t="shared" si="78"/>
        <v>0.48488968334122529</v>
      </c>
      <c r="AI70" s="22"/>
      <c r="AJ70" s="5"/>
      <c r="AK70" s="5"/>
      <c r="AL70" s="5"/>
      <c r="AM70" s="5"/>
      <c r="AN70" s="5"/>
      <c r="AO70" s="116"/>
      <c r="AP70" s="116"/>
      <c r="AQ70" s="116"/>
      <c r="AR70" s="116"/>
      <c r="AS70" s="116"/>
      <c r="AT70" s="116"/>
      <c r="AU70" s="112"/>
    </row>
    <row r="71" spans="9:50">
      <c r="N71" s="22"/>
      <c r="O71" s="23"/>
      <c r="P71" s="23"/>
      <c r="Q71" s="24"/>
      <c r="R71" s="22"/>
      <c r="S71" s="23"/>
      <c r="T71" s="23"/>
      <c r="U71" s="24"/>
      <c r="Y71" s="24"/>
      <c r="AA71" s="23"/>
      <c r="AB71" s="23"/>
      <c r="AC71" s="24"/>
      <c r="AD71" s="22"/>
      <c r="AE71" s="23"/>
      <c r="AF71" s="23"/>
      <c r="AG71" s="24"/>
      <c r="AI71" s="22"/>
      <c r="AO71" s="105"/>
      <c r="AP71" s="105"/>
      <c r="AQ71" s="105"/>
      <c r="AR71" s="105"/>
      <c r="AS71" s="105"/>
      <c r="AT71" s="105"/>
      <c r="AU71" s="193"/>
      <c r="AX71" s="571"/>
    </row>
    <row r="72" spans="9:50" s="344" customFormat="1">
      <c r="I72" s="344" t="s">
        <v>123</v>
      </c>
      <c r="N72" s="345"/>
      <c r="O72" s="346"/>
      <c r="P72" s="346"/>
      <c r="Q72" s="347"/>
      <c r="R72" s="345">
        <f t="shared" ref="R72:AG72" si="79">+R68/R52/(365/4)</f>
        <v>2.0398340033043229E-2</v>
      </c>
      <c r="S72" s="346">
        <f t="shared" si="79"/>
        <v>2.5677361529983164E-2</v>
      </c>
      <c r="T72" s="346">
        <f t="shared" si="79"/>
        <v>7.4440610524277764E-2</v>
      </c>
      <c r="U72" s="347">
        <f t="shared" si="79"/>
        <v>0.13009921068851024</v>
      </c>
      <c r="V72" s="344">
        <f t="shared" si="79"/>
        <v>0.14521296504229358</v>
      </c>
      <c r="W72" s="344">
        <f t="shared" si="79"/>
        <v>0.22926206213877448</v>
      </c>
      <c r="X72" s="344">
        <f t="shared" si="79"/>
        <v>0.39925414676492005</v>
      </c>
      <c r="Y72" s="347">
        <f t="shared" si="79"/>
        <v>0.46469768689587121</v>
      </c>
      <c r="Z72" s="344">
        <f t="shared" ref="Z72" si="80">+Z68/Z52/(365/4)</f>
        <v>0.55544290665597817</v>
      </c>
      <c r="AA72" s="346">
        <f t="shared" si="79"/>
        <v>1.2113941296517297</v>
      </c>
      <c r="AB72" s="346">
        <f t="shared" ref="AB72" si="81">+AB68/AB52/(365/4)</f>
        <v>1.7158956307593474</v>
      </c>
      <c r="AC72" s="346">
        <f t="shared" si="79"/>
        <v>2.6552999780235873</v>
      </c>
      <c r="AD72" s="345">
        <f t="shared" si="79"/>
        <v>2.07277336026113</v>
      </c>
      <c r="AE72" s="346">
        <f t="shared" si="79"/>
        <v>4.3102264683974791</v>
      </c>
      <c r="AF72" s="346">
        <f t="shared" si="79"/>
        <v>2.6996690565513179</v>
      </c>
      <c r="AG72" s="347">
        <f t="shared" si="79"/>
        <v>3.8751635859213316</v>
      </c>
      <c r="AI72" s="345"/>
      <c r="AK72" s="346">
        <f>+AK68/AK52/(365)</f>
        <v>5.8316599399566578E-2</v>
      </c>
      <c r="AL72" s="346">
        <f>+AL68/AL52/(365)</f>
        <v>0.29240048154083031</v>
      </c>
      <c r="AM72" s="346">
        <f t="shared" ref="AM72:AU72" si="82">+AM68/AM52/(365)</f>
        <v>1.4772147315907327</v>
      </c>
      <c r="AN72" s="346">
        <f t="shared" si="82"/>
        <v>3.0975137080918733</v>
      </c>
      <c r="AO72" s="348">
        <f>+AO68/AO52/(365)</f>
        <v>4.9006148187520786</v>
      </c>
      <c r="AP72" s="348">
        <f>+AP68/AP52/(365)</f>
        <v>7.0449987228724336</v>
      </c>
      <c r="AQ72" s="348">
        <f t="shared" si="82"/>
        <v>9.3071667947770322</v>
      </c>
      <c r="AR72" s="348">
        <f t="shared" si="82"/>
        <v>11.332803522613258</v>
      </c>
      <c r="AS72" s="348">
        <f t="shared" si="82"/>
        <v>13.296331271706265</v>
      </c>
      <c r="AT72" s="348">
        <f t="shared" si="82"/>
        <v>15.118235067916673</v>
      </c>
      <c r="AU72" s="349">
        <f t="shared" si="82"/>
        <v>16.770026080150512</v>
      </c>
    </row>
    <row r="73" spans="9:50" s="7" customFormat="1">
      <c r="I73" s="1" t="s">
        <v>1</v>
      </c>
      <c r="J73" s="22"/>
      <c r="K73" s="23"/>
      <c r="L73" s="23"/>
      <c r="M73" s="23"/>
      <c r="N73" s="22"/>
      <c r="O73" s="23"/>
      <c r="P73" s="23"/>
      <c r="Q73" s="24"/>
      <c r="R73" s="56"/>
      <c r="S73" s="28"/>
      <c r="T73" s="28"/>
      <c r="U73" s="29"/>
      <c r="V73" s="28">
        <f t="shared" ref="V73:AC73" si="83">+V72/R72-1</f>
        <v>6.1188618685178993</v>
      </c>
      <c r="W73" s="28">
        <f t="shared" si="83"/>
        <v>7.9285677530017153</v>
      </c>
      <c r="X73" s="28">
        <f t="shared" si="83"/>
        <v>4.3633916212268149</v>
      </c>
      <c r="Y73" s="29">
        <f t="shared" si="83"/>
        <v>2.5718716849748815</v>
      </c>
      <c r="Z73" s="28">
        <f t="shared" si="83"/>
        <v>2.8250228310826397</v>
      </c>
      <c r="AA73" s="28">
        <f t="shared" si="83"/>
        <v>4.283883946391712</v>
      </c>
      <c r="AB73" s="28">
        <f t="shared" si="83"/>
        <v>3.297752808988764</v>
      </c>
      <c r="AC73" s="29">
        <f t="shared" si="83"/>
        <v>4.7140374331550809</v>
      </c>
      <c r="AD73" s="110">
        <f>+AD72/Z72-1</f>
        <v>2.731748727767862</v>
      </c>
      <c r="AE73" s="111">
        <f>+AE72/AA72-1</f>
        <v>2.5580711206159221</v>
      </c>
      <c r="AF73" s="111">
        <f>+AF72/AB72-1</f>
        <v>0.5733294077779163</v>
      </c>
      <c r="AG73" s="112">
        <f>+AG72/AC72-1</f>
        <v>0.45940707942374259</v>
      </c>
      <c r="AI73" s="33"/>
      <c r="AL73" s="5">
        <f t="shared" ref="AL73:AU73" si="84">+AL72/AK72-1</f>
        <v>4.0140180420568816</v>
      </c>
      <c r="AM73" s="5">
        <f t="shared" si="84"/>
        <v>4.0520256458074844</v>
      </c>
      <c r="AN73" s="5">
        <f t="shared" si="84"/>
        <v>1.0968608299460487</v>
      </c>
      <c r="AO73" s="116">
        <f t="shared" si="84"/>
        <v>0.58211239096370271</v>
      </c>
      <c r="AP73" s="116">
        <f t="shared" si="84"/>
        <v>0.4375744643131152</v>
      </c>
      <c r="AQ73" s="116">
        <f t="shared" si="84"/>
        <v>0.32110269439229255</v>
      </c>
      <c r="AR73" s="116">
        <f t="shared" si="84"/>
        <v>0.21764268036680789</v>
      </c>
      <c r="AS73" s="116">
        <f t="shared" si="84"/>
        <v>0.17326054803429902</v>
      </c>
      <c r="AT73" s="116">
        <f t="shared" si="84"/>
        <v>0.13702304485202643</v>
      </c>
      <c r="AU73" s="112">
        <f t="shared" si="84"/>
        <v>0.10925819084128441</v>
      </c>
      <c r="AX73" s="344"/>
    </row>
    <row r="74" spans="9:50">
      <c r="I74" s="1" t="s">
        <v>3</v>
      </c>
      <c r="J74" s="23"/>
      <c r="K74" s="28"/>
      <c r="L74" s="28"/>
      <c r="M74" s="28"/>
      <c r="N74" s="42"/>
      <c r="O74" s="28"/>
      <c r="P74" s="28"/>
      <c r="Q74" s="29"/>
      <c r="R74" s="42"/>
      <c r="S74" s="28">
        <f t="shared" ref="S74:AG74" si="85">+S72/R72-1</f>
        <v>0.25879662209711474</v>
      </c>
      <c r="T74" s="28">
        <f t="shared" si="85"/>
        <v>1.8990755314697854</v>
      </c>
      <c r="U74" s="29">
        <f t="shared" si="85"/>
        <v>0.74769134444538454</v>
      </c>
      <c r="V74" s="28">
        <f t="shared" si="85"/>
        <v>0.11617099192069213</v>
      </c>
      <c r="W74" s="28">
        <f t="shared" si="85"/>
        <v>0.5787988494829055</v>
      </c>
      <c r="X74" s="28">
        <f t="shared" si="85"/>
        <v>0.74147498735856154</v>
      </c>
      <c r="Y74" s="29">
        <f t="shared" si="85"/>
        <v>0.16391449071030983</v>
      </c>
      <c r="Z74" s="28">
        <f t="shared" si="85"/>
        <v>0.19527796741635384</v>
      </c>
      <c r="AA74" s="28">
        <f t="shared" si="85"/>
        <v>1.1809516606213943</v>
      </c>
      <c r="AB74" s="28">
        <f t="shared" si="85"/>
        <v>0.41646355117525591</v>
      </c>
      <c r="AC74" s="29">
        <f t="shared" si="85"/>
        <v>0.54747172871377892</v>
      </c>
      <c r="AD74" s="42">
        <f t="shared" si="85"/>
        <v>-0.21938260180909874</v>
      </c>
      <c r="AE74" s="28">
        <f t="shared" si="85"/>
        <v>1.079448988988585</v>
      </c>
      <c r="AF74" s="28">
        <f t="shared" si="85"/>
        <v>-0.37365957999069099</v>
      </c>
      <c r="AG74" s="29">
        <f t="shared" si="85"/>
        <v>0.43542171456809764</v>
      </c>
      <c r="AI74" s="22"/>
      <c r="AJ74" s="5"/>
      <c r="AK74" s="5"/>
      <c r="AL74" s="5"/>
      <c r="AM74" s="5"/>
      <c r="AN74" s="5"/>
      <c r="AO74" s="116"/>
      <c r="AP74" s="116"/>
      <c r="AQ74" s="116"/>
      <c r="AR74" s="116"/>
      <c r="AS74" s="116"/>
      <c r="AT74" s="116"/>
      <c r="AU74" s="112"/>
    </row>
    <row r="75" spans="9:50">
      <c r="J75" s="23"/>
      <c r="K75" s="28"/>
      <c r="L75" s="28"/>
      <c r="M75" s="28"/>
      <c r="N75" s="42"/>
      <c r="O75" s="28"/>
      <c r="P75" s="28"/>
      <c r="Q75" s="29"/>
      <c r="R75" s="42"/>
      <c r="S75" s="28"/>
      <c r="T75" s="28"/>
      <c r="U75" s="29"/>
      <c r="V75" s="28"/>
      <c r="W75" s="28"/>
      <c r="X75" s="28"/>
      <c r="Y75" s="29"/>
      <c r="Z75" s="28"/>
      <c r="AA75" s="28"/>
      <c r="AB75" s="28"/>
      <c r="AC75" s="29"/>
      <c r="AD75" s="42"/>
      <c r="AE75" s="28"/>
      <c r="AF75" s="28"/>
      <c r="AG75" s="29"/>
      <c r="AI75" s="22"/>
      <c r="AJ75" s="5"/>
      <c r="AK75" s="5"/>
      <c r="AL75" s="576"/>
      <c r="AM75" s="5"/>
      <c r="AN75" s="5"/>
      <c r="AO75" s="116"/>
      <c r="AP75" s="116"/>
      <c r="AQ75" s="116"/>
      <c r="AR75" s="116"/>
      <c r="AS75" s="116"/>
      <c r="AT75" s="116"/>
      <c r="AU75" s="112"/>
    </row>
    <row r="76" spans="9:50" s="258" customFormat="1">
      <c r="I76" s="258" t="s">
        <v>260</v>
      </c>
      <c r="J76" s="257"/>
      <c r="K76" s="257"/>
      <c r="L76" s="257"/>
      <c r="M76" s="257"/>
      <c r="N76" s="259"/>
      <c r="O76" s="257"/>
      <c r="P76" s="257"/>
      <c r="Q76" s="260"/>
      <c r="R76" s="259"/>
      <c r="S76" s="257"/>
      <c r="T76" s="257"/>
      <c r="U76" s="260"/>
      <c r="V76" s="238">
        <f>+W76</f>
        <v>27.5</v>
      </c>
      <c r="W76" s="238">
        <f>+X76</f>
        <v>27.5</v>
      </c>
      <c r="X76" s="238">
        <f>+Y76</f>
        <v>27.5</v>
      </c>
      <c r="Y76" s="391">
        <f>27.5</f>
        <v>27.5</v>
      </c>
      <c r="Z76" s="238">
        <v>31</v>
      </c>
      <c r="AA76" s="273">
        <f>0.58*40+0.42*20</f>
        <v>31.6</v>
      </c>
      <c r="AB76" s="273">
        <v>32</v>
      </c>
      <c r="AC76" s="391">
        <f>+Y76*(1+AC77)</f>
        <v>32.449999999999996</v>
      </c>
      <c r="AD76" s="275">
        <f>+Z76*(1+AD77)</f>
        <v>33.480000000000004</v>
      </c>
      <c r="AE76" s="276">
        <f>+AA76*(1+AE77)</f>
        <v>34.128000000000007</v>
      </c>
      <c r="AF76" s="276">
        <f>+AB76*(1+AF77)</f>
        <v>34.56</v>
      </c>
      <c r="AG76" s="274">
        <f>+AC76*(1+AG77)</f>
        <v>35.045999999999999</v>
      </c>
      <c r="AI76" s="259"/>
      <c r="AL76" s="284">
        <f>+AL79/AL52/365</f>
        <v>25.028821857233101</v>
      </c>
      <c r="AM76" s="284">
        <f>+AM79/AM52/365</f>
        <v>29.957954545454548</v>
      </c>
      <c r="AN76" s="284">
        <f>+AN79/AN52/365</f>
        <v>32.651439877126336</v>
      </c>
      <c r="AO76" s="284">
        <f>+AN76*(1+AO77)</f>
        <v>33.957497472211394</v>
      </c>
      <c r="AP76" s="284">
        <f t="shared" ref="AP76:AU76" si="86">+AO76*(1+AP77)</f>
        <v>34.976222396377736</v>
      </c>
      <c r="AQ76" s="284">
        <f t="shared" si="86"/>
        <v>35.675746844305294</v>
      </c>
      <c r="AR76" s="284">
        <f t="shared" si="86"/>
        <v>36.389261781191401</v>
      </c>
      <c r="AS76" s="284">
        <f t="shared" si="86"/>
        <v>37.117047016815228</v>
      </c>
      <c r="AT76" s="284">
        <f t="shared" si="86"/>
        <v>37.859387957151533</v>
      </c>
      <c r="AU76" s="285">
        <f t="shared" si="86"/>
        <v>38.616575716294562</v>
      </c>
      <c r="AW76" s="1"/>
      <c r="AX76" s="573"/>
    </row>
    <row r="77" spans="9:50" s="258" customFormat="1">
      <c r="I77" s="268" t="s">
        <v>1</v>
      </c>
      <c r="J77" s="257"/>
      <c r="K77" s="257"/>
      <c r="L77" s="257"/>
      <c r="M77" s="257"/>
      <c r="N77" s="259"/>
      <c r="O77" s="257"/>
      <c r="P77" s="257"/>
      <c r="Q77" s="260"/>
      <c r="R77" s="259"/>
      <c r="S77" s="257"/>
      <c r="T77" s="257"/>
      <c r="U77" s="260"/>
      <c r="V77" s="28"/>
      <c r="W77" s="28"/>
      <c r="X77" s="28"/>
      <c r="Y77" s="391"/>
      <c r="Z77" s="28">
        <f>+Z76/V76-1</f>
        <v>0.1272727272727272</v>
      </c>
      <c r="AA77" s="28">
        <f>+AA76/W76-1</f>
        <v>0.14909090909090916</v>
      </c>
      <c r="AB77" s="28">
        <f>+AB76/X76-1</f>
        <v>0.16363636363636358</v>
      </c>
      <c r="AC77" s="94">
        <v>0.18</v>
      </c>
      <c r="AD77" s="92">
        <v>0.08</v>
      </c>
      <c r="AE77" s="93">
        <v>0.08</v>
      </c>
      <c r="AF77" s="93">
        <v>0.08</v>
      </c>
      <c r="AG77" s="94">
        <v>0.08</v>
      </c>
      <c r="AI77" s="259"/>
      <c r="AL77" s="284"/>
      <c r="AN77" s="5">
        <f>+AN76/AM76-1</f>
        <v>8.9908853008806799E-2</v>
      </c>
      <c r="AO77" s="20">
        <v>0.04</v>
      </c>
      <c r="AP77" s="20">
        <v>0.03</v>
      </c>
      <c r="AQ77" s="20">
        <v>0.02</v>
      </c>
      <c r="AR77" s="20">
        <v>0.02</v>
      </c>
      <c r="AS77" s="20">
        <v>0.02</v>
      </c>
      <c r="AT77" s="20">
        <v>0.02</v>
      </c>
      <c r="AU77" s="69">
        <v>0.02</v>
      </c>
      <c r="AW77" s="1"/>
    </row>
    <row r="78" spans="9:50" s="258" customFormat="1">
      <c r="I78" s="268" t="s">
        <v>1</v>
      </c>
      <c r="J78" s="257"/>
      <c r="K78" s="257"/>
      <c r="L78" s="257"/>
      <c r="M78" s="257"/>
      <c r="N78" s="259"/>
      <c r="O78" s="257"/>
      <c r="P78" s="257"/>
      <c r="Q78" s="260"/>
      <c r="R78" s="259"/>
      <c r="S78" s="257"/>
      <c r="T78" s="257"/>
      <c r="U78" s="260"/>
      <c r="V78" s="28"/>
      <c r="W78" s="28"/>
      <c r="X78" s="28"/>
      <c r="Y78" s="391"/>
      <c r="Z78" s="28"/>
      <c r="AA78" s="224"/>
      <c r="AB78" s="224"/>
      <c r="AC78" s="119"/>
      <c r="AD78" s="124"/>
      <c r="AE78" s="118"/>
      <c r="AF78" s="118"/>
      <c r="AG78" s="119"/>
      <c r="AI78" s="259"/>
      <c r="AM78" s="284">
        <f>+AM76-AL76</f>
        <v>4.929132688221447</v>
      </c>
      <c r="AN78" s="284">
        <f>+AN76-AM76</f>
        <v>2.6934853316717877</v>
      </c>
      <c r="AO78" s="284">
        <f>+AO76-AN76</f>
        <v>1.3060575950850577</v>
      </c>
      <c r="AP78" s="284">
        <f t="shared" ref="AP78:AU78" si="87">+AP76-AO76</f>
        <v>1.0187249241663423</v>
      </c>
      <c r="AQ78" s="284">
        <f t="shared" si="87"/>
        <v>0.69952444792755841</v>
      </c>
      <c r="AR78" s="284">
        <f t="shared" si="87"/>
        <v>0.71351493688610645</v>
      </c>
      <c r="AS78" s="284">
        <f t="shared" si="87"/>
        <v>0.72778523562382702</v>
      </c>
      <c r="AT78" s="284">
        <f t="shared" si="87"/>
        <v>0.74234094033630527</v>
      </c>
      <c r="AU78" s="285">
        <f t="shared" si="87"/>
        <v>0.75718775914302938</v>
      </c>
      <c r="AW78" s="1"/>
    </row>
    <row r="79" spans="9:50" s="277" customFormat="1">
      <c r="I79" s="279" t="s">
        <v>265</v>
      </c>
      <c r="J79" s="271"/>
      <c r="K79" s="271"/>
      <c r="L79" s="271"/>
      <c r="M79" s="271"/>
      <c r="N79" s="270"/>
      <c r="O79" s="271"/>
      <c r="P79" s="271"/>
      <c r="Q79" s="272"/>
      <c r="R79" s="270"/>
      <c r="S79" s="271"/>
      <c r="T79" s="271"/>
      <c r="U79" s="272"/>
      <c r="V79" s="307">
        <f>+V76*V52*(365/4)</f>
        <v>306143.75</v>
      </c>
      <c r="W79" s="307">
        <f>+W76*W52*(365/4)</f>
        <v>358840.625</v>
      </c>
      <c r="X79" s="307">
        <f>+X76*X52*(365/4)</f>
        <v>383934.375</v>
      </c>
      <c r="Y79" s="630">
        <f>+Y76*Y52*(365/4)</f>
        <v>397234.0625</v>
      </c>
      <c r="Z79" s="307">
        <f>+Z76*Z52*(365/4)</f>
        <v>469572.5</v>
      </c>
      <c r="AA79" s="281">
        <f t="shared" ref="AA79:AG79" si="88">+AA76*AA52*(365/4)</f>
        <v>501729.00000000006</v>
      </c>
      <c r="AB79" s="281">
        <f t="shared" ref="AB79" si="89">+AB76*AB52*(365/4)</f>
        <v>519760</v>
      </c>
      <c r="AC79" s="282">
        <f t="shared" si="88"/>
        <v>553718.6875</v>
      </c>
      <c r="AD79" s="280">
        <f t="shared" si="88"/>
        <v>592435.29599999997</v>
      </c>
      <c r="AE79" s="281">
        <f t="shared" si="88"/>
        <v>626887.54818000016</v>
      </c>
      <c r="AF79" s="281">
        <f t="shared" si="88"/>
        <v>655433.97479999997</v>
      </c>
      <c r="AG79" s="282">
        <f t="shared" si="88"/>
        <v>687556.43396240612</v>
      </c>
      <c r="AI79" s="270"/>
      <c r="AL79" s="277">
        <f>+SUM(V79:Y79)</f>
        <v>1446152.8125</v>
      </c>
      <c r="AM79" s="277">
        <f>+SUM(Z79:AC79)</f>
        <v>2044780.1875</v>
      </c>
      <c r="AN79" s="277">
        <f>+SUM(AD79:AG79)</f>
        <v>2562313.2529424061</v>
      </c>
      <c r="AO79" s="195">
        <f>+AO76*AO52*(365)</f>
        <v>2994490.7364997007</v>
      </c>
      <c r="AP79" s="195">
        <f t="shared" ref="AP79:AU79" si="90">+AP76*AP52*(365)</f>
        <v>3398990.4701895118</v>
      </c>
      <c r="AQ79" s="195">
        <f t="shared" si="90"/>
        <v>3757767.5166374827</v>
      </c>
      <c r="AR79" s="195">
        <f t="shared" si="90"/>
        <v>4099874.7305767895</v>
      </c>
      <c r="AS79" s="195">
        <f t="shared" si="90"/>
        <v>4426934.0359791461</v>
      </c>
      <c r="AT79" s="195">
        <f t="shared" si="90"/>
        <v>4740439.4590047011</v>
      </c>
      <c r="AU79" s="196">
        <f t="shared" si="90"/>
        <v>5064714.3253368884</v>
      </c>
      <c r="AX79" s="572"/>
    </row>
    <row r="80" spans="9:50" s="277" customFormat="1">
      <c r="I80" s="269" t="s">
        <v>1</v>
      </c>
      <c r="J80" s="271"/>
      <c r="K80" s="271"/>
      <c r="L80" s="271"/>
      <c r="M80" s="271"/>
      <c r="N80" s="270"/>
      <c r="O80" s="271"/>
      <c r="P80" s="271"/>
      <c r="Q80" s="272"/>
      <c r="R80" s="270"/>
      <c r="S80" s="271"/>
      <c r="T80" s="271"/>
      <c r="U80" s="272"/>
      <c r="V80" s="111"/>
      <c r="W80" s="111"/>
      <c r="X80" s="111"/>
      <c r="Y80" s="191"/>
      <c r="Z80" s="118"/>
      <c r="AA80" s="224"/>
      <c r="AB80" s="224"/>
      <c r="AC80" s="115">
        <f>+AC79/Y79-1</f>
        <v>0.39393556538218566</v>
      </c>
      <c r="AD80" s="113">
        <f>+AD79/Z79-1</f>
        <v>0.26164819277108431</v>
      </c>
      <c r="AE80" s="114">
        <f>+AE79/AA79-1</f>
        <v>0.24945448275862092</v>
      </c>
      <c r="AF80" s="114">
        <f>+AF79/AB79-1</f>
        <v>0.26103196629213476</v>
      </c>
      <c r="AG80" s="115">
        <f>+AG79/AC79-1</f>
        <v>0.24170711497326192</v>
      </c>
      <c r="AI80" s="270"/>
      <c r="AM80" s="116">
        <f t="shared" ref="AM80:AU80" si="91">+AM79/AL79-1</f>
        <v>0.41394475730758917</v>
      </c>
      <c r="AN80" s="116">
        <f t="shared" si="91"/>
        <v>0.25309960875313209</v>
      </c>
      <c r="AO80" s="116">
        <f t="shared" si="91"/>
        <v>0.1686669196520012</v>
      </c>
      <c r="AP80" s="116">
        <f t="shared" si="91"/>
        <v>0.13508131074155072</v>
      </c>
      <c r="AQ80" s="116">
        <f t="shared" si="91"/>
        <v>0.10555400187043396</v>
      </c>
      <c r="AR80" s="116">
        <f t="shared" si="91"/>
        <v>9.1040015760589288E-2</v>
      </c>
      <c r="AS80" s="116">
        <f t="shared" si="91"/>
        <v>7.977299963902662E-2</v>
      </c>
      <c r="AT80" s="116">
        <f t="shared" si="91"/>
        <v>7.0817730844325633E-2</v>
      </c>
      <c r="AU80" s="112">
        <f t="shared" si="91"/>
        <v>6.8406076933692495E-2</v>
      </c>
      <c r="AX80" s="574"/>
    </row>
    <row r="81" spans="9:51" s="277" customFormat="1">
      <c r="J81" s="271"/>
      <c r="K81" s="271"/>
      <c r="L81" s="271"/>
      <c r="M81" s="271"/>
      <c r="N81" s="270"/>
      <c r="O81" s="271"/>
      <c r="P81" s="271"/>
      <c r="Q81" s="272"/>
      <c r="R81" s="270"/>
      <c r="S81" s="271"/>
      <c r="T81" s="271"/>
      <c r="U81" s="272"/>
      <c r="V81" s="111"/>
      <c r="W81" s="111"/>
      <c r="X81" s="111"/>
      <c r="Y81" s="191"/>
      <c r="Z81" s="271"/>
      <c r="AA81" s="271"/>
      <c r="AB81" s="271"/>
      <c r="AC81" s="272"/>
      <c r="AD81" s="270"/>
      <c r="AE81" s="271"/>
      <c r="AF81" s="271"/>
      <c r="AG81" s="272"/>
      <c r="AI81" s="270"/>
      <c r="AU81" s="272"/>
      <c r="AX81" s="574"/>
    </row>
    <row r="82" spans="9:51" s="277" customFormat="1">
      <c r="I82" s="277" t="s">
        <v>262</v>
      </c>
      <c r="J82" s="271"/>
      <c r="K82" s="271"/>
      <c r="L82" s="271"/>
      <c r="M82" s="271"/>
      <c r="N82" s="270"/>
      <c r="O82" s="271"/>
      <c r="P82" s="271"/>
      <c r="Q82" s="272"/>
      <c r="R82" s="270"/>
      <c r="S82" s="271"/>
      <c r="T82" s="271"/>
      <c r="U82" s="272"/>
      <c r="V82" s="111"/>
      <c r="W82" s="111"/>
      <c r="X82" s="111"/>
      <c r="Y82" s="631">
        <v>60</v>
      </c>
      <c r="Z82" s="287">
        <f>+Y82</f>
        <v>60</v>
      </c>
      <c r="AA82" s="287">
        <f t="shared" ref="AA82:AG82" si="92">+Z82</f>
        <v>60</v>
      </c>
      <c r="AB82" s="287">
        <f t="shared" si="92"/>
        <v>60</v>
      </c>
      <c r="AC82" s="285">
        <f t="shared" si="92"/>
        <v>60</v>
      </c>
      <c r="AD82" s="286">
        <f t="shared" si="92"/>
        <v>60</v>
      </c>
      <c r="AE82" s="287">
        <f t="shared" si="92"/>
        <v>60</v>
      </c>
      <c r="AF82" s="287">
        <f t="shared" si="92"/>
        <v>60</v>
      </c>
      <c r="AG82" s="285">
        <f t="shared" si="92"/>
        <v>60</v>
      </c>
      <c r="AI82" s="270"/>
      <c r="AL82" s="277">
        <v>60</v>
      </c>
      <c r="AM82" s="277">
        <v>60</v>
      </c>
      <c r="AN82" s="277">
        <f>+AM82</f>
        <v>60</v>
      </c>
      <c r="AO82" s="277">
        <f t="shared" ref="AO82:AU82" si="93">+AN82</f>
        <v>60</v>
      </c>
      <c r="AP82" s="277">
        <f t="shared" si="93"/>
        <v>60</v>
      </c>
      <c r="AQ82" s="277">
        <f t="shared" si="93"/>
        <v>60</v>
      </c>
      <c r="AR82" s="277">
        <f t="shared" si="93"/>
        <v>60</v>
      </c>
      <c r="AS82" s="277">
        <f t="shared" si="93"/>
        <v>60</v>
      </c>
      <c r="AT82" s="277">
        <f t="shared" si="93"/>
        <v>60</v>
      </c>
      <c r="AU82" s="272">
        <f t="shared" si="93"/>
        <v>60</v>
      </c>
    </row>
    <row r="83" spans="9:51" s="258" customFormat="1">
      <c r="I83" s="258" t="s">
        <v>261</v>
      </c>
      <c r="J83" s="257"/>
      <c r="K83" s="257"/>
      <c r="L83" s="257"/>
      <c r="M83" s="257"/>
      <c r="N83" s="259"/>
      <c r="O83" s="257"/>
      <c r="P83" s="257"/>
      <c r="Q83" s="260"/>
      <c r="R83" s="259"/>
      <c r="S83" s="257"/>
      <c r="T83" s="257"/>
      <c r="U83" s="260"/>
      <c r="V83" s="28"/>
      <c r="W83" s="28"/>
      <c r="X83" s="28"/>
      <c r="Y83" s="267">
        <f>+Y76/Y82</f>
        <v>0.45833333333333331</v>
      </c>
      <c r="Z83" s="289">
        <f t="shared" ref="Z83:AG83" si="94">+Z76/Z82</f>
        <v>0.51666666666666672</v>
      </c>
      <c r="AA83" s="290">
        <f t="shared" si="94"/>
        <v>0.52666666666666673</v>
      </c>
      <c r="AB83" s="290">
        <f t="shared" ref="AB83" si="95">+AB76/AB82</f>
        <v>0.53333333333333333</v>
      </c>
      <c r="AC83" s="291">
        <f t="shared" si="94"/>
        <v>0.54083333333333328</v>
      </c>
      <c r="AD83" s="289">
        <f t="shared" si="94"/>
        <v>0.55800000000000005</v>
      </c>
      <c r="AE83" s="290">
        <f t="shared" si="94"/>
        <v>0.56880000000000008</v>
      </c>
      <c r="AF83" s="290">
        <f t="shared" si="94"/>
        <v>0.57600000000000007</v>
      </c>
      <c r="AG83" s="291">
        <f t="shared" si="94"/>
        <v>0.58409999999999995</v>
      </c>
      <c r="AI83" s="259"/>
      <c r="AJ83" s="577"/>
      <c r="AL83" s="295">
        <f>+AL76/AL82</f>
        <v>0.417147030953885</v>
      </c>
      <c r="AM83" s="295">
        <f t="shared" ref="AM83:AU83" si="96">+AM76/AM82</f>
        <v>0.49929924242424245</v>
      </c>
      <c r="AN83" s="295">
        <f t="shared" si="96"/>
        <v>0.5441906646187723</v>
      </c>
      <c r="AO83" s="295">
        <f t="shared" si="96"/>
        <v>0.56595829120352326</v>
      </c>
      <c r="AP83" s="295">
        <f t="shared" si="96"/>
        <v>0.58293703993962898</v>
      </c>
      <c r="AQ83" s="295">
        <f t="shared" si="96"/>
        <v>0.59459578073842156</v>
      </c>
      <c r="AR83" s="295">
        <f t="shared" si="96"/>
        <v>0.60648769635319</v>
      </c>
      <c r="AS83" s="295">
        <f t="shared" si="96"/>
        <v>0.61861745028025383</v>
      </c>
      <c r="AT83" s="295">
        <f t="shared" si="96"/>
        <v>0.63098979928585885</v>
      </c>
      <c r="AU83" s="296">
        <f t="shared" si="96"/>
        <v>0.64360959527157602</v>
      </c>
      <c r="AX83" s="575"/>
      <c r="AY83" s="574"/>
    </row>
    <row r="84" spans="9:51" s="277" customFormat="1">
      <c r="J84" s="271"/>
      <c r="K84" s="271"/>
      <c r="L84" s="271"/>
      <c r="M84" s="271"/>
      <c r="N84" s="270"/>
      <c r="O84" s="271"/>
      <c r="P84" s="271"/>
      <c r="Q84" s="272"/>
      <c r="R84" s="270"/>
      <c r="S84" s="271"/>
      <c r="T84" s="271"/>
      <c r="U84" s="272"/>
      <c r="V84" s="111"/>
      <c r="W84" s="111"/>
      <c r="X84" s="111"/>
      <c r="Y84" s="278"/>
      <c r="Z84" s="270"/>
      <c r="AA84" s="271"/>
      <c r="AB84" s="271"/>
      <c r="AC84" s="272"/>
      <c r="AD84" s="270"/>
      <c r="AE84" s="271"/>
      <c r="AF84" s="271"/>
      <c r="AG84" s="272"/>
      <c r="AI84" s="270"/>
      <c r="AU84" s="272"/>
      <c r="AX84" s="575"/>
    </row>
    <row r="85" spans="9:51" s="261" customFormat="1">
      <c r="I85" s="261" t="s">
        <v>263</v>
      </c>
      <c r="J85" s="263"/>
      <c r="K85" s="263"/>
      <c r="L85" s="263"/>
      <c r="M85" s="263"/>
      <c r="N85" s="262"/>
      <c r="O85" s="263"/>
      <c r="P85" s="263"/>
      <c r="Q85" s="264"/>
      <c r="R85" s="262"/>
      <c r="S85" s="263"/>
      <c r="T85" s="263"/>
      <c r="U85" s="264"/>
      <c r="V85" s="297"/>
      <c r="W85" s="297"/>
      <c r="X85" s="297"/>
      <c r="Y85" s="17">
        <f>+Y72/Y83</f>
        <v>1.0138858623182645</v>
      </c>
      <c r="Z85" s="292">
        <f t="shared" ref="Z85:AG85" si="97">+Z72/Z83</f>
        <v>1.0750507870760866</v>
      </c>
      <c r="AA85" s="293">
        <f t="shared" si="97"/>
        <v>2.3001154360475877</v>
      </c>
      <c r="AB85" s="293">
        <f t="shared" ref="AB85" si="98">+AB72/AB83</f>
        <v>3.2173043076737762</v>
      </c>
      <c r="AC85" s="294">
        <f t="shared" si="97"/>
        <v>4.909645567994307</v>
      </c>
      <c r="AD85" s="292">
        <f t="shared" si="97"/>
        <v>3.7146475990342829</v>
      </c>
      <c r="AE85" s="293">
        <f t="shared" si="97"/>
        <v>7.5777539880405742</v>
      </c>
      <c r="AF85" s="293">
        <f t="shared" si="97"/>
        <v>4.6869254454015934</v>
      </c>
      <c r="AG85" s="294">
        <f t="shared" si="97"/>
        <v>6.6344180549928637</v>
      </c>
      <c r="AI85" s="262"/>
      <c r="AL85" s="293">
        <f>+AL72/AL83</f>
        <v>0.70095304495444144</v>
      </c>
      <c r="AM85" s="293">
        <f t="shared" ref="AM85:AU85" si="99">+AM72/AM83</f>
        <v>2.9585759522053894</v>
      </c>
      <c r="AN85" s="293">
        <f t="shared" si="99"/>
        <v>5.6919640660535915</v>
      </c>
      <c r="AO85" s="293">
        <f t="shared" si="99"/>
        <v>8.6589681517533901</v>
      </c>
      <c r="AP85" s="293">
        <f>+AP72/AP83</f>
        <v>12.085350973069131</v>
      </c>
      <c r="AQ85" s="293">
        <f t="shared" si="99"/>
        <v>15.652931110978571</v>
      </c>
      <c r="AR85" s="293">
        <f t="shared" si="99"/>
        <v>18.685957836832298</v>
      </c>
      <c r="AS85" s="293">
        <f t="shared" si="99"/>
        <v>21.49362463939967</v>
      </c>
      <c r="AT85" s="293">
        <f t="shared" si="99"/>
        <v>23.959555423918385</v>
      </c>
      <c r="AU85" s="294">
        <f t="shared" si="99"/>
        <v>26.056208924409013</v>
      </c>
      <c r="AW85" s="277"/>
      <c r="AX85" s="575"/>
      <c r="AY85" s="574"/>
    </row>
    <row r="86" spans="9:51" s="258" customFormat="1">
      <c r="I86" s="269" t="s">
        <v>1</v>
      </c>
      <c r="J86" s="257"/>
      <c r="K86" s="257"/>
      <c r="L86" s="257"/>
      <c r="M86" s="257"/>
      <c r="N86" s="259"/>
      <c r="O86" s="257"/>
      <c r="P86" s="257"/>
      <c r="Q86" s="260"/>
      <c r="R86" s="259"/>
      <c r="S86" s="257"/>
      <c r="T86" s="257"/>
      <c r="U86" s="260"/>
      <c r="V86" s="28"/>
      <c r="W86" s="28"/>
      <c r="X86" s="28"/>
      <c r="Y86" s="238"/>
      <c r="Z86" s="270"/>
      <c r="AA86" s="271"/>
      <c r="AB86" s="271"/>
      <c r="AC86" s="112">
        <f>+AC85/Y85-1</f>
        <v>3.8424046043687126</v>
      </c>
      <c r="AD86" s="111">
        <f>+AD85/Z85-1</f>
        <v>2.4553228960813542</v>
      </c>
      <c r="AE86" s="111">
        <f>+AE85/AA85-1</f>
        <v>2.2945102968665942</v>
      </c>
      <c r="AF86" s="111">
        <f>+AF85/AB85-1</f>
        <v>0.45678648868325578</v>
      </c>
      <c r="AG86" s="112">
        <f>+AG85/AC85-1</f>
        <v>0.3513028513182801</v>
      </c>
      <c r="AI86" s="259"/>
      <c r="AL86" s="477"/>
      <c r="AN86" s="5">
        <f>+AN85/AM85-1</f>
        <v>0.92388640954465706</v>
      </c>
      <c r="AO86" s="5">
        <f t="shared" ref="AO86:AU86" si="100">+AO85/AN85-1</f>
        <v>0.5212619143881756</v>
      </c>
      <c r="AP86" s="5">
        <f t="shared" si="100"/>
        <v>0.39570336341079138</v>
      </c>
      <c r="AQ86" s="5">
        <f t="shared" si="100"/>
        <v>0.29519871999244351</v>
      </c>
      <c r="AR86" s="5">
        <f t="shared" si="100"/>
        <v>0.19376733369294885</v>
      </c>
      <c r="AS86" s="5">
        <f t="shared" si="100"/>
        <v>0.15025543924931251</v>
      </c>
      <c r="AT86" s="5">
        <f t="shared" si="100"/>
        <v>0.11472847534512409</v>
      </c>
      <c r="AU86" s="29">
        <f t="shared" si="100"/>
        <v>8.7508030236553402E-2</v>
      </c>
      <c r="AX86" s="574"/>
      <c r="AY86" s="574"/>
    </row>
    <row r="87" spans="9:51" s="258" customFormat="1">
      <c r="J87" s="257"/>
      <c r="K87" s="257"/>
      <c r="L87" s="257"/>
      <c r="M87" s="257"/>
      <c r="N87" s="259"/>
      <c r="O87" s="257"/>
      <c r="P87" s="257"/>
      <c r="Q87" s="260"/>
      <c r="R87" s="259"/>
      <c r="S87" s="257"/>
      <c r="T87" s="257"/>
      <c r="U87" s="260"/>
      <c r="V87" s="28"/>
      <c r="W87" s="28"/>
      <c r="X87" s="685"/>
      <c r="Y87" s="686"/>
      <c r="Z87" s="270"/>
      <c r="AA87" s="271"/>
      <c r="AB87" s="271"/>
      <c r="AC87" s="272"/>
      <c r="AD87" s="271"/>
      <c r="AE87" s="271"/>
      <c r="AF87" s="271"/>
      <c r="AG87" s="272"/>
      <c r="AI87" s="259"/>
      <c r="AL87" s="477"/>
      <c r="AM87" s="477"/>
      <c r="AU87" s="260"/>
      <c r="AX87" s="575"/>
    </row>
    <row r="88" spans="9:51" s="261" customFormat="1">
      <c r="N88" s="262"/>
      <c r="O88" s="263"/>
      <c r="P88" s="263"/>
      <c r="Q88" s="264"/>
      <c r="R88" s="262"/>
      <c r="S88" s="263"/>
      <c r="T88" s="263"/>
      <c r="U88" s="264"/>
      <c r="Z88" s="262"/>
      <c r="AA88" s="263"/>
      <c r="AB88" s="687"/>
      <c r="AC88" s="688"/>
      <c r="AD88" s="262"/>
      <c r="AE88" s="263"/>
      <c r="AF88" s="263"/>
      <c r="AG88" s="264"/>
      <c r="AI88" s="262"/>
      <c r="AU88" s="264"/>
      <c r="AX88" s="575"/>
    </row>
    <row r="89" spans="9:51">
      <c r="I89" s="11" t="s">
        <v>8</v>
      </c>
      <c r="J89" s="30"/>
      <c r="K89" s="31"/>
      <c r="L89" s="31"/>
      <c r="M89" s="31"/>
      <c r="N89" s="43"/>
      <c r="O89" s="31"/>
      <c r="P89" s="31"/>
      <c r="Q89" s="32"/>
      <c r="R89" s="43"/>
      <c r="S89" s="31"/>
      <c r="T89" s="31"/>
      <c r="U89" s="32"/>
      <c r="V89" s="31"/>
      <c r="W89" s="31"/>
      <c r="X89" s="59"/>
      <c r="Y89" s="59"/>
      <c r="Z89" s="30"/>
      <c r="AA89" s="59"/>
      <c r="AB89" s="59"/>
      <c r="AC89" s="60"/>
      <c r="AD89" s="30"/>
      <c r="AE89" s="59"/>
      <c r="AF89" s="59"/>
      <c r="AG89" s="60"/>
      <c r="AH89" s="10"/>
      <c r="AI89" s="30"/>
      <c r="AJ89" s="10"/>
      <c r="AK89" s="10"/>
      <c r="AL89" s="10"/>
      <c r="AM89" s="10"/>
      <c r="AN89" s="10"/>
      <c r="AO89" s="10"/>
      <c r="AP89" s="10"/>
      <c r="AQ89" s="10"/>
      <c r="AR89" s="10"/>
      <c r="AS89" s="10"/>
      <c r="AT89" s="10"/>
      <c r="AU89" s="60"/>
    </row>
    <row r="90" spans="9:51">
      <c r="J90" s="22"/>
      <c r="K90" s="23"/>
      <c r="L90" s="23"/>
      <c r="M90" s="23"/>
      <c r="N90" s="22"/>
      <c r="O90" s="23"/>
      <c r="P90" s="23"/>
      <c r="Q90" s="24"/>
      <c r="R90" s="22"/>
      <c r="S90" s="23"/>
      <c r="T90" s="23"/>
      <c r="U90" s="24"/>
      <c r="V90" s="23"/>
      <c r="W90" s="23"/>
      <c r="X90" s="23"/>
      <c r="Y90" s="23"/>
      <c r="Z90" s="22"/>
      <c r="AA90" s="23"/>
      <c r="AB90" s="23"/>
      <c r="AC90" s="24"/>
      <c r="AD90" s="22"/>
      <c r="AF90" s="23"/>
      <c r="AG90" s="24"/>
      <c r="AI90" s="22"/>
      <c r="AU90" s="24"/>
    </row>
    <row r="91" spans="9:51" s="7" customFormat="1">
      <c r="I91" s="7" t="s">
        <v>5</v>
      </c>
      <c r="J91" s="109">
        <f>+N91/(1+N93)</f>
        <v>6.5989847715736039</v>
      </c>
      <c r="K91" s="107">
        <f>+O91/(1+O93)</f>
        <v>11.904761904761905</v>
      </c>
      <c r="L91" s="107">
        <f>+P91/(1+P93)</f>
        <v>17.486338797814206</v>
      </c>
      <c r="M91" s="108">
        <f>+Q91/(1+Q93)</f>
        <v>18.918918918918919</v>
      </c>
      <c r="N91" s="372">
        <v>26</v>
      </c>
      <c r="O91" s="373">
        <v>30</v>
      </c>
      <c r="P91" s="373">
        <v>32</v>
      </c>
      <c r="Q91" s="374">
        <v>35</v>
      </c>
      <c r="R91" s="44">
        <v>38</v>
      </c>
      <c r="S91" s="45">
        <v>40</v>
      </c>
      <c r="T91" s="45">
        <v>44.3</v>
      </c>
      <c r="U91" s="46">
        <v>48</v>
      </c>
      <c r="V91" s="45">
        <v>54</v>
      </c>
      <c r="W91" s="45">
        <v>61</v>
      </c>
      <c r="X91" s="45">
        <v>65</v>
      </c>
      <c r="Y91" s="45">
        <v>67.599999999999994</v>
      </c>
      <c r="Z91" s="44">
        <v>71</v>
      </c>
      <c r="AA91" s="45">
        <v>75</v>
      </c>
      <c r="AB91" s="45">
        <v>77</v>
      </c>
      <c r="AC91" s="45">
        <v>80</v>
      </c>
      <c r="AD91" s="36">
        <f t="shared" ref="AD91:AF91" si="101">+AC91+AD92</f>
        <v>82.94</v>
      </c>
      <c r="AE91" s="37">
        <f t="shared" si="101"/>
        <v>86.320999999999998</v>
      </c>
      <c r="AF91" s="37">
        <f t="shared" si="101"/>
        <v>88.856749999999991</v>
      </c>
      <c r="AG91" s="38">
        <f>+AF91+AG92</f>
        <v>91.51928749999999</v>
      </c>
      <c r="AI91" s="36">
        <f>+M91</f>
        <v>18.918918918918919</v>
      </c>
      <c r="AJ91" s="8">
        <f>+Q91</f>
        <v>35</v>
      </c>
      <c r="AK91" s="8">
        <f>+U91</f>
        <v>48</v>
      </c>
      <c r="AL91" s="8">
        <f>+Y91</f>
        <v>67.599999999999994</v>
      </c>
      <c r="AM91" s="9">
        <f>+AC91</f>
        <v>80</v>
      </c>
      <c r="AN91" s="9">
        <f>+AG91</f>
        <v>91.51928749999999</v>
      </c>
      <c r="AO91" s="9">
        <f t="shared" ref="AO91:AU91" si="102">+AN91+AO92</f>
        <v>102.46261062499998</v>
      </c>
      <c r="AP91" s="9">
        <f t="shared" si="102"/>
        <v>112.85876759374997</v>
      </c>
      <c r="AQ91" s="9">
        <f t="shared" si="102"/>
        <v>122.21530886562496</v>
      </c>
      <c r="AR91" s="9">
        <f t="shared" si="102"/>
        <v>130.63619601031246</v>
      </c>
      <c r="AS91" s="9">
        <f t="shared" si="102"/>
        <v>138.2149944405312</v>
      </c>
      <c r="AT91" s="9">
        <f t="shared" si="102"/>
        <v>145.03591302772807</v>
      </c>
      <c r="AU91" s="55">
        <f t="shared" si="102"/>
        <v>151.85683161492494</v>
      </c>
    </row>
    <row r="92" spans="9:51">
      <c r="I92" s="1" t="s">
        <v>85</v>
      </c>
      <c r="J92" s="109"/>
      <c r="K92" s="107">
        <f>+K91-J91</f>
        <v>5.3057771331883012</v>
      </c>
      <c r="L92" s="107">
        <f>+L91-K91</f>
        <v>5.5815768930523006</v>
      </c>
      <c r="M92" s="108">
        <f>+M91-L91</f>
        <v>1.4325801211047136</v>
      </c>
      <c r="N92" s="109">
        <f t="shared" ref="N92:AC92" si="103">+N91-M91</f>
        <v>7.0810810810810807</v>
      </c>
      <c r="O92" s="107">
        <f t="shared" si="103"/>
        <v>4</v>
      </c>
      <c r="P92" s="107">
        <f t="shared" si="103"/>
        <v>2</v>
      </c>
      <c r="Q92" s="108">
        <f t="shared" si="103"/>
        <v>3</v>
      </c>
      <c r="R92" s="25">
        <f t="shared" si="103"/>
        <v>3</v>
      </c>
      <c r="S92" s="26">
        <f t="shared" si="103"/>
        <v>2</v>
      </c>
      <c r="T92" s="26">
        <f t="shared" si="103"/>
        <v>4.2999999999999972</v>
      </c>
      <c r="U92" s="27">
        <f t="shared" si="103"/>
        <v>3.7000000000000028</v>
      </c>
      <c r="V92" s="26">
        <f t="shared" si="103"/>
        <v>6</v>
      </c>
      <c r="W92" s="26">
        <f t="shared" si="103"/>
        <v>7</v>
      </c>
      <c r="X92" s="26">
        <f t="shared" si="103"/>
        <v>4</v>
      </c>
      <c r="Y92" s="26">
        <f t="shared" si="103"/>
        <v>2.5999999999999943</v>
      </c>
      <c r="Z92" s="25">
        <f t="shared" si="103"/>
        <v>3.4000000000000057</v>
      </c>
      <c r="AA92" s="26">
        <f t="shared" si="103"/>
        <v>4</v>
      </c>
      <c r="AB92" s="26">
        <f t="shared" si="103"/>
        <v>2</v>
      </c>
      <c r="AC92" s="26">
        <f t="shared" si="103"/>
        <v>3</v>
      </c>
      <c r="AD92" s="66">
        <f>+AC92*0.98</f>
        <v>2.94</v>
      </c>
      <c r="AE92" s="61">
        <f>+AD92*1.15</f>
        <v>3.3809999999999998</v>
      </c>
      <c r="AF92" s="61">
        <f>+AE92*0.75</f>
        <v>2.5357499999999997</v>
      </c>
      <c r="AG92" s="62">
        <f>+AF92*1.05</f>
        <v>2.6625375</v>
      </c>
      <c r="AH92" s="7"/>
      <c r="AI92" s="36"/>
      <c r="AJ92" s="6">
        <f>+AJ91-AI91</f>
        <v>16.081081081081081</v>
      </c>
      <c r="AK92" s="6">
        <f>+AK91-AJ91</f>
        <v>13</v>
      </c>
      <c r="AL92" s="6">
        <f>+AL91-AK91</f>
        <v>19.599999999999994</v>
      </c>
      <c r="AM92" s="6">
        <f>+AM91-AL91</f>
        <v>12.400000000000006</v>
      </c>
      <c r="AN92" s="6">
        <f>+AN91-AM91</f>
        <v>11.51928749999999</v>
      </c>
      <c r="AO92" s="18">
        <f>+AN92*0.95</f>
        <v>10.94332312499999</v>
      </c>
      <c r="AP92" s="18">
        <f>+AO92*0.95</f>
        <v>10.39615696874999</v>
      </c>
      <c r="AQ92" s="18">
        <f>+AP92*0.9</f>
        <v>9.3565412718749918</v>
      </c>
      <c r="AR92" s="18">
        <f>+AQ92*0.9</f>
        <v>8.4208871446874927</v>
      </c>
      <c r="AS92" s="18">
        <f>+AR92*0.9</f>
        <v>7.5787984302187432</v>
      </c>
      <c r="AT92" s="18">
        <f>+AS92*0.9</f>
        <v>6.8209185871968687</v>
      </c>
      <c r="AU92" s="62">
        <f>+AT92</f>
        <v>6.8209185871968687</v>
      </c>
    </row>
    <row r="93" spans="9:51">
      <c r="I93" s="1" t="s">
        <v>1</v>
      </c>
      <c r="J93" s="106"/>
      <c r="K93" s="192"/>
      <c r="L93" s="192"/>
      <c r="M93" s="193"/>
      <c r="N93" s="124">
        <v>2.94</v>
      </c>
      <c r="O93" s="118">
        <v>1.52</v>
      </c>
      <c r="P93" s="118">
        <v>0.83</v>
      </c>
      <c r="Q93" s="119">
        <v>0.85</v>
      </c>
      <c r="R93" s="42">
        <f>+R91/N91-1</f>
        <v>0.46153846153846145</v>
      </c>
      <c r="S93" s="28">
        <f>+S91/O91-1</f>
        <v>0.33333333333333326</v>
      </c>
      <c r="T93" s="28">
        <f>+T91/P91-1</f>
        <v>0.38437499999999991</v>
      </c>
      <c r="U93" s="29">
        <f>+U91/Q91-1</f>
        <v>0.37142857142857144</v>
      </c>
      <c r="V93" s="28">
        <f>+V91/R91-1</f>
        <v>0.42105263157894735</v>
      </c>
      <c r="W93" s="28">
        <f t="shared" ref="W93:AG93" si="104">+W91/S91-1</f>
        <v>0.52499999999999991</v>
      </c>
      <c r="X93" s="28">
        <f t="shared" si="104"/>
        <v>0.46726862302483085</v>
      </c>
      <c r="Y93" s="28">
        <f t="shared" si="104"/>
        <v>0.40833333333333321</v>
      </c>
      <c r="Z93" s="42">
        <f>+Z91/V91-1</f>
        <v>0.31481481481481488</v>
      </c>
      <c r="AA93" s="28">
        <f t="shared" si="104"/>
        <v>0.22950819672131151</v>
      </c>
      <c r="AB93" s="28">
        <f t="shared" si="104"/>
        <v>0.18461538461538463</v>
      </c>
      <c r="AC93" s="29">
        <f t="shared" si="104"/>
        <v>0.18343195266272194</v>
      </c>
      <c r="AD93" s="42">
        <f t="shared" si="104"/>
        <v>0.16816901408450691</v>
      </c>
      <c r="AE93" s="28">
        <f t="shared" si="104"/>
        <v>0.15094666666666656</v>
      </c>
      <c r="AF93" s="28">
        <f t="shared" si="104"/>
        <v>0.15398376623376619</v>
      </c>
      <c r="AG93" s="29">
        <f t="shared" si="104"/>
        <v>0.14399109374999997</v>
      </c>
      <c r="AI93" s="22"/>
      <c r="AJ93" s="5">
        <f t="shared" ref="AJ93:AU93" si="105">+AJ91/AI91-1</f>
        <v>0.84999999999999987</v>
      </c>
      <c r="AK93" s="5">
        <f t="shared" si="105"/>
        <v>0.37142857142857144</v>
      </c>
      <c r="AL93" s="5">
        <f t="shared" si="105"/>
        <v>0.40833333333333321</v>
      </c>
      <c r="AM93" s="5">
        <f t="shared" si="105"/>
        <v>0.18343195266272194</v>
      </c>
      <c r="AN93" s="5">
        <f t="shared" si="105"/>
        <v>0.14399109374999997</v>
      </c>
      <c r="AO93" s="5">
        <f t="shared" si="105"/>
        <v>0.11957395456121733</v>
      </c>
      <c r="AP93" s="5">
        <f t="shared" si="105"/>
        <v>0.10146293272575879</v>
      </c>
      <c r="AQ93" s="5">
        <f t="shared" si="105"/>
        <v>8.2904868371016516E-2</v>
      </c>
      <c r="AR93" s="5">
        <f t="shared" si="105"/>
        <v>6.8902064911902539E-2</v>
      </c>
      <c r="AS93" s="5">
        <f t="shared" si="105"/>
        <v>5.8014537024795754E-2</v>
      </c>
      <c r="AT93" s="5">
        <f t="shared" si="105"/>
        <v>4.9350062305516751E-2</v>
      </c>
      <c r="AU93" s="29">
        <f t="shared" si="105"/>
        <v>4.7029169843560314E-2</v>
      </c>
    </row>
    <row r="94" spans="9:51">
      <c r="I94" s="1" t="s">
        <v>3</v>
      </c>
      <c r="J94" s="106"/>
      <c r="K94" s="111">
        <f t="shared" ref="K94:V94" si="106">+K91/J91-1</f>
        <v>0.80402930402930406</v>
      </c>
      <c r="L94" s="111">
        <f t="shared" si="106"/>
        <v>0.46885245901639316</v>
      </c>
      <c r="M94" s="112">
        <f t="shared" si="106"/>
        <v>8.192567567567588E-2</v>
      </c>
      <c r="N94" s="110">
        <f t="shared" si="106"/>
        <v>0.37428571428571433</v>
      </c>
      <c r="O94" s="111">
        <f t="shared" si="106"/>
        <v>0.15384615384615374</v>
      </c>
      <c r="P94" s="111">
        <f t="shared" si="106"/>
        <v>6.6666666666666652E-2</v>
      </c>
      <c r="Q94" s="112">
        <f t="shared" si="106"/>
        <v>9.375E-2</v>
      </c>
      <c r="R94" s="42">
        <f t="shared" si="106"/>
        <v>8.5714285714285632E-2</v>
      </c>
      <c r="S94" s="28">
        <f t="shared" si="106"/>
        <v>5.2631578947368363E-2</v>
      </c>
      <c r="T94" s="28">
        <f t="shared" si="106"/>
        <v>0.10749999999999993</v>
      </c>
      <c r="U94" s="29">
        <f t="shared" si="106"/>
        <v>8.3521444695259683E-2</v>
      </c>
      <c r="V94" s="28">
        <f t="shared" si="106"/>
        <v>0.125</v>
      </c>
      <c r="W94" s="28">
        <f t="shared" ref="W94:AG94" si="107">+W91/V91-1</f>
        <v>0.12962962962962954</v>
      </c>
      <c r="X94" s="28">
        <f t="shared" si="107"/>
        <v>6.5573770491803351E-2</v>
      </c>
      <c r="Y94" s="28">
        <f t="shared" si="107"/>
        <v>3.9999999999999813E-2</v>
      </c>
      <c r="Z94" s="42">
        <f t="shared" si="107"/>
        <v>5.0295857988165826E-2</v>
      </c>
      <c r="AA94" s="28">
        <f t="shared" si="107"/>
        <v>5.6338028169014009E-2</v>
      </c>
      <c r="AB94" s="28">
        <f t="shared" si="107"/>
        <v>2.6666666666666616E-2</v>
      </c>
      <c r="AC94" s="29">
        <f t="shared" si="107"/>
        <v>3.8961038961038863E-2</v>
      </c>
      <c r="AD94" s="42">
        <f t="shared" si="107"/>
        <v>3.675000000000006E-2</v>
      </c>
      <c r="AE94" s="28">
        <f t="shared" si="107"/>
        <v>4.07644080057874E-2</v>
      </c>
      <c r="AF94" s="28">
        <f t="shared" si="107"/>
        <v>2.9375818167074019E-2</v>
      </c>
      <c r="AG94" s="29">
        <f t="shared" si="107"/>
        <v>2.9964380871458918E-2</v>
      </c>
      <c r="AI94" s="22"/>
      <c r="AU94" s="24"/>
    </row>
    <row r="95" spans="9:51">
      <c r="I95" s="1" t="s">
        <v>140</v>
      </c>
      <c r="J95" s="110">
        <f t="shared" ref="J95:Q95" si="108">+J91/J$11</f>
        <v>0.73879938203487094</v>
      </c>
      <c r="K95" s="111">
        <f t="shared" si="108"/>
        <v>0.57017543859649122</v>
      </c>
      <c r="L95" s="111">
        <f t="shared" si="108"/>
        <v>0.62728770925492217</v>
      </c>
      <c r="M95" s="112">
        <f t="shared" si="108"/>
        <v>0.51161020175104677</v>
      </c>
      <c r="N95" s="110">
        <f t="shared" si="108"/>
        <v>0.56521739130434778</v>
      </c>
      <c r="O95" s="111">
        <f t="shared" si="108"/>
        <v>0.52631578947368418</v>
      </c>
      <c r="P95" s="111">
        <f t="shared" si="108"/>
        <v>0.50793650793650791</v>
      </c>
      <c r="Q95" s="112">
        <f t="shared" si="108"/>
        <v>0.49295774647887325</v>
      </c>
      <c r="R95" s="42">
        <f t="shared" ref="R95:AG95" si="109">+R91/R11</f>
        <v>0.46913580246913578</v>
      </c>
      <c r="S95" s="28">
        <f t="shared" si="109"/>
        <v>0.45977011494252873</v>
      </c>
      <c r="T95" s="28">
        <f t="shared" si="109"/>
        <v>0.46779303062302002</v>
      </c>
      <c r="U95" s="29">
        <f t="shared" si="109"/>
        <v>0.45283018867924529</v>
      </c>
      <c r="V95" s="28">
        <f t="shared" si="109"/>
        <v>0.44262295081967212</v>
      </c>
      <c r="W95" s="28">
        <f t="shared" si="109"/>
        <v>0.42657342657342656</v>
      </c>
      <c r="X95" s="28">
        <f t="shared" si="109"/>
        <v>0.42483660130718953</v>
      </c>
      <c r="Y95" s="28">
        <f t="shared" si="109"/>
        <v>0.4270372710044219</v>
      </c>
      <c r="Z95" s="42">
        <f t="shared" ref="Z95" si="110">+Z91/Z11</f>
        <v>0.42771084337349397</v>
      </c>
      <c r="AA95" s="28">
        <f t="shared" si="109"/>
        <v>0.43103448275862066</v>
      </c>
      <c r="AB95" s="28">
        <f t="shared" ref="AB95" si="111">+AB91/AB11</f>
        <v>0.43258426966292135</v>
      </c>
      <c r="AC95" s="29">
        <f t="shared" si="109"/>
        <v>0.42780748663101603</v>
      </c>
      <c r="AD95" s="28">
        <f t="shared" si="109"/>
        <v>0.42770214521452149</v>
      </c>
      <c r="AE95" s="28">
        <f t="shared" si="109"/>
        <v>0.42881555481592243</v>
      </c>
      <c r="AF95" s="28">
        <f t="shared" si="109"/>
        <v>0.42753146399758468</v>
      </c>
      <c r="AG95" s="29">
        <f t="shared" si="109"/>
        <v>0.42567251531007982</v>
      </c>
      <c r="AI95" s="42">
        <f t="shared" ref="AI95:AU95" si="112">+AI91/AI11</f>
        <v>0.51161020175104677</v>
      </c>
      <c r="AJ95" s="5">
        <f t="shared" si="112"/>
        <v>0.49295774647887325</v>
      </c>
      <c r="AK95" s="5">
        <f t="shared" si="112"/>
        <v>0.45283018867924529</v>
      </c>
      <c r="AL95" s="5">
        <f t="shared" si="112"/>
        <v>0.4270372710044219</v>
      </c>
      <c r="AM95" s="5">
        <f t="shared" si="112"/>
        <v>0.42780748663101603</v>
      </c>
      <c r="AN95" s="5">
        <f t="shared" si="112"/>
        <v>0.42567251531007982</v>
      </c>
      <c r="AO95" s="5">
        <f t="shared" si="112"/>
        <v>0.42410264843798495</v>
      </c>
      <c r="AP95" s="5">
        <f t="shared" si="112"/>
        <v>0.42388800060384035</v>
      </c>
      <c r="AQ95" s="5">
        <f t="shared" si="112"/>
        <v>0.42350802068082649</v>
      </c>
      <c r="AR95" s="5">
        <f t="shared" si="112"/>
        <v>0.423213047274757</v>
      </c>
      <c r="AS95" s="5">
        <f t="shared" si="112"/>
        <v>0.4229785960136474</v>
      </c>
      <c r="AT95" s="5">
        <f t="shared" si="112"/>
        <v>0.42278872992275351</v>
      </c>
      <c r="AU95" s="29">
        <f t="shared" si="112"/>
        <v>0.42261606828773324</v>
      </c>
    </row>
    <row r="96" spans="9:51">
      <c r="I96" s="1" t="s">
        <v>203</v>
      </c>
      <c r="J96" s="22"/>
      <c r="K96" s="28"/>
      <c r="L96" s="28"/>
      <c r="M96" s="29"/>
      <c r="N96" s="42"/>
      <c r="O96" s="28"/>
      <c r="P96" s="28"/>
      <c r="Q96" s="29"/>
      <c r="R96" s="42"/>
      <c r="S96" s="28"/>
      <c r="T96" s="28"/>
      <c r="U96" s="29"/>
      <c r="V96" s="28">
        <f>(V91-R91)/(V$11-R$11)</f>
        <v>0.3902439024390244</v>
      </c>
      <c r="W96" s="28">
        <f t="shared" ref="W96:AG96" si="113">(W91-S91)/(W$11-S$11)</f>
        <v>0.375</v>
      </c>
      <c r="X96" s="28">
        <f t="shared" si="113"/>
        <v>0.35506003430531741</v>
      </c>
      <c r="Y96" s="28">
        <f t="shared" si="113"/>
        <v>0.37476099426386217</v>
      </c>
      <c r="Z96" s="42">
        <f>(Z91-V91)/(Z$11-V$11)</f>
        <v>0.38636363636363635</v>
      </c>
      <c r="AA96" s="28">
        <f t="shared" si="113"/>
        <v>0.45161290322580644</v>
      </c>
      <c r="AB96" s="28">
        <f t="shared" si="113"/>
        <v>0.48</v>
      </c>
      <c r="AC96" s="29">
        <f t="shared" si="113"/>
        <v>0.43205574912892025</v>
      </c>
      <c r="AD96" s="28">
        <f t="shared" si="113"/>
        <v>0.42765042979942702</v>
      </c>
      <c r="AE96" s="28">
        <f t="shared" si="113"/>
        <v>0.41467345518479187</v>
      </c>
      <c r="AF96" s="28">
        <f t="shared" si="113"/>
        <v>0.39738745004063797</v>
      </c>
      <c r="AG96" s="29">
        <f t="shared" si="113"/>
        <v>0.41141359400663313</v>
      </c>
      <c r="AI96" s="22"/>
      <c r="AL96" s="5">
        <f>(AL91-AK91)/(AL$11-AK$11)</f>
        <v>0.37476099426386217</v>
      </c>
      <c r="AM96" s="5">
        <f t="shared" ref="AM96:AU96" si="114">(AM91-AL91)/(AM$11-AL$11)</f>
        <v>0.43205574912892025</v>
      </c>
      <c r="AN96" s="5">
        <f t="shared" si="114"/>
        <v>0.41141359400663313</v>
      </c>
      <c r="AO96" s="5">
        <f t="shared" si="114"/>
        <v>0.41141359400663274</v>
      </c>
      <c r="AP96" s="5">
        <f t="shared" si="114"/>
        <v>0.42178403684845217</v>
      </c>
      <c r="AQ96" s="5">
        <f t="shared" si="114"/>
        <v>0.41897778816100689</v>
      </c>
      <c r="AR96" s="5">
        <f t="shared" si="114"/>
        <v>0.41897778816100828</v>
      </c>
      <c r="AS96" s="5">
        <f t="shared" si="114"/>
        <v>0.41897778816100539</v>
      </c>
      <c r="AT96" s="5">
        <f t="shared" si="114"/>
        <v>0.41897778816100867</v>
      </c>
      <c r="AU96" s="29">
        <f t="shared" si="114"/>
        <v>0.41897778816100578</v>
      </c>
    </row>
    <row r="97" spans="9:47">
      <c r="J97" s="22"/>
      <c r="K97" s="23"/>
      <c r="L97" s="23"/>
      <c r="M97" s="24"/>
      <c r="N97" s="22"/>
      <c r="O97" s="23"/>
      <c r="P97" s="23"/>
      <c r="Q97" s="24"/>
      <c r="R97" s="22"/>
      <c r="S97" s="23"/>
      <c r="T97" s="23"/>
      <c r="U97" s="24"/>
      <c r="V97" s="676"/>
      <c r="W97" s="676"/>
      <c r="X97" s="676"/>
      <c r="Y97" s="676"/>
      <c r="Z97" s="677"/>
      <c r="AA97" s="676"/>
      <c r="AB97" s="676"/>
      <c r="AC97" s="474"/>
      <c r="AD97" s="677"/>
      <c r="AE97" s="676"/>
      <c r="AF97" s="676"/>
      <c r="AG97" s="474"/>
      <c r="AI97" s="22"/>
      <c r="AL97" s="188"/>
      <c r="AM97" s="188"/>
      <c r="AN97" s="188"/>
      <c r="AO97" s="188"/>
      <c r="AP97" s="188"/>
      <c r="AQ97" s="188"/>
      <c r="AR97" s="188"/>
      <c r="AS97" s="188"/>
      <c r="AT97" s="188"/>
      <c r="AU97" s="24"/>
    </row>
    <row r="98" spans="9:47" s="7" customFormat="1">
      <c r="I98" s="7" t="s">
        <v>7</v>
      </c>
      <c r="J98" s="22"/>
      <c r="K98" s="23"/>
      <c r="L98" s="23"/>
      <c r="M98" s="24"/>
      <c r="N98" s="33"/>
      <c r="O98" s="34"/>
      <c r="P98" s="34"/>
      <c r="Q98" s="35"/>
      <c r="R98" s="44">
        <v>3.911</v>
      </c>
      <c r="S98" s="45">
        <v>5.2160000000000002</v>
      </c>
      <c r="T98" s="45">
        <v>15.859</v>
      </c>
      <c r="U98" s="46">
        <v>31.364000000000001</v>
      </c>
      <c r="V98" s="45">
        <v>35.898000000000003</v>
      </c>
      <c r="W98" s="45">
        <v>65.218999999999994</v>
      </c>
      <c r="X98" s="45">
        <v>114.755</v>
      </c>
      <c r="Y98" s="45">
        <v>145.35599999999999</v>
      </c>
      <c r="Z98" s="44">
        <v>129</v>
      </c>
      <c r="AA98" s="45">
        <v>148</v>
      </c>
      <c r="AB98" s="45">
        <v>167</v>
      </c>
      <c r="AC98" s="46">
        <v>219</v>
      </c>
      <c r="AD98" s="54">
        <f t="shared" ref="AD98:AG98" si="115">+AC98+AD102</f>
        <v>194</v>
      </c>
      <c r="AE98" s="54">
        <f t="shared" si="115"/>
        <v>222</v>
      </c>
      <c r="AF98" s="54">
        <f t="shared" si="115"/>
        <v>250</v>
      </c>
      <c r="AG98" s="55">
        <f t="shared" si="115"/>
        <v>310</v>
      </c>
      <c r="AI98" s="36">
        <f>+SUM(J98:M98)</f>
        <v>0</v>
      </c>
      <c r="AJ98" s="8">
        <f>+SUM(N98:Q98)</f>
        <v>0</v>
      </c>
      <c r="AK98" s="8">
        <f>+SUM(R98:U98)</f>
        <v>56.35</v>
      </c>
      <c r="AL98" s="8">
        <f>+SUM(V98:Y98)</f>
        <v>361.22799999999995</v>
      </c>
      <c r="AM98" s="9">
        <f>+SUM(Z98:AC98)</f>
        <v>663</v>
      </c>
      <c r="AN98" s="9">
        <f>+SUM(AD98:AG98)</f>
        <v>976</v>
      </c>
      <c r="AO98" s="9">
        <f t="shared" ref="AO98:AU98" si="116">+AN98*(1+AO99)</f>
        <v>1367.6512820512821</v>
      </c>
      <c r="AP98" s="9">
        <f t="shared" si="116"/>
        <v>1834.1431071663383</v>
      </c>
      <c r="AQ98" s="9">
        <f t="shared" si="116"/>
        <v>2365.9093989770608</v>
      </c>
      <c r="AR98" s="9">
        <f t="shared" si="116"/>
        <v>2948.9578173353229</v>
      </c>
      <c r="AS98" s="9">
        <f t="shared" si="116"/>
        <v>3515.8098065610634</v>
      </c>
      <c r="AT98" s="9">
        <f t="shared" si="116"/>
        <v>4042.9438812775593</v>
      </c>
      <c r="AU98" s="55">
        <f t="shared" si="116"/>
        <v>4515.7553834380196</v>
      </c>
    </row>
    <row r="99" spans="9:47">
      <c r="I99" s="1" t="s">
        <v>1</v>
      </c>
      <c r="J99" s="22"/>
      <c r="K99" s="23"/>
      <c r="L99" s="23"/>
      <c r="M99" s="24"/>
      <c r="N99" s="22"/>
      <c r="O99" s="23"/>
      <c r="P99" s="23"/>
      <c r="Q99" s="24"/>
      <c r="R99" s="56"/>
      <c r="S99" s="28"/>
      <c r="T99" s="28"/>
      <c r="U99" s="29"/>
      <c r="V99" s="28">
        <f t="shared" ref="V99:AC99" si="117">+V98/R98-1</f>
        <v>8.1787266683712616</v>
      </c>
      <c r="W99" s="28">
        <f t="shared" si="117"/>
        <v>11.503642638036808</v>
      </c>
      <c r="X99" s="28">
        <f t="shared" si="117"/>
        <v>6.2359543476890087</v>
      </c>
      <c r="Y99" s="28">
        <f t="shared" si="117"/>
        <v>3.6344853972707556</v>
      </c>
      <c r="Z99" s="42">
        <f t="shared" si="117"/>
        <v>2.5935149590506432</v>
      </c>
      <c r="AA99" s="28">
        <f t="shared" si="117"/>
        <v>1.2692773578251737</v>
      </c>
      <c r="AB99" s="28">
        <f t="shared" si="117"/>
        <v>0.45527427998780023</v>
      </c>
      <c r="AC99" s="29">
        <f t="shared" si="117"/>
        <v>0.50664575249731691</v>
      </c>
      <c r="AD99" s="28">
        <f>+AD98/Z98-1</f>
        <v>0.50387596899224807</v>
      </c>
      <c r="AE99" s="28">
        <f>+AE98/AA98-1</f>
        <v>0.5</v>
      </c>
      <c r="AF99" s="28">
        <f>+AF98/AB98-1</f>
        <v>0.49700598802395213</v>
      </c>
      <c r="AG99" s="29">
        <f>+AG98/AC98-1</f>
        <v>0.41552511415525117</v>
      </c>
      <c r="AI99" s="22"/>
      <c r="AL99" s="5">
        <f>+AL98/AK98-1</f>
        <v>5.4104347826086947</v>
      </c>
      <c r="AM99" s="5">
        <f>+AM98/AL98-1</f>
        <v>0.83540589323086833</v>
      </c>
      <c r="AN99" s="5">
        <f>+AN98/AM98-1</f>
        <v>0.47209653092006043</v>
      </c>
      <c r="AO99" s="19">
        <f>+AN99*0.85</f>
        <v>0.40128205128205136</v>
      </c>
      <c r="AP99" s="19">
        <f t="shared" ref="AP99:AQ99" si="118">+AO99*0.85</f>
        <v>0.34108974358974364</v>
      </c>
      <c r="AQ99" s="19">
        <f t="shared" si="118"/>
        <v>0.28992628205128207</v>
      </c>
      <c r="AR99" s="19">
        <f t="shared" ref="AR99" si="119">+AQ99*0.85</f>
        <v>0.24643733974358975</v>
      </c>
      <c r="AS99" s="19">
        <f>+AR99*0.78</f>
        <v>0.19222112500000002</v>
      </c>
      <c r="AT99" s="19">
        <f>+AS99*0.78</f>
        <v>0.14993247750000002</v>
      </c>
      <c r="AU99" s="19">
        <f>+AT99*0.78</f>
        <v>0.11694733245000002</v>
      </c>
    </row>
    <row r="100" spans="9:47">
      <c r="I100" s="1" t="s">
        <v>23</v>
      </c>
      <c r="J100" s="22"/>
      <c r="K100" s="23"/>
      <c r="L100" s="23"/>
      <c r="M100" s="24"/>
      <c r="N100" s="22"/>
      <c r="O100" s="23"/>
      <c r="P100" s="23"/>
      <c r="Q100" s="24"/>
      <c r="R100" s="56"/>
      <c r="S100" s="28"/>
      <c r="T100" s="28"/>
      <c r="U100" s="29"/>
      <c r="V100" s="48">
        <f t="shared" ref="V100:AG100" si="120">+V98-R98</f>
        <v>31.987000000000002</v>
      </c>
      <c r="W100" s="48">
        <f t="shared" si="120"/>
        <v>60.002999999999993</v>
      </c>
      <c r="X100" s="48">
        <f t="shared" si="120"/>
        <v>98.896000000000001</v>
      </c>
      <c r="Y100" s="48">
        <f t="shared" si="120"/>
        <v>113.99199999999999</v>
      </c>
      <c r="Z100" s="47">
        <f t="shared" si="120"/>
        <v>93.102000000000004</v>
      </c>
      <c r="AA100" s="48">
        <f t="shared" si="120"/>
        <v>82.781000000000006</v>
      </c>
      <c r="AB100" s="48">
        <f t="shared" si="120"/>
        <v>52.245000000000005</v>
      </c>
      <c r="AC100" s="49">
        <f t="shared" si="120"/>
        <v>73.644000000000005</v>
      </c>
      <c r="AD100" s="48">
        <f t="shared" si="120"/>
        <v>65</v>
      </c>
      <c r="AE100" s="48">
        <f t="shared" si="120"/>
        <v>74</v>
      </c>
      <c r="AF100" s="48">
        <f t="shared" si="120"/>
        <v>83</v>
      </c>
      <c r="AG100" s="49">
        <f t="shared" si="120"/>
        <v>91</v>
      </c>
      <c r="AI100" s="22"/>
      <c r="AK100" s="3">
        <f t="shared" ref="AK100:AU100" si="121">+AK98-AJ98</f>
        <v>56.35</v>
      </c>
      <c r="AL100" s="3">
        <f t="shared" si="121"/>
        <v>304.87799999999993</v>
      </c>
      <c r="AM100" s="3">
        <f t="shared" si="121"/>
        <v>301.77200000000005</v>
      </c>
      <c r="AN100" s="3">
        <f t="shared" si="121"/>
        <v>313</v>
      </c>
      <c r="AO100" s="3">
        <f t="shared" si="121"/>
        <v>391.65128205128212</v>
      </c>
      <c r="AP100" s="3">
        <f t="shared" si="121"/>
        <v>466.49182511505614</v>
      </c>
      <c r="AQ100" s="3">
        <f t="shared" si="121"/>
        <v>531.76629181072258</v>
      </c>
      <c r="AR100" s="3">
        <f t="shared" si="121"/>
        <v>583.0484183582621</v>
      </c>
      <c r="AS100" s="3">
        <f t="shared" si="121"/>
        <v>566.85198922574045</v>
      </c>
      <c r="AT100" s="3">
        <f t="shared" si="121"/>
        <v>527.13407471649589</v>
      </c>
      <c r="AU100" s="49">
        <f t="shared" si="121"/>
        <v>472.81150216046035</v>
      </c>
    </row>
    <row r="101" spans="9:47">
      <c r="I101" s="1" t="s">
        <v>3</v>
      </c>
      <c r="J101" s="22"/>
      <c r="K101" s="28"/>
      <c r="L101" s="28"/>
      <c r="M101" s="29"/>
      <c r="N101" s="42"/>
      <c r="O101" s="28"/>
      <c r="P101" s="28"/>
      <c r="Q101" s="29"/>
      <c r="R101" s="42"/>
      <c r="S101" s="28">
        <f>+S98/R98-1</f>
        <v>0.33367425210943491</v>
      </c>
      <c r="T101" s="28">
        <f>+T98/S98-1</f>
        <v>2.0404524539877298</v>
      </c>
      <c r="U101" s="29">
        <f>+U98/T98-1</f>
        <v>0.97767828993000827</v>
      </c>
      <c r="V101" s="28">
        <f>+V98/U98-1</f>
        <v>0.14456064277515623</v>
      </c>
      <c r="W101" s="28">
        <f t="shared" ref="W101:AG101" si="122">+W98/V98-1</f>
        <v>0.81678645049863463</v>
      </c>
      <c r="X101" s="28">
        <f t="shared" si="122"/>
        <v>0.75953326484613393</v>
      </c>
      <c r="Y101" s="28">
        <f t="shared" si="122"/>
        <v>0.2666637619275849</v>
      </c>
      <c r="Z101" s="42">
        <f>+Z98/Y98-1</f>
        <v>-0.1125237348303475</v>
      </c>
      <c r="AA101" s="28">
        <f t="shared" si="122"/>
        <v>0.1472868217054264</v>
      </c>
      <c r="AB101" s="28">
        <f t="shared" si="122"/>
        <v>0.12837837837837829</v>
      </c>
      <c r="AC101" s="29">
        <f t="shared" si="122"/>
        <v>0.31137724550898205</v>
      </c>
      <c r="AD101" s="28">
        <f t="shared" si="122"/>
        <v>-0.11415525114155256</v>
      </c>
      <c r="AE101" s="28">
        <f t="shared" si="122"/>
        <v>0.14432989690721643</v>
      </c>
      <c r="AF101" s="28">
        <f t="shared" si="122"/>
        <v>0.12612612612612617</v>
      </c>
      <c r="AG101" s="29">
        <f t="shared" si="122"/>
        <v>0.24</v>
      </c>
      <c r="AI101" s="22"/>
      <c r="AJ101" s="5"/>
      <c r="AK101" s="5"/>
      <c r="AN101" s="3"/>
      <c r="AO101" s="3"/>
      <c r="AP101" s="3"/>
      <c r="AQ101" s="3"/>
      <c r="AR101" s="3"/>
      <c r="AS101" s="3"/>
      <c r="AT101" s="3"/>
      <c r="AU101" s="49"/>
    </row>
    <row r="102" spans="9:47">
      <c r="I102" s="1" t="s">
        <v>4</v>
      </c>
      <c r="J102" s="22"/>
      <c r="K102" s="26"/>
      <c r="L102" s="26"/>
      <c r="M102" s="27"/>
      <c r="N102" s="25"/>
      <c r="O102" s="26"/>
      <c r="P102" s="26"/>
      <c r="Q102" s="27"/>
      <c r="R102" s="25"/>
      <c r="S102" s="26">
        <f t="shared" ref="S102:AC102" si="123">+S98-R98</f>
        <v>1.3050000000000002</v>
      </c>
      <c r="T102" s="26">
        <f t="shared" si="123"/>
        <v>10.643000000000001</v>
      </c>
      <c r="U102" s="27">
        <f t="shared" si="123"/>
        <v>15.505000000000001</v>
      </c>
      <c r="V102" s="26">
        <f t="shared" si="123"/>
        <v>4.5340000000000025</v>
      </c>
      <c r="W102" s="26">
        <f t="shared" si="123"/>
        <v>29.320999999999991</v>
      </c>
      <c r="X102" s="26">
        <f t="shared" si="123"/>
        <v>49.536000000000001</v>
      </c>
      <c r="Y102" s="26">
        <f t="shared" si="123"/>
        <v>30.600999999999999</v>
      </c>
      <c r="Z102" s="25">
        <f t="shared" si="123"/>
        <v>-16.355999999999995</v>
      </c>
      <c r="AA102" s="26">
        <f t="shared" si="123"/>
        <v>19</v>
      </c>
      <c r="AB102" s="26">
        <f t="shared" si="123"/>
        <v>19</v>
      </c>
      <c r="AC102" s="26">
        <f t="shared" si="123"/>
        <v>52</v>
      </c>
      <c r="AD102" s="66">
        <v>-25</v>
      </c>
      <c r="AE102" s="61">
        <v>28</v>
      </c>
      <c r="AF102" s="61">
        <v>28</v>
      </c>
      <c r="AG102" s="62">
        <v>60</v>
      </c>
      <c r="AI102" s="22"/>
      <c r="AP102" s="188"/>
      <c r="AT102" s="188"/>
      <c r="AU102" s="24"/>
    </row>
    <row r="103" spans="9:47" s="105" customFormat="1">
      <c r="I103" s="105" t="s">
        <v>141</v>
      </c>
      <c r="J103" s="106"/>
      <c r="K103" s="107"/>
      <c r="L103" s="107"/>
      <c r="M103" s="108"/>
      <c r="N103" s="109"/>
      <c r="O103" s="107"/>
      <c r="P103" s="107"/>
      <c r="Q103" s="108"/>
      <c r="R103" s="110">
        <f t="shared" ref="R103:AG103" si="124">+R98/R4</f>
        <v>0.99770408163265312</v>
      </c>
      <c r="S103" s="111">
        <f t="shared" si="124"/>
        <v>0.98415094339622644</v>
      </c>
      <c r="T103" s="111">
        <f t="shared" si="124"/>
        <v>0.94822122571001488</v>
      </c>
      <c r="U103" s="112">
        <f t="shared" si="124"/>
        <v>0.95861605232593672</v>
      </c>
      <c r="V103" s="111">
        <f t="shared" si="124"/>
        <v>0.92525387906593126</v>
      </c>
      <c r="W103" s="111">
        <f t="shared" si="124"/>
        <v>0.90836792111200859</v>
      </c>
      <c r="X103" s="111">
        <f t="shared" si="124"/>
        <v>0.89509687685251627</v>
      </c>
      <c r="Y103" s="111">
        <f t="shared" si="124"/>
        <v>0.8773192018444973</v>
      </c>
      <c r="Z103" s="110">
        <f t="shared" ref="Z103" si="125">+Z98/Z4</f>
        <v>0.86202288035924302</v>
      </c>
      <c r="AA103" s="114">
        <f t="shared" si="124"/>
        <v>0.81465946683840573</v>
      </c>
      <c r="AB103" s="114">
        <f t="shared" ref="AB103" si="126">+AB98/AB4</f>
        <v>0.8031278704607645</v>
      </c>
      <c r="AC103" s="115">
        <f t="shared" si="124"/>
        <v>0.76655710850458358</v>
      </c>
      <c r="AD103" s="114">
        <f t="shared" si="124"/>
        <v>0.77911646586345384</v>
      </c>
      <c r="AE103" s="114">
        <f t="shared" si="124"/>
        <v>0.75254237288135595</v>
      </c>
      <c r="AF103" s="114">
        <f t="shared" si="124"/>
        <v>0.73313782991202348</v>
      </c>
      <c r="AG103" s="115">
        <f t="shared" si="124"/>
        <v>0.72429906542056077</v>
      </c>
      <c r="AI103" s="106"/>
      <c r="AK103" s="116">
        <f t="shared" ref="AK103:AU103" si="127">+AK98/AK4</f>
        <v>0.96057139934882285</v>
      </c>
      <c r="AL103" s="116">
        <f t="shared" si="127"/>
        <v>0.89306322654654591</v>
      </c>
      <c r="AM103" s="116">
        <f t="shared" si="127"/>
        <v>0.80368604604648297</v>
      </c>
      <c r="AN103" s="116">
        <f t="shared" si="127"/>
        <v>0.7433358720487433</v>
      </c>
      <c r="AO103" s="116">
        <f t="shared" si="127"/>
        <v>0.69446315275785286</v>
      </c>
      <c r="AP103" s="116">
        <f t="shared" si="127"/>
        <v>0.65391177928888644</v>
      </c>
      <c r="AQ103" s="116">
        <f t="shared" si="127"/>
        <v>0.62049693481922075</v>
      </c>
      <c r="AR103" s="116">
        <f t="shared" si="127"/>
        <v>0.59407367712096881</v>
      </c>
      <c r="AS103" s="116">
        <f t="shared" si="127"/>
        <v>0.57041796784109589</v>
      </c>
      <c r="AT103" s="116">
        <f t="shared" si="127"/>
        <v>0.54962092169462218</v>
      </c>
      <c r="AU103" s="112">
        <f t="shared" si="127"/>
        <v>0.52842870417253462</v>
      </c>
    </row>
    <row r="104" spans="9:47" s="105" customFormat="1">
      <c r="I104" s="105" t="s">
        <v>253</v>
      </c>
      <c r="J104" s="106"/>
      <c r="K104" s="107"/>
      <c r="L104" s="107"/>
      <c r="M104" s="108"/>
      <c r="N104" s="109"/>
      <c r="O104" s="107"/>
      <c r="P104" s="107"/>
      <c r="Q104" s="108"/>
      <c r="R104" s="110"/>
      <c r="S104" s="111"/>
      <c r="T104" s="111"/>
      <c r="U104" s="112"/>
      <c r="V104" s="111">
        <f t="shared" ref="V104:AG104" si="128">(V98-R98)/(V4-R4)</f>
        <v>0.9171110728826195</v>
      </c>
      <c r="W104" s="111">
        <f t="shared" si="128"/>
        <v>0.90232788956058807</v>
      </c>
      <c r="X104" s="111">
        <f t="shared" si="128"/>
        <v>0.88712672341876042</v>
      </c>
      <c r="Y104" s="111">
        <f t="shared" si="128"/>
        <v>0.85731476189043643</v>
      </c>
      <c r="Z104" s="110">
        <f t="shared" si="128"/>
        <v>0.83989174560216517</v>
      </c>
      <c r="AA104" s="111">
        <f t="shared" si="128"/>
        <v>0.75342440818035383</v>
      </c>
      <c r="AB104" s="111">
        <f t="shared" si="128"/>
        <v>0.65524939485532974</v>
      </c>
      <c r="AC104" s="112">
        <f t="shared" si="128"/>
        <v>0.61364374932297883</v>
      </c>
      <c r="AD104" s="111">
        <f t="shared" si="128"/>
        <v>0.65423947177711572</v>
      </c>
      <c r="AE104" s="111">
        <f t="shared" si="128"/>
        <v>0.65296614282310794</v>
      </c>
      <c r="AF104" s="111">
        <f t="shared" si="128"/>
        <v>0.62376468289456877</v>
      </c>
      <c r="AG104" s="112">
        <f t="shared" si="128"/>
        <v>0.63946257035845033</v>
      </c>
      <c r="AI104" s="106"/>
      <c r="AK104" s="111">
        <f t="shared" ref="AK104:AU104" si="129">(AK98-AJ98)/(AK4-AJ4)</f>
        <v>0.96057139934882285</v>
      </c>
      <c r="AL104" s="111">
        <f t="shared" si="129"/>
        <v>0.88161147883719504</v>
      </c>
      <c r="AM104" s="111">
        <f t="shared" si="129"/>
        <v>0.71770674036250182</v>
      </c>
      <c r="AN104" s="111">
        <f t="shared" si="129"/>
        <v>0.64132641875541685</v>
      </c>
      <c r="AO104" s="111">
        <f t="shared" si="129"/>
        <v>0.5966975790133271</v>
      </c>
      <c r="AP104" s="111">
        <f t="shared" si="129"/>
        <v>0.55832933231113469</v>
      </c>
      <c r="AQ104" s="111">
        <f t="shared" si="129"/>
        <v>0.52752065481438137</v>
      </c>
      <c r="AR104" s="111">
        <f t="shared" si="129"/>
        <v>0.50654364651834904</v>
      </c>
      <c r="AS104" s="111">
        <f t="shared" si="129"/>
        <v>0.4725310038669201</v>
      </c>
      <c r="AT104" s="111">
        <f t="shared" si="129"/>
        <v>0.44211189288177716</v>
      </c>
      <c r="AU104" s="112">
        <f t="shared" si="129"/>
        <v>0.39740357500131995</v>
      </c>
    </row>
    <row r="105" spans="9:47" s="105" customFormat="1">
      <c r="J105" s="106"/>
      <c r="K105" s="107"/>
      <c r="L105" s="107"/>
      <c r="M105" s="108"/>
      <c r="N105" s="109"/>
      <c r="O105" s="107"/>
      <c r="P105" s="107"/>
      <c r="Q105" s="108"/>
      <c r="R105" s="110"/>
      <c r="S105" s="111"/>
      <c r="T105" s="111"/>
      <c r="U105" s="112"/>
      <c r="V105" s="111"/>
      <c r="W105" s="111"/>
      <c r="X105" s="111"/>
      <c r="Y105" s="111"/>
      <c r="Z105" s="110"/>
      <c r="AA105" s="114"/>
      <c r="AB105" s="114"/>
      <c r="AC105" s="115"/>
      <c r="AD105" s="113"/>
      <c r="AE105" s="256"/>
      <c r="AF105" s="114"/>
      <c r="AG105" s="115"/>
      <c r="AI105" s="106"/>
      <c r="AK105" s="116"/>
      <c r="AL105" s="116"/>
      <c r="AM105" s="116"/>
      <c r="AN105" s="116"/>
      <c r="AO105" s="116"/>
      <c r="AP105" s="116"/>
      <c r="AQ105" s="116"/>
      <c r="AR105" s="116"/>
      <c r="AS105" s="116"/>
      <c r="AT105" s="116"/>
      <c r="AU105" s="112"/>
    </row>
    <row r="106" spans="9:47" s="7" customFormat="1">
      <c r="I106" s="7" t="s">
        <v>6</v>
      </c>
      <c r="J106" s="22"/>
      <c r="K106" s="23"/>
      <c r="L106" s="23"/>
      <c r="M106" s="24"/>
      <c r="N106" s="33"/>
      <c r="O106" s="34"/>
      <c r="P106" s="34"/>
      <c r="Q106" s="35"/>
      <c r="R106" s="375">
        <f t="shared" ref="R106:Z106" si="130">+R98/R91</f>
        <v>0.10292105263157895</v>
      </c>
      <c r="S106" s="376">
        <f t="shared" si="130"/>
        <v>0.13040000000000002</v>
      </c>
      <c r="T106" s="376">
        <f t="shared" si="130"/>
        <v>0.35799097065462754</v>
      </c>
      <c r="U106" s="377">
        <f t="shared" si="130"/>
        <v>0.65341666666666665</v>
      </c>
      <c r="V106" s="375">
        <f t="shared" si="130"/>
        <v>0.6647777777777778</v>
      </c>
      <c r="W106" s="376">
        <f t="shared" si="130"/>
        <v>1.0691639344262294</v>
      </c>
      <c r="X106" s="376">
        <f t="shared" si="130"/>
        <v>1.7654615384615384</v>
      </c>
      <c r="Y106" s="376">
        <f t="shared" si="130"/>
        <v>2.1502366863905324</v>
      </c>
      <c r="Z106" s="375">
        <f t="shared" si="130"/>
        <v>1.8169014084507042</v>
      </c>
      <c r="AA106" s="63">
        <f t="shared" ref="AA106:AG106" si="131">+AA98/AVERAGE(AA91)</f>
        <v>1.9733333333333334</v>
      </c>
      <c r="AB106" s="63">
        <f t="shared" ref="AB106" si="132">+AB98/AVERAGE(AB91)</f>
        <v>2.168831168831169</v>
      </c>
      <c r="AC106" s="64">
        <f t="shared" si="131"/>
        <v>2.7374999999999998</v>
      </c>
      <c r="AD106" s="67">
        <f t="shared" si="131"/>
        <v>2.339040270074753</v>
      </c>
      <c r="AE106" s="63">
        <f t="shared" si="131"/>
        <v>2.5717959708529792</v>
      </c>
      <c r="AF106" s="63">
        <f t="shared" si="131"/>
        <v>2.8135172623351634</v>
      </c>
      <c r="AG106" s="64">
        <f t="shared" si="131"/>
        <v>3.3872641327108237</v>
      </c>
      <c r="AI106" s="33"/>
      <c r="AJ106" s="12">
        <f t="shared" ref="AJ106:AU106" si="133">+AJ98/AVERAGE(AI91:AJ91)</f>
        <v>0</v>
      </c>
      <c r="AK106" s="12">
        <f t="shared" si="133"/>
        <v>1.3578313253012049</v>
      </c>
      <c r="AL106" s="12">
        <f t="shared" si="133"/>
        <v>6.2496193771626292</v>
      </c>
      <c r="AM106" s="12">
        <f t="shared" si="133"/>
        <v>8.9837398373983746</v>
      </c>
      <c r="AN106" s="12">
        <f t="shared" si="133"/>
        <v>11.380644290514558</v>
      </c>
      <c r="AO106" s="12">
        <f t="shared" si="133"/>
        <v>14.100813480750471</v>
      </c>
      <c r="AP106" s="12">
        <f t="shared" si="133"/>
        <v>17.036330738167486</v>
      </c>
      <c r="AQ106" s="12">
        <f t="shared" si="133"/>
        <v>20.129054080413948</v>
      </c>
      <c r="AR106" s="12">
        <f t="shared" si="133"/>
        <v>23.325610174099939</v>
      </c>
      <c r="AS106" s="12">
        <f t="shared" si="133"/>
        <v>26.154318310179761</v>
      </c>
      <c r="AT106" s="12">
        <f t="shared" si="133"/>
        <v>28.546732064613821</v>
      </c>
      <c r="AU106" s="52">
        <f t="shared" si="133"/>
        <v>30.42011275063853</v>
      </c>
    </row>
    <row r="107" spans="9:47">
      <c r="I107" s="1" t="s">
        <v>1</v>
      </c>
      <c r="J107" s="22"/>
      <c r="K107" s="23"/>
      <c r="L107" s="23"/>
      <c r="M107" s="24"/>
      <c r="N107" s="22"/>
      <c r="O107" s="23"/>
      <c r="P107" s="23"/>
      <c r="Q107" s="24"/>
      <c r="R107" s="56"/>
      <c r="S107" s="28"/>
      <c r="T107" s="28"/>
      <c r="U107" s="29"/>
      <c r="V107" s="42">
        <f t="shared" ref="V107:AG107" si="134">+V106/R106-1</f>
        <v>5.4591039518168127</v>
      </c>
      <c r="W107" s="28">
        <f t="shared" si="134"/>
        <v>7.1991099265815119</v>
      </c>
      <c r="X107" s="28">
        <f t="shared" si="134"/>
        <v>3.9315811938865091</v>
      </c>
      <c r="Y107" s="28">
        <f t="shared" si="134"/>
        <v>2.2907588619674009</v>
      </c>
      <c r="Z107" s="42">
        <f t="shared" si="134"/>
        <v>1.7330958843483768</v>
      </c>
      <c r="AA107" s="28">
        <f t="shared" si="134"/>
        <v>0.84567891769780812</v>
      </c>
      <c r="AB107" s="28">
        <f t="shared" si="134"/>
        <v>0.22847828830138983</v>
      </c>
      <c r="AC107" s="29">
        <f t="shared" si="134"/>
        <v>0.27311566086023276</v>
      </c>
      <c r="AD107" s="42">
        <f t="shared" si="134"/>
        <v>0.28737875329695717</v>
      </c>
      <c r="AE107" s="28">
        <f t="shared" si="134"/>
        <v>0.30327498522955021</v>
      </c>
      <c r="AF107" s="28">
        <f t="shared" si="134"/>
        <v>0.29725047425034479</v>
      </c>
      <c r="AG107" s="29">
        <f t="shared" si="134"/>
        <v>0.23735676080760681</v>
      </c>
      <c r="AI107" s="22"/>
      <c r="AK107" s="5"/>
      <c r="AL107" s="5">
        <f t="shared" ref="AL107:AU107" si="135">+AL106/AK106-1</f>
        <v>3.6026478110425746</v>
      </c>
      <c r="AM107" s="5">
        <f t="shared" si="135"/>
        <v>0.43748591637864753</v>
      </c>
      <c r="AN107" s="5">
        <f t="shared" si="135"/>
        <v>0.26680474907990104</v>
      </c>
      <c r="AO107" s="5">
        <f t="shared" si="135"/>
        <v>0.23901715235077647</v>
      </c>
      <c r="AP107" s="5">
        <f t="shared" si="135"/>
        <v>0.20818070258318033</v>
      </c>
      <c r="AQ107" s="5">
        <f t="shared" si="135"/>
        <v>0.18153693948413752</v>
      </c>
      <c r="AR107" s="5">
        <f t="shared" si="135"/>
        <v>0.15880309531267622</v>
      </c>
      <c r="AS107" s="5">
        <f t="shared" si="135"/>
        <v>0.12127048831591702</v>
      </c>
      <c r="AT107" s="5">
        <f t="shared" si="135"/>
        <v>9.1472992186643509E-2</v>
      </c>
      <c r="AU107" s="29">
        <f t="shared" si="135"/>
        <v>6.5625048842173017E-2</v>
      </c>
    </row>
    <row r="108" spans="9:47" s="242" customFormat="1">
      <c r="I108" s="242" t="s">
        <v>23</v>
      </c>
      <c r="J108" s="243"/>
      <c r="K108" s="244"/>
      <c r="L108" s="244"/>
      <c r="M108" s="245"/>
      <c r="N108" s="243"/>
      <c r="O108" s="244"/>
      <c r="P108" s="244"/>
      <c r="Q108" s="245"/>
      <c r="R108" s="246"/>
      <c r="S108" s="247"/>
      <c r="T108" s="247"/>
      <c r="U108" s="248"/>
      <c r="V108" s="244">
        <f t="shared" ref="V108:AG108" si="136">+V106-R106</f>
        <v>0.56185672514619889</v>
      </c>
      <c r="W108" s="244">
        <f t="shared" si="136"/>
        <v>0.9387639344262293</v>
      </c>
      <c r="X108" s="244">
        <f t="shared" si="136"/>
        <v>1.4074705678069108</v>
      </c>
      <c r="Y108" s="244">
        <f t="shared" si="136"/>
        <v>1.4968200197238657</v>
      </c>
      <c r="Z108" s="243">
        <f t="shared" si="136"/>
        <v>1.1521236306729263</v>
      </c>
      <c r="AA108" s="244">
        <f t="shared" si="136"/>
        <v>0.90416939890710402</v>
      </c>
      <c r="AB108" s="244">
        <f t="shared" si="136"/>
        <v>0.40336963036963058</v>
      </c>
      <c r="AC108" s="245">
        <f t="shared" si="136"/>
        <v>0.58726331360946737</v>
      </c>
      <c r="AD108" s="243">
        <f t="shared" si="136"/>
        <v>0.52213886162404877</v>
      </c>
      <c r="AE108" s="244">
        <f t="shared" si="136"/>
        <v>0.59846263751964579</v>
      </c>
      <c r="AF108" s="244">
        <f t="shared" si="136"/>
        <v>0.64468609350399442</v>
      </c>
      <c r="AG108" s="245">
        <f t="shared" si="136"/>
        <v>0.64976413271082389</v>
      </c>
      <c r="AI108" s="243"/>
      <c r="AK108" s="242">
        <f t="shared" ref="AK108:AU108" si="137">+AK106-AJ106</f>
        <v>1.3578313253012049</v>
      </c>
      <c r="AL108" s="242">
        <f t="shared" si="137"/>
        <v>4.8917880518614245</v>
      </c>
      <c r="AM108" s="242">
        <f t="shared" si="137"/>
        <v>2.7341204602357454</v>
      </c>
      <c r="AN108" s="242">
        <f t="shared" si="137"/>
        <v>2.3969044531161838</v>
      </c>
      <c r="AO108" s="242">
        <f t="shared" si="137"/>
        <v>2.7201691902359126</v>
      </c>
      <c r="AP108" s="242">
        <f t="shared" si="137"/>
        <v>2.9355172574170147</v>
      </c>
      <c r="AQ108" s="242">
        <f t="shared" si="137"/>
        <v>3.0927233422464617</v>
      </c>
      <c r="AR108" s="242">
        <f t="shared" si="137"/>
        <v>3.1965560936859916</v>
      </c>
      <c r="AS108" s="242">
        <f t="shared" si="137"/>
        <v>2.8287081360798219</v>
      </c>
      <c r="AT108" s="242">
        <f t="shared" si="137"/>
        <v>2.3924137544340596</v>
      </c>
      <c r="AU108" s="245">
        <f t="shared" si="137"/>
        <v>1.87338068602471</v>
      </c>
    </row>
    <row r="109" spans="9:47">
      <c r="I109" s="1" t="s">
        <v>3</v>
      </c>
      <c r="J109" s="22"/>
      <c r="K109" s="28"/>
      <c r="L109" s="28"/>
      <c r="M109" s="29"/>
      <c r="N109" s="42"/>
      <c r="O109" s="28"/>
      <c r="P109" s="28"/>
      <c r="Q109" s="29"/>
      <c r="R109" s="42"/>
      <c r="S109" s="28">
        <f>+S106/R106-1</f>
        <v>0.26699053950396334</v>
      </c>
      <c r="T109" s="28">
        <f>+T106/S106-1</f>
        <v>1.7453295295600268</v>
      </c>
      <c r="U109" s="29">
        <f>+U106/T106-1</f>
        <v>0.82523225508123677</v>
      </c>
      <c r="V109" s="42">
        <f>+V106/U106-1</f>
        <v>1.7387238022361196E-2</v>
      </c>
      <c r="W109" s="28">
        <f t="shared" ref="W109:AG109" si="138">+W106/V106-1</f>
        <v>0.60830275945780787</v>
      </c>
      <c r="X109" s="28">
        <f t="shared" si="138"/>
        <v>0.65125429470175655</v>
      </c>
      <c r="Y109" s="28">
        <f t="shared" si="138"/>
        <v>0.21794592493037013</v>
      </c>
      <c r="Z109" s="42">
        <f>+Z106/Y106-1</f>
        <v>-0.15502259823283793</v>
      </c>
      <c r="AA109" s="28">
        <f t="shared" si="138"/>
        <v>8.6098191214470265E-2</v>
      </c>
      <c r="AB109" s="28">
        <f t="shared" si="138"/>
        <v>9.906984906984917E-2</v>
      </c>
      <c r="AC109" s="29">
        <f t="shared" si="138"/>
        <v>0.26220059880239499</v>
      </c>
      <c r="AD109" s="42">
        <f t="shared" si="138"/>
        <v>-0.14555606572611757</v>
      </c>
      <c r="AE109" s="28">
        <f t="shared" si="138"/>
        <v>9.9509060940959237E-2</v>
      </c>
      <c r="AF109" s="28">
        <f t="shared" si="138"/>
        <v>9.3989295504655956E-2</v>
      </c>
      <c r="AG109" s="29">
        <f t="shared" si="138"/>
        <v>0.20392512889700987</v>
      </c>
      <c r="AI109" s="22"/>
      <c r="AU109" s="24"/>
    </row>
    <row r="110" spans="9:47">
      <c r="I110" s="1" t="s">
        <v>4</v>
      </c>
      <c r="J110" s="22"/>
      <c r="K110" s="26"/>
      <c r="L110" s="26"/>
      <c r="M110" s="27"/>
      <c r="N110" s="25"/>
      <c r="O110" s="26"/>
      <c r="P110" s="26"/>
      <c r="Q110" s="27"/>
      <c r="R110" s="25"/>
      <c r="S110" s="26">
        <f>+S106-R106</f>
        <v>2.7478947368421061E-2</v>
      </c>
      <c r="T110" s="26">
        <f>+T106-S106</f>
        <v>0.22759097065462752</v>
      </c>
      <c r="U110" s="27">
        <f>+U106-T106</f>
        <v>0.29542569601203911</v>
      </c>
      <c r="V110" s="25">
        <f>+V106-U106</f>
        <v>1.1361111111111155E-2</v>
      </c>
      <c r="W110" s="26">
        <f t="shared" ref="W110:AG110" si="139">+W106-V106</f>
        <v>0.40438615664845157</v>
      </c>
      <c r="X110" s="26">
        <f t="shared" si="139"/>
        <v>0.69629760403530905</v>
      </c>
      <c r="Y110" s="26">
        <f t="shared" si="139"/>
        <v>0.38477514792899403</v>
      </c>
      <c r="Z110" s="25">
        <f>+Z106-Y106</f>
        <v>-0.3333352779398282</v>
      </c>
      <c r="AA110" s="26">
        <f>+AA106-Z106</f>
        <v>0.15643192488262914</v>
      </c>
      <c r="AB110" s="26">
        <f>+AB106-AA106</f>
        <v>0.19549783549783561</v>
      </c>
      <c r="AC110" s="27">
        <f t="shared" si="139"/>
        <v>0.56866883116883082</v>
      </c>
      <c r="AD110" s="25">
        <f t="shared" si="139"/>
        <v>-0.39845972992524681</v>
      </c>
      <c r="AE110" s="26">
        <f t="shared" si="139"/>
        <v>0.23275570077822616</v>
      </c>
      <c r="AF110" s="26">
        <f t="shared" si="139"/>
        <v>0.24172129148218424</v>
      </c>
      <c r="AG110" s="27">
        <f t="shared" si="139"/>
        <v>0.5737468703756603</v>
      </c>
      <c r="AI110" s="22"/>
      <c r="AU110" s="24"/>
    </row>
    <row r="111" spans="9:47">
      <c r="J111" s="22"/>
      <c r="K111" s="23"/>
      <c r="L111" s="23"/>
      <c r="M111" s="24"/>
      <c r="N111" s="22"/>
      <c r="O111" s="23"/>
      <c r="P111" s="23"/>
      <c r="Q111" s="24"/>
      <c r="R111" s="22"/>
      <c r="S111" s="23"/>
      <c r="T111" s="23"/>
      <c r="U111" s="24"/>
      <c r="V111" s="22"/>
      <c r="W111" s="23"/>
      <c r="X111" s="23"/>
      <c r="Y111" s="24"/>
      <c r="Z111" s="22"/>
      <c r="AA111" s="23"/>
      <c r="AB111" s="23"/>
      <c r="AC111" s="24"/>
      <c r="AD111" s="22"/>
      <c r="AE111" s="23"/>
      <c r="AF111" s="23"/>
      <c r="AG111" s="24"/>
      <c r="AI111" s="22"/>
      <c r="AU111" s="24"/>
    </row>
    <row r="112" spans="9:47">
      <c r="I112" s="11" t="s">
        <v>9</v>
      </c>
      <c r="J112" s="30"/>
      <c r="K112" s="31"/>
      <c r="L112" s="31"/>
      <c r="M112" s="32"/>
      <c r="N112" s="43"/>
      <c r="O112" s="31"/>
      <c r="P112" s="31"/>
      <c r="Q112" s="32"/>
      <c r="R112" s="43"/>
      <c r="S112" s="31"/>
      <c r="T112" s="31"/>
      <c r="U112" s="32"/>
      <c r="V112" s="43"/>
      <c r="W112" s="31"/>
      <c r="X112" s="59"/>
      <c r="Y112" s="60"/>
      <c r="Z112" s="30"/>
      <c r="AA112" s="59"/>
      <c r="AB112" s="59"/>
      <c r="AC112" s="60"/>
      <c r="AD112" s="30"/>
      <c r="AE112" s="59"/>
      <c r="AF112" s="59"/>
      <c r="AG112" s="60"/>
      <c r="AH112" s="10"/>
      <c r="AI112" s="30"/>
      <c r="AJ112" s="10"/>
      <c r="AK112" s="10"/>
      <c r="AL112" s="10"/>
      <c r="AM112" s="10"/>
      <c r="AN112" s="10"/>
      <c r="AO112" s="10"/>
      <c r="AP112" s="10"/>
      <c r="AQ112" s="10"/>
      <c r="AR112" s="10"/>
      <c r="AS112" s="10"/>
      <c r="AT112" s="10"/>
      <c r="AU112" s="60"/>
    </row>
    <row r="113" spans="9:47">
      <c r="J113" s="22"/>
      <c r="K113" s="23"/>
      <c r="L113" s="23"/>
      <c r="M113" s="24"/>
      <c r="N113" s="22"/>
      <c r="O113" s="23"/>
      <c r="P113" s="23"/>
      <c r="Q113" s="24"/>
      <c r="R113" s="22"/>
      <c r="S113" s="23"/>
      <c r="T113" s="23"/>
      <c r="U113" s="24"/>
      <c r="V113" s="22"/>
      <c r="W113" s="23"/>
      <c r="X113" s="23"/>
      <c r="Y113" s="24"/>
      <c r="Z113" s="22"/>
      <c r="AA113" s="23"/>
      <c r="AB113" s="23"/>
      <c r="AC113" s="24"/>
      <c r="AD113" s="22"/>
      <c r="AE113" s="23"/>
      <c r="AF113" s="23"/>
      <c r="AG113" s="24"/>
      <c r="AI113" s="22"/>
      <c r="AU113" s="24"/>
    </row>
    <row r="114" spans="9:47" s="7" customFormat="1">
      <c r="I114" s="7" t="s">
        <v>10</v>
      </c>
      <c r="J114" s="109">
        <f>+N114/(1+N116)</f>
        <v>0.96286107290233847</v>
      </c>
      <c r="K114" s="107">
        <f>+O114/(1+O116)</f>
        <v>3.8543897216274092</v>
      </c>
      <c r="L114" s="107">
        <f>+P114/(1+P116)</f>
        <v>6.5146579804560263</v>
      </c>
      <c r="M114" s="108">
        <f>+Q114/(1+Q116)</f>
        <v>9.7457627118644048</v>
      </c>
      <c r="N114" s="372">
        <v>14</v>
      </c>
      <c r="O114" s="373">
        <v>18</v>
      </c>
      <c r="P114" s="373">
        <v>20</v>
      </c>
      <c r="Q114" s="374">
        <v>23</v>
      </c>
      <c r="R114" s="44">
        <v>27</v>
      </c>
      <c r="S114" s="45">
        <v>29</v>
      </c>
      <c r="T114" s="45">
        <v>30.2</v>
      </c>
      <c r="U114" s="46">
        <v>34</v>
      </c>
      <c r="V114" s="44">
        <v>39</v>
      </c>
      <c r="W114" s="45">
        <v>46</v>
      </c>
      <c r="X114" s="45">
        <v>49</v>
      </c>
      <c r="Y114" s="45">
        <v>51.7</v>
      </c>
      <c r="Z114" s="44">
        <v>55</v>
      </c>
      <c r="AA114" s="45">
        <v>57</v>
      </c>
      <c r="AB114" s="45">
        <v>57</v>
      </c>
      <c r="AC114" s="45">
        <v>60</v>
      </c>
      <c r="AD114" s="36">
        <f t="shared" ref="AD114:AG114" si="140">+AC114+AD115</f>
        <v>63</v>
      </c>
      <c r="AE114" s="37">
        <f t="shared" si="140"/>
        <v>65</v>
      </c>
      <c r="AF114" s="37">
        <f t="shared" si="140"/>
        <v>67</v>
      </c>
      <c r="AG114" s="38">
        <f t="shared" si="140"/>
        <v>68.5</v>
      </c>
      <c r="AI114" s="36">
        <f>+M114</f>
        <v>9.7457627118644048</v>
      </c>
      <c r="AJ114" s="8">
        <f>+Q114</f>
        <v>23</v>
      </c>
      <c r="AK114" s="8">
        <f>+U114</f>
        <v>34</v>
      </c>
      <c r="AL114" s="8">
        <f>+Y114</f>
        <v>51.7</v>
      </c>
      <c r="AM114" s="9">
        <f>+AC114</f>
        <v>60</v>
      </c>
      <c r="AN114" s="9">
        <f>+AG114</f>
        <v>68.5</v>
      </c>
      <c r="AO114" s="8">
        <f t="shared" ref="AO114:AU114" si="141">+AN114+AO115</f>
        <v>76.575000000000003</v>
      </c>
      <c r="AP114" s="8">
        <f t="shared" si="141"/>
        <v>84.004000000000005</v>
      </c>
      <c r="AQ114" s="8">
        <f t="shared" si="141"/>
        <v>90.838680000000011</v>
      </c>
      <c r="AR114" s="8">
        <f t="shared" si="141"/>
        <v>96.989892000000012</v>
      </c>
      <c r="AS114" s="8">
        <f t="shared" si="141"/>
        <v>102.52598280000001</v>
      </c>
      <c r="AT114" s="8">
        <f t="shared" si="141"/>
        <v>107.50846452</v>
      </c>
      <c r="AU114" s="38">
        <f t="shared" si="141"/>
        <v>112.49094624</v>
      </c>
    </row>
    <row r="115" spans="9:47" s="7" customFormat="1">
      <c r="I115" s="1" t="s">
        <v>85</v>
      </c>
      <c r="J115" s="109"/>
      <c r="K115" s="107">
        <f t="shared" ref="K115:W115" si="142">+K114-J114</f>
        <v>2.8915286487250706</v>
      </c>
      <c r="L115" s="107">
        <f t="shared" si="142"/>
        <v>2.6602682588286171</v>
      </c>
      <c r="M115" s="108">
        <f t="shared" si="142"/>
        <v>3.2311047314083785</v>
      </c>
      <c r="N115" s="109">
        <f t="shared" si="142"/>
        <v>4.2542372881355952</v>
      </c>
      <c r="O115" s="107">
        <f t="shared" si="142"/>
        <v>4</v>
      </c>
      <c r="P115" s="107">
        <f t="shared" si="142"/>
        <v>2</v>
      </c>
      <c r="Q115" s="108">
        <f t="shared" si="142"/>
        <v>3</v>
      </c>
      <c r="R115" s="25">
        <f t="shared" si="142"/>
        <v>4</v>
      </c>
      <c r="S115" s="26">
        <f t="shared" si="142"/>
        <v>2</v>
      </c>
      <c r="T115" s="26">
        <f t="shared" si="142"/>
        <v>1.1999999999999993</v>
      </c>
      <c r="U115" s="27">
        <f t="shared" si="142"/>
        <v>3.8000000000000007</v>
      </c>
      <c r="V115" s="25">
        <f t="shared" si="142"/>
        <v>5</v>
      </c>
      <c r="W115" s="26">
        <f t="shared" si="142"/>
        <v>7</v>
      </c>
      <c r="X115" s="26">
        <f>+X114-W114</f>
        <v>3</v>
      </c>
      <c r="Y115" s="26">
        <f>+Y114-X114</f>
        <v>2.7000000000000028</v>
      </c>
      <c r="Z115" s="25">
        <f t="shared" ref="Z115:AB115" si="143">+Z114-Y114</f>
        <v>3.2999999999999972</v>
      </c>
      <c r="AA115" s="26">
        <f t="shared" si="143"/>
        <v>2</v>
      </c>
      <c r="AB115" s="26">
        <f t="shared" si="143"/>
        <v>0</v>
      </c>
      <c r="AC115" s="26">
        <f>+AC114-AB114</f>
        <v>3</v>
      </c>
      <c r="AD115" s="66">
        <v>3</v>
      </c>
      <c r="AE115" s="61">
        <v>2</v>
      </c>
      <c r="AF115" s="61">
        <v>2</v>
      </c>
      <c r="AG115" s="62">
        <v>1.5</v>
      </c>
      <c r="AI115" s="33"/>
      <c r="AJ115" s="6">
        <f>+AJ114-AI114</f>
        <v>13.254237288135595</v>
      </c>
      <c r="AK115" s="6">
        <f>+AK114-AJ114</f>
        <v>11</v>
      </c>
      <c r="AL115" s="6">
        <f>+AL114-AK114</f>
        <v>17.700000000000003</v>
      </c>
      <c r="AM115" s="6">
        <f>+AM114-AL114</f>
        <v>8.2999999999999972</v>
      </c>
      <c r="AN115" s="6">
        <f>+AN114-AM114</f>
        <v>8.5</v>
      </c>
      <c r="AO115" s="18">
        <f>+AN115*0.95</f>
        <v>8.0749999999999993</v>
      </c>
      <c r="AP115" s="18">
        <f>+AO115*0.92</f>
        <v>7.4289999999999994</v>
      </c>
      <c r="AQ115" s="18">
        <f>+AP115*0.92</f>
        <v>6.8346799999999996</v>
      </c>
      <c r="AR115" s="18">
        <f>+AQ115*0.9</f>
        <v>6.1512120000000001</v>
      </c>
      <c r="AS115" s="18">
        <f>+AR115*0.9</f>
        <v>5.5360908000000002</v>
      </c>
      <c r="AT115" s="18">
        <f>+AS115*0.9</f>
        <v>4.98248172</v>
      </c>
      <c r="AU115" s="62">
        <f>+AT115</f>
        <v>4.98248172</v>
      </c>
    </row>
    <row r="116" spans="9:47">
      <c r="I116" s="1" t="s">
        <v>1</v>
      </c>
      <c r="J116" s="106"/>
      <c r="K116" s="192"/>
      <c r="L116" s="192"/>
      <c r="M116" s="193"/>
      <c r="N116" s="124">
        <v>13.54</v>
      </c>
      <c r="O116" s="118">
        <v>3.67</v>
      </c>
      <c r="P116" s="118">
        <v>2.0699999999999998</v>
      </c>
      <c r="Q116" s="119">
        <v>1.36</v>
      </c>
      <c r="R116" s="42">
        <f>+R114/N114-1</f>
        <v>0.9285714285714286</v>
      </c>
      <c r="S116" s="28">
        <f>+S114/O114-1</f>
        <v>0.61111111111111116</v>
      </c>
      <c r="T116" s="28">
        <f>+T114/P114-1</f>
        <v>0.51</v>
      </c>
      <c r="U116" s="29">
        <f>+U114/Q114-1</f>
        <v>0.47826086956521729</v>
      </c>
      <c r="V116" s="42">
        <f>+V114/R114-1</f>
        <v>0.44444444444444442</v>
      </c>
      <c r="W116" s="28">
        <f t="shared" ref="W116:AG116" si="144">+W114/S114-1</f>
        <v>0.5862068965517242</v>
      </c>
      <c r="X116" s="28">
        <f t="shared" si="144"/>
        <v>0.6225165562913908</v>
      </c>
      <c r="Y116" s="28">
        <f t="shared" si="144"/>
        <v>0.5205882352941178</v>
      </c>
      <c r="Z116" s="42">
        <f>+Z114/V114-1</f>
        <v>0.41025641025641035</v>
      </c>
      <c r="AA116" s="28">
        <f t="shared" si="144"/>
        <v>0.23913043478260865</v>
      </c>
      <c r="AB116" s="28">
        <f t="shared" si="144"/>
        <v>0.16326530612244894</v>
      </c>
      <c r="AC116" s="29">
        <f t="shared" si="144"/>
        <v>0.16054158607350089</v>
      </c>
      <c r="AD116" s="42">
        <f t="shared" si="144"/>
        <v>0.1454545454545455</v>
      </c>
      <c r="AE116" s="28">
        <f t="shared" si="144"/>
        <v>0.14035087719298245</v>
      </c>
      <c r="AF116" s="28">
        <f t="shared" si="144"/>
        <v>0.17543859649122817</v>
      </c>
      <c r="AG116" s="29">
        <f t="shared" si="144"/>
        <v>0.14166666666666661</v>
      </c>
      <c r="AI116" s="22"/>
      <c r="AJ116" s="5">
        <f>+AJ114/AI114-1</f>
        <v>1.3600000000000003</v>
      </c>
      <c r="AK116" s="5">
        <f>+AK114/AJ114-1</f>
        <v>0.47826086956521729</v>
      </c>
      <c r="AL116" s="5">
        <f>+AL114/AK114-1</f>
        <v>0.5205882352941178</v>
      </c>
      <c r="AM116" s="5">
        <f>+AM114/AL114-1</f>
        <v>0.16054158607350089</v>
      </c>
      <c r="AN116" s="5">
        <f>+AN114/AM114-1</f>
        <v>0.14166666666666661</v>
      </c>
      <c r="AO116" s="5">
        <f t="shared" ref="AO116:AU116" si="145">+AO114/AN114-1</f>
        <v>0.1178832116788322</v>
      </c>
      <c r="AP116" s="5">
        <f t="shared" si="145"/>
        <v>9.7015997388181452E-2</v>
      </c>
      <c r="AQ116" s="5">
        <f t="shared" si="145"/>
        <v>8.1361363744583581E-2</v>
      </c>
      <c r="AR116" s="5">
        <f t="shared" si="145"/>
        <v>6.7715779225325567E-2</v>
      </c>
      <c r="AS116" s="5">
        <f t="shared" si="145"/>
        <v>5.7079049020902106E-2</v>
      </c>
      <c r="AT116" s="5">
        <f t="shared" si="145"/>
        <v>4.8597258801404974E-2</v>
      </c>
      <c r="AU116" s="29">
        <f t="shared" si="145"/>
        <v>4.634501796900925E-2</v>
      </c>
    </row>
    <row r="117" spans="9:47">
      <c r="I117" s="1" t="s">
        <v>3</v>
      </c>
      <c r="J117" s="106"/>
      <c r="K117" s="111">
        <f>+K114/J114-1</f>
        <v>3.0030590394616086</v>
      </c>
      <c r="L117" s="111">
        <f t="shared" ref="L117:V117" si="146">+L114/K114-1</f>
        <v>0.69019182048497996</v>
      </c>
      <c r="M117" s="112">
        <f t="shared" si="146"/>
        <v>0.49597457627118602</v>
      </c>
      <c r="N117" s="110">
        <f t="shared" si="146"/>
        <v>0.43652173913043502</v>
      </c>
      <c r="O117" s="111">
        <f t="shared" si="146"/>
        <v>0.28571428571428581</v>
      </c>
      <c r="P117" s="111">
        <f t="shared" si="146"/>
        <v>0.11111111111111116</v>
      </c>
      <c r="Q117" s="112">
        <f t="shared" si="146"/>
        <v>0.14999999999999991</v>
      </c>
      <c r="R117" s="42">
        <f t="shared" si="146"/>
        <v>0.17391304347826098</v>
      </c>
      <c r="S117" s="28">
        <f t="shared" si="146"/>
        <v>7.4074074074074181E-2</v>
      </c>
      <c r="T117" s="28">
        <f t="shared" si="146"/>
        <v>4.1379310344827669E-2</v>
      </c>
      <c r="U117" s="29">
        <f t="shared" si="146"/>
        <v>0.1258278145695364</v>
      </c>
      <c r="V117" s="42">
        <f t="shared" si="146"/>
        <v>0.14705882352941169</v>
      </c>
      <c r="W117" s="28">
        <f t="shared" ref="W117:AG117" si="147">+W114/V114-1</f>
        <v>0.17948717948717952</v>
      </c>
      <c r="X117" s="28">
        <f t="shared" si="147"/>
        <v>6.5217391304347894E-2</v>
      </c>
      <c r="Y117" s="28">
        <f t="shared" si="147"/>
        <v>5.5102040816326525E-2</v>
      </c>
      <c r="Z117" s="42">
        <f t="shared" si="147"/>
        <v>6.3829787234042534E-2</v>
      </c>
      <c r="AA117" s="28">
        <f t="shared" si="147"/>
        <v>3.6363636363636376E-2</v>
      </c>
      <c r="AB117" s="28">
        <f t="shared" si="147"/>
        <v>0</v>
      </c>
      <c r="AC117" s="29">
        <f t="shared" si="147"/>
        <v>5.2631578947368363E-2</v>
      </c>
      <c r="AD117" s="42">
        <f t="shared" si="147"/>
        <v>5.0000000000000044E-2</v>
      </c>
      <c r="AE117" s="28">
        <f t="shared" si="147"/>
        <v>3.1746031746031855E-2</v>
      </c>
      <c r="AF117" s="28">
        <f t="shared" si="147"/>
        <v>3.076923076923066E-2</v>
      </c>
      <c r="AG117" s="29">
        <f t="shared" si="147"/>
        <v>2.2388059701492491E-2</v>
      </c>
      <c r="AI117" s="22"/>
      <c r="AU117" s="24"/>
    </row>
    <row r="118" spans="9:47">
      <c r="I118" s="1" t="s">
        <v>140</v>
      </c>
      <c r="J118" s="110">
        <f>+J114/J$11</f>
        <v>0.10779857664015312</v>
      </c>
      <c r="K118" s="111">
        <f t="shared" ref="K118:AG118" si="148">+K114/K$11</f>
        <v>0.18460498140426013</v>
      </c>
      <c r="L118" s="111">
        <f t="shared" si="148"/>
        <v>0.23370042914016853</v>
      </c>
      <c r="M118" s="112">
        <f t="shared" si="148"/>
        <v>0.26354738601098104</v>
      </c>
      <c r="N118" s="110">
        <f t="shared" si="148"/>
        <v>0.30434782608695654</v>
      </c>
      <c r="O118" s="111">
        <f t="shared" si="148"/>
        <v>0.31578947368421051</v>
      </c>
      <c r="P118" s="111">
        <f t="shared" si="148"/>
        <v>0.31746031746031744</v>
      </c>
      <c r="Q118" s="112">
        <f t="shared" si="148"/>
        <v>0.323943661971831</v>
      </c>
      <c r="R118" s="42">
        <f t="shared" si="148"/>
        <v>0.33333333333333331</v>
      </c>
      <c r="S118" s="28">
        <f t="shared" si="148"/>
        <v>0.33333333333333331</v>
      </c>
      <c r="T118" s="28">
        <f t="shared" si="148"/>
        <v>0.3189017951425554</v>
      </c>
      <c r="U118" s="29">
        <f t="shared" si="148"/>
        <v>0.32075471698113206</v>
      </c>
      <c r="V118" s="28">
        <f t="shared" si="148"/>
        <v>0.31967213114754101</v>
      </c>
      <c r="W118" s="28">
        <f t="shared" si="148"/>
        <v>0.32167832167832167</v>
      </c>
      <c r="X118" s="28">
        <f t="shared" si="148"/>
        <v>0.3202614379084967</v>
      </c>
      <c r="Y118" s="28">
        <f t="shared" si="148"/>
        <v>0.32659507264687304</v>
      </c>
      <c r="Z118" s="42">
        <f t="shared" ref="Z118" si="149">+Z114/Z$11</f>
        <v>0.33132530120481929</v>
      </c>
      <c r="AA118" s="28">
        <f t="shared" si="148"/>
        <v>0.32758620689655171</v>
      </c>
      <c r="AB118" s="28">
        <f t="shared" ref="AB118" si="150">+AB114/AB$11</f>
        <v>0.3202247191011236</v>
      </c>
      <c r="AC118" s="29">
        <f t="shared" si="148"/>
        <v>0.32085561497326204</v>
      </c>
      <c r="AD118" s="42">
        <f t="shared" si="148"/>
        <v>0.32487623762376239</v>
      </c>
      <c r="AE118" s="28">
        <f t="shared" si="148"/>
        <v>0.32289953850204423</v>
      </c>
      <c r="AF118" s="28">
        <f t="shared" si="148"/>
        <v>0.32236839731183253</v>
      </c>
      <c r="AG118" s="29">
        <f t="shared" si="148"/>
        <v>0.31860570700728486</v>
      </c>
      <c r="AI118" s="42">
        <f>+AI114/AI$11</f>
        <v>0.26354738601098104</v>
      </c>
      <c r="AJ118" s="5">
        <f t="shared" ref="AJ118:AU118" si="151">+AJ114/AJ$11</f>
        <v>0.323943661971831</v>
      </c>
      <c r="AK118" s="5">
        <f t="shared" si="151"/>
        <v>0.32075471698113206</v>
      </c>
      <c r="AL118" s="5">
        <f t="shared" si="151"/>
        <v>0.32659507264687304</v>
      </c>
      <c r="AM118" s="5">
        <f t="shared" si="151"/>
        <v>0.32085561497326204</v>
      </c>
      <c r="AN118" s="5">
        <f t="shared" si="151"/>
        <v>0.31860570700728486</v>
      </c>
      <c r="AO118" s="5">
        <f t="shared" si="151"/>
        <v>0.31695132601096265</v>
      </c>
      <c r="AP118" s="5">
        <f t="shared" si="151"/>
        <v>0.31551193019315732</v>
      </c>
      <c r="AQ118" s="5">
        <f t="shared" si="151"/>
        <v>0.31477979252466259</v>
      </c>
      <c r="AR118" s="5">
        <f t="shared" si="151"/>
        <v>0.3142114437022438</v>
      </c>
      <c r="AS118" s="5">
        <f t="shared" si="151"/>
        <v>0.31375970773071427</v>
      </c>
      <c r="AT118" s="5">
        <f t="shared" si="151"/>
        <v>0.31339387756787107</v>
      </c>
      <c r="AU118" s="29">
        <f t="shared" si="151"/>
        <v>0.31306119660436238</v>
      </c>
    </row>
    <row r="119" spans="9:47">
      <c r="I119" s="1" t="s">
        <v>203</v>
      </c>
      <c r="J119" s="22"/>
      <c r="K119" s="28"/>
      <c r="L119" s="28"/>
      <c r="M119" s="29"/>
      <c r="N119" s="42"/>
      <c r="O119" s="28"/>
      <c r="P119" s="28"/>
      <c r="Q119" s="29"/>
      <c r="R119" s="42"/>
      <c r="S119" s="28"/>
      <c r="T119" s="28"/>
      <c r="U119" s="29"/>
      <c r="V119" s="28">
        <f t="shared" ref="V119:AG119" si="152">(V114-R114)/(V$11-R$11)</f>
        <v>0.29268292682926828</v>
      </c>
      <c r="W119" s="28">
        <f t="shared" si="152"/>
        <v>0.30357142857142855</v>
      </c>
      <c r="X119" s="28">
        <f t="shared" si="152"/>
        <v>0.32246998284734135</v>
      </c>
      <c r="Y119" s="28">
        <f t="shared" si="152"/>
        <v>0.33843212237093689</v>
      </c>
      <c r="Z119" s="42">
        <f t="shared" si="152"/>
        <v>0.36363636363636365</v>
      </c>
      <c r="AA119" s="28">
        <f t="shared" si="152"/>
        <v>0.35483870967741937</v>
      </c>
      <c r="AB119" s="28">
        <f t="shared" si="152"/>
        <v>0.32</v>
      </c>
      <c r="AC119" s="29">
        <f t="shared" si="152"/>
        <v>0.28919860627177701</v>
      </c>
      <c r="AD119" s="42">
        <f t="shared" si="152"/>
        <v>0.28653295128939843</v>
      </c>
      <c r="AE119" s="28">
        <f t="shared" si="152"/>
        <v>0.29302955935680025</v>
      </c>
      <c r="AF119" s="28">
        <f t="shared" si="152"/>
        <v>0.33515714680720959</v>
      </c>
      <c r="AG119" s="29">
        <f t="shared" si="152"/>
        <v>0.30357915357667603</v>
      </c>
      <c r="AI119" s="22"/>
      <c r="AL119" s="5">
        <f>(AL114-AK114)/(AL$11-AK$11)</f>
        <v>0.33843212237093689</v>
      </c>
      <c r="AM119" s="5">
        <f t="shared" ref="AM119:AU119" si="153">(AM114-AL114)/(AM$11-AL$11)</f>
        <v>0.28919860627177701</v>
      </c>
      <c r="AN119" s="5">
        <f t="shared" si="153"/>
        <v>0.30357915357667603</v>
      </c>
      <c r="AO119" s="5">
        <f t="shared" si="153"/>
        <v>0.30357915357667581</v>
      </c>
      <c r="AP119" s="5">
        <f t="shared" si="153"/>
        <v>0.30140306838055642</v>
      </c>
      <c r="AQ119" s="5">
        <f t="shared" si="153"/>
        <v>0.30605103167726755</v>
      </c>
      <c r="AR119" s="5">
        <f t="shared" si="153"/>
        <v>0.30605103167726799</v>
      </c>
      <c r="AS119" s="5">
        <f t="shared" si="153"/>
        <v>0.30605103167726605</v>
      </c>
      <c r="AT119" s="5">
        <f t="shared" si="153"/>
        <v>0.3060510316772681</v>
      </c>
      <c r="AU119" s="29">
        <f t="shared" si="153"/>
        <v>0.30605103167726594</v>
      </c>
    </row>
    <row r="120" spans="9:47">
      <c r="J120" s="22"/>
      <c r="K120" s="23"/>
      <c r="L120" s="23"/>
      <c r="M120" s="24"/>
      <c r="N120" s="22"/>
      <c r="O120" s="23"/>
      <c r="P120" s="23"/>
      <c r="Q120" s="24"/>
      <c r="R120" s="22"/>
      <c r="S120" s="23"/>
      <c r="T120" s="23"/>
      <c r="U120" s="24"/>
      <c r="V120" s="677"/>
      <c r="W120" s="676"/>
      <c r="X120" s="676"/>
      <c r="Y120" s="474"/>
      <c r="Z120" s="677"/>
      <c r="AA120" s="676"/>
      <c r="AB120" s="676"/>
      <c r="AC120" s="474"/>
      <c r="AD120" s="677"/>
      <c r="AE120" s="676"/>
      <c r="AF120" s="676"/>
      <c r="AG120" s="474"/>
      <c r="AI120" s="22"/>
      <c r="AU120" s="24"/>
    </row>
    <row r="121" spans="9:47">
      <c r="I121" s="7" t="s">
        <v>11</v>
      </c>
      <c r="J121" s="22"/>
      <c r="K121" s="23"/>
      <c r="L121" s="23"/>
      <c r="M121" s="24"/>
      <c r="N121" s="33"/>
      <c r="O121" s="34"/>
      <c r="P121" s="34"/>
      <c r="Q121" s="35"/>
      <c r="R121" s="44">
        <v>8.9999999999999993E-3</v>
      </c>
      <c r="S121" s="45">
        <v>7.9000000000000001E-2</v>
      </c>
      <c r="T121" s="45">
        <v>0.86</v>
      </c>
      <c r="U121" s="46">
        <v>1.2569999999999999</v>
      </c>
      <c r="V121" s="45">
        <v>2.702</v>
      </c>
      <c r="W121" s="45">
        <v>6.2359999999999998</v>
      </c>
      <c r="X121" s="45">
        <v>11.791</v>
      </c>
      <c r="Y121" s="45">
        <v>14.664999999999999</v>
      </c>
      <c r="Z121" s="44">
        <v>13</v>
      </c>
      <c r="AA121" s="45">
        <v>22</v>
      </c>
      <c r="AB121" s="45">
        <v>27</v>
      </c>
      <c r="AC121" s="45">
        <v>40</v>
      </c>
      <c r="AD121" s="53">
        <f t="shared" ref="AD121:AG121" si="154">+AC121+AD125</f>
        <v>32</v>
      </c>
      <c r="AE121" s="54">
        <f t="shared" si="154"/>
        <v>46</v>
      </c>
      <c r="AF121" s="54">
        <f t="shared" si="154"/>
        <v>60</v>
      </c>
      <c r="AG121" s="55">
        <f t="shared" si="154"/>
        <v>75</v>
      </c>
      <c r="AI121" s="36">
        <f>+SUM(J121:M121)</f>
        <v>0</v>
      </c>
      <c r="AJ121" s="8">
        <f>+SUM(N121:Q121)</f>
        <v>0</v>
      </c>
      <c r="AK121" s="8">
        <f>+SUM(R121:U121)</f>
        <v>2.2050000000000001</v>
      </c>
      <c r="AL121" s="8">
        <f>+SUM(V121:Y121)</f>
        <v>35.393999999999998</v>
      </c>
      <c r="AM121" s="9">
        <f>+SUM(Z121:AC121)</f>
        <v>102</v>
      </c>
      <c r="AN121" s="9">
        <f>+SUM(AD121:AG121)</f>
        <v>213</v>
      </c>
      <c r="AO121" s="9">
        <f t="shared" ref="AO121:AU121" si="155">+AN121*(1+AO122)</f>
        <v>375.25588235294117</v>
      </c>
      <c r="AP121" s="9">
        <f t="shared" si="155"/>
        <v>603.94123183391002</v>
      </c>
      <c r="AQ121" s="9">
        <f t="shared" si="155"/>
        <v>898.38034533034806</v>
      </c>
      <c r="AR121" s="9">
        <f t="shared" si="155"/>
        <v>1248.7698183702505</v>
      </c>
      <c r="AS121" s="9">
        <f t="shared" si="155"/>
        <v>1638.4095079571734</v>
      </c>
      <c r="AT121" s="9">
        <f t="shared" si="155"/>
        <v>2047.3811936629334</v>
      </c>
      <c r="AU121" s="55">
        <f t="shared" si="155"/>
        <v>2507.3326530442587</v>
      </c>
    </row>
    <row r="122" spans="9:47">
      <c r="I122" s="1" t="s">
        <v>1</v>
      </c>
      <c r="J122" s="22"/>
      <c r="K122" s="23"/>
      <c r="L122" s="23"/>
      <c r="M122" s="24"/>
      <c r="N122" s="22"/>
      <c r="O122" s="23"/>
      <c r="P122" s="23"/>
      <c r="Q122" s="24"/>
      <c r="R122" s="56"/>
      <c r="S122" s="28"/>
      <c r="T122" s="28"/>
      <c r="U122" s="29"/>
      <c r="V122" s="42">
        <f>+V121/R121-1</f>
        <v>299.22222222222223</v>
      </c>
      <c r="W122" s="28">
        <f t="shared" ref="W122" si="156">+W121/S121-1</f>
        <v>77.936708860759495</v>
      </c>
      <c r="X122" s="28">
        <f t="shared" ref="X122" si="157">+X121/T121-1</f>
        <v>12.710465116279071</v>
      </c>
      <c r="Y122" s="29">
        <f t="shared" ref="Y122" si="158">+Y121/U121-1</f>
        <v>10.666666666666666</v>
      </c>
      <c r="Z122" s="42">
        <f>+Z121/V121-1</f>
        <v>3.8112509252405626</v>
      </c>
      <c r="AA122" s="28">
        <f t="shared" ref="AA122:AC122" si="159">+AA121/W121-1</f>
        <v>2.5279025016035921</v>
      </c>
      <c r="AB122" s="28">
        <f t="shared" si="159"/>
        <v>1.2898821134763803</v>
      </c>
      <c r="AC122" s="29">
        <f t="shared" si="159"/>
        <v>1.7275826798499829</v>
      </c>
      <c r="AD122" s="42">
        <f>+AD121/Z121-1</f>
        <v>1.4615384615384617</v>
      </c>
      <c r="AE122" s="28">
        <f>+AE121/AA121-1</f>
        <v>1.0909090909090908</v>
      </c>
      <c r="AF122" s="28">
        <f>+AF121/AB121-1</f>
        <v>1.2222222222222223</v>
      </c>
      <c r="AG122" s="29">
        <f>+AG121/AC121-1</f>
        <v>0.875</v>
      </c>
      <c r="AI122" s="22"/>
      <c r="AL122" s="5">
        <f>+AL121/AK121-1</f>
        <v>15.051700680272109</v>
      </c>
      <c r="AM122" s="5">
        <f>+AM121/AL121-1</f>
        <v>1.8818443804034581</v>
      </c>
      <c r="AN122" s="5">
        <f>+AN121/AM121-1</f>
        <v>1.0882352941176472</v>
      </c>
      <c r="AO122" s="19">
        <f>+AN122*0.7</f>
        <v>0.76176470588235301</v>
      </c>
      <c r="AP122" s="19">
        <f>+AO122*0.8</f>
        <v>0.60941176470588243</v>
      </c>
      <c r="AQ122" s="19">
        <f>+AP122*0.8</f>
        <v>0.48752941176470599</v>
      </c>
      <c r="AR122" s="19">
        <f t="shared" ref="AR122:AT122" si="160">+AQ122*0.8</f>
        <v>0.39002352941176482</v>
      </c>
      <c r="AS122" s="19">
        <f t="shared" si="160"/>
        <v>0.3120188235294119</v>
      </c>
      <c r="AT122" s="19">
        <f t="shared" si="160"/>
        <v>0.24961505882352952</v>
      </c>
      <c r="AU122" s="283">
        <f>+AT122*0.9</f>
        <v>0.22465355294117659</v>
      </c>
    </row>
    <row r="123" spans="9:47">
      <c r="I123" s="1" t="s">
        <v>23</v>
      </c>
      <c r="J123" s="22"/>
      <c r="K123" s="23"/>
      <c r="L123" s="23"/>
      <c r="M123" s="24"/>
      <c r="N123" s="22"/>
      <c r="O123" s="23"/>
      <c r="P123" s="23"/>
      <c r="Q123" s="24"/>
      <c r="R123" s="56"/>
      <c r="S123" s="28"/>
      <c r="T123" s="28"/>
      <c r="U123" s="29"/>
      <c r="V123" s="47">
        <f t="shared" ref="V123:AG123" si="161">+V121-R121</f>
        <v>2.6930000000000001</v>
      </c>
      <c r="W123" s="48">
        <f t="shared" si="161"/>
        <v>6.157</v>
      </c>
      <c r="X123" s="48">
        <f t="shared" si="161"/>
        <v>10.931000000000001</v>
      </c>
      <c r="Y123" s="48">
        <f t="shared" si="161"/>
        <v>13.407999999999999</v>
      </c>
      <c r="Z123" s="47">
        <f t="shared" si="161"/>
        <v>10.298</v>
      </c>
      <c r="AA123" s="48">
        <f t="shared" si="161"/>
        <v>15.763999999999999</v>
      </c>
      <c r="AB123" s="48">
        <f t="shared" si="161"/>
        <v>15.209</v>
      </c>
      <c r="AC123" s="49">
        <f t="shared" si="161"/>
        <v>25.335000000000001</v>
      </c>
      <c r="AD123" s="47">
        <f t="shared" si="161"/>
        <v>19</v>
      </c>
      <c r="AE123" s="48">
        <f t="shared" si="161"/>
        <v>24</v>
      </c>
      <c r="AF123" s="48">
        <f t="shared" si="161"/>
        <v>33</v>
      </c>
      <c r="AG123" s="49">
        <f t="shared" si="161"/>
        <v>35</v>
      </c>
      <c r="AI123" s="22"/>
      <c r="AK123" s="3">
        <f t="shared" ref="AK123:AU123" si="162">+AK121-AJ121</f>
        <v>2.2050000000000001</v>
      </c>
      <c r="AL123" s="3">
        <f t="shared" si="162"/>
        <v>33.189</v>
      </c>
      <c r="AM123" s="3">
        <f t="shared" si="162"/>
        <v>66.605999999999995</v>
      </c>
      <c r="AN123" s="3">
        <f t="shared" si="162"/>
        <v>111</v>
      </c>
      <c r="AO123" s="3">
        <f t="shared" si="162"/>
        <v>162.25588235294117</v>
      </c>
      <c r="AP123" s="3">
        <f t="shared" si="162"/>
        <v>228.68534948096885</v>
      </c>
      <c r="AQ123" s="3">
        <f t="shared" si="162"/>
        <v>294.43911349643804</v>
      </c>
      <c r="AR123" s="3">
        <f t="shared" si="162"/>
        <v>350.38947303990244</v>
      </c>
      <c r="AS123" s="3">
        <f t="shared" si="162"/>
        <v>389.63968958692294</v>
      </c>
      <c r="AT123" s="3">
        <f t="shared" si="162"/>
        <v>408.97168570575991</v>
      </c>
      <c r="AU123" s="49">
        <f t="shared" si="162"/>
        <v>459.95145938132532</v>
      </c>
    </row>
    <row r="124" spans="9:47">
      <c r="I124" s="1" t="s">
        <v>3</v>
      </c>
      <c r="J124" s="22"/>
      <c r="K124" s="28"/>
      <c r="L124" s="28"/>
      <c r="M124" s="29"/>
      <c r="N124" s="42"/>
      <c r="O124" s="28"/>
      <c r="P124" s="28"/>
      <c r="Q124" s="29"/>
      <c r="R124" s="42"/>
      <c r="S124" s="28">
        <f>+S121/R121-1</f>
        <v>7.7777777777777786</v>
      </c>
      <c r="T124" s="28">
        <f>+T121/S121-1</f>
        <v>9.886075949367088</v>
      </c>
      <c r="U124" s="29">
        <f>+U121/T121-1</f>
        <v>0.46162790697674416</v>
      </c>
      <c r="V124" s="42">
        <f>+V121/U121-1</f>
        <v>1.1495624502784407</v>
      </c>
      <c r="W124" s="28">
        <f t="shared" ref="W124:AG124" si="163">+W121/V121-1</f>
        <v>1.3079200592153959</v>
      </c>
      <c r="X124" s="28">
        <f t="shared" si="163"/>
        <v>0.89079538165490701</v>
      </c>
      <c r="Y124" s="28">
        <f t="shared" si="163"/>
        <v>0.24374522941226351</v>
      </c>
      <c r="Z124" s="42">
        <f>+Z121/Y121-1</f>
        <v>-0.11353562904875547</v>
      </c>
      <c r="AA124" s="28">
        <f t="shared" si="163"/>
        <v>0.69230769230769229</v>
      </c>
      <c r="AB124" s="28">
        <f t="shared" si="163"/>
        <v>0.22727272727272729</v>
      </c>
      <c r="AC124" s="29">
        <f t="shared" si="163"/>
        <v>0.4814814814814814</v>
      </c>
      <c r="AD124" s="42">
        <f t="shared" si="163"/>
        <v>-0.19999999999999996</v>
      </c>
      <c r="AE124" s="28">
        <f t="shared" si="163"/>
        <v>0.4375</v>
      </c>
      <c r="AF124" s="28">
        <f t="shared" si="163"/>
        <v>0.30434782608695654</v>
      </c>
      <c r="AG124" s="29">
        <f t="shared" si="163"/>
        <v>0.25</v>
      </c>
      <c r="AI124" s="22"/>
      <c r="AO124" s="3"/>
      <c r="AP124" s="3"/>
      <c r="AQ124" s="3"/>
      <c r="AR124" s="3"/>
      <c r="AS124" s="3"/>
      <c r="AT124" s="3"/>
      <c r="AU124" s="24"/>
    </row>
    <row r="125" spans="9:47">
      <c r="I125" s="1" t="s">
        <v>4</v>
      </c>
      <c r="J125" s="22"/>
      <c r="K125" s="26"/>
      <c r="L125" s="26"/>
      <c r="M125" s="27"/>
      <c r="N125" s="25"/>
      <c r="O125" s="26"/>
      <c r="P125" s="26"/>
      <c r="Q125" s="27"/>
      <c r="R125" s="25"/>
      <c r="S125" s="26">
        <f t="shared" ref="S125:AC125" si="164">+S121-R121</f>
        <v>7.0000000000000007E-2</v>
      </c>
      <c r="T125" s="26">
        <f t="shared" si="164"/>
        <v>0.78100000000000003</v>
      </c>
      <c r="U125" s="27">
        <f t="shared" si="164"/>
        <v>0.39699999999999991</v>
      </c>
      <c r="V125" s="25">
        <f t="shared" si="164"/>
        <v>1.4450000000000001</v>
      </c>
      <c r="W125" s="26">
        <f t="shared" si="164"/>
        <v>3.5339999999999998</v>
      </c>
      <c r="X125" s="26">
        <f t="shared" si="164"/>
        <v>5.5550000000000006</v>
      </c>
      <c r="Y125" s="107">
        <f t="shared" si="164"/>
        <v>2.8739999999999988</v>
      </c>
      <c r="Z125" s="25">
        <f t="shared" si="164"/>
        <v>-1.6649999999999991</v>
      </c>
      <c r="AA125" s="26">
        <f t="shared" si="164"/>
        <v>9</v>
      </c>
      <c r="AB125" s="26">
        <f t="shared" si="164"/>
        <v>5</v>
      </c>
      <c r="AC125" s="107">
        <f t="shared" si="164"/>
        <v>13</v>
      </c>
      <c r="AD125" s="66">
        <v>-8</v>
      </c>
      <c r="AE125" s="61">
        <v>14</v>
      </c>
      <c r="AF125" s="61">
        <v>14</v>
      </c>
      <c r="AG125" s="62">
        <v>15</v>
      </c>
      <c r="AI125" s="22"/>
      <c r="AU125" s="24"/>
    </row>
    <row r="126" spans="9:47" s="105" customFormat="1">
      <c r="I126" s="105" t="s">
        <v>141</v>
      </c>
      <c r="J126" s="106"/>
      <c r="K126" s="107"/>
      <c r="L126" s="107"/>
      <c r="M126" s="108"/>
      <c r="N126" s="109"/>
      <c r="O126" s="107"/>
      <c r="P126" s="107"/>
      <c r="Q126" s="108"/>
      <c r="R126" s="110">
        <f>+R121/R$4</f>
        <v>2.2959183673469385E-3</v>
      </c>
      <c r="S126" s="111">
        <f t="shared" ref="S126:AG126" si="165">+S121/S$4</f>
        <v>1.4905660377358491E-2</v>
      </c>
      <c r="T126" s="111">
        <f t="shared" si="165"/>
        <v>5.1420029895366211E-2</v>
      </c>
      <c r="U126" s="112">
        <f t="shared" si="165"/>
        <v>3.8419218778653945E-2</v>
      </c>
      <c r="V126" s="111">
        <f t="shared" si="165"/>
        <v>6.9642765090984063E-2</v>
      </c>
      <c r="W126" s="111">
        <f t="shared" si="165"/>
        <v>8.6854787041421758E-2</v>
      </c>
      <c r="X126" s="111">
        <f>+X121/X$4</f>
        <v>9.1970609341362197E-2</v>
      </c>
      <c r="Y126" s="111">
        <f>+Y121/Y$4</f>
        <v>8.8512934416532879E-2</v>
      </c>
      <c r="Z126" s="110">
        <f t="shared" ref="Z126" si="166">+Z121/Z$4</f>
        <v>8.6870522826900456E-2</v>
      </c>
      <c r="AA126" s="114">
        <f t="shared" si="165"/>
        <v>0.12109802885435761</v>
      </c>
      <c r="AB126" s="114">
        <f t="shared" ref="AB126" si="167">+AB121/AB$4</f>
        <v>0.12984702097269846</v>
      </c>
      <c r="AC126" s="115">
        <f t="shared" si="165"/>
        <v>0.14001043077709291</v>
      </c>
      <c r="AD126" s="113">
        <f t="shared" si="165"/>
        <v>0.12851405622489959</v>
      </c>
      <c r="AE126" s="114">
        <f t="shared" si="165"/>
        <v>0.15593220338983052</v>
      </c>
      <c r="AF126" s="114">
        <f t="shared" si="165"/>
        <v>0.17595307917888564</v>
      </c>
      <c r="AG126" s="115">
        <f t="shared" si="165"/>
        <v>0.17523364485981308</v>
      </c>
      <c r="AI126" s="106"/>
      <c r="AK126" s="114">
        <f t="shared" ref="AK126:AU126" si="168">+AK121/AK$4</f>
        <v>3.7587576496258289E-2</v>
      </c>
      <c r="AL126" s="116">
        <f t="shared" si="168"/>
        <v>8.7504511943671162E-2</v>
      </c>
      <c r="AM126" s="116">
        <f t="shared" si="168"/>
        <v>0.12364400708407429</v>
      </c>
      <c r="AN126" s="116">
        <f t="shared" si="168"/>
        <v>0.16222391469916222</v>
      </c>
      <c r="AO126" s="116">
        <f t="shared" si="168"/>
        <v>0.19054665949560512</v>
      </c>
      <c r="AP126" s="116">
        <f t="shared" si="168"/>
        <v>0.2153181417259053</v>
      </c>
      <c r="AQ126" s="116">
        <f t="shared" si="168"/>
        <v>0.23561436918097253</v>
      </c>
      <c r="AR126" s="116">
        <f t="shared" si="168"/>
        <v>0.25156727353504321</v>
      </c>
      <c r="AS126" s="116">
        <f t="shared" si="168"/>
        <v>0.26582160965487617</v>
      </c>
      <c r="AT126" s="116">
        <f t="shared" si="168"/>
        <v>0.27833271293532541</v>
      </c>
      <c r="AU126" s="112">
        <f t="shared" si="168"/>
        <v>0.29340529596377912</v>
      </c>
    </row>
    <row r="127" spans="9:47" s="105" customFormat="1">
      <c r="I127" s="105" t="s">
        <v>254</v>
      </c>
      <c r="J127" s="106"/>
      <c r="K127" s="107"/>
      <c r="L127" s="107"/>
      <c r="M127" s="108"/>
      <c r="N127" s="109"/>
      <c r="O127" s="107"/>
      <c r="P127" s="107"/>
      <c r="Q127" s="108"/>
      <c r="R127" s="110"/>
      <c r="S127" s="111"/>
      <c r="T127" s="111"/>
      <c r="U127" s="112"/>
      <c r="V127" s="111">
        <f t="shared" ref="V127:AG127" si="169">(V121-R121)/(V4-R4)</f>
        <v>7.7211996100693847E-2</v>
      </c>
      <c r="W127" s="111">
        <f t="shared" si="169"/>
        <v>9.2589250804535464E-2</v>
      </c>
      <c r="X127" s="111">
        <f t="shared" si="169"/>
        <v>9.8054342073394987E-2</v>
      </c>
      <c r="Y127" s="111">
        <f t="shared" si="169"/>
        <v>0.10083932493005625</v>
      </c>
      <c r="Z127" s="110">
        <f t="shared" si="169"/>
        <v>9.2900315741993686E-2</v>
      </c>
      <c r="AA127" s="111">
        <f t="shared" si="169"/>
        <v>0.14347473901686494</v>
      </c>
      <c r="AB127" s="111">
        <f t="shared" si="169"/>
        <v>0.1907491252053729</v>
      </c>
      <c r="AC127" s="112">
        <f t="shared" si="169"/>
        <v>0.21110564864887388</v>
      </c>
      <c r="AD127" s="110">
        <f t="shared" si="169"/>
        <v>0.19123923021177228</v>
      </c>
      <c r="AE127" s="111">
        <f t="shared" si="169"/>
        <v>0.21177280307776472</v>
      </c>
      <c r="AF127" s="111">
        <f t="shared" si="169"/>
        <v>0.2480028257291659</v>
      </c>
      <c r="AG127" s="112">
        <f t="shared" si="169"/>
        <v>0.24594714244555782</v>
      </c>
      <c r="AI127" s="106"/>
      <c r="AK127" s="111">
        <f t="shared" ref="AK127:AU127" si="170">(AK121-AJ121)/(AK4-AJ4)</f>
        <v>3.7587576496258289E-2</v>
      </c>
      <c r="AL127" s="111">
        <f t="shared" si="170"/>
        <v>9.5972170412846045E-2</v>
      </c>
      <c r="AM127" s="111">
        <f t="shared" si="170"/>
        <v>0.15840957792169183</v>
      </c>
      <c r="AN127" s="111">
        <f t="shared" si="170"/>
        <v>0.22743524754585073</v>
      </c>
      <c r="AO127" s="111">
        <f t="shared" si="170"/>
        <v>0.24720381782892795</v>
      </c>
      <c r="AP127" s="111">
        <f t="shared" si="170"/>
        <v>0.27370627224508431</v>
      </c>
      <c r="AQ127" s="111">
        <f t="shared" si="170"/>
        <v>0.2920883033516774</v>
      </c>
      <c r="AR127" s="111">
        <f t="shared" si="170"/>
        <v>0.30441307408918356</v>
      </c>
      <c r="AS127" s="111">
        <f t="shared" si="170"/>
        <v>0.32480583497358428</v>
      </c>
      <c r="AT127" s="111">
        <f t="shared" si="170"/>
        <v>0.3430080785418187</v>
      </c>
      <c r="AU127" s="112">
        <f t="shared" si="170"/>
        <v>0.38659455924822234</v>
      </c>
    </row>
    <row r="128" spans="9:47" s="105" customFormat="1">
      <c r="J128" s="106"/>
      <c r="K128" s="107"/>
      <c r="L128" s="107"/>
      <c r="M128" s="108"/>
      <c r="N128" s="109"/>
      <c r="O128" s="107"/>
      <c r="P128" s="107"/>
      <c r="Q128" s="108"/>
      <c r="R128" s="110"/>
      <c r="S128" s="111"/>
      <c r="T128" s="111"/>
      <c r="U128" s="112"/>
      <c r="V128" s="111"/>
      <c r="W128" s="111"/>
      <c r="X128" s="111"/>
      <c r="Y128" s="111"/>
      <c r="Z128" s="110"/>
      <c r="AA128" s="114"/>
      <c r="AB128" s="114"/>
      <c r="AC128" s="115"/>
      <c r="AD128" s="113"/>
      <c r="AF128" s="114"/>
      <c r="AG128" s="115"/>
      <c r="AI128" s="106"/>
      <c r="AK128" s="114"/>
      <c r="AL128" s="116"/>
      <c r="AM128" s="116"/>
      <c r="AN128" s="116"/>
      <c r="AO128" s="116"/>
      <c r="AP128" s="116"/>
      <c r="AQ128" s="116"/>
      <c r="AR128" s="116"/>
      <c r="AS128" s="116"/>
      <c r="AT128" s="116"/>
      <c r="AU128" s="112"/>
    </row>
    <row r="129" spans="9:47">
      <c r="J129" s="22"/>
      <c r="K129" s="23"/>
      <c r="L129" s="23"/>
      <c r="M129" s="24"/>
      <c r="N129" s="22"/>
      <c r="O129" s="23"/>
      <c r="P129" s="23"/>
      <c r="Q129" s="24"/>
      <c r="R129" s="22"/>
      <c r="S129" s="23"/>
      <c r="T129" s="23"/>
      <c r="U129" s="24"/>
      <c r="V129" s="22"/>
      <c r="W129" s="23"/>
      <c r="X129" s="23"/>
      <c r="Y129" s="23"/>
      <c r="Z129" s="22"/>
      <c r="AA129" s="23"/>
      <c r="AB129" s="23"/>
      <c r="AC129" s="24"/>
      <c r="AD129" s="22"/>
      <c r="AF129" s="23"/>
      <c r="AG129" s="24"/>
      <c r="AI129" s="22"/>
      <c r="AU129" s="24"/>
    </row>
    <row r="130" spans="9:47" s="7" customFormat="1">
      <c r="I130" s="7" t="s">
        <v>12</v>
      </c>
      <c r="J130" s="22"/>
      <c r="K130" s="23"/>
      <c r="L130" s="23"/>
      <c r="M130" s="24"/>
      <c r="N130" s="33"/>
      <c r="O130" s="34"/>
      <c r="P130" s="34"/>
      <c r="Q130" s="35"/>
      <c r="R130" s="375">
        <f>+R121/R114</f>
        <v>3.3333333333333332E-4</v>
      </c>
      <c r="S130" s="376">
        <f t="shared" ref="S130:Y130" si="171">+S121/S114</f>
        <v>2.7241379310344828E-3</v>
      </c>
      <c r="T130" s="376">
        <f t="shared" si="171"/>
        <v>2.8476821192052981E-2</v>
      </c>
      <c r="U130" s="377">
        <f t="shared" si="171"/>
        <v>3.6970588235294116E-2</v>
      </c>
      <c r="V130" s="375">
        <f t="shared" si="171"/>
        <v>6.9282051282051282E-2</v>
      </c>
      <c r="W130" s="376">
        <f t="shared" si="171"/>
        <v>0.13556521739130434</v>
      </c>
      <c r="X130" s="376">
        <f t="shared" si="171"/>
        <v>0.2406326530612245</v>
      </c>
      <c r="Y130" s="376">
        <f t="shared" si="171"/>
        <v>0.28365570599613149</v>
      </c>
      <c r="Z130" s="375">
        <f t="shared" ref="Z130" si="172">+Z121/Z114</f>
        <v>0.23636363636363636</v>
      </c>
      <c r="AA130" s="63">
        <f t="shared" ref="AA130:AG130" si="173">+AA121/AVERAGE(AA114)</f>
        <v>0.38596491228070173</v>
      </c>
      <c r="AB130" s="63">
        <f t="shared" ref="AB130" si="174">+AB121/AVERAGE(AB114)</f>
        <v>0.47368421052631576</v>
      </c>
      <c r="AC130" s="64">
        <f t="shared" si="173"/>
        <v>0.66666666666666663</v>
      </c>
      <c r="AD130" s="67">
        <f t="shared" si="173"/>
        <v>0.50793650793650791</v>
      </c>
      <c r="AE130" s="63">
        <f t="shared" si="173"/>
        <v>0.70769230769230773</v>
      </c>
      <c r="AF130" s="63">
        <f t="shared" si="173"/>
        <v>0.89552238805970152</v>
      </c>
      <c r="AG130" s="64">
        <f t="shared" si="173"/>
        <v>1.0948905109489051</v>
      </c>
      <c r="AI130" s="33"/>
      <c r="AJ130" s="12">
        <f t="shared" ref="AJ130:AU130" si="175">+AJ121/AVERAGE(AI114:AJ114)</f>
        <v>0</v>
      </c>
      <c r="AK130" s="12">
        <f t="shared" si="175"/>
        <v>7.7368421052631586E-2</v>
      </c>
      <c r="AL130" s="12">
        <f t="shared" si="175"/>
        <v>0.82599766627771287</v>
      </c>
      <c r="AM130" s="12">
        <f t="shared" si="175"/>
        <v>1.8263205013428827</v>
      </c>
      <c r="AN130" s="12">
        <f t="shared" si="175"/>
        <v>3.3151750972762648</v>
      </c>
      <c r="AO130" s="12">
        <f t="shared" si="175"/>
        <v>5.1732673769145778</v>
      </c>
      <c r="AP130" s="12">
        <f t="shared" si="175"/>
        <v>7.5220449975888499</v>
      </c>
      <c r="AQ130" s="12">
        <f t="shared" si="175"/>
        <v>10.276442174534822</v>
      </c>
      <c r="AR130" s="12">
        <f t="shared" si="175"/>
        <v>13.296910103434641</v>
      </c>
      <c r="AS130" s="12">
        <f t="shared" si="175"/>
        <v>16.423851080517363</v>
      </c>
      <c r="AT130" s="12">
        <f t="shared" si="175"/>
        <v>19.495670541543365</v>
      </c>
      <c r="AU130" s="52">
        <f t="shared" si="175"/>
        <v>22.793994260098614</v>
      </c>
    </row>
    <row r="131" spans="9:47">
      <c r="I131" s="1" t="s">
        <v>1</v>
      </c>
      <c r="J131" s="22"/>
      <c r="K131" s="23"/>
      <c r="L131" s="23"/>
      <c r="M131" s="24"/>
      <c r="N131" s="22"/>
      <c r="O131" s="23"/>
      <c r="P131" s="23"/>
      <c r="Q131" s="24"/>
      <c r="R131" s="56"/>
      <c r="S131" s="28"/>
      <c r="T131" s="28"/>
      <c r="U131" s="29"/>
      <c r="V131" s="42"/>
      <c r="W131" s="28"/>
      <c r="X131" s="28">
        <f t="shared" ref="X131:AG131" si="176">+X130/T130-1</f>
        <v>7.4501233981964887</v>
      </c>
      <c r="Y131" s="28">
        <f t="shared" si="176"/>
        <v>6.6724693745970338</v>
      </c>
      <c r="Z131" s="42"/>
      <c r="AA131" s="28">
        <f t="shared" si="176"/>
        <v>1.8470792118204429</v>
      </c>
      <c r="AB131" s="28">
        <f t="shared" si="176"/>
        <v>0.9684951501814496</v>
      </c>
      <c r="AC131" s="29">
        <f t="shared" si="176"/>
        <v>1.3502670758040689</v>
      </c>
      <c r="AD131" s="42">
        <f t="shared" si="176"/>
        <v>1.1489621489621489</v>
      </c>
      <c r="AE131" s="28">
        <f t="shared" si="176"/>
        <v>0.83356643356643367</v>
      </c>
      <c r="AF131" s="28">
        <f t="shared" si="176"/>
        <v>0.89054726368159232</v>
      </c>
      <c r="AG131" s="29">
        <f t="shared" si="176"/>
        <v>0.64233576642335777</v>
      </c>
      <c r="AI131" s="22"/>
      <c r="AK131" s="5"/>
      <c r="AL131" s="5">
        <f t="shared" ref="AL131:AU131" si="177">+AL130/AK130-1</f>
        <v>9.6761603124330229</v>
      </c>
      <c r="AM131" s="5">
        <f t="shared" si="177"/>
        <v>1.211048016119753</v>
      </c>
      <c r="AN131" s="5">
        <f t="shared" si="177"/>
        <v>0.81522087434195489</v>
      </c>
      <c r="AO131" s="5">
        <f t="shared" si="177"/>
        <v>0.56048088716789479</v>
      </c>
      <c r="AP131" s="5">
        <f t="shared" si="177"/>
        <v>0.45402208112334641</v>
      </c>
      <c r="AQ131" s="5">
        <f t="shared" si="177"/>
        <v>0.36617664183461796</v>
      </c>
      <c r="AR131" s="5">
        <f t="shared" si="177"/>
        <v>0.29392156133419256</v>
      </c>
      <c r="AS131" s="5">
        <f t="shared" si="177"/>
        <v>0.23516297792184226</v>
      </c>
      <c r="AT131" s="5">
        <f t="shared" si="177"/>
        <v>0.1870340546785596</v>
      </c>
      <c r="AU131" s="29">
        <f t="shared" si="177"/>
        <v>0.16918236854315127</v>
      </c>
    </row>
    <row r="132" spans="9:47" s="242" customFormat="1">
      <c r="I132" s="242" t="s">
        <v>23</v>
      </c>
      <c r="J132" s="243"/>
      <c r="K132" s="244"/>
      <c r="L132" s="244"/>
      <c r="M132" s="245"/>
      <c r="N132" s="243"/>
      <c r="O132" s="244"/>
      <c r="P132" s="244"/>
      <c r="Q132" s="245"/>
      <c r="R132" s="246"/>
      <c r="S132" s="247"/>
      <c r="T132" s="247"/>
      <c r="U132" s="248"/>
      <c r="V132" s="244">
        <f t="shared" ref="V132:AG132" si="178">+V130-R130</f>
        <v>6.8948717948717944E-2</v>
      </c>
      <c r="W132" s="244">
        <f t="shared" si="178"/>
        <v>0.13284107946026985</v>
      </c>
      <c r="X132" s="244">
        <f t="shared" si="178"/>
        <v>0.21215583186917153</v>
      </c>
      <c r="Y132" s="244">
        <f t="shared" si="178"/>
        <v>0.24668511776083737</v>
      </c>
      <c r="Z132" s="243">
        <f t="shared" si="178"/>
        <v>0.16708158508158508</v>
      </c>
      <c r="AA132" s="244">
        <f t="shared" si="178"/>
        <v>0.2503996948893974</v>
      </c>
      <c r="AB132" s="244">
        <f t="shared" si="178"/>
        <v>0.23305155746509126</v>
      </c>
      <c r="AC132" s="245">
        <f t="shared" si="178"/>
        <v>0.38301096067053514</v>
      </c>
      <c r="AD132" s="243">
        <f t="shared" si="178"/>
        <v>0.27157287157287158</v>
      </c>
      <c r="AE132" s="244">
        <f t="shared" si="178"/>
        <v>0.321727395411606</v>
      </c>
      <c r="AF132" s="244">
        <f t="shared" si="178"/>
        <v>0.42183817753338576</v>
      </c>
      <c r="AG132" s="245">
        <f t="shared" si="178"/>
        <v>0.42822384428223847</v>
      </c>
      <c r="AI132" s="243"/>
      <c r="AK132" s="242">
        <f t="shared" ref="AK132:AU132" si="179">+AK130-AJ130</f>
        <v>7.7368421052631586E-2</v>
      </c>
      <c r="AL132" s="242">
        <f t="shared" si="179"/>
        <v>0.74862924522508134</v>
      </c>
      <c r="AM132" s="242">
        <f t="shared" si="179"/>
        <v>1.0003228350651698</v>
      </c>
      <c r="AN132" s="242">
        <f t="shared" si="179"/>
        <v>1.4888545959333821</v>
      </c>
      <c r="AO132" s="242">
        <f t="shared" si="179"/>
        <v>1.858092279638313</v>
      </c>
      <c r="AP132" s="242">
        <f t="shared" si="179"/>
        <v>2.3487776206742721</v>
      </c>
      <c r="AQ132" s="242">
        <f t="shared" si="179"/>
        <v>2.7543971769459716</v>
      </c>
      <c r="AR132" s="242">
        <f t="shared" si="179"/>
        <v>3.0204679288998193</v>
      </c>
      <c r="AS132" s="242">
        <f t="shared" si="179"/>
        <v>3.1269409770827217</v>
      </c>
      <c r="AT132" s="242">
        <f t="shared" si="179"/>
        <v>3.0718194610260028</v>
      </c>
      <c r="AU132" s="245">
        <f t="shared" si="179"/>
        <v>3.298323718555249</v>
      </c>
    </row>
    <row r="133" spans="9:47">
      <c r="I133" s="1" t="s">
        <v>3</v>
      </c>
      <c r="J133" s="22"/>
      <c r="K133" s="28"/>
      <c r="L133" s="28"/>
      <c r="M133" s="29"/>
      <c r="N133" s="42"/>
      <c r="O133" s="28"/>
      <c r="P133" s="28"/>
      <c r="Q133" s="29"/>
      <c r="R133" s="42"/>
      <c r="S133" s="28">
        <f>+S130/R130-1</f>
        <v>7.1724137931034484</v>
      </c>
      <c r="T133" s="28">
        <f>+T130/S130-1</f>
        <v>9.4535166401207142</v>
      </c>
      <c r="U133" s="29">
        <f>+U130/T130-1</f>
        <v>0.29826949384404911</v>
      </c>
      <c r="V133" s="42">
        <f>+V130/U130-1</f>
        <v>0.87397752075556379</v>
      </c>
      <c r="W133" s="28">
        <f t="shared" ref="W133:AG133" si="180">+W130/V130-1</f>
        <v>0.95671483281305303</v>
      </c>
      <c r="X133" s="28">
        <f t="shared" si="180"/>
        <v>0.77503239910460686</v>
      </c>
      <c r="Y133" s="28">
        <f t="shared" si="180"/>
        <v>0.17879141665765785</v>
      </c>
      <c r="Z133" s="42">
        <f>+Z130/Y130-1</f>
        <v>-0.16672349130583008</v>
      </c>
      <c r="AA133" s="28">
        <f t="shared" si="180"/>
        <v>0.63292847503373806</v>
      </c>
      <c r="AB133" s="28">
        <f t="shared" si="180"/>
        <v>0.22727272727272729</v>
      </c>
      <c r="AC133" s="29">
        <f t="shared" si="180"/>
        <v>0.40740740740740744</v>
      </c>
      <c r="AD133" s="42">
        <f t="shared" si="180"/>
        <v>-0.23809523809523814</v>
      </c>
      <c r="AE133" s="28">
        <f t="shared" si="180"/>
        <v>0.39326923076923093</v>
      </c>
      <c r="AF133" s="28">
        <f t="shared" si="180"/>
        <v>0.26541207008436074</v>
      </c>
      <c r="AG133" s="29">
        <f t="shared" si="180"/>
        <v>0.22262773722627727</v>
      </c>
      <c r="AI133" s="22"/>
      <c r="AK133" s="5"/>
      <c r="AL133" s="5"/>
      <c r="AM133" s="5"/>
      <c r="AN133" s="5"/>
      <c r="AU133" s="24"/>
    </row>
    <row r="134" spans="9:47">
      <c r="I134" s="1" t="s">
        <v>4</v>
      </c>
      <c r="J134" s="22"/>
      <c r="K134" s="26"/>
      <c r="L134" s="26"/>
      <c r="M134" s="27"/>
      <c r="N134" s="25"/>
      <c r="O134" s="26"/>
      <c r="P134" s="26"/>
      <c r="Q134" s="27"/>
      <c r="R134" s="25"/>
      <c r="S134" s="26">
        <f>+S130-R130</f>
        <v>2.3908045977011493E-3</v>
      </c>
      <c r="T134" s="26">
        <f>+T130-S130</f>
        <v>2.5752683261018497E-2</v>
      </c>
      <c r="U134" s="27">
        <f>+U130-T130</f>
        <v>8.4937670432411357E-3</v>
      </c>
      <c r="V134" s="25">
        <f>+V130-U130</f>
        <v>3.2311463046757166E-2</v>
      </c>
      <c r="W134" s="26">
        <f t="shared" ref="W134:AG134" si="181">+W130-V130</f>
        <v>6.6283166109253056E-2</v>
      </c>
      <c r="X134" s="26">
        <f t="shared" si="181"/>
        <v>0.10506743566992016</v>
      </c>
      <c r="Y134" s="26">
        <f t="shared" si="181"/>
        <v>4.3023052934906991E-2</v>
      </c>
      <c r="Z134" s="25">
        <f>+Z130-Y130</f>
        <v>-4.7292069632495132E-2</v>
      </c>
      <c r="AA134" s="26">
        <f t="shared" si="181"/>
        <v>0.14960127591706537</v>
      </c>
      <c r="AB134" s="26">
        <f t="shared" si="181"/>
        <v>8.771929824561403E-2</v>
      </c>
      <c r="AC134" s="27">
        <f t="shared" si="181"/>
        <v>0.19298245614035087</v>
      </c>
      <c r="AD134" s="25">
        <f t="shared" si="181"/>
        <v>-0.15873015873015872</v>
      </c>
      <c r="AE134" s="26">
        <f t="shared" si="181"/>
        <v>0.19975579975579982</v>
      </c>
      <c r="AF134" s="26">
        <f t="shared" si="181"/>
        <v>0.18783008036739379</v>
      </c>
      <c r="AG134" s="27">
        <f t="shared" si="181"/>
        <v>0.19936812288920358</v>
      </c>
      <c r="AI134" s="22"/>
      <c r="AU134" s="24"/>
    </row>
    <row r="135" spans="9:47">
      <c r="J135" s="22"/>
      <c r="K135" s="23"/>
      <c r="L135" s="23"/>
      <c r="M135" s="24"/>
      <c r="N135" s="22"/>
      <c r="O135" s="23"/>
      <c r="P135" s="23"/>
      <c r="Q135" s="24"/>
      <c r="R135" s="22"/>
      <c r="S135" s="23"/>
      <c r="T135" s="23"/>
      <c r="U135" s="24"/>
      <c r="V135" s="22"/>
      <c r="W135" s="23"/>
      <c r="X135" s="23"/>
      <c r="Y135" s="23"/>
      <c r="Z135" s="22"/>
      <c r="AA135" s="23"/>
      <c r="AB135" s="23"/>
      <c r="AC135" s="24"/>
      <c r="AD135" s="22"/>
      <c r="AE135" s="23"/>
      <c r="AF135" s="23"/>
      <c r="AG135" s="24"/>
      <c r="AI135" s="22"/>
      <c r="AU135" s="24"/>
    </row>
    <row r="136" spans="9:47">
      <c r="I136" s="11" t="s">
        <v>13</v>
      </c>
      <c r="J136" s="30"/>
      <c r="K136" s="31"/>
      <c r="L136" s="31"/>
      <c r="M136" s="32"/>
      <c r="N136" s="43"/>
      <c r="O136" s="31"/>
      <c r="P136" s="31"/>
      <c r="Q136" s="32"/>
      <c r="R136" s="43"/>
      <c r="S136" s="31"/>
      <c r="T136" s="31"/>
      <c r="U136" s="32"/>
      <c r="V136" s="43"/>
      <c r="W136" s="31"/>
      <c r="X136" s="59"/>
      <c r="Y136" s="59"/>
      <c r="Z136" s="43"/>
      <c r="AA136" s="59"/>
      <c r="AB136" s="59"/>
      <c r="AC136" s="60"/>
      <c r="AD136" s="30"/>
      <c r="AE136" s="59"/>
      <c r="AF136" s="59"/>
      <c r="AG136" s="60"/>
      <c r="AH136" s="10"/>
      <c r="AI136" s="30"/>
      <c r="AJ136" s="10"/>
      <c r="AK136" s="10"/>
      <c r="AL136" s="10"/>
      <c r="AM136" s="10"/>
      <c r="AN136" s="10"/>
      <c r="AO136" s="10"/>
      <c r="AP136" s="10"/>
      <c r="AQ136" s="10"/>
      <c r="AR136" s="10"/>
      <c r="AS136" s="10"/>
      <c r="AT136" s="10"/>
      <c r="AU136" s="60"/>
    </row>
    <row r="137" spans="9:47">
      <c r="J137" s="22"/>
      <c r="K137" s="23"/>
      <c r="L137" s="23"/>
      <c r="M137" s="24"/>
      <c r="N137" s="22"/>
      <c r="O137" s="23"/>
      <c r="P137" s="23"/>
      <c r="Q137" s="24"/>
      <c r="R137" s="22"/>
      <c r="S137" s="23"/>
      <c r="T137" s="23"/>
      <c r="U137" s="24"/>
      <c r="V137" s="22"/>
      <c r="W137" s="23"/>
      <c r="X137" s="23"/>
      <c r="Y137" s="23"/>
      <c r="Z137" s="22"/>
      <c r="AA137" s="23"/>
      <c r="AB137" s="23"/>
      <c r="AC137" s="24"/>
      <c r="AD137" s="22"/>
      <c r="AE137" s="23"/>
      <c r="AF137" s="23"/>
      <c r="AG137" s="24"/>
      <c r="AI137" s="22"/>
      <c r="AU137" s="24"/>
    </row>
    <row r="138" spans="9:47">
      <c r="I138" s="7" t="s">
        <v>14</v>
      </c>
      <c r="J138" s="109">
        <f>+N138/(1+N140)</f>
        <v>0.54054054054054057</v>
      </c>
      <c r="K138" s="107">
        <f>+O138/(1+O140)</f>
        <v>1.7612524461839529</v>
      </c>
      <c r="L138" s="107">
        <f>+P138/(1+P140)</f>
        <v>3.1428571428571428</v>
      </c>
      <c r="M138" s="108">
        <f>+Q138/(1+Q140)</f>
        <v>3.9156626506024099</v>
      </c>
      <c r="N138" s="372">
        <v>6</v>
      </c>
      <c r="O138" s="373">
        <v>9</v>
      </c>
      <c r="P138" s="373">
        <v>11</v>
      </c>
      <c r="Q138" s="374">
        <v>13</v>
      </c>
      <c r="R138" s="44">
        <v>16</v>
      </c>
      <c r="S138" s="45">
        <v>18</v>
      </c>
      <c r="T138" s="45">
        <v>20.2</v>
      </c>
      <c r="U138" s="46">
        <v>24</v>
      </c>
      <c r="V138" s="44">
        <v>29</v>
      </c>
      <c r="W138" s="45">
        <v>36</v>
      </c>
      <c r="X138" s="45">
        <v>39</v>
      </c>
      <c r="Y138" s="45">
        <v>39</v>
      </c>
      <c r="Z138" s="44">
        <v>40</v>
      </c>
      <c r="AA138" s="45">
        <v>42</v>
      </c>
      <c r="AB138" s="45">
        <v>44</v>
      </c>
      <c r="AC138" s="45">
        <v>47</v>
      </c>
      <c r="AD138" s="36">
        <f t="shared" ref="AD138:AG138" si="182">+AC138+AD139</f>
        <v>47.98</v>
      </c>
      <c r="AE138" s="37">
        <f t="shared" si="182"/>
        <v>49.98</v>
      </c>
      <c r="AF138" s="37">
        <f t="shared" si="182"/>
        <v>51.98</v>
      </c>
      <c r="AG138" s="38">
        <f t="shared" si="182"/>
        <v>54.98</v>
      </c>
      <c r="AI138" s="36">
        <f>+M138</f>
        <v>3.9156626506024099</v>
      </c>
      <c r="AJ138" s="8">
        <f>+Q138</f>
        <v>13</v>
      </c>
      <c r="AK138" s="8">
        <f>+U138</f>
        <v>24</v>
      </c>
      <c r="AL138" s="8">
        <f>+Y138</f>
        <v>39</v>
      </c>
      <c r="AM138" s="9">
        <f>+AC138</f>
        <v>47</v>
      </c>
      <c r="AN138" s="9">
        <f>+AG138</f>
        <v>54.98</v>
      </c>
      <c r="AO138" s="9">
        <f t="shared" ref="AO138:AU138" si="183">+AN138+AO139</f>
        <v>62.560999999999993</v>
      </c>
      <c r="AP138" s="9">
        <f t="shared" si="183"/>
        <v>69.383899999999983</v>
      </c>
      <c r="AQ138" s="9">
        <f t="shared" si="183"/>
        <v>75.524509999999978</v>
      </c>
      <c r="AR138" s="9">
        <f t="shared" si="183"/>
        <v>81.051058999999981</v>
      </c>
      <c r="AS138" s="9">
        <f t="shared" si="183"/>
        <v>86.024953099999976</v>
      </c>
      <c r="AT138" s="9">
        <f t="shared" si="183"/>
        <v>90.501457789999975</v>
      </c>
      <c r="AU138" s="55">
        <f t="shared" si="183"/>
        <v>94.977962479999974</v>
      </c>
    </row>
    <row r="139" spans="9:47">
      <c r="I139" s="1" t="s">
        <v>85</v>
      </c>
      <c r="J139" s="109"/>
      <c r="K139" s="107">
        <f t="shared" ref="K139:W139" si="184">+K138-J138</f>
        <v>1.2207119056434124</v>
      </c>
      <c r="L139" s="107">
        <f t="shared" si="184"/>
        <v>1.3816046966731899</v>
      </c>
      <c r="M139" s="108">
        <f t="shared" si="184"/>
        <v>0.77280550774526713</v>
      </c>
      <c r="N139" s="109">
        <f t="shared" si="184"/>
        <v>2.0843373493975901</v>
      </c>
      <c r="O139" s="107">
        <f t="shared" si="184"/>
        <v>3</v>
      </c>
      <c r="P139" s="107">
        <f t="shared" si="184"/>
        <v>2</v>
      </c>
      <c r="Q139" s="108">
        <f t="shared" si="184"/>
        <v>2</v>
      </c>
      <c r="R139" s="25">
        <f t="shared" si="184"/>
        <v>3</v>
      </c>
      <c r="S139" s="26">
        <f t="shared" si="184"/>
        <v>2</v>
      </c>
      <c r="T139" s="26">
        <f t="shared" si="184"/>
        <v>2.1999999999999993</v>
      </c>
      <c r="U139" s="27">
        <f t="shared" si="184"/>
        <v>3.8000000000000007</v>
      </c>
      <c r="V139" s="25">
        <f t="shared" si="184"/>
        <v>5</v>
      </c>
      <c r="W139" s="26">
        <f t="shared" si="184"/>
        <v>7</v>
      </c>
      <c r="X139" s="26">
        <f>+X138-W138</f>
        <v>3</v>
      </c>
      <c r="Y139" s="26">
        <f>+Y138-X138</f>
        <v>0</v>
      </c>
      <c r="Z139" s="25">
        <f t="shared" ref="Z139:AB139" si="185">+Z138-Y138</f>
        <v>1</v>
      </c>
      <c r="AA139" s="26">
        <f t="shared" si="185"/>
        <v>2</v>
      </c>
      <c r="AB139" s="26">
        <f t="shared" si="185"/>
        <v>2</v>
      </c>
      <c r="AC139" s="26">
        <f>+AC138-AB138</f>
        <v>3</v>
      </c>
      <c r="AD139" s="66">
        <f>+Z139*0.98</f>
        <v>0.98</v>
      </c>
      <c r="AE139" s="61">
        <f>+AA139</f>
        <v>2</v>
      </c>
      <c r="AF139" s="61">
        <f>+AB139</f>
        <v>2</v>
      </c>
      <c r="AG139" s="62">
        <f>+AC139</f>
        <v>3</v>
      </c>
      <c r="AI139" s="22"/>
      <c r="AJ139" s="6">
        <f>+AJ138-AI138</f>
        <v>9.0843373493975896</v>
      </c>
      <c r="AK139" s="6">
        <f>+AK138-AJ138</f>
        <v>11</v>
      </c>
      <c r="AL139" s="6">
        <f>+AL138-AK138</f>
        <v>15</v>
      </c>
      <c r="AM139" s="6">
        <f>+AM138-AL138</f>
        <v>8</v>
      </c>
      <c r="AN139" s="6">
        <f>+AN138-AM138</f>
        <v>7.9799999999999969</v>
      </c>
      <c r="AO139" s="18">
        <f>+AN139*0.95</f>
        <v>7.5809999999999969</v>
      </c>
      <c r="AP139" s="18">
        <f>+AO139*0.9</f>
        <v>6.8228999999999971</v>
      </c>
      <c r="AQ139" s="18">
        <f>+AP139*0.9</f>
        <v>6.1406099999999979</v>
      </c>
      <c r="AR139" s="18">
        <f>+AQ139*0.9</f>
        <v>5.5265489999999984</v>
      </c>
      <c r="AS139" s="18">
        <f>+AR139*0.9</f>
        <v>4.973894099999999</v>
      </c>
      <c r="AT139" s="18">
        <f>+AS139*0.9</f>
        <v>4.4765046899999996</v>
      </c>
      <c r="AU139" s="62">
        <f>+AT139</f>
        <v>4.4765046899999996</v>
      </c>
    </row>
    <row r="140" spans="9:47">
      <c r="I140" s="1" t="s">
        <v>1</v>
      </c>
      <c r="J140" s="106"/>
      <c r="K140" s="192"/>
      <c r="L140" s="192"/>
      <c r="M140" s="193"/>
      <c r="N140" s="124">
        <v>10.1</v>
      </c>
      <c r="O140" s="118">
        <v>4.1100000000000003</v>
      </c>
      <c r="P140" s="118">
        <v>2.5</v>
      </c>
      <c r="Q140" s="119">
        <v>2.3199999999999998</v>
      </c>
      <c r="R140" s="42">
        <f>+R138/N138-1</f>
        <v>1.6666666666666665</v>
      </c>
      <c r="S140" s="28">
        <f>+S138/O138-1</f>
        <v>1</v>
      </c>
      <c r="T140" s="28">
        <f>+T138/P138-1</f>
        <v>0.8363636363636362</v>
      </c>
      <c r="U140" s="29">
        <f>+U138/Q138-1</f>
        <v>0.84615384615384626</v>
      </c>
      <c r="V140" s="42">
        <f>+V138/R138-1</f>
        <v>0.8125</v>
      </c>
      <c r="W140" s="28">
        <f t="shared" ref="W140:AG140" si="186">+W138/S138-1</f>
        <v>1</v>
      </c>
      <c r="X140" s="28">
        <f t="shared" si="186"/>
        <v>0.93069306930693085</v>
      </c>
      <c r="Y140" s="28">
        <f t="shared" si="186"/>
        <v>0.625</v>
      </c>
      <c r="Z140" s="42">
        <f>+Z138/V138-1</f>
        <v>0.3793103448275863</v>
      </c>
      <c r="AA140" s="28">
        <f t="shared" si="186"/>
        <v>0.16666666666666674</v>
      </c>
      <c r="AB140" s="28">
        <f t="shared" si="186"/>
        <v>0.12820512820512819</v>
      </c>
      <c r="AC140" s="29">
        <f t="shared" si="186"/>
        <v>0.20512820512820507</v>
      </c>
      <c r="AD140" s="42">
        <f t="shared" si="186"/>
        <v>0.19950000000000001</v>
      </c>
      <c r="AE140" s="28">
        <f t="shared" si="186"/>
        <v>0.18999999999999995</v>
      </c>
      <c r="AF140" s="28">
        <f t="shared" si="186"/>
        <v>0.18136363636363639</v>
      </c>
      <c r="AG140" s="29">
        <f t="shared" si="186"/>
        <v>0.16978723404255303</v>
      </c>
      <c r="AI140" s="22"/>
      <c r="AJ140" s="5">
        <f t="shared" ref="AJ140:AU140" si="187">+AJ138/AI138-1</f>
        <v>2.3199999999999998</v>
      </c>
      <c r="AK140" s="5">
        <f t="shared" si="187"/>
        <v>0.84615384615384626</v>
      </c>
      <c r="AL140" s="5">
        <f t="shared" si="187"/>
        <v>0.625</v>
      </c>
      <c r="AM140" s="5">
        <f t="shared" si="187"/>
        <v>0.20512820512820507</v>
      </c>
      <c r="AN140" s="5">
        <f t="shared" si="187"/>
        <v>0.16978723404255303</v>
      </c>
      <c r="AO140" s="5">
        <f t="shared" si="187"/>
        <v>0.13788650418333925</v>
      </c>
      <c r="AP140" s="5">
        <f t="shared" si="187"/>
        <v>0.10905995748149788</v>
      </c>
      <c r="AQ140" s="5">
        <f t="shared" si="187"/>
        <v>8.8501943534450955E-2</v>
      </c>
      <c r="AR140" s="5">
        <f t="shared" si="187"/>
        <v>7.3175569096707971E-2</v>
      </c>
      <c r="AS140" s="5">
        <f t="shared" si="187"/>
        <v>6.1367416556519006E-2</v>
      </c>
      <c r="AT140" s="5">
        <f t="shared" si="187"/>
        <v>5.2037281378070288E-2</v>
      </c>
      <c r="AU140" s="29">
        <f t="shared" si="187"/>
        <v>4.9463343456713105E-2</v>
      </c>
    </row>
    <row r="141" spans="9:47">
      <c r="I141" s="1" t="s">
        <v>3</v>
      </c>
      <c r="J141" s="106"/>
      <c r="K141" s="111">
        <f>+K138/J138-1</f>
        <v>2.2583170254403129</v>
      </c>
      <c r="L141" s="111">
        <f t="shared" ref="L141:V141" si="188">+L138/K138-1</f>
        <v>0.7844444444444445</v>
      </c>
      <c r="M141" s="112">
        <f t="shared" si="188"/>
        <v>0.24589266155531231</v>
      </c>
      <c r="N141" s="110">
        <f t="shared" si="188"/>
        <v>0.53230769230769215</v>
      </c>
      <c r="O141" s="111">
        <f t="shared" si="188"/>
        <v>0.5</v>
      </c>
      <c r="P141" s="111">
        <f t="shared" si="188"/>
        <v>0.22222222222222232</v>
      </c>
      <c r="Q141" s="112">
        <f t="shared" si="188"/>
        <v>0.18181818181818188</v>
      </c>
      <c r="R141" s="42">
        <f t="shared" si="188"/>
        <v>0.23076923076923084</v>
      </c>
      <c r="S141" s="28">
        <f t="shared" si="188"/>
        <v>0.125</v>
      </c>
      <c r="T141" s="28">
        <f t="shared" si="188"/>
        <v>0.12222222222222223</v>
      </c>
      <c r="U141" s="29">
        <f t="shared" si="188"/>
        <v>0.18811881188118806</v>
      </c>
      <c r="V141" s="42">
        <f t="shared" si="188"/>
        <v>0.20833333333333326</v>
      </c>
      <c r="W141" s="28">
        <f t="shared" ref="W141:AG141" si="189">+W138/V138-1</f>
        <v>0.24137931034482762</v>
      </c>
      <c r="X141" s="28">
        <f t="shared" si="189"/>
        <v>8.3333333333333259E-2</v>
      </c>
      <c r="Y141" s="28">
        <f t="shared" si="189"/>
        <v>0</v>
      </c>
      <c r="Z141" s="42">
        <f t="shared" si="189"/>
        <v>2.564102564102555E-2</v>
      </c>
      <c r="AA141" s="28">
        <f t="shared" si="189"/>
        <v>5.0000000000000044E-2</v>
      </c>
      <c r="AB141" s="28">
        <f t="shared" si="189"/>
        <v>4.7619047619047672E-2</v>
      </c>
      <c r="AC141" s="29">
        <f t="shared" si="189"/>
        <v>6.8181818181818121E-2</v>
      </c>
      <c r="AD141" s="42">
        <f t="shared" si="189"/>
        <v>2.0851063829787186E-2</v>
      </c>
      <c r="AE141" s="28">
        <f t="shared" si="189"/>
        <v>4.1684035014589504E-2</v>
      </c>
      <c r="AF141" s="28">
        <f t="shared" si="189"/>
        <v>4.0016006402560977E-2</v>
      </c>
      <c r="AG141" s="29">
        <f t="shared" si="189"/>
        <v>5.7714505579068875E-2</v>
      </c>
      <c r="AI141" s="22"/>
      <c r="AU141" s="24"/>
    </row>
    <row r="142" spans="9:47">
      <c r="I142" s="1" t="s">
        <v>140</v>
      </c>
      <c r="J142" s="110">
        <f>+J138/J$11</f>
        <v>6.0517038777908351E-2</v>
      </c>
      <c r="K142" s="111">
        <f t="shared" ref="K142:AG142" si="190">+K138/K$11</f>
        <v>8.4354722422494588E-2</v>
      </c>
      <c r="L142" s="111">
        <f t="shared" si="190"/>
        <v>0.11274376417233559</v>
      </c>
      <c r="M142" s="112">
        <f t="shared" si="190"/>
        <v>0.10588834210079755</v>
      </c>
      <c r="N142" s="110">
        <f t="shared" si="190"/>
        <v>0.13043478260869565</v>
      </c>
      <c r="O142" s="111">
        <f t="shared" si="190"/>
        <v>0.15789473684210525</v>
      </c>
      <c r="P142" s="111">
        <f t="shared" si="190"/>
        <v>0.17460317460317459</v>
      </c>
      <c r="Q142" s="112">
        <f t="shared" si="190"/>
        <v>0.18309859154929578</v>
      </c>
      <c r="R142" s="42">
        <f t="shared" si="190"/>
        <v>0.19753086419753085</v>
      </c>
      <c r="S142" s="28">
        <f t="shared" si="190"/>
        <v>0.20689655172413793</v>
      </c>
      <c r="T142" s="28">
        <f t="shared" si="190"/>
        <v>0.21330517423442449</v>
      </c>
      <c r="U142" s="29">
        <f t="shared" si="190"/>
        <v>0.22641509433962265</v>
      </c>
      <c r="V142" s="28">
        <f t="shared" si="190"/>
        <v>0.23770491803278687</v>
      </c>
      <c r="W142" s="28">
        <f t="shared" si="190"/>
        <v>0.25174825174825177</v>
      </c>
      <c r="X142" s="28">
        <f t="shared" si="190"/>
        <v>0.25490196078431371</v>
      </c>
      <c r="Y142" s="28">
        <f t="shared" si="190"/>
        <v>0.24636765634870497</v>
      </c>
      <c r="Z142" s="42">
        <f t="shared" ref="Z142" si="191">+Z138/Z$11</f>
        <v>0.24096385542168675</v>
      </c>
      <c r="AA142" s="28">
        <f t="shared" si="190"/>
        <v>0.2413793103448276</v>
      </c>
      <c r="AB142" s="28">
        <f t="shared" ref="AB142" si="192">+AB138/AB$11</f>
        <v>0.24719101123595505</v>
      </c>
      <c r="AC142" s="29">
        <f t="shared" si="190"/>
        <v>0.25133689839572193</v>
      </c>
      <c r="AD142" s="42">
        <f t="shared" si="190"/>
        <v>0.24742161716171618</v>
      </c>
      <c r="AE142" s="28">
        <f t="shared" si="190"/>
        <v>0.24828490668203337</v>
      </c>
      <c r="AF142" s="28">
        <f t="shared" si="190"/>
        <v>0.2501001386905829</v>
      </c>
      <c r="AG142" s="29">
        <f t="shared" si="190"/>
        <v>0.25572177768263538</v>
      </c>
      <c r="AI142" s="42">
        <f>+AI138/AI$11</f>
        <v>0.10588834210079755</v>
      </c>
      <c r="AJ142" s="5">
        <f t="shared" ref="AJ142:AU142" si="193">+AJ138/AJ$11</f>
        <v>0.18309859154929578</v>
      </c>
      <c r="AK142" s="5">
        <f t="shared" si="193"/>
        <v>0.22641509433962265</v>
      </c>
      <c r="AL142" s="5">
        <f t="shared" si="193"/>
        <v>0.24636765634870497</v>
      </c>
      <c r="AM142" s="5">
        <f t="shared" si="193"/>
        <v>0.25133689839572193</v>
      </c>
      <c r="AN142" s="5">
        <f t="shared" si="193"/>
        <v>0.25572177768263538</v>
      </c>
      <c r="AO142" s="5">
        <f t="shared" si="193"/>
        <v>0.25894602555105234</v>
      </c>
      <c r="AP142" s="5">
        <f t="shared" si="193"/>
        <v>0.26060006920300227</v>
      </c>
      <c r="AQ142" s="5">
        <f t="shared" si="193"/>
        <v>0.26171218679451086</v>
      </c>
      <c r="AR142" s="5">
        <f t="shared" si="193"/>
        <v>0.26257550902299936</v>
      </c>
      <c r="AS142" s="5">
        <f t="shared" si="193"/>
        <v>0.26326169625563828</v>
      </c>
      <c r="AT142" s="5">
        <f t="shared" si="193"/>
        <v>0.26381739250937547</v>
      </c>
      <c r="AU142" s="29">
        <f t="shared" si="193"/>
        <v>0.26432273510790433</v>
      </c>
    </row>
    <row r="143" spans="9:47">
      <c r="I143" s="1" t="s">
        <v>203</v>
      </c>
      <c r="J143" s="22"/>
      <c r="K143" s="28"/>
      <c r="L143" s="28"/>
      <c r="M143" s="29"/>
      <c r="N143" s="42"/>
      <c r="O143" s="28"/>
      <c r="P143" s="28"/>
      <c r="Q143" s="29"/>
      <c r="R143" s="42"/>
      <c r="S143" s="28"/>
      <c r="T143" s="28"/>
      <c r="U143" s="29"/>
      <c r="V143" s="28">
        <f t="shared" ref="V143:AG143" si="194">(V138-R138)/(V$11-R$11)</f>
        <v>0.31707317073170732</v>
      </c>
      <c r="W143" s="28">
        <f t="shared" si="194"/>
        <v>0.32142857142857145</v>
      </c>
      <c r="X143" s="28">
        <f t="shared" si="194"/>
        <v>0.32246998284734135</v>
      </c>
      <c r="Y143" s="28">
        <f t="shared" si="194"/>
        <v>0.28680688336520072</v>
      </c>
      <c r="Z143" s="42">
        <f t="shared" si="194"/>
        <v>0.25</v>
      </c>
      <c r="AA143" s="28">
        <f t="shared" si="194"/>
        <v>0.19354838709677419</v>
      </c>
      <c r="AB143" s="28">
        <f t="shared" si="194"/>
        <v>0.2</v>
      </c>
      <c r="AC143" s="29">
        <f t="shared" si="194"/>
        <v>0.27874564459930323</v>
      </c>
      <c r="AD143" s="42">
        <f t="shared" si="194"/>
        <v>0.28581661891117482</v>
      </c>
      <c r="AE143" s="28">
        <f t="shared" si="194"/>
        <v>0.29229698545840815</v>
      </c>
      <c r="AF143" s="28">
        <f t="shared" si="194"/>
        <v>0.26745540315215316</v>
      </c>
      <c r="AG143" s="29">
        <f t="shared" si="194"/>
        <v>0.28500725241669106</v>
      </c>
      <c r="AI143" s="22"/>
      <c r="AL143" s="5">
        <f>(AL138-AK138)/(AL$11-AK$11)</f>
        <v>0.28680688336520072</v>
      </c>
      <c r="AM143" s="5">
        <f t="shared" ref="AM143:AU143" si="195">(AM138-AL138)/(AM$11-AL$11)</f>
        <v>0.27874564459930323</v>
      </c>
      <c r="AN143" s="5">
        <f t="shared" si="195"/>
        <v>0.28500725241669106</v>
      </c>
      <c r="AO143" s="5">
        <f t="shared" si="195"/>
        <v>0.28500725241669067</v>
      </c>
      <c r="AP143" s="5">
        <f t="shared" si="195"/>
        <v>0.27681289477099136</v>
      </c>
      <c r="AQ143" s="5">
        <f t="shared" si="195"/>
        <v>0.27497118016172561</v>
      </c>
      <c r="AR143" s="5">
        <f t="shared" si="195"/>
        <v>0.27497118016172656</v>
      </c>
      <c r="AS143" s="5">
        <f t="shared" si="195"/>
        <v>0.27497118016172462</v>
      </c>
      <c r="AT143" s="5">
        <f t="shared" si="195"/>
        <v>0.27497118016172672</v>
      </c>
      <c r="AU143" s="29">
        <f t="shared" si="195"/>
        <v>0.27497118016172478</v>
      </c>
    </row>
    <row r="144" spans="9:47">
      <c r="J144" s="22"/>
      <c r="K144" s="28"/>
      <c r="L144" s="28"/>
      <c r="M144" s="29"/>
      <c r="N144" s="42"/>
      <c r="O144" s="28"/>
      <c r="P144" s="28"/>
      <c r="Q144" s="29"/>
      <c r="R144" s="42"/>
      <c r="S144" s="28"/>
      <c r="T144" s="28"/>
      <c r="U144" s="29"/>
      <c r="V144" s="110"/>
      <c r="W144" s="111"/>
      <c r="X144" s="111"/>
      <c r="Y144" s="112"/>
      <c r="Z144" s="110"/>
      <c r="AA144" s="111"/>
      <c r="AB144" s="111"/>
      <c r="AC144" s="112"/>
      <c r="AD144" s="110"/>
      <c r="AE144" s="111"/>
      <c r="AF144" s="111"/>
      <c r="AG144" s="112"/>
      <c r="AI144" s="22"/>
      <c r="AL144" s="5"/>
      <c r="AM144" s="5"/>
      <c r="AN144" s="5"/>
      <c r="AO144" s="5"/>
      <c r="AP144" s="5"/>
      <c r="AQ144" s="5"/>
      <c r="AR144" s="5"/>
      <c r="AS144" s="5"/>
      <c r="AT144" s="5"/>
      <c r="AU144" s="29"/>
    </row>
    <row r="145" spans="9:47">
      <c r="I145" s="7" t="s">
        <v>15</v>
      </c>
      <c r="J145" s="22"/>
      <c r="K145" s="23"/>
      <c r="L145" s="23"/>
      <c r="M145" s="24"/>
      <c r="N145" s="33"/>
      <c r="O145" s="34"/>
      <c r="P145" s="34"/>
      <c r="Q145" s="35"/>
      <c r="R145" s="44">
        <v>0</v>
      </c>
      <c r="S145" s="45">
        <v>5.0000000000000001E-3</v>
      </c>
      <c r="T145" s="45">
        <v>6.0000000000000001E-3</v>
      </c>
      <c r="U145" s="46">
        <v>9.7000000000000003E-2</v>
      </c>
      <c r="V145" s="45">
        <v>0.19800000000000001</v>
      </c>
      <c r="W145" s="45">
        <v>0.34300000000000003</v>
      </c>
      <c r="X145" s="45">
        <v>1.6579999999999999</v>
      </c>
      <c r="Y145" s="45">
        <v>5.6609999999999996</v>
      </c>
      <c r="Z145" s="44">
        <v>8</v>
      </c>
      <c r="AA145" s="45">
        <v>12</v>
      </c>
      <c r="AB145" s="45">
        <v>13</v>
      </c>
      <c r="AC145" s="45">
        <v>26</v>
      </c>
      <c r="AD145" s="53">
        <f t="shared" ref="AD145:AG145" si="196">+AC145+AD149</f>
        <v>23</v>
      </c>
      <c r="AE145" s="54">
        <f t="shared" si="196"/>
        <v>27</v>
      </c>
      <c r="AF145" s="54">
        <f t="shared" si="196"/>
        <v>31</v>
      </c>
      <c r="AG145" s="55">
        <f t="shared" si="196"/>
        <v>43</v>
      </c>
      <c r="AI145" s="36">
        <f>+SUM(J145:M145)</f>
        <v>0</v>
      </c>
      <c r="AJ145" s="8">
        <f>+SUM(N145:Q145)</f>
        <v>0</v>
      </c>
      <c r="AK145" s="8">
        <f>+SUM(R145:U145)</f>
        <v>0.108</v>
      </c>
      <c r="AL145" s="8">
        <f>+SUM(V145:Y145)</f>
        <v>7.8599999999999994</v>
      </c>
      <c r="AM145" s="9">
        <f>+SUM(Z145:AC145)</f>
        <v>59</v>
      </c>
      <c r="AN145" s="9">
        <f>+SUM(AD145:AG145)</f>
        <v>124</v>
      </c>
      <c r="AO145" s="9">
        <f t="shared" ref="AO145:AU145" si="197">+AN145*(1+AO146)</f>
        <v>226.4576271186441</v>
      </c>
      <c r="AP145" s="9">
        <f t="shared" si="197"/>
        <v>366.79418629704116</v>
      </c>
      <c r="AQ145" s="9">
        <f t="shared" si="197"/>
        <v>548.63706679176073</v>
      </c>
      <c r="AR145" s="9">
        <f t="shared" si="197"/>
        <v>766.23210684137439</v>
      </c>
      <c r="AS145" s="9">
        <f t="shared" si="197"/>
        <v>1009.3484634527393</v>
      </c>
      <c r="AT145" s="9">
        <f t="shared" si="197"/>
        <v>1265.5518971589806</v>
      </c>
      <c r="AU145" s="55">
        <f t="shared" si="197"/>
        <v>1522.5404424044439</v>
      </c>
    </row>
    <row r="146" spans="9:47">
      <c r="I146" s="1" t="s">
        <v>1</v>
      </c>
      <c r="J146" s="22"/>
      <c r="K146" s="23"/>
      <c r="L146" s="23"/>
      <c r="M146" s="24"/>
      <c r="N146" s="22"/>
      <c r="O146" s="23"/>
      <c r="P146" s="23"/>
      <c r="Q146" s="24"/>
      <c r="R146" s="56"/>
      <c r="S146" s="28"/>
      <c r="T146" s="28"/>
      <c r="U146" s="29"/>
      <c r="V146" s="42"/>
      <c r="W146" s="28"/>
      <c r="X146" s="28"/>
      <c r="Y146" s="28"/>
      <c r="Z146" s="42"/>
      <c r="AA146" s="28">
        <f t="shared" ref="AA146:AG146" si="198">+AA145/W145-1</f>
        <v>33.985422740524776</v>
      </c>
      <c r="AB146" s="28">
        <f t="shared" si="198"/>
        <v>6.8407720144752719</v>
      </c>
      <c r="AC146" s="29">
        <f t="shared" si="198"/>
        <v>3.5928281222398875</v>
      </c>
      <c r="AD146" s="42">
        <f t="shared" si="198"/>
        <v>1.875</v>
      </c>
      <c r="AE146" s="28">
        <f t="shared" si="198"/>
        <v>1.25</v>
      </c>
      <c r="AF146" s="28">
        <f t="shared" si="198"/>
        <v>1.3846153846153846</v>
      </c>
      <c r="AG146" s="29">
        <f t="shared" si="198"/>
        <v>0.65384615384615374</v>
      </c>
      <c r="AI146" s="22"/>
      <c r="AL146" s="5"/>
      <c r="AM146" s="5">
        <f>+AM145/AL145-1</f>
        <v>6.5063613231552164</v>
      </c>
      <c r="AN146" s="5">
        <f>+AN145/AM145-1</f>
        <v>1.1016949152542375</v>
      </c>
      <c r="AO146" s="19">
        <f>+AN146*0.75</f>
        <v>0.8262711864406781</v>
      </c>
      <c r="AP146" s="19">
        <f>+AO146*0.75</f>
        <v>0.61970338983050854</v>
      </c>
      <c r="AQ146" s="19">
        <f>+AP146*0.8</f>
        <v>0.49576271186440685</v>
      </c>
      <c r="AR146" s="19">
        <f>+AQ146*0.8</f>
        <v>0.3966101694915255</v>
      </c>
      <c r="AS146" s="19">
        <f t="shared" ref="AS146:AU146" si="199">+AR146*0.8</f>
        <v>0.31728813559322044</v>
      </c>
      <c r="AT146" s="19">
        <f t="shared" si="199"/>
        <v>0.25383050847457639</v>
      </c>
      <c r="AU146" s="283">
        <f t="shared" si="199"/>
        <v>0.20306440677966112</v>
      </c>
    </row>
    <row r="147" spans="9:47">
      <c r="I147" s="1" t="s">
        <v>23</v>
      </c>
      <c r="J147" s="22"/>
      <c r="K147" s="23"/>
      <c r="L147" s="23"/>
      <c r="M147" s="24"/>
      <c r="N147" s="22"/>
      <c r="O147" s="23"/>
      <c r="P147" s="23"/>
      <c r="Q147" s="24"/>
      <c r="R147" s="56"/>
      <c r="S147" s="28"/>
      <c r="T147" s="28"/>
      <c r="U147" s="29"/>
      <c r="V147" s="47">
        <f t="shared" ref="V147:AG147" si="200">+V145-R145</f>
        <v>0.19800000000000001</v>
      </c>
      <c r="W147" s="48">
        <f t="shared" si="200"/>
        <v>0.33800000000000002</v>
      </c>
      <c r="X147" s="48">
        <f t="shared" si="200"/>
        <v>1.6519999999999999</v>
      </c>
      <c r="Y147" s="48">
        <f t="shared" si="200"/>
        <v>5.5639999999999992</v>
      </c>
      <c r="Z147" s="47">
        <f t="shared" si="200"/>
        <v>7.8019999999999996</v>
      </c>
      <c r="AA147" s="48">
        <f t="shared" si="200"/>
        <v>11.657</v>
      </c>
      <c r="AB147" s="48">
        <f t="shared" si="200"/>
        <v>11.342000000000001</v>
      </c>
      <c r="AC147" s="49">
        <f t="shared" si="200"/>
        <v>20.338999999999999</v>
      </c>
      <c r="AD147" s="47">
        <f t="shared" si="200"/>
        <v>15</v>
      </c>
      <c r="AE147" s="48">
        <f t="shared" si="200"/>
        <v>15</v>
      </c>
      <c r="AF147" s="48">
        <f t="shared" si="200"/>
        <v>18</v>
      </c>
      <c r="AG147" s="49">
        <f t="shared" si="200"/>
        <v>17</v>
      </c>
      <c r="AI147" s="22"/>
      <c r="AK147" s="3">
        <f t="shared" ref="AK147:AU147" si="201">+AK145-AJ145</f>
        <v>0.108</v>
      </c>
      <c r="AL147" s="3">
        <f t="shared" si="201"/>
        <v>7.7519999999999998</v>
      </c>
      <c r="AM147" s="3">
        <f t="shared" si="201"/>
        <v>51.14</v>
      </c>
      <c r="AN147" s="3">
        <f t="shared" si="201"/>
        <v>65</v>
      </c>
      <c r="AO147" s="3">
        <f t="shared" si="201"/>
        <v>102.4576271186441</v>
      </c>
      <c r="AP147" s="3">
        <f t="shared" si="201"/>
        <v>140.33655917839707</v>
      </c>
      <c r="AQ147" s="3">
        <f t="shared" si="201"/>
        <v>181.84288049471957</v>
      </c>
      <c r="AR147" s="3">
        <f t="shared" si="201"/>
        <v>217.59504004961366</v>
      </c>
      <c r="AS147" s="3">
        <f t="shared" si="201"/>
        <v>243.11635661136495</v>
      </c>
      <c r="AT147" s="3">
        <f t="shared" si="201"/>
        <v>256.2034337062413</v>
      </c>
      <c r="AU147" s="49">
        <f t="shared" si="201"/>
        <v>256.98854524546323</v>
      </c>
    </row>
    <row r="148" spans="9:47">
      <c r="I148" s="1" t="s">
        <v>3</v>
      </c>
      <c r="J148" s="22"/>
      <c r="K148" s="28"/>
      <c r="L148" s="28"/>
      <c r="M148" s="29"/>
      <c r="N148" s="42"/>
      <c r="O148" s="28"/>
      <c r="P148" s="28"/>
      <c r="Q148" s="29"/>
      <c r="R148" s="42"/>
      <c r="S148" s="28"/>
      <c r="T148" s="28"/>
      <c r="U148" s="29"/>
      <c r="V148" s="42"/>
      <c r="W148" s="28">
        <f t="shared" ref="W148:AG148" si="202">+W145/V145-1</f>
        <v>0.73232323232323249</v>
      </c>
      <c r="X148" s="28">
        <f t="shared" si="202"/>
        <v>3.833819241982507</v>
      </c>
      <c r="Y148" s="28">
        <f t="shared" si="202"/>
        <v>2.4143546441495776</v>
      </c>
      <c r="Z148" s="42">
        <f t="shared" si="202"/>
        <v>0.41317788376611908</v>
      </c>
      <c r="AA148" s="28">
        <f t="shared" si="202"/>
        <v>0.5</v>
      </c>
      <c r="AB148" s="28">
        <f t="shared" si="202"/>
        <v>8.3333333333333259E-2</v>
      </c>
      <c r="AC148" s="29">
        <f t="shared" si="202"/>
        <v>1</v>
      </c>
      <c r="AD148" s="42">
        <f t="shared" si="202"/>
        <v>-0.11538461538461542</v>
      </c>
      <c r="AE148" s="28">
        <f t="shared" si="202"/>
        <v>0.17391304347826098</v>
      </c>
      <c r="AF148" s="28">
        <f t="shared" si="202"/>
        <v>0.14814814814814814</v>
      </c>
      <c r="AG148" s="29">
        <f t="shared" si="202"/>
        <v>0.38709677419354849</v>
      </c>
      <c r="AI148" s="22"/>
      <c r="AK148" s="3"/>
      <c r="AL148" s="3"/>
      <c r="AM148" s="3"/>
      <c r="AN148" s="3"/>
      <c r="AU148" s="24"/>
    </row>
    <row r="149" spans="9:47">
      <c r="I149" s="1" t="s">
        <v>4</v>
      </c>
      <c r="J149" s="22"/>
      <c r="K149" s="26"/>
      <c r="L149" s="26"/>
      <c r="M149" s="27"/>
      <c r="N149" s="25"/>
      <c r="O149" s="26"/>
      <c r="P149" s="26"/>
      <c r="Q149" s="27"/>
      <c r="R149" s="25"/>
      <c r="S149" s="26">
        <f t="shared" ref="S149:AC149" si="203">+S145-R145</f>
        <v>5.0000000000000001E-3</v>
      </c>
      <c r="T149" s="26">
        <f t="shared" si="203"/>
        <v>1E-3</v>
      </c>
      <c r="U149" s="27">
        <f t="shared" si="203"/>
        <v>9.0999999999999998E-2</v>
      </c>
      <c r="V149" s="25">
        <f t="shared" si="203"/>
        <v>0.10100000000000001</v>
      </c>
      <c r="W149" s="26">
        <f t="shared" si="203"/>
        <v>0.14500000000000002</v>
      </c>
      <c r="X149" s="26">
        <f t="shared" si="203"/>
        <v>1.3149999999999999</v>
      </c>
      <c r="Y149" s="26">
        <f t="shared" si="203"/>
        <v>4.0030000000000001</v>
      </c>
      <c r="Z149" s="25">
        <f t="shared" si="203"/>
        <v>2.3390000000000004</v>
      </c>
      <c r="AA149" s="26">
        <f t="shared" si="203"/>
        <v>4</v>
      </c>
      <c r="AB149" s="26">
        <f t="shared" si="203"/>
        <v>1</v>
      </c>
      <c r="AC149" s="26">
        <f t="shared" si="203"/>
        <v>13</v>
      </c>
      <c r="AD149" s="66">
        <v>-3</v>
      </c>
      <c r="AE149" s="61">
        <v>4</v>
      </c>
      <c r="AF149" s="61">
        <v>4</v>
      </c>
      <c r="AG149" s="62">
        <v>12</v>
      </c>
      <c r="AI149" s="22"/>
      <c r="AU149" s="24"/>
    </row>
    <row r="150" spans="9:47" s="105" customFormat="1">
      <c r="I150" s="105" t="s">
        <v>141</v>
      </c>
      <c r="J150" s="106"/>
      <c r="K150" s="107"/>
      <c r="L150" s="107"/>
      <c r="M150" s="108"/>
      <c r="N150" s="109"/>
      <c r="O150" s="107"/>
      <c r="P150" s="107"/>
      <c r="Q150" s="108"/>
      <c r="R150" s="110">
        <f>+R145/R$4</f>
        <v>0</v>
      </c>
      <c r="S150" s="111">
        <f t="shared" ref="S150:AG150" si="204">+S145/S$4</f>
        <v>9.4339622641509435E-4</v>
      </c>
      <c r="T150" s="111">
        <f t="shared" si="204"/>
        <v>3.5874439461883406E-4</v>
      </c>
      <c r="U150" s="112">
        <f t="shared" si="204"/>
        <v>2.9647288954092548E-3</v>
      </c>
      <c r="V150" s="111">
        <f t="shared" si="204"/>
        <v>5.1033558430846953E-3</v>
      </c>
      <c r="W150" s="111">
        <f t="shared" si="204"/>
        <v>4.7772918465695422E-3</v>
      </c>
      <c r="X150" s="111">
        <f>+X145/X$4</f>
        <v>1.2932513806121492E-2</v>
      </c>
      <c r="Y150" s="111">
        <f>+Y145/Y$4</f>
        <v>3.4167863738969836E-2</v>
      </c>
      <c r="Z150" s="110">
        <f t="shared" ref="Z150" si="205">+Z145/Z$4</f>
        <v>5.3458783278092593E-2</v>
      </c>
      <c r="AA150" s="114">
        <f t="shared" si="204"/>
        <v>6.6053470284195059E-2</v>
      </c>
      <c r="AB150" s="114">
        <f t="shared" ref="AB150" si="206">+AB145/AB$4</f>
        <v>6.2518936023891844E-2</v>
      </c>
      <c r="AC150" s="115">
        <f t="shared" si="204"/>
        <v>9.100678000511038E-2</v>
      </c>
      <c r="AD150" s="113">
        <f t="shared" si="204"/>
        <v>9.2369477911646583E-2</v>
      </c>
      <c r="AE150" s="114">
        <f t="shared" si="204"/>
        <v>9.152542372881356E-2</v>
      </c>
      <c r="AF150" s="114">
        <f t="shared" si="204"/>
        <v>9.0909090909090912E-2</v>
      </c>
      <c r="AG150" s="115">
        <f t="shared" si="204"/>
        <v>0.10046728971962617</v>
      </c>
      <c r="AI150" s="106"/>
      <c r="AK150" s="114">
        <f t="shared" ref="AK150:AU150" si="207">+AK145/AK$4</f>
        <v>1.8410241549187733E-3</v>
      </c>
      <c r="AL150" s="116">
        <f t="shared" si="207"/>
        <v>1.9432261509782882E-2</v>
      </c>
      <c r="AM150" s="116">
        <f t="shared" si="207"/>
        <v>7.1519572725101802E-2</v>
      </c>
      <c r="AN150" s="116">
        <f t="shared" si="207"/>
        <v>9.4440213252094438E-2</v>
      </c>
      <c r="AO150" s="116">
        <f t="shared" si="207"/>
        <v>0.11499018774654202</v>
      </c>
      <c r="AP150" s="116">
        <f t="shared" si="207"/>
        <v>0.13077007898520832</v>
      </c>
      <c r="AQ150" s="116">
        <f t="shared" si="207"/>
        <v>0.14388869599980667</v>
      </c>
      <c r="AR150" s="116">
        <f t="shared" si="207"/>
        <v>0.15435904934398803</v>
      </c>
      <c r="AS150" s="116">
        <f t="shared" si="207"/>
        <v>0.16376042250402786</v>
      </c>
      <c r="AT150" s="116">
        <f t="shared" si="207"/>
        <v>0.17204636537005238</v>
      </c>
      <c r="AU150" s="112">
        <f t="shared" si="207"/>
        <v>0.17816599986368609</v>
      </c>
    </row>
    <row r="151" spans="9:47" s="105" customFormat="1">
      <c r="I151" s="105" t="s">
        <v>254</v>
      </c>
      <c r="J151" s="106"/>
      <c r="K151" s="107"/>
      <c r="L151" s="107"/>
      <c r="M151" s="108"/>
      <c r="N151" s="109"/>
      <c r="O151" s="107"/>
      <c r="P151" s="107"/>
      <c r="Q151" s="108"/>
      <c r="R151" s="110"/>
      <c r="S151" s="111"/>
      <c r="T151" s="111"/>
      <c r="U151" s="112"/>
      <c r="V151" s="111">
        <f t="shared" ref="V151:AG151" si="208">(V145-R145)/(V4-R4)</f>
        <v>5.6769310166867367E-3</v>
      </c>
      <c r="W151" s="111">
        <f t="shared" si="208"/>
        <v>5.082859634876237E-3</v>
      </c>
      <c r="X151" s="111">
        <f t="shared" si="208"/>
        <v>1.4818934507844524E-2</v>
      </c>
      <c r="Y151" s="111">
        <f t="shared" si="208"/>
        <v>4.1845913179507227E-2</v>
      </c>
      <c r="Z151" s="110">
        <f t="shared" si="208"/>
        <v>7.0383400992331979E-2</v>
      </c>
      <c r="AA151" s="111">
        <f t="shared" si="208"/>
        <v>0.1060952190256023</v>
      </c>
      <c r="AB151" s="111">
        <f t="shared" si="208"/>
        <v>0.14224975856922478</v>
      </c>
      <c r="AC151" s="112">
        <f t="shared" si="208"/>
        <v>0.16947613135462583</v>
      </c>
      <c r="AD151" s="110">
        <f t="shared" si="208"/>
        <v>0.15097833964087284</v>
      </c>
      <c r="AE151" s="111">
        <f t="shared" si="208"/>
        <v>0.13235800192360295</v>
      </c>
      <c r="AF151" s="111">
        <f t="shared" si="208"/>
        <v>0.13527426857954503</v>
      </c>
      <c r="AG151" s="112">
        <f t="shared" si="208"/>
        <v>0.1194600406164138</v>
      </c>
      <c r="AI151" s="106"/>
      <c r="AK151" s="111">
        <f t="shared" ref="AK151:AU151" si="209">(AK145-AJ145)/(AK4-AJ4)</f>
        <v>1.8410241549187733E-3</v>
      </c>
      <c r="AL151" s="111">
        <f t="shared" si="209"/>
        <v>2.2416350749958795E-2</v>
      </c>
      <c r="AM151" s="111">
        <f t="shared" si="209"/>
        <v>0.12162666749114676</v>
      </c>
      <c r="AN151" s="111">
        <f t="shared" si="209"/>
        <v>0.1331828026169396</v>
      </c>
      <c r="AO151" s="111">
        <f t="shared" si="209"/>
        <v>0.15609860315774499</v>
      </c>
      <c r="AP151" s="111">
        <f t="shared" si="209"/>
        <v>0.16796439544378111</v>
      </c>
      <c r="AQ151" s="111">
        <f t="shared" si="209"/>
        <v>0.18039104183394103</v>
      </c>
      <c r="AR151" s="111">
        <f t="shared" si="209"/>
        <v>0.18904327939246798</v>
      </c>
      <c r="AS151" s="111">
        <f t="shared" si="209"/>
        <v>0.20266316115949476</v>
      </c>
      <c r="AT151" s="111">
        <f t="shared" si="209"/>
        <v>0.21488002857640462</v>
      </c>
      <c r="AU151" s="112">
        <f t="shared" si="209"/>
        <v>0.21600186575045677</v>
      </c>
    </row>
    <row r="152" spans="9:47">
      <c r="J152" s="22"/>
      <c r="K152" s="23"/>
      <c r="L152" s="23"/>
      <c r="M152" s="24"/>
      <c r="N152" s="22"/>
      <c r="O152" s="23"/>
      <c r="P152" s="23"/>
      <c r="Q152" s="24"/>
      <c r="R152" s="22"/>
      <c r="S152" s="23"/>
      <c r="T152" s="23"/>
      <c r="U152" s="24"/>
      <c r="V152" s="22"/>
      <c r="W152" s="23"/>
      <c r="X152" s="23"/>
      <c r="Y152" s="23"/>
      <c r="Z152" s="22"/>
      <c r="AA152" s="23"/>
      <c r="AB152" s="23"/>
      <c r="AC152" s="24"/>
      <c r="AD152" s="22"/>
      <c r="AE152" s="23"/>
      <c r="AF152" s="23"/>
      <c r="AG152" s="24"/>
      <c r="AI152" s="22"/>
      <c r="AU152" s="24"/>
    </row>
    <row r="153" spans="9:47" s="7" customFormat="1">
      <c r="I153" s="7" t="s">
        <v>16</v>
      </c>
      <c r="J153" s="22"/>
      <c r="K153" s="23"/>
      <c r="L153" s="23"/>
      <c r="M153" s="24"/>
      <c r="N153" s="33"/>
      <c r="O153" s="34"/>
      <c r="P153" s="34"/>
      <c r="Q153" s="35"/>
      <c r="R153" s="67">
        <f>+R145/R138</f>
        <v>0</v>
      </c>
      <c r="S153" s="63">
        <f t="shared" ref="S153:Y153" si="210">+S145/S138</f>
        <v>2.7777777777777778E-4</v>
      </c>
      <c r="T153" s="63">
        <f t="shared" si="210"/>
        <v>2.9702970297029702E-4</v>
      </c>
      <c r="U153" s="64">
        <f t="shared" si="210"/>
        <v>4.0416666666666665E-3</v>
      </c>
      <c r="V153" s="67">
        <f t="shared" si="210"/>
        <v>6.827586206896552E-3</v>
      </c>
      <c r="W153" s="63">
        <f t="shared" si="210"/>
        <v>9.5277777777777791E-3</v>
      </c>
      <c r="X153" s="63">
        <f t="shared" si="210"/>
        <v>4.2512820512820508E-2</v>
      </c>
      <c r="Y153" s="63">
        <f t="shared" si="210"/>
        <v>0.14515384615384613</v>
      </c>
      <c r="Z153" s="67">
        <f t="shared" ref="Z153" si="211">+Z145/Z138</f>
        <v>0.2</v>
      </c>
      <c r="AA153" s="63">
        <f t="shared" ref="AA153:AG153" si="212">+AA145/AVERAGE(AA138)</f>
        <v>0.2857142857142857</v>
      </c>
      <c r="AB153" s="63">
        <f t="shared" ref="AB153" si="213">+AB145/AVERAGE(AB138)</f>
        <v>0.29545454545454547</v>
      </c>
      <c r="AC153" s="64">
        <f t="shared" si="212"/>
        <v>0.55319148936170215</v>
      </c>
      <c r="AD153" s="67">
        <f t="shared" si="212"/>
        <v>0.47936640266777825</v>
      </c>
      <c r="AE153" s="63">
        <f t="shared" si="212"/>
        <v>0.54021608643457386</v>
      </c>
      <c r="AF153" s="63">
        <f t="shared" si="212"/>
        <v>0.59638322431704505</v>
      </c>
      <c r="AG153" s="64">
        <f t="shared" si="212"/>
        <v>0.78210258275736633</v>
      </c>
      <c r="AI153" s="33"/>
      <c r="AJ153" s="12">
        <f t="shared" ref="AJ153:AU153" si="214">+AJ145/AVERAGE(AI138:AJ138)</f>
        <v>0</v>
      </c>
      <c r="AK153" s="12">
        <f t="shared" si="214"/>
        <v>5.8378378378378375E-3</v>
      </c>
      <c r="AL153" s="12">
        <f t="shared" si="214"/>
        <v>0.24952380952380951</v>
      </c>
      <c r="AM153" s="12">
        <f t="shared" si="214"/>
        <v>1.3720930232558139</v>
      </c>
      <c r="AN153" s="12">
        <f t="shared" si="214"/>
        <v>2.4318493822318104</v>
      </c>
      <c r="AO153" s="12">
        <f t="shared" si="214"/>
        <v>3.8532533689290394</v>
      </c>
      <c r="AP153" s="12">
        <f t="shared" si="214"/>
        <v>5.5598084700059083</v>
      </c>
      <c r="AQ153" s="12">
        <f t="shared" si="214"/>
        <v>7.5721908313225015</v>
      </c>
      <c r="AR153" s="12">
        <f t="shared" si="214"/>
        <v>9.7873775804879823</v>
      </c>
      <c r="AS153" s="12">
        <f t="shared" si="214"/>
        <v>12.082506049385644</v>
      </c>
      <c r="AT153" s="12">
        <f t="shared" si="214"/>
        <v>14.338385862811114</v>
      </c>
      <c r="AU153" s="52">
        <f t="shared" si="214"/>
        <v>16.417351749192466</v>
      </c>
    </row>
    <row r="154" spans="9:47">
      <c r="I154" s="1" t="s">
        <v>1</v>
      </c>
      <c r="J154" s="22"/>
      <c r="K154" s="23"/>
      <c r="L154" s="23"/>
      <c r="M154" s="24"/>
      <c r="N154" s="22"/>
      <c r="O154" s="23"/>
      <c r="P154" s="23"/>
      <c r="Q154" s="24"/>
      <c r="R154" s="56"/>
      <c r="S154" s="28"/>
      <c r="T154" s="28"/>
      <c r="U154" s="29"/>
      <c r="V154" s="42"/>
      <c r="W154" s="28"/>
      <c r="X154" s="28"/>
      <c r="Y154" s="28"/>
      <c r="Z154" s="42"/>
      <c r="AA154" s="28">
        <f t="shared" ref="AA154:AG154" si="215">+AA153/W153-1</f>
        <v>28.987505206164091</v>
      </c>
      <c r="AB154" s="28">
        <f t="shared" si="215"/>
        <v>5.9497751946485371</v>
      </c>
      <c r="AC154" s="29">
        <f t="shared" si="215"/>
        <v>2.81107014398629</v>
      </c>
      <c r="AD154" s="42">
        <f t="shared" si="215"/>
        <v>1.3968320133388912</v>
      </c>
      <c r="AE154" s="28">
        <f t="shared" si="215"/>
        <v>0.89075630252100857</v>
      </c>
      <c r="AF154" s="28">
        <f t="shared" si="215"/>
        <v>1.0185278361499983</v>
      </c>
      <c r="AG154" s="29">
        <f t="shared" si="215"/>
        <v>0.41380082267677754</v>
      </c>
      <c r="AI154" s="22"/>
      <c r="AK154" s="5"/>
      <c r="AL154" s="5">
        <f t="shared" ref="AL154:AU154" si="216">+AL153/AK153-1</f>
        <v>41.742504409171076</v>
      </c>
      <c r="AM154" s="5">
        <f t="shared" si="216"/>
        <v>4.4988460855671937</v>
      </c>
      <c r="AN154" s="5">
        <f t="shared" si="216"/>
        <v>0.77236480399945506</v>
      </c>
      <c r="AO154" s="5">
        <f t="shared" si="216"/>
        <v>0.58449507485235253</v>
      </c>
      <c r="AP154" s="5">
        <f t="shared" si="216"/>
        <v>0.44288681217741543</v>
      </c>
      <c r="AQ154" s="5">
        <f t="shared" si="216"/>
        <v>0.36195174207403125</v>
      </c>
      <c r="AR154" s="5">
        <f t="shared" si="216"/>
        <v>0.29254238284676104</v>
      </c>
      <c r="AS154" s="5">
        <f t="shared" si="216"/>
        <v>0.23449881748439005</v>
      </c>
      <c r="AT154" s="5">
        <f t="shared" si="216"/>
        <v>0.18670628462380723</v>
      </c>
      <c r="AU154" s="29">
        <f t="shared" si="216"/>
        <v>0.14499302126981273</v>
      </c>
    </row>
    <row r="155" spans="9:47" s="242" customFormat="1">
      <c r="I155" s="242" t="s">
        <v>23</v>
      </c>
      <c r="J155" s="243"/>
      <c r="K155" s="244"/>
      <c r="L155" s="244"/>
      <c r="M155" s="245"/>
      <c r="N155" s="243"/>
      <c r="O155" s="244"/>
      <c r="P155" s="244"/>
      <c r="Q155" s="245"/>
      <c r="R155" s="246"/>
      <c r="S155" s="247"/>
      <c r="T155" s="247"/>
      <c r="U155" s="248"/>
      <c r="V155" s="244">
        <f t="shared" ref="V155:AG155" si="217">+V153-R153</f>
        <v>6.827586206896552E-3</v>
      </c>
      <c r="W155" s="244">
        <f t="shared" si="217"/>
        <v>9.2500000000000013E-3</v>
      </c>
      <c r="X155" s="244">
        <f t="shared" si="217"/>
        <v>4.2215790809850211E-2</v>
      </c>
      <c r="Y155" s="244">
        <f t="shared" si="217"/>
        <v>0.14111217948717947</v>
      </c>
      <c r="Z155" s="243">
        <f t="shared" si="217"/>
        <v>0.19317241379310346</v>
      </c>
      <c r="AA155" s="244">
        <f t="shared" si="217"/>
        <v>0.2761865079365079</v>
      </c>
      <c r="AB155" s="244">
        <f t="shared" si="217"/>
        <v>0.25294172494172495</v>
      </c>
      <c r="AC155" s="245">
        <f t="shared" si="217"/>
        <v>0.40803764320785602</v>
      </c>
      <c r="AD155" s="243">
        <f t="shared" si="217"/>
        <v>0.27936640266777824</v>
      </c>
      <c r="AE155" s="244">
        <f t="shared" si="217"/>
        <v>0.25450180072028816</v>
      </c>
      <c r="AF155" s="244">
        <f t="shared" si="217"/>
        <v>0.30092867886249958</v>
      </c>
      <c r="AG155" s="245">
        <f t="shared" si="217"/>
        <v>0.22891109339566418</v>
      </c>
      <c r="AI155" s="243"/>
      <c r="AK155" s="242">
        <f t="shared" ref="AK155:AU155" si="218">+AK153-AJ153</f>
        <v>5.8378378378378375E-3</v>
      </c>
      <c r="AL155" s="242">
        <f t="shared" si="218"/>
        <v>0.24368597168597167</v>
      </c>
      <c r="AM155" s="242">
        <f t="shared" si="218"/>
        <v>1.1225692137320045</v>
      </c>
      <c r="AN155" s="242">
        <f t="shared" si="218"/>
        <v>1.0597563589759964</v>
      </c>
      <c r="AO155" s="242">
        <f t="shared" si="218"/>
        <v>1.421403986697229</v>
      </c>
      <c r="AP155" s="242">
        <f t="shared" si="218"/>
        <v>1.7065551010768689</v>
      </c>
      <c r="AQ155" s="242">
        <f t="shared" si="218"/>
        <v>2.0123823613165932</v>
      </c>
      <c r="AR155" s="242">
        <f t="shared" si="218"/>
        <v>2.2151867491654809</v>
      </c>
      <c r="AS155" s="242">
        <f t="shared" si="218"/>
        <v>2.2951284688976621</v>
      </c>
      <c r="AT155" s="242">
        <f t="shared" si="218"/>
        <v>2.2558798134254694</v>
      </c>
      <c r="AU155" s="245">
        <f t="shared" si="218"/>
        <v>2.0789658863813525</v>
      </c>
    </row>
    <row r="156" spans="9:47">
      <c r="I156" s="1" t="s">
        <v>3</v>
      </c>
      <c r="J156" s="22"/>
      <c r="K156" s="28"/>
      <c r="L156" s="28"/>
      <c r="M156" s="29"/>
      <c r="N156" s="42"/>
      <c r="O156" s="28"/>
      <c r="P156" s="28"/>
      <c r="Q156" s="29"/>
      <c r="R156" s="42"/>
      <c r="S156" s="28"/>
      <c r="T156" s="28"/>
      <c r="U156" s="29"/>
      <c r="V156" s="42"/>
      <c r="W156" s="28">
        <f t="shared" ref="W156:AG156" si="219">+W153/V153-1</f>
        <v>0.39548260381593736</v>
      </c>
      <c r="X156" s="28">
        <f t="shared" si="219"/>
        <v>3.4619869925992361</v>
      </c>
      <c r="Y156" s="28">
        <f t="shared" si="219"/>
        <v>2.4143546441495776</v>
      </c>
      <c r="Z156" s="42"/>
      <c r="AA156" s="28">
        <f t="shared" si="219"/>
        <v>0.42857142857142838</v>
      </c>
      <c r="AB156" s="28">
        <f t="shared" si="219"/>
        <v>3.4090909090909172E-2</v>
      </c>
      <c r="AC156" s="29">
        <f t="shared" si="219"/>
        <v>0.87234042553191493</v>
      </c>
      <c r="AD156" s="42">
        <f t="shared" si="219"/>
        <v>-0.13345304133132396</v>
      </c>
      <c r="AE156" s="28">
        <f t="shared" si="219"/>
        <v>0.12693773161438493</v>
      </c>
      <c r="AF156" s="28">
        <f t="shared" si="219"/>
        <v>0.10397161301355218</v>
      </c>
      <c r="AG156" s="29">
        <f t="shared" si="219"/>
        <v>0.31140942747509359</v>
      </c>
      <c r="AI156" s="22"/>
      <c r="AU156" s="24"/>
    </row>
    <row r="157" spans="9:47">
      <c r="I157" s="1" t="s">
        <v>4</v>
      </c>
      <c r="J157" s="22"/>
      <c r="K157" s="26"/>
      <c r="L157" s="26"/>
      <c r="M157" s="27"/>
      <c r="N157" s="25"/>
      <c r="O157" s="26"/>
      <c r="P157" s="26"/>
      <c r="Q157" s="27"/>
      <c r="R157" s="653"/>
      <c r="S157" s="654">
        <f>+S153-R153</f>
        <v>2.7777777777777778E-4</v>
      </c>
      <c r="T157" s="654">
        <f>+T153-S153</f>
        <v>1.9251925192519245E-5</v>
      </c>
      <c r="U157" s="655">
        <f>+U153-T153</f>
        <v>3.7446369636963696E-3</v>
      </c>
      <c r="V157" s="653">
        <f>+V153-U153</f>
        <v>2.7859195402298855E-3</v>
      </c>
      <c r="W157" s="654">
        <f t="shared" ref="W157:AG157" si="220">+W153-V153</f>
        <v>2.7001915708812271E-3</v>
      </c>
      <c r="X157" s="654">
        <f t="shared" si="220"/>
        <v>3.2985042735042727E-2</v>
      </c>
      <c r="Y157" s="654">
        <f t="shared" si="220"/>
        <v>0.10264102564102562</v>
      </c>
      <c r="Z157" s="653">
        <f>+Z153-Y153</f>
        <v>5.4846153846153878E-2</v>
      </c>
      <c r="AA157" s="654">
        <f t="shared" si="220"/>
        <v>8.5714285714285687E-2</v>
      </c>
      <c r="AB157" s="654">
        <f t="shared" si="220"/>
        <v>9.7402597402597713E-3</v>
      </c>
      <c r="AC157" s="655">
        <f t="shared" si="220"/>
        <v>0.25773694390715668</v>
      </c>
      <c r="AD157" s="653">
        <f t="shared" si="220"/>
        <v>-7.3825086693923903E-2</v>
      </c>
      <c r="AE157" s="654">
        <f t="shared" si="220"/>
        <v>6.0849683766795615E-2</v>
      </c>
      <c r="AF157" s="654">
        <f t="shared" si="220"/>
        <v>5.6167137882471185E-2</v>
      </c>
      <c r="AG157" s="655">
        <f t="shared" si="220"/>
        <v>0.18571935844032128</v>
      </c>
      <c r="AI157" s="639"/>
      <c r="AJ157" s="643"/>
      <c r="AK157" s="643"/>
      <c r="AL157" s="643"/>
      <c r="AM157" s="643"/>
      <c r="AN157" s="643"/>
      <c r="AO157" s="643"/>
      <c r="AP157" s="643"/>
      <c r="AQ157" s="643"/>
      <c r="AR157" s="643"/>
      <c r="AS157" s="643"/>
      <c r="AT157" s="643"/>
      <c r="AU157" s="656"/>
    </row>
    <row r="161" spans="25:33">
      <c r="AA161" s="257"/>
    </row>
    <row r="163" spans="25:33" s="7" customFormat="1">
      <c r="AB163" s="257"/>
    </row>
    <row r="167" spans="25:33">
      <c r="Z167" s="693" t="s">
        <v>453</v>
      </c>
      <c r="AA167" s="693" t="s">
        <v>454</v>
      </c>
      <c r="AB167" s="693" t="s">
        <v>455</v>
      </c>
      <c r="AC167" s="693" t="s">
        <v>456</v>
      </c>
    </row>
    <row r="168" spans="25:33">
      <c r="Y168" s="16" t="s">
        <v>220</v>
      </c>
      <c r="Z168" s="694">
        <f t="shared" ref="Z168:AC168" si="221">Z4</f>
        <v>149.648</v>
      </c>
      <c r="AA168" s="694">
        <f t="shared" si="221"/>
        <v>181.67099999999999</v>
      </c>
      <c r="AB168" s="694">
        <f t="shared" si="221"/>
        <v>207.93700000000001</v>
      </c>
      <c r="AC168" s="694">
        <f t="shared" si="221"/>
        <v>285.69299999999998</v>
      </c>
      <c r="AD168" s="694"/>
      <c r="AE168" s="694"/>
      <c r="AF168" s="694"/>
      <c r="AG168" s="694"/>
    </row>
    <row r="169" spans="25:33">
      <c r="Y169" s="1" t="s">
        <v>452</v>
      </c>
      <c r="Z169" s="1">
        <v>12</v>
      </c>
      <c r="AA169" s="1">
        <v>12</v>
      </c>
      <c r="AB169" s="258">
        <f>+AC169/2.1</f>
        <v>81.626571428571424</v>
      </c>
      <c r="AC169" s="258">
        <f>+AC168*0.6</f>
        <v>171.41579999999999</v>
      </c>
      <c r="AD169" s="258"/>
      <c r="AE169" s="258"/>
      <c r="AF169" s="258"/>
      <c r="AG169" s="258"/>
    </row>
    <row r="170" spans="25:33">
      <c r="Y170" s="1" t="s">
        <v>457</v>
      </c>
      <c r="Z170" s="3">
        <f>+Z168-Z169</f>
        <v>137.648</v>
      </c>
      <c r="AA170" s="3">
        <f>+AA168-AA169</f>
        <v>169.67099999999999</v>
      </c>
      <c r="AB170" s="258">
        <f>+AB168-AB169</f>
        <v>126.31042857142859</v>
      </c>
      <c r="AC170" s="258">
        <f>+AC168-AC169</f>
        <v>114.27719999999999</v>
      </c>
      <c r="AD170" s="692"/>
      <c r="AE170" s="692"/>
      <c r="AF170" s="692"/>
      <c r="AG170" s="692"/>
    </row>
    <row r="171" spans="25:33">
      <c r="AD171" s="188"/>
      <c r="AE171" s="188"/>
      <c r="AF171" s="188"/>
    </row>
    <row r="172" spans="25:33">
      <c r="AG172" s="188"/>
    </row>
    <row r="176" spans="25:33" ht="15">
      <c r="Z176" s="691"/>
    </row>
    <row r="177" spans="26:26" ht="15">
      <c r="Z177" s="691"/>
    </row>
    <row r="178" spans="26:26" ht="15">
      <c r="Z178" s="691"/>
    </row>
    <row r="179" spans="26:26" ht="15">
      <c r="Z179" s="691"/>
    </row>
    <row r="180" spans="26:26" ht="15">
      <c r="Z180" s="691"/>
    </row>
    <row r="181" spans="26:26" ht="15">
      <c r="Z181" s="691"/>
    </row>
    <row r="182" spans="26:26" ht="15">
      <c r="Z182" s="691"/>
    </row>
    <row r="183" spans="26:26" ht="15">
      <c r="Z183" s="691"/>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Y257"/>
  <sheetViews>
    <sheetView showGridLines="0" zoomScale="130" zoomScaleNormal="130" workbookViewId="0">
      <pane xSplit="9" ySplit="3" topLeftCell="AC4" activePane="bottomRight" state="frozen"/>
      <selection pane="topRight" activeCell="B1" sqref="B1"/>
      <selection pane="bottomLeft" activeCell="A4" sqref="A4"/>
      <selection pane="bottomRight" activeCell="AN26" sqref="AN26"/>
    </sheetView>
  </sheetViews>
  <sheetFormatPr defaultRowHeight="11.25" outlineLevelCol="1"/>
  <cols>
    <col min="1" max="7" width="0" style="1" hidden="1" customWidth="1" outlineLevel="1"/>
    <col min="8" max="8" width="1.7109375" style="1" customWidth="1" collapsed="1"/>
    <col min="9" max="9" width="22.85546875" style="1" bestFit="1" customWidth="1"/>
    <col min="10" max="17" width="9.140625" style="1" hidden="1" customWidth="1" outlineLevel="1"/>
    <col min="18" max="18" width="9.140625" style="1" customWidth="1" collapsed="1"/>
    <col min="19" max="36" width="9.140625" style="1" customWidth="1"/>
    <col min="37" max="38" width="9.140625" style="1"/>
    <col min="39" max="39" width="9.28515625" style="1" bestFit="1" customWidth="1"/>
    <col min="40" max="42" width="8.140625" style="1" bestFit="1" customWidth="1"/>
    <col min="43" max="44" width="8.140625" style="1" customWidth="1" outlineLevel="1"/>
    <col min="45" max="45" width="8.5703125" style="1" customWidth="1" outlineLevel="1"/>
    <col min="46" max="47" width="8.85546875" style="1" customWidth="1" outlineLevel="1"/>
    <col min="48" max="16384" width="9.140625" style="1"/>
  </cols>
  <sheetData>
    <row r="1" spans="9:51">
      <c r="I1" s="308">
        <f>'Base DCF'!$E$47</f>
        <v>12</v>
      </c>
      <c r="T1" s="232"/>
      <c r="V1" s="678"/>
      <c r="W1" s="678"/>
      <c r="X1" s="678"/>
      <c r="Y1" s="678"/>
      <c r="Z1" s="679"/>
      <c r="AA1" s="679"/>
      <c r="AB1" s="679"/>
      <c r="AC1" s="679"/>
      <c r="AD1" s="356"/>
      <c r="AE1" s="572"/>
      <c r="AF1" s="572"/>
      <c r="AG1" s="572"/>
      <c r="AH1" s="669"/>
      <c r="AI1" s="669"/>
      <c r="AJ1" s="669"/>
      <c r="AK1" s="669"/>
      <c r="AL1" s="680"/>
      <c r="AM1" s="681"/>
      <c r="AN1" s="572">
        <f>AN207</f>
        <v>8.8336503407773881E-2</v>
      </c>
      <c r="AO1" s="572">
        <f t="shared" ref="AO1:AS1" si="0">AO207</f>
        <v>9.6871492871470233E-2</v>
      </c>
      <c r="AP1" s="572">
        <f t="shared" si="0"/>
        <v>0.11289347646616998</v>
      </c>
      <c r="AQ1" s="572">
        <f t="shared" si="0"/>
        <v>9.3243734097594677E-2</v>
      </c>
      <c r="AR1" s="572">
        <f t="shared" si="0"/>
        <v>7.5677994579280705E-2</v>
      </c>
      <c r="AS1" s="572">
        <f t="shared" si="0"/>
        <v>5.8801811028564854E-2</v>
      </c>
      <c r="AT1" s="681"/>
      <c r="AU1" s="681"/>
    </row>
    <row r="2" spans="9:51">
      <c r="I2" s="97"/>
      <c r="J2" s="70">
        <v>2013</v>
      </c>
      <c r="K2" s="70"/>
      <c r="L2" s="70"/>
      <c r="M2" s="72"/>
      <c r="N2" s="70">
        <v>2014</v>
      </c>
      <c r="O2" s="70"/>
      <c r="P2" s="70"/>
      <c r="Q2" s="72"/>
      <c r="R2" s="70">
        <v>2015</v>
      </c>
      <c r="S2" s="70"/>
      <c r="T2" s="70"/>
      <c r="U2" s="72"/>
      <c r="V2" s="231">
        <f>+R2+1</f>
        <v>2016</v>
      </c>
      <c r="W2" s="70"/>
      <c r="X2" s="70"/>
      <c r="Y2" s="72"/>
      <c r="Z2" s="231">
        <f>+V2+1</f>
        <v>2017</v>
      </c>
      <c r="AA2" s="70"/>
      <c r="AB2" s="70"/>
      <c r="AC2" s="72"/>
      <c r="AD2" s="71">
        <f>+Z2+1</f>
        <v>2018</v>
      </c>
      <c r="AE2" s="70"/>
      <c r="AF2" s="70"/>
      <c r="AG2" s="72"/>
      <c r="AH2" s="160"/>
      <c r="AI2" s="75"/>
      <c r="AJ2" s="75"/>
      <c r="AK2" s="75"/>
      <c r="AL2" s="76"/>
      <c r="AM2" s="76"/>
      <c r="AN2" s="76"/>
      <c r="AO2" s="76"/>
      <c r="AP2" s="76"/>
      <c r="AQ2" s="76"/>
      <c r="AR2" s="76"/>
      <c r="AS2" s="76"/>
      <c r="AT2" s="76"/>
      <c r="AU2" s="76"/>
    </row>
    <row r="3" spans="9:51">
      <c r="I3" s="96" t="s">
        <v>142</v>
      </c>
      <c r="J3" s="73" t="s">
        <v>88</v>
      </c>
      <c r="K3" s="73" t="s">
        <v>89</v>
      </c>
      <c r="L3" s="73" t="s">
        <v>90</v>
      </c>
      <c r="M3" s="74" t="s">
        <v>91</v>
      </c>
      <c r="N3" s="73" t="s">
        <v>92</v>
      </c>
      <c r="O3" s="73" t="s">
        <v>93</v>
      </c>
      <c r="P3" s="73" t="s">
        <v>94</v>
      </c>
      <c r="Q3" s="74" t="s">
        <v>95</v>
      </c>
      <c r="R3" s="73" t="s">
        <v>96</v>
      </c>
      <c r="S3" s="73" t="s">
        <v>97</v>
      </c>
      <c r="T3" s="73" t="s">
        <v>98</v>
      </c>
      <c r="U3" s="74" t="s">
        <v>99</v>
      </c>
      <c r="V3" s="73" t="s">
        <v>100</v>
      </c>
      <c r="W3" s="73" t="s">
        <v>101</v>
      </c>
      <c r="X3" s="73" t="s">
        <v>185</v>
      </c>
      <c r="Y3" s="74" t="s">
        <v>184</v>
      </c>
      <c r="Z3" s="73" t="s">
        <v>443</v>
      </c>
      <c r="AA3" s="73" t="s">
        <v>446</v>
      </c>
      <c r="AB3" s="73" t="s">
        <v>447</v>
      </c>
      <c r="AC3" s="74" t="s">
        <v>450</v>
      </c>
      <c r="AD3" s="73" t="s">
        <v>102</v>
      </c>
      <c r="AE3" s="73" t="s">
        <v>103</v>
      </c>
      <c r="AF3" s="73" t="s">
        <v>104</v>
      </c>
      <c r="AG3" s="74" t="s">
        <v>105</v>
      </c>
      <c r="AI3" s="75">
        <v>2013</v>
      </c>
      <c r="AJ3" s="75">
        <v>2014</v>
      </c>
      <c r="AK3" s="75">
        <v>2015</v>
      </c>
      <c r="AL3" s="75">
        <f t="shared" ref="AL3:AU3" si="1">+AK3+1</f>
        <v>2016</v>
      </c>
      <c r="AM3" s="75">
        <f t="shared" si="1"/>
        <v>2017</v>
      </c>
      <c r="AN3" s="76">
        <f t="shared" si="1"/>
        <v>2018</v>
      </c>
      <c r="AO3" s="76">
        <f t="shared" si="1"/>
        <v>2019</v>
      </c>
      <c r="AP3" s="76">
        <f t="shared" si="1"/>
        <v>2020</v>
      </c>
      <c r="AQ3" s="76">
        <f t="shared" si="1"/>
        <v>2021</v>
      </c>
      <c r="AR3" s="76">
        <f t="shared" si="1"/>
        <v>2022</v>
      </c>
      <c r="AS3" s="76">
        <f t="shared" si="1"/>
        <v>2023</v>
      </c>
      <c r="AT3" s="76">
        <f t="shared" si="1"/>
        <v>2024</v>
      </c>
      <c r="AU3" s="76">
        <f t="shared" si="1"/>
        <v>2025</v>
      </c>
    </row>
    <row r="4" spans="9:51">
      <c r="J4" s="2"/>
      <c r="K4" s="2"/>
      <c r="L4" s="2"/>
      <c r="M4" s="2"/>
      <c r="N4" s="2"/>
      <c r="O4" s="2"/>
      <c r="P4" s="2"/>
      <c r="Q4" s="2"/>
      <c r="R4" s="98"/>
      <c r="S4" s="99"/>
      <c r="T4" s="99"/>
      <c r="U4" s="100"/>
      <c r="V4" s="98"/>
      <c r="W4" s="99"/>
      <c r="X4" s="99"/>
      <c r="Y4" s="100"/>
      <c r="Z4" s="98"/>
      <c r="AA4" s="99"/>
      <c r="AB4" s="99"/>
      <c r="AC4" s="100"/>
      <c r="AD4" s="98"/>
      <c r="AE4" s="99"/>
      <c r="AF4" s="99"/>
      <c r="AG4" s="100"/>
      <c r="AI4" s="22"/>
      <c r="AJ4" s="23"/>
      <c r="AK4" s="23"/>
      <c r="AL4" s="23"/>
      <c r="AM4" s="23"/>
      <c r="AN4" s="23"/>
      <c r="AO4" s="23"/>
      <c r="AP4" s="23"/>
      <c r="AQ4" s="23"/>
      <c r="AR4" s="23"/>
      <c r="AS4" s="23"/>
      <c r="AT4" s="23"/>
      <c r="AU4" s="24"/>
    </row>
    <row r="5" spans="9:51">
      <c r="I5" s="7" t="s">
        <v>0</v>
      </c>
      <c r="J5" s="8"/>
      <c r="K5" s="8"/>
      <c r="L5" s="8"/>
      <c r="M5" s="8"/>
      <c r="N5" s="8"/>
      <c r="O5" s="8"/>
      <c r="P5" s="8"/>
      <c r="Q5" s="8"/>
      <c r="R5" s="53">
        <f>'Revenue Model'!R4</f>
        <v>3.92</v>
      </c>
      <c r="S5" s="54">
        <f>'Revenue Model'!S4</f>
        <v>5.3</v>
      </c>
      <c r="T5" s="54">
        <f>'Revenue Model'!T4</f>
        <v>16.725000000000001</v>
      </c>
      <c r="U5" s="55">
        <f>'Revenue Model'!U4</f>
        <v>32.718000000000004</v>
      </c>
      <c r="V5" s="53">
        <f>'Revenue Model'!V4</f>
        <v>38.798000000000002</v>
      </c>
      <c r="W5" s="54">
        <f>'Revenue Model'!W4</f>
        <v>71.798000000000002</v>
      </c>
      <c r="X5" s="54">
        <f>'Revenue Model'!X4</f>
        <v>128.20400000000001</v>
      </c>
      <c r="Y5" s="55">
        <f>'Revenue Model'!Y4</f>
        <v>165.68199999999999</v>
      </c>
      <c r="Z5" s="53">
        <f>'Revenue Model'!Z4</f>
        <v>149.648</v>
      </c>
      <c r="AA5" s="54">
        <f>'Revenue Model'!AA4</f>
        <v>181.67099999999999</v>
      </c>
      <c r="AB5" s="54">
        <f>'Revenue Model'!AB4</f>
        <v>207.93700000000001</v>
      </c>
      <c r="AC5" s="55">
        <f>'Revenue Model'!AC4</f>
        <v>285.69299999999998</v>
      </c>
      <c r="AD5" s="53">
        <f>'Revenue Model'!AD4</f>
        <v>249</v>
      </c>
      <c r="AE5" s="54">
        <f>'Revenue Model'!AE4</f>
        <v>295</v>
      </c>
      <c r="AF5" s="54">
        <f>'Revenue Model'!AF4</f>
        <v>341</v>
      </c>
      <c r="AG5" s="55">
        <f>'Revenue Model'!AG4</f>
        <v>428</v>
      </c>
      <c r="AH5" s="9"/>
      <c r="AI5" s="53"/>
      <c r="AJ5" s="54"/>
      <c r="AK5" s="54">
        <f>'Revenue Model'!AK4</f>
        <v>58.663000000000004</v>
      </c>
      <c r="AL5" s="54">
        <f>'Revenue Model'!AL4</f>
        <v>404.48199999999997</v>
      </c>
      <c r="AM5" s="54">
        <f>'Revenue Model'!AM4</f>
        <v>824.94899999999996</v>
      </c>
      <c r="AN5" s="54">
        <f>'Revenue Model'!AN4</f>
        <v>1313</v>
      </c>
      <c r="AO5" s="54">
        <f>'Revenue Model'!AO4</f>
        <v>1969.3647915228673</v>
      </c>
      <c r="AP5" s="54">
        <f>'Revenue Model'!AP4</f>
        <v>2804.8785252972893</v>
      </c>
      <c r="AQ5" s="54">
        <f>'Revenue Model'!AQ4</f>
        <v>3812.9268110991698</v>
      </c>
      <c r="AR5" s="54">
        <f>'Revenue Model'!AR4</f>
        <v>4963.9597425469474</v>
      </c>
      <c r="AS5" s="54">
        <f>'Revenue Model'!AS4</f>
        <v>6163.5677779709767</v>
      </c>
      <c r="AT5" s="54">
        <f>'Revenue Model'!AT4</f>
        <v>7355.8769720994733</v>
      </c>
      <c r="AU5" s="55">
        <f>'Revenue Model'!AU4</f>
        <v>8545.6284788867233</v>
      </c>
      <c r="AV5" s="8"/>
      <c r="AW5" s="8"/>
      <c r="AX5" s="8"/>
      <c r="AY5" s="8"/>
    </row>
    <row r="6" spans="9:51">
      <c r="I6" s="7" t="s">
        <v>345</v>
      </c>
      <c r="J6" s="8"/>
      <c r="K6" s="8"/>
      <c r="L6" s="8"/>
      <c r="M6" s="8"/>
      <c r="N6" s="8"/>
      <c r="O6" s="8"/>
      <c r="P6" s="8"/>
      <c r="Q6" s="8"/>
      <c r="R6" s="53">
        <f>+'Revenue Model'!R34</f>
        <v>3.92</v>
      </c>
      <c r="S6" s="54">
        <f>+'Revenue Model'!S34</f>
        <v>5.3</v>
      </c>
      <c r="T6" s="54">
        <f>+'Revenue Model'!T34</f>
        <v>16.725000000000001</v>
      </c>
      <c r="U6" s="55">
        <f>+'Revenue Model'!U34</f>
        <v>32.718000000000004</v>
      </c>
      <c r="V6" s="53">
        <f>+'Revenue Model'!V34</f>
        <v>38.798000000000002</v>
      </c>
      <c r="W6" s="54">
        <f>+'Revenue Model'!W34</f>
        <v>71.798000000000002</v>
      </c>
      <c r="X6" s="54">
        <f>+'Revenue Model'!X34</f>
        <v>128.20400000000001</v>
      </c>
      <c r="Y6" s="55">
        <f>+'Revenue Model'!Y34</f>
        <v>161.09999999999997</v>
      </c>
      <c r="Z6" s="53">
        <f>+'Revenue Model'!Z34</f>
        <v>141.34799999999998</v>
      </c>
      <c r="AA6" s="54">
        <f>+'Revenue Model'!AA34</f>
        <v>176.27099999999999</v>
      </c>
      <c r="AB6" s="54">
        <f>+'Revenue Model'!AB34</f>
        <v>204.33700000000002</v>
      </c>
      <c r="AC6" s="55">
        <f>+'Revenue Model'!AC34</f>
        <v>280.69299999999998</v>
      </c>
      <c r="AD6" s="53">
        <f>+'Revenue Model'!AD34</f>
        <v>246.47709518539125</v>
      </c>
      <c r="AE6" s="54">
        <f>+'Revenue Model'!AE34</f>
        <v>290.23659371500003</v>
      </c>
      <c r="AF6" s="54">
        <f>+'Revenue Model'!AF34</f>
        <v>337.84035361999997</v>
      </c>
      <c r="AG6" s="55">
        <f>+'Revenue Model'!AG34</f>
        <v>423.88295615035128</v>
      </c>
      <c r="AH6" s="9"/>
      <c r="AI6" s="53"/>
      <c r="AJ6" s="54"/>
      <c r="AK6" s="54">
        <f>+'Revenue Model'!AK34</f>
        <v>58.663000000000004</v>
      </c>
      <c r="AL6" s="54">
        <f>+'Revenue Model'!AL34</f>
        <v>399.89999999999992</v>
      </c>
      <c r="AM6" s="54">
        <f>+'Revenue Model'!AM34</f>
        <v>802.649</v>
      </c>
      <c r="AN6" s="54">
        <f>+'Revenue Model'!AN34</f>
        <v>1298.4369986707425</v>
      </c>
      <c r="AO6" s="54">
        <f>+'Revenue Model'!AO34</f>
        <v>1962.1606027956655</v>
      </c>
      <c r="AP6" s="54">
        <f>+'Revenue Model'!AP34</f>
        <v>2797.6743365700872</v>
      </c>
      <c r="AQ6" s="54">
        <f>+'Revenue Model'!AQ34</f>
        <v>3805.7226223719676</v>
      </c>
      <c r="AR6" s="54">
        <f>+'Revenue Model'!AR34</f>
        <v>4956.7555538197457</v>
      </c>
      <c r="AS6" s="54">
        <f>+'Revenue Model'!AS34</f>
        <v>6156.3635892437751</v>
      </c>
      <c r="AT6" s="54">
        <f>+'Revenue Model'!AT34</f>
        <v>7348.6727833722716</v>
      </c>
      <c r="AU6" s="55">
        <f>+'Revenue Model'!AU34</f>
        <v>8538.4242901595208</v>
      </c>
      <c r="AV6" s="8"/>
      <c r="AW6" s="8"/>
      <c r="AX6" s="8"/>
      <c r="AY6" s="8"/>
    </row>
    <row r="7" spans="9:51">
      <c r="J7" s="2"/>
      <c r="K7" s="2"/>
      <c r="L7" s="2"/>
      <c r="M7" s="2"/>
      <c r="N7" s="2"/>
      <c r="O7" s="2"/>
      <c r="P7" s="2"/>
      <c r="Q7" s="2"/>
      <c r="R7" s="98"/>
      <c r="S7" s="99"/>
      <c r="T7" s="99"/>
      <c r="U7" s="100"/>
      <c r="V7" s="98"/>
      <c r="W7" s="99"/>
      <c r="X7" s="99"/>
      <c r="Y7" s="100"/>
      <c r="Z7" s="533"/>
      <c r="AA7" s="99"/>
      <c r="AB7" s="99"/>
      <c r="AC7" s="100"/>
      <c r="AD7" s="98"/>
      <c r="AE7" s="99"/>
      <c r="AF7" s="99"/>
      <c r="AG7" s="100"/>
      <c r="AI7" s="22"/>
      <c r="AJ7" s="23"/>
      <c r="AK7" s="23"/>
      <c r="AL7" s="23"/>
      <c r="AM7" s="23"/>
      <c r="AN7" s="23"/>
      <c r="AO7" s="23"/>
      <c r="AP7" s="23"/>
      <c r="AQ7" s="23"/>
      <c r="AR7" s="23"/>
      <c r="AS7" s="23"/>
      <c r="AT7" s="23"/>
      <c r="AU7" s="24"/>
    </row>
    <row r="8" spans="9:51">
      <c r="I8" s="11" t="s">
        <v>107</v>
      </c>
      <c r="J8" s="30"/>
      <c r="K8" s="31"/>
      <c r="L8" s="31"/>
      <c r="M8" s="32"/>
      <c r="N8" s="43"/>
      <c r="O8" s="31"/>
      <c r="P8" s="31"/>
      <c r="Q8" s="31"/>
      <c r="R8" s="43"/>
      <c r="S8" s="31"/>
      <c r="T8" s="31"/>
      <c r="U8" s="32"/>
      <c r="V8" s="43"/>
      <c r="W8" s="31"/>
      <c r="X8" s="59"/>
      <c r="Y8" s="60"/>
      <c r="Z8" s="30"/>
      <c r="AA8" s="59"/>
      <c r="AB8" s="59"/>
      <c r="AC8" s="60"/>
      <c r="AD8" s="30"/>
      <c r="AE8" s="59"/>
      <c r="AF8" s="59"/>
      <c r="AG8" s="60"/>
      <c r="AH8" s="10"/>
      <c r="AI8" s="30"/>
      <c r="AJ8" s="59"/>
      <c r="AK8" s="59"/>
      <c r="AL8" s="59"/>
      <c r="AM8" s="59"/>
      <c r="AN8" s="59"/>
      <c r="AO8" s="59"/>
      <c r="AP8" s="59"/>
      <c r="AQ8" s="59"/>
      <c r="AR8" s="59"/>
      <c r="AS8" s="59"/>
      <c r="AT8" s="59"/>
      <c r="AU8" s="60"/>
    </row>
    <row r="9" spans="9:51" s="7" customFormat="1">
      <c r="I9" s="7" t="s">
        <v>108</v>
      </c>
      <c r="R9" s="389">
        <v>20.748999999999999</v>
      </c>
      <c r="S9" s="390">
        <v>40.597999999999999</v>
      </c>
      <c r="T9" s="390">
        <v>56.226999999999997</v>
      </c>
      <c r="U9" s="391">
        <v>64.766999999999996</v>
      </c>
      <c r="V9" s="389">
        <v>75.772999999999996</v>
      </c>
      <c r="W9" s="390">
        <v>94.757000000000005</v>
      </c>
      <c r="X9" s="390">
        <v>127.78</v>
      </c>
      <c r="Y9" s="391">
        <v>153.35</v>
      </c>
      <c r="Z9" s="389">
        <v>163.358</v>
      </c>
      <c r="AA9" s="390">
        <v>152.148</v>
      </c>
      <c r="AB9" s="190">
        <f>210.71</f>
        <v>210.71</v>
      </c>
      <c r="AC9" s="391">
        <v>191.24600000000001</v>
      </c>
      <c r="AD9" s="36">
        <f t="shared" ref="AD9:AG9" si="2">+AD32+AD58</f>
        <v>171.23363855421687</v>
      </c>
      <c r="AE9" s="37">
        <f>+AE32+AE58</f>
        <v>199.06585873563222</v>
      </c>
      <c r="AF9" s="37">
        <f>+AF32+AF58</f>
        <v>236.4220450702247</v>
      </c>
      <c r="AG9" s="38">
        <f t="shared" si="2"/>
        <v>255.31748732018715</v>
      </c>
      <c r="AI9" s="33"/>
      <c r="AJ9" s="34"/>
      <c r="AK9" s="54">
        <f>+SUM(R9:U9)</f>
        <v>182.34099999999998</v>
      </c>
      <c r="AL9" s="54">
        <f>+SUM(V9:Y9)</f>
        <v>451.65999999999997</v>
      </c>
      <c r="AM9" s="54">
        <f>+SUM(Z9:AC9)</f>
        <v>717.46199999999999</v>
      </c>
      <c r="AN9" s="54">
        <f>+SUM(AD9:AG9)</f>
        <v>862.03902968026102</v>
      </c>
      <c r="AO9" s="54">
        <f>+AO32+AO58</f>
        <v>1056.6681210011945</v>
      </c>
      <c r="AP9" s="54">
        <f t="shared" ref="AP9:AU9" si="3">+AP32+AP58</f>
        <v>1295.1800872735107</v>
      </c>
      <c r="AQ9" s="54">
        <f t="shared" si="3"/>
        <v>1549.3423649311983</v>
      </c>
      <c r="AR9" s="54">
        <f t="shared" si="3"/>
        <v>1829.7041433236695</v>
      </c>
      <c r="AS9" s="54">
        <f t="shared" si="3"/>
        <v>2125.3641545429882</v>
      </c>
      <c r="AT9" s="54">
        <f t="shared" si="3"/>
        <v>2429.5571747210047</v>
      </c>
      <c r="AU9" s="55">
        <f t="shared" si="3"/>
        <v>2746.2757781366154</v>
      </c>
    </row>
    <row r="10" spans="9:51">
      <c r="I10" s="1" t="s">
        <v>86</v>
      </c>
      <c r="R10" s="101"/>
      <c r="S10" s="102"/>
      <c r="T10" s="102"/>
      <c r="U10" s="103"/>
      <c r="V10" s="25">
        <f t="shared" ref="V10:AG10" si="4">+V9-R9</f>
        <v>55.024000000000001</v>
      </c>
      <c r="W10" s="26">
        <f t="shared" si="4"/>
        <v>54.159000000000006</v>
      </c>
      <c r="X10" s="26">
        <f t="shared" si="4"/>
        <v>71.552999999999997</v>
      </c>
      <c r="Y10" s="26">
        <f t="shared" si="4"/>
        <v>88.582999999999998</v>
      </c>
      <c r="Z10" s="25">
        <f t="shared" si="4"/>
        <v>87.585000000000008</v>
      </c>
      <c r="AA10" s="26">
        <f t="shared" si="4"/>
        <v>57.390999999999991</v>
      </c>
      <c r="AB10" s="26">
        <f t="shared" si="4"/>
        <v>82.93</v>
      </c>
      <c r="AC10" s="27">
        <f t="shared" si="4"/>
        <v>37.896000000000015</v>
      </c>
      <c r="AD10" s="25">
        <f t="shared" si="4"/>
        <v>7.875638554216863</v>
      </c>
      <c r="AE10" s="26">
        <f t="shared" si="4"/>
        <v>46.917858735632223</v>
      </c>
      <c r="AF10" s="26">
        <f t="shared" si="4"/>
        <v>25.71204507022469</v>
      </c>
      <c r="AG10" s="27">
        <f t="shared" si="4"/>
        <v>64.071487320187146</v>
      </c>
      <c r="AI10" s="22"/>
      <c r="AJ10" s="23"/>
      <c r="AK10" s="225"/>
      <c r="AL10" s="48">
        <f t="shared" ref="AL10:AU10" si="5">+AL9-AK9</f>
        <v>269.31899999999996</v>
      </c>
      <c r="AM10" s="48">
        <f t="shared" si="5"/>
        <v>265.80200000000002</v>
      </c>
      <c r="AN10" s="48">
        <f t="shared" si="5"/>
        <v>144.57702968026103</v>
      </c>
      <c r="AO10" s="48">
        <f t="shared" si="5"/>
        <v>194.62909132093353</v>
      </c>
      <c r="AP10" s="48">
        <f t="shared" si="5"/>
        <v>238.51196627231616</v>
      </c>
      <c r="AQ10" s="48">
        <f t="shared" si="5"/>
        <v>254.16227765768758</v>
      </c>
      <c r="AR10" s="48">
        <f t="shared" si="5"/>
        <v>280.36177839247125</v>
      </c>
      <c r="AS10" s="48">
        <f t="shared" si="5"/>
        <v>295.66001121931868</v>
      </c>
      <c r="AT10" s="48">
        <f t="shared" si="5"/>
        <v>304.19302017801647</v>
      </c>
      <c r="AU10" s="49">
        <f t="shared" si="5"/>
        <v>316.71860341561069</v>
      </c>
    </row>
    <row r="11" spans="9:51">
      <c r="I11" s="1" t="s">
        <v>87</v>
      </c>
      <c r="R11" s="101"/>
      <c r="S11" s="26">
        <f>+S9-R9</f>
        <v>19.849</v>
      </c>
      <c r="T11" s="26">
        <f t="shared" ref="T11:AG11" si="6">+T9-S9</f>
        <v>15.628999999999998</v>
      </c>
      <c r="U11" s="27">
        <f t="shared" si="6"/>
        <v>8.5399999999999991</v>
      </c>
      <c r="V11" s="25">
        <f t="shared" si="6"/>
        <v>11.006</v>
      </c>
      <c r="W11" s="26">
        <f t="shared" si="6"/>
        <v>18.984000000000009</v>
      </c>
      <c r="X11" s="26">
        <f t="shared" si="6"/>
        <v>33.022999999999996</v>
      </c>
      <c r="Y11" s="27">
        <f t="shared" si="6"/>
        <v>25.569999999999993</v>
      </c>
      <c r="Z11" s="25">
        <f t="shared" si="6"/>
        <v>10.00800000000001</v>
      </c>
      <c r="AA11" s="26">
        <f t="shared" si="6"/>
        <v>-11.210000000000008</v>
      </c>
      <c r="AB11" s="26">
        <f t="shared" si="6"/>
        <v>58.562000000000012</v>
      </c>
      <c r="AC11" s="27">
        <f t="shared" si="6"/>
        <v>-19.463999999999999</v>
      </c>
      <c r="AD11" s="25">
        <f t="shared" si="6"/>
        <v>-20.012361445783142</v>
      </c>
      <c r="AE11" s="26">
        <f t="shared" si="6"/>
        <v>27.832220181415352</v>
      </c>
      <c r="AF11" s="26">
        <f t="shared" si="6"/>
        <v>37.356186334592479</v>
      </c>
      <c r="AG11" s="27">
        <f t="shared" si="6"/>
        <v>18.895442249962457</v>
      </c>
      <c r="AI11" s="22"/>
      <c r="AJ11" s="23"/>
      <c r="AK11" s="37"/>
      <c r="AL11" s="37"/>
      <c r="AQ11" s="23"/>
      <c r="AR11" s="23"/>
      <c r="AS11" s="23"/>
      <c r="AT11" s="23"/>
      <c r="AU11" s="24"/>
    </row>
    <row r="12" spans="9:51" s="105" customFormat="1">
      <c r="I12" s="105" t="s">
        <v>227</v>
      </c>
      <c r="R12" s="110"/>
      <c r="S12" s="111"/>
      <c r="T12" s="111"/>
      <c r="U12" s="112"/>
      <c r="V12" s="110">
        <f>+V9/R9-1</f>
        <v>2.6518868379198999</v>
      </c>
      <c r="W12" s="111">
        <f t="shared" ref="W12:AG12" si="7">+W9/S9-1</f>
        <v>1.3340312330656685</v>
      </c>
      <c r="X12" s="111">
        <f t="shared" si="7"/>
        <v>1.2725736745691574</v>
      </c>
      <c r="Y12" s="111">
        <f t="shared" si="7"/>
        <v>1.3677181280590425</v>
      </c>
      <c r="Z12" s="110">
        <f>+Z9/V9-1</f>
        <v>1.1558866614757237</v>
      </c>
      <c r="AA12" s="111">
        <f t="shared" si="7"/>
        <v>0.60566501683252949</v>
      </c>
      <c r="AB12" s="111">
        <f t="shared" si="7"/>
        <v>0.64900610424166549</v>
      </c>
      <c r="AC12" s="112">
        <f t="shared" si="7"/>
        <v>0.24712096511248793</v>
      </c>
      <c r="AD12" s="110">
        <f t="shared" si="7"/>
        <v>4.8210914397928795E-2</v>
      </c>
      <c r="AE12" s="111">
        <f t="shared" si="7"/>
        <v>0.30836986838888603</v>
      </c>
      <c r="AF12" s="111">
        <f t="shared" si="7"/>
        <v>0.12202574661964172</v>
      </c>
      <c r="AG12" s="112">
        <f t="shared" si="7"/>
        <v>0.33502131976714367</v>
      </c>
      <c r="AI12" s="106"/>
      <c r="AJ12" s="192"/>
      <c r="AK12" s="111"/>
      <c r="AL12" s="111">
        <f>+AL9/AK9-1</f>
        <v>1.4770073653210196</v>
      </c>
      <c r="AM12" s="111">
        <f t="shared" ref="AM12:AU12" si="8">+AM9/AL9-1</f>
        <v>0.58850019926493391</v>
      </c>
      <c r="AN12" s="111">
        <f t="shared" si="8"/>
        <v>0.20151175906216778</v>
      </c>
      <c r="AO12" s="111">
        <f t="shared" si="8"/>
        <v>0.22577758618785904</v>
      </c>
      <c r="AP12" s="111">
        <f t="shared" si="8"/>
        <v>0.2257207930587759</v>
      </c>
      <c r="AQ12" s="111">
        <f t="shared" si="8"/>
        <v>0.19623701765885371</v>
      </c>
      <c r="AR12" s="111">
        <f t="shared" si="8"/>
        <v>0.18095534256234025</v>
      </c>
      <c r="AS12" s="111">
        <f t="shared" si="8"/>
        <v>0.16158897180079079</v>
      </c>
      <c r="AT12" s="111">
        <f t="shared" si="8"/>
        <v>0.14312512965262947</v>
      </c>
      <c r="AU12" s="112">
        <f t="shared" si="8"/>
        <v>0.13036062979336172</v>
      </c>
    </row>
    <row r="13" spans="9:51" s="105" customFormat="1">
      <c r="I13" s="105" t="s">
        <v>228</v>
      </c>
      <c r="R13" s="110"/>
      <c r="S13" s="111">
        <f>+S9/R9-1</f>
        <v>0.95662441563448852</v>
      </c>
      <c r="T13" s="111">
        <f t="shared" ref="T13:AG13" si="9">+T9/S9-1</f>
        <v>0.3849697029410315</v>
      </c>
      <c r="U13" s="112">
        <f t="shared" si="9"/>
        <v>0.15188432603553448</v>
      </c>
      <c r="V13" s="110">
        <f t="shared" si="9"/>
        <v>0.16993221856809804</v>
      </c>
      <c r="W13" s="111">
        <f t="shared" si="9"/>
        <v>0.25053779050585323</v>
      </c>
      <c r="X13" s="111">
        <f t="shared" si="9"/>
        <v>0.34850195763901337</v>
      </c>
      <c r="Y13" s="111">
        <f t="shared" si="9"/>
        <v>0.2001095633119423</v>
      </c>
      <c r="Z13" s="110">
        <f t="shared" si="9"/>
        <v>6.5262471470492356E-2</v>
      </c>
      <c r="AA13" s="111">
        <f t="shared" si="9"/>
        <v>-6.8622289695025707E-2</v>
      </c>
      <c r="AB13" s="111">
        <f t="shared" si="9"/>
        <v>0.38490154323421932</v>
      </c>
      <c r="AC13" s="112">
        <f t="shared" si="9"/>
        <v>-9.2373404204831311E-2</v>
      </c>
      <c r="AD13" s="110">
        <f t="shared" si="9"/>
        <v>-0.10464198699990135</v>
      </c>
      <c r="AE13" s="111">
        <f t="shared" si="9"/>
        <v>0.16253944269602716</v>
      </c>
      <c r="AF13" s="111">
        <f t="shared" si="9"/>
        <v>0.18765742439140731</v>
      </c>
      <c r="AG13" s="112">
        <f t="shared" si="9"/>
        <v>7.9922505722128889E-2</v>
      </c>
      <c r="AI13" s="106"/>
      <c r="AJ13" s="192"/>
      <c r="AK13" s="111"/>
      <c r="AL13" s="111"/>
      <c r="AM13" s="111"/>
      <c r="AN13" s="111"/>
      <c r="AO13" s="118"/>
      <c r="AP13" s="118"/>
      <c r="AQ13" s="118"/>
      <c r="AR13" s="118"/>
      <c r="AS13" s="118"/>
      <c r="AT13" s="118"/>
      <c r="AU13" s="119"/>
    </row>
    <row r="14" spans="9:51">
      <c r="I14" s="1" t="s">
        <v>18</v>
      </c>
      <c r="R14" s="42">
        <f t="shared" ref="R14:AG14" si="10">+R9/R5</f>
        <v>5.2931122448979586</v>
      </c>
      <c r="S14" s="28">
        <f t="shared" si="10"/>
        <v>7.66</v>
      </c>
      <c r="T14" s="28">
        <f t="shared" si="10"/>
        <v>3.36185351270553</v>
      </c>
      <c r="U14" s="29">
        <f t="shared" si="10"/>
        <v>1.9795525398863008</v>
      </c>
      <c r="V14" s="42">
        <f t="shared" si="10"/>
        <v>1.9530130419093765</v>
      </c>
      <c r="W14" s="28">
        <f t="shared" si="10"/>
        <v>1.3197721384996797</v>
      </c>
      <c r="X14" s="28">
        <f t="shared" si="10"/>
        <v>0.99669277089638386</v>
      </c>
      <c r="Y14" s="29">
        <f t="shared" si="10"/>
        <v>0.92556825726391523</v>
      </c>
      <c r="Z14" s="42">
        <f t="shared" ref="Z14" si="11">+Z9/Z5</f>
        <v>1.0916149898428313</v>
      </c>
      <c r="AA14" s="28">
        <f t="shared" si="10"/>
        <v>0.83749194973330909</v>
      </c>
      <c r="AB14" s="28">
        <f t="shared" ref="AB14" si="12">+AB9/AB5</f>
        <v>1.0133357699687886</v>
      </c>
      <c r="AC14" s="29">
        <f t="shared" si="10"/>
        <v>0.66941087110989772</v>
      </c>
      <c r="AD14" s="42">
        <f t="shared" si="10"/>
        <v>0.68768529539846135</v>
      </c>
      <c r="AE14" s="28">
        <f t="shared" si="10"/>
        <v>0.67479952113773634</v>
      </c>
      <c r="AF14" s="28">
        <f t="shared" si="10"/>
        <v>0.69331978026458851</v>
      </c>
      <c r="AG14" s="29">
        <f t="shared" si="10"/>
        <v>0.59653618532754005</v>
      </c>
      <c r="AI14" s="22"/>
      <c r="AJ14" s="23"/>
      <c r="AK14" s="28">
        <f t="shared" ref="AK14:AU14" si="13">+AK9/AK5</f>
        <v>3.1082794947411481</v>
      </c>
      <c r="AL14" s="28">
        <f t="shared" si="13"/>
        <v>1.1166380704209335</v>
      </c>
      <c r="AM14" s="28">
        <f t="shared" si="13"/>
        <v>0.8697046726524913</v>
      </c>
      <c r="AN14" s="28">
        <f t="shared" si="13"/>
        <v>0.65654153060187437</v>
      </c>
      <c r="AO14" s="28">
        <f t="shared" si="13"/>
        <v>0.53655276338321045</v>
      </c>
      <c r="AP14" s="28">
        <f t="shared" si="13"/>
        <v>0.46175977875413854</v>
      </c>
      <c r="AQ14" s="28">
        <f t="shared" si="13"/>
        <v>0.40633939272612535</v>
      </c>
      <c r="AR14" s="28">
        <f t="shared" si="13"/>
        <v>0.36859769986467911</v>
      </c>
      <c r="AS14" s="28">
        <f t="shared" si="13"/>
        <v>0.34482692997052594</v>
      </c>
      <c r="AT14" s="28">
        <f t="shared" si="13"/>
        <v>0.33028790230399602</v>
      </c>
      <c r="AU14" s="29">
        <f t="shared" si="13"/>
        <v>0.32136615638296329</v>
      </c>
    </row>
    <row r="15" spans="9:51" s="105" customFormat="1">
      <c r="I15" s="105" t="s">
        <v>225</v>
      </c>
      <c r="R15" s="110"/>
      <c r="S15" s="111"/>
      <c r="T15" s="111"/>
      <c r="U15" s="112"/>
      <c r="V15" s="202">
        <f>+(V14-R14)*10000</f>
        <v>-33400.99202988582</v>
      </c>
      <c r="W15" s="203">
        <f t="shared" ref="W15:AG15" si="14">+(W14-S14)*10000</f>
        <v>-63402.278615003204</v>
      </c>
      <c r="X15" s="203">
        <f t="shared" si="14"/>
        <v>-23651.607418091462</v>
      </c>
      <c r="Y15" s="203">
        <f t="shared" si="14"/>
        <v>-10539.842826223856</v>
      </c>
      <c r="Z15" s="202">
        <f>+(Z14-V14)*10000</f>
        <v>-8613.980520665451</v>
      </c>
      <c r="AA15" s="203">
        <f t="shared" si="14"/>
        <v>-4822.8018876637061</v>
      </c>
      <c r="AB15" s="203">
        <f t="shared" si="14"/>
        <v>166.4299907240474</v>
      </c>
      <c r="AC15" s="204">
        <f t="shared" si="14"/>
        <v>-2561.5738615401751</v>
      </c>
      <c r="AD15" s="202">
        <f t="shared" si="14"/>
        <v>-4039.2969444436999</v>
      </c>
      <c r="AE15" s="203">
        <f t="shared" si="14"/>
        <v>-1626.9242859557276</v>
      </c>
      <c r="AF15" s="203">
        <f t="shared" si="14"/>
        <v>-3200.1598970420009</v>
      </c>
      <c r="AG15" s="204">
        <f t="shared" si="14"/>
        <v>-728.74685782357676</v>
      </c>
      <c r="AI15" s="106"/>
      <c r="AJ15" s="192"/>
      <c r="AK15" s="111"/>
      <c r="AL15" s="203">
        <f>+(AL14-AK14)*10000</f>
        <v>-19916.414243202144</v>
      </c>
      <c r="AM15" s="203">
        <f t="shared" ref="AM15:AU15" si="15">+(AM14-AL14)*10000</f>
        <v>-2469.3339776844227</v>
      </c>
      <c r="AN15" s="203">
        <f t="shared" si="15"/>
        <v>-2131.6314205061694</v>
      </c>
      <c r="AO15" s="203">
        <f t="shared" si="15"/>
        <v>-1199.8876721866391</v>
      </c>
      <c r="AP15" s="203">
        <f t="shared" si="15"/>
        <v>-747.92984629071907</v>
      </c>
      <c r="AQ15" s="203">
        <f t="shared" si="15"/>
        <v>-554.20386028013195</v>
      </c>
      <c r="AR15" s="203">
        <f t="shared" si="15"/>
        <v>-377.41692861446239</v>
      </c>
      <c r="AS15" s="203">
        <f t="shared" si="15"/>
        <v>-237.70769894153165</v>
      </c>
      <c r="AT15" s="203">
        <f t="shared" si="15"/>
        <v>-145.39027666529924</v>
      </c>
      <c r="AU15" s="204">
        <f t="shared" si="15"/>
        <v>-89.217459210327306</v>
      </c>
    </row>
    <row r="16" spans="9:51" s="105" customFormat="1">
      <c r="I16" s="105" t="s">
        <v>226</v>
      </c>
      <c r="R16" s="202"/>
      <c r="S16" s="203">
        <f>+(S14-R14)*10000</f>
        <v>23668.877551020414</v>
      </c>
      <c r="T16" s="203">
        <f t="shared" ref="T16:AG16" si="16">+(T14-S14)*10000</f>
        <v>-42981.464872944707</v>
      </c>
      <c r="U16" s="203">
        <f t="shared" si="16"/>
        <v>-13823.009728192292</v>
      </c>
      <c r="V16" s="202">
        <f t="shared" si="16"/>
        <v>-265.3949797692423</v>
      </c>
      <c r="W16" s="203">
        <f t="shared" si="16"/>
        <v>-6332.4090340969688</v>
      </c>
      <c r="X16" s="203">
        <f t="shared" si="16"/>
        <v>-3230.793676032958</v>
      </c>
      <c r="Y16" s="203">
        <f t="shared" si="16"/>
        <v>-711.24513632468631</v>
      </c>
      <c r="Z16" s="202">
        <f t="shared" si="16"/>
        <v>1660.4673257891611</v>
      </c>
      <c r="AA16" s="203">
        <f t="shared" si="16"/>
        <v>-2541.2304010952225</v>
      </c>
      <c r="AB16" s="203">
        <f t="shared" si="16"/>
        <v>1758.4382023547951</v>
      </c>
      <c r="AC16" s="204">
        <f t="shared" si="16"/>
        <v>-3439.248988588909</v>
      </c>
      <c r="AD16" s="202">
        <f t="shared" si="16"/>
        <v>182.74424288563628</v>
      </c>
      <c r="AE16" s="203">
        <f t="shared" si="16"/>
        <v>-128.85774260725015</v>
      </c>
      <c r="AF16" s="203">
        <f t="shared" si="16"/>
        <v>185.20259126852179</v>
      </c>
      <c r="AG16" s="204">
        <f t="shared" si="16"/>
        <v>-967.83594937048463</v>
      </c>
      <c r="AI16" s="106"/>
      <c r="AJ16" s="192"/>
      <c r="AK16" s="111"/>
      <c r="AL16" s="111"/>
      <c r="AM16" s="111"/>
      <c r="AN16" s="111"/>
      <c r="AO16" s="118"/>
      <c r="AP16" s="118"/>
      <c r="AQ16" s="118"/>
      <c r="AR16" s="118"/>
      <c r="AS16" s="118"/>
      <c r="AT16" s="118"/>
      <c r="AU16" s="119"/>
    </row>
    <row r="17" spans="9:47" s="105" customFormat="1">
      <c r="R17" s="202"/>
      <c r="S17" s="203"/>
      <c r="T17" s="203"/>
      <c r="U17" s="203"/>
      <c r="V17" s="202"/>
      <c r="W17" s="203"/>
      <c r="X17" s="203"/>
      <c r="Y17" s="203"/>
      <c r="Z17" s="202"/>
      <c r="AA17" s="271"/>
      <c r="AB17" s="271"/>
      <c r="AC17" s="204"/>
      <c r="AD17" s="202"/>
      <c r="AE17" s="203"/>
      <c r="AF17" s="203"/>
      <c r="AG17" s="204"/>
      <c r="AI17" s="106"/>
      <c r="AJ17" s="192"/>
      <c r="AK17" s="111"/>
      <c r="AL17" s="111"/>
      <c r="AM17" s="111"/>
      <c r="AN17" s="111"/>
      <c r="AO17" s="118"/>
      <c r="AP17" s="118"/>
      <c r="AQ17" s="118"/>
      <c r="AR17" s="118"/>
      <c r="AS17" s="118"/>
      <c r="AT17" s="118"/>
      <c r="AU17" s="119"/>
    </row>
    <row r="18" spans="9:47" s="308" customFormat="1">
      <c r="I18" s="308" t="s">
        <v>307</v>
      </c>
      <c r="R18" s="309">
        <f>+(R9/'Revenue Model'!R11)</f>
        <v>0.2561604938271605</v>
      </c>
      <c r="S18" s="310">
        <f>+(S9/'Revenue Model'!S11)</f>
        <v>0.46664367816091951</v>
      </c>
      <c r="T18" s="310">
        <f>+(T9/'Revenue Model'!T11)</f>
        <v>0.59373812038014784</v>
      </c>
      <c r="U18" s="310">
        <f>+(U9/'Revenue Model'!U11)</f>
        <v>0.61100943396226415</v>
      </c>
      <c r="V18" s="309">
        <f>+(V9/'Revenue Model'!V11)</f>
        <v>0.62109016393442618</v>
      </c>
      <c r="W18" s="310">
        <f>+(W9/'Revenue Model'!W11)</f>
        <v>0.66263636363636369</v>
      </c>
      <c r="X18" s="310">
        <f>+(X9/'Revenue Model'!X11)</f>
        <v>0.83516339869281042</v>
      </c>
      <c r="Y18" s="311">
        <f>+(Y9/'Revenue Model'!Y11)</f>
        <v>0.96873025900189502</v>
      </c>
      <c r="Z18" s="309">
        <f>+(Z9/'Revenue Model'!Z11)</f>
        <v>0.9840843373493976</v>
      </c>
      <c r="AA18" s="310">
        <f>+(AA9/'Revenue Model'!AA11)</f>
        <v>0.87441379310344824</v>
      </c>
      <c r="AB18" s="310">
        <f>+(AB9/'Revenue Model'!AB11)</f>
        <v>1.1837640449438203</v>
      </c>
      <c r="AC18" s="311">
        <f>+(AC9/'Revenue Model'!AC11)</f>
        <v>1.0227058823529411</v>
      </c>
      <c r="AD18" s="309">
        <f>+(AD9/'Revenue Model'!AD11)</f>
        <v>0.88301174997017784</v>
      </c>
      <c r="AE18" s="310">
        <f>+(AE9/'Revenue Model'!AE11)</f>
        <v>0.98889652180382726</v>
      </c>
      <c r="AF18" s="310">
        <f>+(AF9/'Revenue Model'!AF11)</f>
        <v>1.1375372501264802</v>
      </c>
      <c r="AG18" s="311">
        <f>+(AG9/'Revenue Model'!AG11)</f>
        <v>1.1875271322477623</v>
      </c>
      <c r="AH18" s="369"/>
      <c r="AI18" s="310"/>
      <c r="AJ18" s="310"/>
      <c r="AK18" s="310">
        <f>+(AK9/'Revenue Model'!AK11)</f>
        <v>1.720198113207547</v>
      </c>
      <c r="AL18" s="310">
        <f>+(AL9/'Revenue Model'!AL11)</f>
        <v>2.8531901452937456</v>
      </c>
      <c r="AM18" s="500">
        <f>+(AM9/'Revenue Model'!AM11)</f>
        <v>3.8366951871657755</v>
      </c>
      <c r="AN18" s="500">
        <f>+(AN9/'Revenue Model'!AN11)</f>
        <v>4.0094971462650131</v>
      </c>
      <c r="AO18" s="500">
        <f>+(AO9/'Revenue Model'!AO11)</f>
        <v>4.3736514803113415</v>
      </c>
      <c r="AP18" s="500">
        <f>+(AP9/'Revenue Model'!AP11)</f>
        <v>4.8645870349436606</v>
      </c>
      <c r="AQ18" s="500">
        <f>+(AQ9/'Revenue Model'!AQ11)</f>
        <v>5.3688766523546212</v>
      </c>
      <c r="AR18" s="500">
        <f>+(AR9/'Revenue Model'!AR11)</f>
        <v>5.9275659408065673</v>
      </c>
      <c r="AS18" s="500">
        <f>+(AS9/'Revenue Model'!AS11)</f>
        <v>6.5042403665770525</v>
      </c>
      <c r="AT18" s="500">
        <f>+(AT9/'Revenue Model'!AT11)</f>
        <v>7.0823106548695156</v>
      </c>
      <c r="AU18" s="501">
        <f>+(AU9/'Revenue Model'!AU11)</f>
        <v>7.6428584703584868</v>
      </c>
    </row>
    <row r="19" spans="9:47" s="105" customFormat="1">
      <c r="I19" s="105" t="s">
        <v>227</v>
      </c>
      <c r="R19" s="110"/>
      <c r="S19" s="111"/>
      <c r="T19" s="111"/>
      <c r="U19" s="111"/>
      <c r="V19" s="110">
        <f>+V18/R18-1</f>
        <v>1.4246133923894413</v>
      </c>
      <c r="W19" s="111">
        <f t="shared" ref="W19:AG19" si="17">+W18/S18-1</f>
        <v>0.42000501592107109</v>
      </c>
      <c r="X19" s="111">
        <f t="shared" si="17"/>
        <v>0.40661913059934096</v>
      </c>
      <c r="Y19" s="111">
        <f t="shared" si="17"/>
        <v>0.58545875915513879</v>
      </c>
      <c r="Z19" s="110">
        <f>+Z18/V18-1</f>
        <v>0.58444682349420662</v>
      </c>
      <c r="AA19" s="111">
        <f t="shared" si="17"/>
        <v>0.31959826096006716</v>
      </c>
      <c r="AB19" s="111">
        <f t="shared" si="17"/>
        <v>0.41740412330884724</v>
      </c>
      <c r="AC19" s="112">
        <f t="shared" si="17"/>
        <v>5.5717907900036501E-2</v>
      </c>
      <c r="AD19" s="110">
        <f t="shared" si="17"/>
        <v>-0.10270724118164076</v>
      </c>
      <c r="AE19" s="111">
        <f t="shared" si="17"/>
        <v>0.13092511760828907</v>
      </c>
      <c r="AF19" s="111">
        <f t="shared" si="17"/>
        <v>-3.9050683296884436E-2</v>
      </c>
      <c r="AG19" s="111">
        <f t="shared" si="17"/>
        <v>0.1611619261596664</v>
      </c>
      <c r="AH19" s="366"/>
      <c r="AI19" s="192"/>
      <c r="AJ19" s="192"/>
      <c r="AK19" s="111"/>
      <c r="AL19" s="111">
        <f>+AL18/AK18-1</f>
        <v>0.65864043413789042</v>
      </c>
      <c r="AM19" s="111">
        <f t="shared" ref="AM19:AU19" si="18">+AM18/AL18-1</f>
        <v>0.34470364461839065</v>
      </c>
      <c r="AN19" s="111">
        <f t="shared" si="18"/>
        <v>4.5039272256311103E-2</v>
      </c>
      <c r="AO19" s="111">
        <f t="shared" si="18"/>
        <v>9.0822943816171842E-2</v>
      </c>
      <c r="AP19" s="111">
        <f t="shared" si="18"/>
        <v>0.11224843974018972</v>
      </c>
      <c r="AQ19" s="111">
        <f t="shared" si="18"/>
        <v>0.10366545274830319</v>
      </c>
      <c r="AR19" s="111">
        <f t="shared" si="18"/>
        <v>0.10406074205614724</v>
      </c>
      <c r="AS19" s="111">
        <f t="shared" si="18"/>
        <v>9.7286884959059128E-2</v>
      </c>
      <c r="AT19" s="111">
        <f t="shared" si="18"/>
        <v>8.8875911053803991E-2</v>
      </c>
      <c r="AU19" s="112">
        <f t="shared" si="18"/>
        <v>7.9147589368105509E-2</v>
      </c>
    </row>
    <row r="20" spans="9:47" s="105" customFormat="1">
      <c r="I20" s="105" t="s">
        <v>228</v>
      </c>
      <c r="R20" s="110"/>
      <c r="S20" s="111">
        <f>+S18/R18-1</f>
        <v>0.82168480076314432</v>
      </c>
      <c r="T20" s="111">
        <f t="shared" ref="T20:AG20" si="19">+T18/S18-1</f>
        <v>0.27235865000918436</v>
      </c>
      <c r="U20" s="111">
        <f t="shared" si="19"/>
        <v>2.908911014684068E-2</v>
      </c>
      <c r="V20" s="110">
        <f t="shared" si="19"/>
        <v>1.6498484985396411E-2</v>
      </c>
      <c r="W20" s="111">
        <f t="shared" si="19"/>
        <v>6.6892380711287336E-2</v>
      </c>
      <c r="X20" s="111">
        <f t="shared" si="19"/>
        <v>0.2603645747867902</v>
      </c>
      <c r="Y20" s="111">
        <f t="shared" si="19"/>
        <v>0.15992901570895235</v>
      </c>
      <c r="Z20" s="110">
        <f t="shared" si="19"/>
        <v>1.5849694179391305E-2</v>
      </c>
      <c r="AA20" s="111">
        <f t="shared" si="19"/>
        <v>-0.11144425338720843</v>
      </c>
      <c r="AB20" s="111">
        <f t="shared" si="19"/>
        <v>0.35378016024019199</v>
      </c>
      <c r="AC20" s="112">
        <f t="shared" si="19"/>
        <v>-0.13605596763882344</v>
      </c>
      <c r="AD20" s="110">
        <f t="shared" si="19"/>
        <v>-0.136592675170078</v>
      </c>
      <c r="AE20" s="111">
        <f t="shared" si="19"/>
        <v>0.11991320821860585</v>
      </c>
      <c r="AF20" s="111">
        <f t="shared" si="19"/>
        <v>0.15030968867351291</v>
      </c>
      <c r="AG20" s="111">
        <f t="shared" si="19"/>
        <v>4.3945710011451311E-2</v>
      </c>
      <c r="AH20" s="366"/>
      <c r="AI20" s="192"/>
      <c r="AJ20" s="192"/>
      <c r="AK20" s="111"/>
      <c r="AL20" s="111"/>
      <c r="AM20" s="111"/>
      <c r="AN20" s="111"/>
      <c r="AO20" s="118"/>
      <c r="AP20" s="118"/>
      <c r="AQ20" s="118"/>
      <c r="AR20" s="118"/>
      <c r="AS20" s="118"/>
      <c r="AT20" s="118"/>
      <c r="AU20" s="119"/>
    </row>
    <row r="21" spans="9:47" s="105" customFormat="1">
      <c r="R21" s="110"/>
      <c r="S21" s="111"/>
      <c r="T21" s="111"/>
      <c r="U21" s="111"/>
      <c r="V21" s="110"/>
      <c r="W21" s="111"/>
      <c r="X21" s="111"/>
      <c r="Y21" s="111"/>
      <c r="Z21" s="110"/>
      <c r="AA21" s="111"/>
      <c r="AB21" s="111"/>
      <c r="AC21" s="112"/>
      <c r="AD21" s="110"/>
      <c r="AE21" s="111"/>
      <c r="AF21" s="111"/>
      <c r="AG21" s="111"/>
      <c r="AH21" s="366"/>
      <c r="AI21" s="192"/>
      <c r="AJ21" s="192"/>
      <c r="AK21" s="111"/>
      <c r="AL21" s="111"/>
      <c r="AM21" s="111"/>
      <c r="AN21" s="111"/>
      <c r="AO21" s="118"/>
      <c r="AP21" s="118"/>
      <c r="AQ21" s="118"/>
      <c r="AR21" s="118"/>
      <c r="AS21" s="118"/>
      <c r="AT21" s="118"/>
      <c r="AU21" s="119"/>
    </row>
    <row r="22" spans="9:47" s="298" customFormat="1">
      <c r="I22" s="7" t="s">
        <v>308</v>
      </c>
      <c r="R22" s="312"/>
      <c r="S22" s="313"/>
      <c r="T22" s="313"/>
      <c r="U22" s="313"/>
      <c r="V22" s="312"/>
      <c r="W22" s="313"/>
      <c r="X22" s="313"/>
      <c r="Y22" s="316">
        <f>+(Y9/('Revenue Model'!Y79/1000))</f>
        <v>0.38604443696214996</v>
      </c>
      <c r="Z22" s="314">
        <f>+(Z9/('Revenue Model'!Z79/1000))</f>
        <v>0.34788664157292004</v>
      </c>
      <c r="AA22" s="314">
        <f>+(AA9/('Revenue Model'!AA79/1000))</f>
        <v>0.30324737059249113</v>
      </c>
      <c r="AB22" s="314">
        <f>+(AB9/('Revenue Model'!AB79/1000))</f>
        <v>0.40539864552870558</v>
      </c>
      <c r="AC22" s="316">
        <f>+(AC9/('Revenue Model'!AC79/1000))</f>
        <v>0.34538476724248179</v>
      </c>
      <c r="AD22" s="315">
        <f>+(AD9/('Revenue Model'!AD79/1000))</f>
        <v>0.28903348553057323</v>
      </c>
      <c r="AE22" s="314">
        <f>+(AE9/('Revenue Model'!AE79/1000))</f>
        <v>0.31754635949233084</v>
      </c>
      <c r="AF22" s="314">
        <f>+(AF9/('Revenue Model'!AF79/1000))</f>
        <v>0.36071069575294268</v>
      </c>
      <c r="AG22" s="314">
        <f>+(AG9/('Revenue Model'!AG79/1000))</f>
        <v>0.37134040888656317</v>
      </c>
      <c r="AH22" s="368"/>
      <c r="AI22" s="318"/>
      <c r="AJ22" s="318"/>
      <c r="AK22" s="313"/>
      <c r="AL22" s="314">
        <f>+(AL9/('Revenue Model'!AL79/1000))</f>
        <v>0.31231830833921637</v>
      </c>
      <c r="AM22" s="314">
        <f>+(AM9/('Revenue Model'!AM79/1000))</f>
        <v>0.35087487857420369</v>
      </c>
      <c r="AN22" s="314">
        <f>+(AN9/('Revenue Model'!AN79/1000))</f>
        <v>0.3364299929723063</v>
      </c>
      <c r="AO22" s="314">
        <f>+(AO9/('Revenue Model'!AO79/1000))</f>
        <v>0.35287072627125499</v>
      </c>
      <c r="AP22" s="314">
        <f>+(AP9/('Revenue Model'!AP79/1000))</f>
        <v>0.38104846089824357</v>
      </c>
      <c r="AQ22" s="314">
        <f>+(AQ9/('Revenue Model'!AQ79/1000))</f>
        <v>0.4123039432512785</v>
      </c>
      <c r="AR22" s="314">
        <f>+(AR9/('Revenue Model'!AR79/1000))</f>
        <v>0.44628293876341396</v>
      </c>
      <c r="AS22" s="314">
        <f>+(AS9/('Revenue Model'!AS79/1000))</f>
        <v>0.48009844675105978</v>
      </c>
      <c r="AT22" s="314">
        <f>+(AT9/('Revenue Model'!AT79/1000))</f>
        <v>0.51251728784468276</v>
      </c>
      <c r="AU22" s="316">
        <f>+(AU9/('Revenue Model'!AU79/1000))</f>
        <v>0.54223705459516547</v>
      </c>
    </row>
    <row r="23" spans="9:47" s="105" customFormat="1">
      <c r="I23" s="105" t="s">
        <v>227</v>
      </c>
      <c r="R23" s="110"/>
      <c r="S23" s="111"/>
      <c r="T23" s="111"/>
      <c r="U23" s="111"/>
      <c r="V23" s="110"/>
      <c r="W23" s="111"/>
      <c r="X23" s="111"/>
      <c r="Y23" s="111"/>
      <c r="Z23" s="110"/>
      <c r="AA23" s="111"/>
      <c r="AB23" s="111"/>
      <c r="AC23" s="112">
        <f>+AC22/Y22-1</f>
        <v>-0.10532380686437581</v>
      </c>
      <c r="AD23" s="110">
        <f>+AD22/Z22-1</f>
        <v>-0.1691733714644823</v>
      </c>
      <c r="AE23" s="111">
        <f>+AE22/AA22-1</f>
        <v>4.7152886674341365E-2</v>
      </c>
      <c r="AF23" s="111">
        <f>+AF22/AB22-1</f>
        <v>-0.11023211416378209</v>
      </c>
      <c r="AG23" s="111">
        <f>+AG22/AC22-1</f>
        <v>7.514993162932071E-2</v>
      </c>
      <c r="AH23" s="366"/>
      <c r="AI23" s="192"/>
      <c r="AJ23" s="192"/>
      <c r="AK23" s="111"/>
      <c r="AL23" s="111"/>
      <c r="AM23" s="111">
        <f t="shared" ref="AM23:AU23" si="20">+AM22/AL22-1</f>
        <v>0.123452801854671</v>
      </c>
      <c r="AN23" s="111">
        <f t="shared" si="20"/>
        <v>-4.1168195513440087E-2</v>
      </c>
      <c r="AO23" s="111">
        <f t="shared" si="20"/>
        <v>4.8868215207857668E-2</v>
      </c>
      <c r="AP23" s="111">
        <f t="shared" si="20"/>
        <v>7.9852854116688965E-2</v>
      </c>
      <c r="AQ23" s="111">
        <f t="shared" si="20"/>
        <v>8.2024953674807E-2</v>
      </c>
      <c r="AR23" s="111">
        <f t="shared" si="20"/>
        <v>8.2412492211909161E-2</v>
      </c>
      <c r="AS23" s="111">
        <f t="shared" si="20"/>
        <v>7.5771455842214674E-2</v>
      </c>
      <c r="AT23" s="111">
        <f t="shared" si="20"/>
        <v>6.7525402993925399E-2</v>
      </c>
      <c r="AU23" s="112">
        <f t="shared" si="20"/>
        <v>5.7987832713828791E-2</v>
      </c>
    </row>
    <row r="24" spans="9:47" s="105" customFormat="1">
      <c r="I24" s="105" t="s">
        <v>228</v>
      </c>
      <c r="R24" s="110"/>
      <c r="S24" s="111"/>
      <c r="T24" s="111"/>
      <c r="U24" s="111"/>
      <c r="V24" s="110"/>
      <c r="W24" s="111"/>
      <c r="X24" s="111"/>
      <c r="Y24" s="111"/>
      <c r="Z24" s="110"/>
      <c r="AA24" s="111"/>
      <c r="AB24" s="111">
        <f t="shared" ref="AB24:AG24" si="21">+AB22/AA22-1</f>
        <v>0.33685790823718986</v>
      </c>
      <c r="AC24" s="112">
        <f t="shared" si="21"/>
        <v>-0.14803670152364712</v>
      </c>
      <c r="AD24" s="111">
        <f t="shared" si="21"/>
        <v>-0.16315508689572988</v>
      </c>
      <c r="AE24" s="111">
        <f t="shared" si="21"/>
        <v>9.8649033379011764E-2</v>
      </c>
      <c r="AF24" s="111">
        <f t="shared" si="21"/>
        <v>0.13593081756509418</v>
      </c>
      <c r="AG24" s="111">
        <f t="shared" si="21"/>
        <v>2.9468804941955362E-2</v>
      </c>
      <c r="AH24" s="366"/>
      <c r="AI24" s="192"/>
      <c r="AJ24" s="192"/>
      <c r="AK24" s="111"/>
      <c r="AL24" s="111"/>
      <c r="AM24" s="111"/>
      <c r="AN24" s="111"/>
      <c r="AO24" s="118"/>
      <c r="AP24" s="118"/>
      <c r="AQ24" s="118"/>
      <c r="AR24" s="118"/>
      <c r="AS24" s="118"/>
      <c r="AT24" s="118"/>
      <c r="AU24" s="119"/>
    </row>
    <row r="25" spans="9:47" s="105" customFormat="1">
      <c r="R25" s="110"/>
      <c r="S25" s="111"/>
      <c r="T25" s="111"/>
      <c r="U25" s="111"/>
      <c r="V25" s="110"/>
      <c r="W25" s="111"/>
      <c r="X25" s="111"/>
      <c r="Y25" s="111"/>
      <c r="Z25" s="110"/>
      <c r="AA25" s="111"/>
      <c r="AB25" s="111"/>
      <c r="AC25" s="112"/>
      <c r="AD25" s="111"/>
      <c r="AE25" s="111"/>
      <c r="AF25" s="111"/>
      <c r="AG25" s="111"/>
      <c r="AH25" s="366"/>
      <c r="AI25" s="192"/>
      <c r="AJ25" s="192"/>
      <c r="AK25" s="111"/>
      <c r="AL25" s="111"/>
      <c r="AM25" s="111"/>
      <c r="AN25" s="111"/>
      <c r="AO25" s="118"/>
      <c r="AP25" s="118"/>
      <c r="AQ25" s="118"/>
      <c r="AR25" s="118"/>
      <c r="AS25" s="118"/>
      <c r="AT25" s="118"/>
      <c r="AU25" s="119"/>
    </row>
    <row r="26" spans="9:47" s="105" customFormat="1">
      <c r="I26" s="308" t="s">
        <v>375</v>
      </c>
      <c r="R26" s="110"/>
      <c r="S26" s="111"/>
      <c r="T26" s="111"/>
      <c r="U26" s="111"/>
      <c r="V26" s="110"/>
      <c r="W26" s="111"/>
      <c r="X26" s="111"/>
      <c r="Y26" s="111"/>
      <c r="Z26" s="110"/>
      <c r="AA26" s="378"/>
      <c r="AB26" s="111"/>
      <c r="AC26" s="112"/>
      <c r="AD26" s="111"/>
      <c r="AE26" s="111"/>
      <c r="AF26" s="111"/>
      <c r="AG26" s="111"/>
      <c r="AH26" s="366"/>
      <c r="AI26" s="192"/>
      <c r="AJ26" s="192"/>
      <c r="AK26" s="111"/>
      <c r="AL26" s="500">
        <f>+(AL28/'Revenue Model'!AL11)</f>
        <v>2.4867972204674667</v>
      </c>
      <c r="AM26" s="500">
        <f>+(AM28/'Revenue Model'!AM11)</f>
        <v>3.323326203208556</v>
      </c>
      <c r="AN26" s="500">
        <f>+(AN28/'Revenue Model'!AN11)</f>
        <v>3.3127926418841929</v>
      </c>
      <c r="AO26" s="500">
        <f>+(AO28/'Revenue Model'!AO11)</f>
        <v>3.3954845348500666</v>
      </c>
      <c r="AP26" s="500">
        <f>+(AP28/'Revenue Model'!AP11)</f>
        <v>3.5582610618142665</v>
      </c>
      <c r="AQ26" s="500">
        <f>+(AQ28/'Revenue Model'!AQ11)</f>
        <v>3.6776396622836671</v>
      </c>
      <c r="AR26" s="500">
        <f>+(AR28/'Revenue Model'!AR11)</f>
        <v>3.8048215382405211</v>
      </c>
      <c r="AS26" s="500">
        <f>+(AS28/'Revenue Model'!AS11)</f>
        <v>3.9389630840571273</v>
      </c>
      <c r="AT26" s="500">
        <f>+(AT28/'Revenue Model'!AT11)</f>
        <v>4.0803130498553992</v>
      </c>
      <c r="AU26" s="501">
        <f>+(AU28/'Revenue Model'!AU11)</f>
        <v>4.2181928735863705</v>
      </c>
    </row>
    <row r="27" spans="9:47" s="105" customFormat="1">
      <c r="I27" s="105" t="s">
        <v>227</v>
      </c>
      <c r="R27" s="110"/>
      <c r="S27" s="111"/>
      <c r="T27" s="111"/>
      <c r="U27" s="111"/>
      <c r="V27" s="110"/>
      <c r="W27" s="111"/>
      <c r="X27" s="111"/>
      <c r="Y27" s="111"/>
      <c r="Z27" s="110"/>
      <c r="AA27" s="111"/>
      <c r="AB27" s="111"/>
      <c r="AC27" s="112"/>
      <c r="AD27" s="111"/>
      <c r="AE27" s="111"/>
      <c r="AF27" s="111"/>
      <c r="AG27" s="111"/>
      <c r="AH27" s="366"/>
      <c r="AI27" s="192"/>
      <c r="AJ27" s="192"/>
      <c r="AK27" s="111"/>
      <c r="AL27" s="111"/>
      <c r="AM27" s="111">
        <f t="shared" ref="AM27:AU27" si="22">+AM26/AL26-1</f>
        <v>0.33638809624527366</v>
      </c>
      <c r="AN27" s="111">
        <f t="shared" si="22"/>
        <v>-3.1695839289545003E-3</v>
      </c>
      <c r="AO27" s="111">
        <f t="shared" si="22"/>
        <v>2.4961385122747037E-2</v>
      </c>
      <c r="AP27" s="111">
        <f t="shared" si="22"/>
        <v>4.7939115991699754E-2</v>
      </c>
      <c r="AQ27" s="111">
        <f t="shared" si="22"/>
        <v>3.3549702620339072E-2</v>
      </c>
      <c r="AR27" s="111">
        <f t="shared" si="22"/>
        <v>3.4582473443817152E-2</v>
      </c>
      <c r="AS27" s="111">
        <f t="shared" si="22"/>
        <v>3.5255673483870709E-2</v>
      </c>
      <c r="AT27" s="111">
        <f t="shared" si="22"/>
        <v>3.5885069949089576E-2</v>
      </c>
      <c r="AU27" s="112">
        <f t="shared" si="22"/>
        <v>3.3791481694243508E-2</v>
      </c>
    </row>
    <row r="28" spans="9:47" s="105" customFormat="1">
      <c r="I28" s="105" t="s">
        <v>373</v>
      </c>
      <c r="R28" s="110"/>
      <c r="S28" s="111"/>
      <c r="T28" s="111"/>
      <c r="U28" s="111"/>
      <c r="V28" s="110"/>
      <c r="W28" s="111"/>
      <c r="X28" s="111"/>
      <c r="Y28" s="111"/>
      <c r="Z28" s="110"/>
      <c r="AA28" s="111"/>
      <c r="AB28" s="111"/>
      <c r="AC28" s="112"/>
      <c r="AD28" s="111"/>
      <c r="AE28" s="111"/>
      <c r="AF28" s="111"/>
      <c r="AG28" s="111"/>
      <c r="AH28" s="366"/>
      <c r="AI28" s="192"/>
      <c r="AJ28" s="192"/>
      <c r="AK28" s="111"/>
      <c r="AL28" s="48">
        <f t="shared" ref="AL28:AU28" si="23">+AL9-AL55</f>
        <v>393.65999999999997</v>
      </c>
      <c r="AM28" s="48">
        <f t="shared" si="23"/>
        <v>621.46199999999999</v>
      </c>
      <c r="AN28" s="48">
        <f t="shared" si="23"/>
        <v>712.24805764034409</v>
      </c>
      <c r="AO28" s="48">
        <f t="shared" si="23"/>
        <v>820.34434601845044</v>
      </c>
      <c r="AP28" s="48">
        <f t="shared" si="23"/>
        <v>947.37515013664688</v>
      </c>
      <c r="AQ28" s="48">
        <f t="shared" si="23"/>
        <v>1061.2877331105046</v>
      </c>
      <c r="AR28" s="48">
        <f t="shared" si="23"/>
        <v>1174.4614573074723</v>
      </c>
      <c r="AS28" s="48">
        <f t="shared" si="23"/>
        <v>1287.1189367389352</v>
      </c>
      <c r="AT28" s="48">
        <f t="shared" si="23"/>
        <v>1399.7343986270782</v>
      </c>
      <c r="AU28" s="49">
        <f t="shared" si="23"/>
        <v>1515.705277176927</v>
      </c>
    </row>
    <row r="29" spans="9:47">
      <c r="V29" s="22"/>
      <c r="Z29" s="22"/>
      <c r="AA29" s="23"/>
      <c r="AB29" s="23"/>
      <c r="AC29" s="24"/>
      <c r="AH29" s="367"/>
      <c r="AU29" s="24"/>
    </row>
    <row r="30" spans="9:47" s="105" customFormat="1">
      <c r="R30" s="110"/>
      <c r="S30" s="111"/>
      <c r="T30" s="111"/>
      <c r="U30" s="111"/>
      <c r="V30" s="110"/>
      <c r="W30" s="111"/>
      <c r="X30" s="111"/>
      <c r="Y30" s="111"/>
      <c r="Z30" s="110"/>
      <c r="AA30" s="111"/>
      <c r="AB30" s="111"/>
      <c r="AC30" s="112"/>
      <c r="AD30" s="111"/>
      <c r="AE30" s="111"/>
      <c r="AF30" s="111"/>
      <c r="AG30" s="111"/>
      <c r="AH30" s="366"/>
      <c r="AI30" s="192"/>
      <c r="AJ30" s="192"/>
      <c r="AK30" s="111"/>
      <c r="AL30" s="498"/>
      <c r="AM30" s="498"/>
      <c r="AN30" s="498"/>
      <c r="AO30" s="498"/>
      <c r="AP30" s="498"/>
      <c r="AQ30" s="498"/>
      <c r="AR30" s="498"/>
      <c r="AS30" s="498"/>
      <c r="AT30" s="498"/>
      <c r="AU30" s="532"/>
    </row>
    <row r="31" spans="9:47" s="10" customFormat="1">
      <c r="I31" s="11" t="s">
        <v>340</v>
      </c>
      <c r="R31" s="357"/>
      <c r="S31" s="358"/>
      <c r="T31" s="358"/>
      <c r="U31" s="358"/>
      <c r="V31" s="357"/>
      <c r="W31" s="358"/>
      <c r="X31" s="358"/>
      <c r="Y31" s="358"/>
      <c r="Z31" s="357">
        <f>+Z32/V32-1</f>
        <v>0.5714285714285714</v>
      </c>
      <c r="AA31" s="358"/>
      <c r="AB31" s="358"/>
      <c r="AC31" s="360"/>
      <c r="AD31" s="358"/>
      <c r="AE31" s="358"/>
      <c r="AF31" s="358"/>
      <c r="AG31" s="358"/>
      <c r="AH31" s="502"/>
      <c r="AI31" s="59"/>
      <c r="AJ31" s="59"/>
      <c r="AK31" s="361"/>
      <c r="AL31" s="361"/>
      <c r="AM31" s="361"/>
      <c r="AN31" s="361"/>
      <c r="AO31" s="362"/>
      <c r="AP31" s="362"/>
      <c r="AQ31" s="362"/>
      <c r="AR31" s="362"/>
      <c r="AS31" s="362"/>
      <c r="AT31" s="362"/>
      <c r="AU31" s="363"/>
    </row>
    <row r="32" spans="9:47" s="298" customFormat="1">
      <c r="I32" s="298" t="s">
        <v>309</v>
      </c>
      <c r="R32" s="319"/>
      <c r="S32" s="320"/>
      <c r="T32" s="320"/>
      <c r="U32" s="320"/>
      <c r="V32" s="372">
        <v>63</v>
      </c>
      <c r="W32" s="373">
        <v>79</v>
      </c>
      <c r="X32" s="373">
        <v>97</v>
      </c>
      <c r="Y32" s="45">
        <v>113</v>
      </c>
      <c r="Z32" s="44">
        <v>99</v>
      </c>
      <c r="AA32" s="373">
        <v>106</v>
      </c>
      <c r="AB32" s="373">
        <v>121</v>
      </c>
      <c r="AC32" s="46">
        <v>131</v>
      </c>
      <c r="AD32" s="37">
        <f>+AD37*'Revenue Model'!AD11</f>
        <v>121.43363855421687</v>
      </c>
      <c r="AE32" s="37">
        <f>+AE37*'Revenue Model'!AE11</f>
        <v>131.2158587356322</v>
      </c>
      <c r="AF32" s="37">
        <f>+AF37*'Revenue Model'!AF11</f>
        <v>151.1720450702247</v>
      </c>
      <c r="AG32" s="37">
        <f>+AG37*'Revenue Model'!AG11</f>
        <v>161.15748732018716</v>
      </c>
      <c r="AH32" s="368"/>
      <c r="AI32" s="318"/>
      <c r="AJ32" s="318"/>
      <c r="AK32" s="313"/>
      <c r="AL32" s="54">
        <f>+SUM(V32:Y32)</f>
        <v>352</v>
      </c>
      <c r="AM32" s="54">
        <f>+SUM(Z32:AC32)</f>
        <v>457</v>
      </c>
      <c r="AN32" s="54">
        <f>+SUM(AD32:AG32)</f>
        <v>564.97902968026096</v>
      </c>
      <c r="AO32" s="54">
        <f>+AO37*AVERAGE('Revenue Model'!AN11:AO11)</f>
        <v>673.79882932888177</v>
      </c>
      <c r="AP32" s="54">
        <f>+AP37*AVERAGE('Revenue Model'!AO11:AP11)</f>
        <v>786.89550065084143</v>
      </c>
      <c r="AQ32" s="54">
        <f>+AQ37*AVERAGE('Revenue Model'!AP11:AQ11)</f>
        <v>885.48053754883881</v>
      </c>
      <c r="AR32" s="54">
        <f>+AR37*AVERAGE('Revenue Model'!AQ11:AR11)</f>
        <v>981.79396106236015</v>
      </c>
      <c r="AS32" s="54">
        <f>+AS37*AVERAGE('Revenue Model'!AR11:AS11)</f>
        <v>1075.9051097420322</v>
      </c>
      <c r="AT32" s="54">
        <f>+AT37*AVERAGE('Revenue Model'!AS11:AT11)</f>
        <v>1168.1196078032049</v>
      </c>
      <c r="AU32" s="55">
        <f>+AU37*AVERAGE('Revenue Model'!AT11:AU11)</f>
        <v>1261.6494261433866</v>
      </c>
    </row>
    <row r="33" spans="9:47" s="105" customFormat="1">
      <c r="I33" s="105" t="s">
        <v>233</v>
      </c>
      <c r="R33" s="202"/>
      <c r="S33" s="203"/>
      <c r="T33" s="203"/>
      <c r="U33" s="203"/>
      <c r="V33" s="331">
        <f>+V32/V9</f>
        <v>0.83143072070526447</v>
      </c>
      <c r="W33" s="332">
        <f>+W32/W9</f>
        <v>0.83371149360997077</v>
      </c>
      <c r="X33" s="332">
        <f>+X32/X9</f>
        <v>0.7591172327437784</v>
      </c>
      <c r="Y33" s="114">
        <f>+Y32/Y9</f>
        <v>0.7368764264753831</v>
      </c>
      <c r="Z33" s="110">
        <f>Z32/V32-1</f>
        <v>0.5714285714285714</v>
      </c>
      <c r="AA33" s="111">
        <f t="shared" ref="AA33:AG33" si="24">+Z33-0.003</f>
        <v>0.56842857142857139</v>
      </c>
      <c r="AB33" s="111">
        <f t="shared" si="24"/>
        <v>0.56542857142857139</v>
      </c>
      <c r="AC33" s="112">
        <f t="shared" si="24"/>
        <v>0.56242857142857139</v>
      </c>
      <c r="AD33" s="111">
        <f t="shared" si="24"/>
        <v>0.55942857142857139</v>
      </c>
      <c r="AE33" s="111">
        <f t="shared" si="24"/>
        <v>0.55642857142857138</v>
      </c>
      <c r="AF33" s="111">
        <f t="shared" si="24"/>
        <v>0.55342857142857138</v>
      </c>
      <c r="AG33" s="111">
        <f t="shared" si="24"/>
        <v>0.55042857142857138</v>
      </c>
      <c r="AH33" s="366"/>
      <c r="AI33" s="192"/>
      <c r="AJ33" s="192"/>
      <c r="AK33" s="111"/>
      <c r="AL33" s="111">
        <f>+AL32/AL9</f>
        <v>0.77934729663906488</v>
      </c>
      <c r="AM33" s="111">
        <f>+AM32/AM9</f>
        <v>0.63696753277525497</v>
      </c>
      <c r="AN33" s="111">
        <f>+AN32/AN9</f>
        <v>0.65539843351387161</v>
      </c>
      <c r="AO33" s="111">
        <f t="shared" ref="AO33:AU33" si="25">+AO32/AO9</f>
        <v>0.63766362960818423</v>
      </c>
      <c r="AP33" s="111">
        <f t="shared" si="25"/>
        <v>0.60755682424622404</v>
      </c>
      <c r="AQ33" s="111">
        <f t="shared" si="25"/>
        <v>0.57152025116679772</v>
      </c>
      <c r="AR33" s="111">
        <f t="shared" si="25"/>
        <v>0.53658618233160094</v>
      </c>
      <c r="AS33" s="111">
        <f t="shared" si="25"/>
        <v>0.50622153735032827</v>
      </c>
      <c r="AT33" s="111">
        <f t="shared" si="25"/>
        <v>0.48079527411712158</v>
      </c>
      <c r="AU33" s="112">
        <f t="shared" si="25"/>
        <v>0.45940376279305511</v>
      </c>
    </row>
    <row r="34" spans="9:47" s="105" customFormat="1">
      <c r="I34" s="105" t="s">
        <v>225</v>
      </c>
      <c r="R34" s="110"/>
      <c r="S34" s="111"/>
      <c r="T34" s="111"/>
      <c r="U34" s="111"/>
      <c r="V34" s="202"/>
      <c r="W34" s="203"/>
      <c r="X34" s="203"/>
      <c r="Y34" s="203">
        <f t="shared" ref="Y34:AG34" si="26">+(Y33-U33)*10000</f>
        <v>7368.7642647538305</v>
      </c>
      <c r="Z34" s="202">
        <f t="shared" si="26"/>
        <v>-2600.0214927669308</v>
      </c>
      <c r="AA34" s="203">
        <f t="shared" si="26"/>
        <v>-2652.8292218139936</v>
      </c>
      <c r="AB34" s="203">
        <f t="shared" si="26"/>
        <v>-1936.8866131520701</v>
      </c>
      <c r="AC34" s="204">
        <f t="shared" si="26"/>
        <v>-1744.478550468117</v>
      </c>
      <c r="AD34" s="203">
        <f t="shared" si="26"/>
        <v>-120.00000000000011</v>
      </c>
      <c r="AE34" s="203">
        <f t="shared" si="26"/>
        <v>-120.00000000000011</v>
      </c>
      <c r="AF34" s="203">
        <f t="shared" si="26"/>
        <v>-120.00000000000011</v>
      </c>
      <c r="AG34" s="203">
        <f t="shared" si="26"/>
        <v>-120.00000000000011</v>
      </c>
      <c r="AH34" s="366"/>
      <c r="AI34" s="192"/>
      <c r="AJ34" s="192"/>
      <c r="AK34" s="111"/>
      <c r="AL34" s="111"/>
      <c r="AM34" s="203">
        <f t="shared" ref="AM34:AU34" si="27">+(AM33-AL33)*10000</f>
        <v>-1423.797638638099</v>
      </c>
      <c r="AN34" s="203">
        <f t="shared" si="27"/>
        <v>184.3090073861664</v>
      </c>
      <c r="AO34" s="203">
        <f t="shared" si="27"/>
        <v>-177.3480390568738</v>
      </c>
      <c r="AP34" s="203">
        <f t="shared" si="27"/>
        <v>-301.06805361960198</v>
      </c>
      <c r="AQ34" s="203">
        <f t="shared" si="27"/>
        <v>-360.36573079426313</v>
      </c>
      <c r="AR34" s="203">
        <f t="shared" si="27"/>
        <v>-349.34068835196786</v>
      </c>
      <c r="AS34" s="203">
        <f t="shared" si="27"/>
        <v>-303.6464498127267</v>
      </c>
      <c r="AT34" s="203">
        <f t="shared" si="27"/>
        <v>-254.2626323320668</v>
      </c>
      <c r="AU34" s="204">
        <f t="shared" si="27"/>
        <v>-213.91511324066471</v>
      </c>
    </row>
    <row r="35" spans="9:47" s="105" customFormat="1">
      <c r="I35" s="105" t="s">
        <v>226</v>
      </c>
      <c r="R35" s="202"/>
      <c r="S35" s="203"/>
      <c r="T35" s="203"/>
      <c r="U35" s="203"/>
      <c r="V35" s="202"/>
      <c r="W35" s="203"/>
      <c r="X35" s="203"/>
      <c r="Y35" s="203">
        <f t="shared" ref="Y35:AG35" si="28">+(Y33-X33)*10000</f>
        <v>-222.40806268395309</v>
      </c>
      <c r="Z35" s="202">
        <f t="shared" si="28"/>
        <v>-1654.478550468117</v>
      </c>
      <c r="AA35" s="203">
        <f t="shared" si="28"/>
        <v>-30.000000000000028</v>
      </c>
      <c r="AB35" s="203">
        <f t="shared" si="28"/>
        <v>-30.000000000000028</v>
      </c>
      <c r="AC35" s="204">
        <f t="shared" si="28"/>
        <v>-30.000000000000028</v>
      </c>
      <c r="AD35" s="203">
        <f t="shared" si="28"/>
        <v>-30.000000000000028</v>
      </c>
      <c r="AE35" s="203">
        <f t="shared" si="28"/>
        <v>-30.000000000000028</v>
      </c>
      <c r="AF35" s="203">
        <f t="shared" si="28"/>
        <v>-30.000000000000028</v>
      </c>
      <c r="AG35" s="203">
        <f t="shared" si="28"/>
        <v>-30.000000000000028</v>
      </c>
      <c r="AH35" s="366"/>
      <c r="AI35" s="192"/>
      <c r="AJ35" s="192"/>
      <c r="AK35" s="111"/>
      <c r="AL35" s="111"/>
      <c r="AM35" s="111"/>
      <c r="AN35" s="111"/>
      <c r="AO35" s="118"/>
      <c r="AP35" s="118"/>
      <c r="AQ35" s="118"/>
      <c r="AR35" s="118"/>
      <c r="AS35" s="118"/>
      <c r="AT35" s="118"/>
      <c r="AU35" s="119"/>
    </row>
    <row r="36" spans="9:47" s="105" customFormat="1">
      <c r="R36" s="202"/>
      <c r="S36" s="203"/>
      <c r="T36" s="203"/>
      <c r="U36" s="203"/>
      <c r="V36" s="202"/>
      <c r="W36" s="203"/>
      <c r="X36" s="203"/>
      <c r="Y36" s="203"/>
      <c r="Z36" s="202"/>
      <c r="AA36" s="203"/>
      <c r="AB36" s="203"/>
      <c r="AC36" s="204"/>
      <c r="AD36" s="203"/>
      <c r="AE36" s="203"/>
      <c r="AF36" s="203"/>
      <c r="AG36" s="203"/>
      <c r="AH36" s="366"/>
      <c r="AI36" s="192"/>
      <c r="AJ36" s="192"/>
      <c r="AK36" s="111"/>
      <c r="AL36" s="111"/>
      <c r="AM36" s="271"/>
      <c r="AN36" s="271"/>
      <c r="AO36" s="227"/>
      <c r="AP36" s="227"/>
      <c r="AQ36" s="118"/>
      <c r="AR36" s="118"/>
      <c r="AS36" s="118"/>
      <c r="AT36" s="118"/>
      <c r="AU36" s="119"/>
    </row>
    <row r="37" spans="9:47" s="321" customFormat="1">
      <c r="I37" s="385" t="s">
        <v>310</v>
      </c>
      <c r="R37" s="322"/>
      <c r="S37" s="323"/>
      <c r="T37" s="323"/>
      <c r="U37" s="323"/>
      <c r="V37" s="329">
        <f>+(V32/'Revenue Model'!V11)</f>
        <v>0.51639344262295084</v>
      </c>
      <c r="W37" s="327">
        <f>+(W32/'Revenue Model'!W11)</f>
        <v>0.55244755244755239</v>
      </c>
      <c r="X37" s="327">
        <f>+(X32/'Revenue Model'!X11)</f>
        <v>0.63398692810457513</v>
      </c>
      <c r="Y37" s="327">
        <f>+(Y32/'Revenue Model'!Y11)</f>
        <v>0.71383449147188882</v>
      </c>
      <c r="Z37" s="329">
        <f>+(Z32/'Revenue Model'!Z11)</f>
        <v>0.59638554216867468</v>
      </c>
      <c r="AA37" s="327">
        <f>+(AA32/'Revenue Model'!AA11)</f>
        <v>0.60919540229885061</v>
      </c>
      <c r="AB37" s="327">
        <f>+(AB32/'Revenue Model'!AB11)</f>
        <v>0.6797752808988764</v>
      </c>
      <c r="AC37" s="327">
        <f>+(AC32/'Revenue Model'!AC11)</f>
        <v>0.70053475935828879</v>
      </c>
      <c r="AD37" s="329">
        <f t="shared" ref="AD37:AG37" si="29">+Z37*(1+AD38)</f>
        <v>0.62620481927710847</v>
      </c>
      <c r="AE37" s="327">
        <f t="shared" si="29"/>
        <v>0.65183908045977024</v>
      </c>
      <c r="AF37" s="327">
        <f t="shared" si="29"/>
        <v>0.7273595505617978</v>
      </c>
      <c r="AG37" s="328">
        <f t="shared" si="29"/>
        <v>0.74957219251336904</v>
      </c>
      <c r="AI37" s="324"/>
      <c r="AJ37" s="325"/>
      <c r="AK37" s="326"/>
      <c r="AL37" s="327">
        <f>+(AL32/AVERAGE('Revenue Model'!AK11:AL11))</f>
        <v>2.6636398032538779</v>
      </c>
      <c r="AM37" s="327">
        <f>+(AM32/AVERAGE('Revenue Model'!AL11:AM11))</f>
        <v>2.6469736461048363</v>
      </c>
      <c r="AN37" s="327">
        <f>+(AN32/AVERAGE('Revenue Model'!AM11:AN11))</f>
        <v>2.8108459255926466</v>
      </c>
      <c r="AO37" s="327">
        <f>+AN37*(1+AO38)</f>
        <v>2.9513882218722789</v>
      </c>
      <c r="AP37" s="327">
        <f t="shared" ref="AP37:AU37" si="30">+AO37*(1+AP38)</f>
        <v>3.098957632965893</v>
      </c>
      <c r="AQ37" s="327">
        <f t="shared" si="30"/>
        <v>3.1919263619548697</v>
      </c>
      <c r="AR37" s="327">
        <f t="shared" si="30"/>
        <v>3.2876841528135157</v>
      </c>
      <c r="AS37" s="327">
        <f t="shared" si="30"/>
        <v>3.3863146773979214</v>
      </c>
      <c r="AT37" s="327">
        <f t="shared" si="30"/>
        <v>3.4879041177198591</v>
      </c>
      <c r="AU37" s="328">
        <f t="shared" si="30"/>
        <v>3.592541241251455</v>
      </c>
    </row>
    <row r="38" spans="9:47" s="105" customFormat="1">
      <c r="I38" s="105" t="s">
        <v>227</v>
      </c>
      <c r="R38" s="202"/>
      <c r="S38" s="203"/>
      <c r="T38" s="203"/>
      <c r="U38" s="203"/>
      <c r="V38" s="202"/>
      <c r="W38" s="203"/>
      <c r="X38" s="203"/>
      <c r="Y38" s="203"/>
      <c r="Z38" s="419">
        <f>Z37/V37-1</f>
        <v>0.15490533562822706</v>
      </c>
      <c r="AA38" s="388">
        <f>AA37/W37-1</f>
        <v>0.10272079150298286</v>
      </c>
      <c r="AB38" s="388">
        <f>AB37/X37-1</f>
        <v>7.2222865747712417E-2</v>
      </c>
      <c r="AC38" s="388">
        <f>AC37/Y37-1</f>
        <v>-1.863139463347685E-2</v>
      </c>
      <c r="AD38" s="386">
        <v>0.05</v>
      </c>
      <c r="AE38" s="387">
        <v>7.0000000000000007E-2</v>
      </c>
      <c r="AF38" s="387">
        <v>7.0000000000000007E-2</v>
      </c>
      <c r="AG38" s="421">
        <v>7.0000000000000007E-2</v>
      </c>
      <c r="AI38" s="106"/>
      <c r="AJ38" s="192"/>
      <c r="AK38" s="111"/>
      <c r="AL38" s="111"/>
      <c r="AM38" s="114">
        <f>+AM37/AL37-1</f>
        <v>-6.2569109864939465E-3</v>
      </c>
      <c r="AN38" s="114">
        <f>+AN37/AM37-1</f>
        <v>6.1909297710219802E-2</v>
      </c>
      <c r="AO38" s="558">
        <v>0.05</v>
      </c>
      <c r="AP38" s="558">
        <v>0.05</v>
      </c>
      <c r="AQ38" s="558">
        <v>0.03</v>
      </c>
      <c r="AR38" s="558">
        <v>0.03</v>
      </c>
      <c r="AS38" s="558">
        <v>0.03</v>
      </c>
      <c r="AT38" s="558">
        <v>0.03</v>
      </c>
      <c r="AU38" s="558">
        <v>0.03</v>
      </c>
    </row>
    <row r="39" spans="9:47" s="105" customFormat="1">
      <c r="I39" s="105" t="s">
        <v>228</v>
      </c>
      <c r="R39" s="202"/>
      <c r="S39" s="203"/>
      <c r="T39" s="203"/>
      <c r="U39" s="203"/>
      <c r="V39" s="202"/>
      <c r="W39" s="332">
        <f>+W37/V37-1</f>
        <v>6.9819069819069712E-2</v>
      </c>
      <c r="X39" s="332">
        <f>+X37/W37-1</f>
        <v>0.1475965913791677</v>
      </c>
      <c r="Y39" s="332">
        <f>+Y37/X37-1</f>
        <v>0.12594512572370098</v>
      </c>
      <c r="Z39" s="331">
        <f t="shared" ref="Z39:AF39" si="31">+Z37/Y37-1</f>
        <v>-0.16453246614777695</v>
      </c>
      <c r="AA39" s="332">
        <f t="shared" si="31"/>
        <v>2.147915941019396E-2</v>
      </c>
      <c r="AB39" s="332">
        <f t="shared" si="31"/>
        <v>0.11585753656985376</v>
      </c>
      <c r="AC39" s="330">
        <f t="shared" si="31"/>
        <v>3.0538736907234743E-2</v>
      </c>
      <c r="AD39" s="331">
        <f t="shared" si="31"/>
        <v>-0.10610457095557801</v>
      </c>
      <c r="AE39" s="332">
        <f t="shared" si="31"/>
        <v>4.0935905303721487E-2</v>
      </c>
      <c r="AF39" s="332">
        <f t="shared" si="31"/>
        <v>0.11585753656985354</v>
      </c>
      <c r="AG39" s="330">
        <f>+AG37/AF37-1</f>
        <v>3.0538736907234743E-2</v>
      </c>
      <c r="AI39" s="106"/>
      <c r="AJ39" s="192"/>
      <c r="AK39" s="111"/>
      <c r="AL39" s="111"/>
      <c r="AM39" s="111"/>
      <c r="AN39" s="111"/>
      <c r="AO39" s="118"/>
      <c r="AP39" s="118"/>
      <c r="AQ39" s="118"/>
      <c r="AR39" s="118"/>
      <c r="AS39" s="118"/>
      <c r="AT39" s="118"/>
      <c r="AU39" s="119"/>
    </row>
    <row r="40" spans="9:47" s="105" customFormat="1">
      <c r="R40" s="202"/>
      <c r="S40" s="203"/>
      <c r="T40" s="203"/>
      <c r="U40" s="203"/>
      <c r="V40" s="202"/>
      <c r="W40" s="203"/>
      <c r="X40" s="203"/>
      <c r="Y40" s="203"/>
      <c r="Z40" s="202"/>
      <c r="AA40" s="203"/>
      <c r="AB40" s="203"/>
      <c r="AC40" s="204"/>
      <c r="AD40" s="202"/>
      <c r="AE40" s="203"/>
      <c r="AF40" s="203"/>
      <c r="AG40" s="204"/>
      <c r="AI40" s="106"/>
      <c r="AJ40" s="192"/>
      <c r="AK40" s="378"/>
      <c r="AL40" s="111"/>
      <c r="AM40" s="497"/>
      <c r="AN40" s="497"/>
      <c r="AO40" s="497"/>
      <c r="AP40" s="497"/>
      <c r="AQ40" s="118"/>
      <c r="AR40" s="118"/>
      <c r="AS40" s="118"/>
      <c r="AT40" s="118"/>
      <c r="AU40" s="119"/>
    </row>
    <row r="41" spans="9:47" s="105" customFormat="1">
      <c r="I41" s="384" t="s">
        <v>311</v>
      </c>
      <c r="R41" s="202"/>
      <c r="S41" s="203"/>
      <c r="T41" s="203"/>
      <c r="U41" s="203"/>
      <c r="V41" s="329">
        <f>+(V32/('Revenue Model'!V79/1000))</f>
        <v>0.2057856807463814</v>
      </c>
      <c r="W41" s="327">
        <f>+(W32/('Revenue Model'!W79/1000))</f>
        <v>0.22015344555817781</v>
      </c>
      <c r="X41" s="327">
        <f>+(X32/('Revenue Model'!X79/1000))</f>
        <v>0.25264734370294401</v>
      </c>
      <c r="Y41" s="327">
        <f>+(Y32/('Revenue Model'!Y79/1000))</f>
        <v>0.28446704516937038</v>
      </c>
      <c r="Z41" s="329">
        <f>+(Z32/('Revenue Model'!Z79/1000))</f>
        <v>0.21083006351521863</v>
      </c>
      <c r="AA41" s="327">
        <f>+(AA32/('Revenue Model'!AA79/1000))</f>
        <v>0.21126943030998804</v>
      </c>
      <c r="AB41" s="327">
        <f>+(AB32/('Revenue Model'!AB79/1000))</f>
        <v>0.23279975373249193</v>
      </c>
      <c r="AC41" s="328">
        <f>+(AC32/('Revenue Model'!AC79/1000))</f>
        <v>0.23658222660220404</v>
      </c>
      <c r="AD41" s="329">
        <f>+(AD32/('Revenue Model'!AD79/1000))</f>
        <v>0.20497367286201812</v>
      </c>
      <c r="AE41" s="327">
        <f>+(AE32/('Revenue Model'!AE79/1000))</f>
        <v>0.20931323188119183</v>
      </c>
      <c r="AF41" s="327">
        <f>+(AF32/('Revenue Model'!AF79/1000))</f>
        <v>0.23064420045719103</v>
      </c>
      <c r="AG41" s="328">
        <f>+(AG32/('Revenue Model'!AG79/1000))</f>
        <v>0.23439165042996143</v>
      </c>
      <c r="AI41" s="106"/>
      <c r="AJ41" s="192"/>
      <c r="AK41" s="111"/>
      <c r="AL41" s="327">
        <f>+(AL32/('Revenue Model'!AL79/1000))</f>
        <v>0.24340442929505418</v>
      </c>
      <c r="AM41" s="327">
        <f>+(AM32/('Revenue Model'!AM79/1000))</f>
        <v>0.22349590571822772</v>
      </c>
      <c r="AN41" s="327">
        <f>+(AN32/('Revenue Model'!AN79/1000))</f>
        <v>0.2204956903811324</v>
      </c>
      <c r="AO41" s="327">
        <f>+(AO32/('Revenue Model'!AO79/1000))</f>
        <v>0.2250128280966045</v>
      </c>
      <c r="AP41" s="327">
        <f>+(AP32/('Revenue Model'!AP79/1000))</f>
        <v>0.23150859278724834</v>
      </c>
      <c r="AQ41" s="327">
        <f>+(AQ32/('Revenue Model'!AQ79/1000))</f>
        <v>0.23564005320403181</v>
      </c>
      <c r="AR41" s="327">
        <f>+(AR32/('Revenue Model'!AR79/1000))</f>
        <v>0.23946925835078792</v>
      </c>
      <c r="AS41" s="327">
        <f>+(AS32/('Revenue Model'!AS79/1000))</f>
        <v>0.24303617379382622</v>
      </c>
      <c r="AT41" s="327">
        <f>+(AT32/('Revenue Model'!AT79/1000))</f>
        <v>0.24641588989904795</v>
      </c>
      <c r="AU41" s="328">
        <f>+(AU32/('Revenue Model'!AU79/1000))</f>
        <v>0.24910574320684231</v>
      </c>
    </row>
    <row r="42" spans="9:47" s="105" customFormat="1">
      <c r="I42" s="105" t="s">
        <v>227</v>
      </c>
      <c r="R42" s="202"/>
      <c r="S42" s="203"/>
      <c r="T42" s="203"/>
      <c r="U42" s="203"/>
      <c r="V42" s="202"/>
      <c r="W42" s="203"/>
      <c r="X42" s="203"/>
      <c r="Y42" s="203"/>
      <c r="Z42" s="419">
        <f t="shared" ref="Z42:AG42" si="32">+Z41/V41-1</f>
        <v>2.4512797734717706E-2</v>
      </c>
      <c r="AA42" s="388">
        <f t="shared" si="32"/>
        <v>-4.0353741571771518E-2</v>
      </c>
      <c r="AB42" s="388">
        <f t="shared" si="32"/>
        <v>-7.8558474748059659E-2</v>
      </c>
      <c r="AC42" s="420">
        <f t="shared" si="32"/>
        <v>-0.16833169036735318</v>
      </c>
      <c r="AD42" s="419">
        <f t="shared" si="32"/>
        <v>-2.777777777777779E-2</v>
      </c>
      <c r="AE42" s="388">
        <f t="shared" si="32"/>
        <v>-9.2592592592594114E-3</v>
      </c>
      <c r="AF42" s="388">
        <f t="shared" si="32"/>
        <v>-9.2592592592594114E-3</v>
      </c>
      <c r="AG42" s="420">
        <f t="shared" si="32"/>
        <v>-9.2592592592591894E-3</v>
      </c>
      <c r="AI42" s="106"/>
      <c r="AJ42" s="192"/>
      <c r="AK42" s="111"/>
      <c r="AL42" s="111"/>
      <c r="AM42" s="114">
        <f t="shared" ref="AM42:AU42" si="33">+AM41/AL41-1</f>
        <v>-8.1791952736790186E-2</v>
      </c>
      <c r="AN42" s="114">
        <f t="shared" si="33"/>
        <v>-1.3424028182770553E-2</v>
      </c>
      <c r="AO42" s="114">
        <f t="shared" si="33"/>
        <v>2.0486285730410891E-2</v>
      </c>
      <c r="AP42" s="114">
        <f t="shared" si="33"/>
        <v>2.8868419394537881E-2</v>
      </c>
      <c r="AQ42" s="114">
        <f t="shared" si="33"/>
        <v>1.7845818883190256E-2</v>
      </c>
      <c r="AR42" s="114">
        <f t="shared" si="33"/>
        <v>1.6250230360627782E-2</v>
      </c>
      <c r="AS42" s="114">
        <f t="shared" si="33"/>
        <v>1.489508702538056E-2</v>
      </c>
      <c r="AT42" s="114">
        <f t="shared" si="33"/>
        <v>1.3906226601842597E-2</v>
      </c>
      <c r="AU42" s="115">
        <f t="shared" si="33"/>
        <v>1.0915908502882488E-2</v>
      </c>
    </row>
    <row r="43" spans="9:47" s="105" customFormat="1">
      <c r="I43" s="105" t="s">
        <v>228</v>
      </c>
      <c r="R43" s="202"/>
      <c r="S43" s="203"/>
      <c r="T43" s="203"/>
      <c r="U43" s="203"/>
      <c r="V43" s="202"/>
      <c r="W43" s="332">
        <f t="shared" ref="W43:AG43" si="34">+W41/V41-1</f>
        <v>6.9819069819069712E-2</v>
      </c>
      <c r="X43" s="332">
        <f t="shared" si="34"/>
        <v>0.1475965913791677</v>
      </c>
      <c r="Y43" s="332">
        <f t="shared" si="34"/>
        <v>0.12594512572370098</v>
      </c>
      <c r="Z43" s="331">
        <f t="shared" si="34"/>
        <v>-0.25885944577625375</v>
      </c>
      <c r="AA43" s="332">
        <f t="shared" si="34"/>
        <v>2.0839854973420113E-3</v>
      </c>
      <c r="AB43" s="332">
        <f t="shared" si="34"/>
        <v>0.10190931736273057</v>
      </c>
      <c r="AC43" s="330">
        <f t="shared" si="34"/>
        <v>1.6247752882327049E-2</v>
      </c>
      <c r="AD43" s="331">
        <f t="shared" si="34"/>
        <v>-0.13360493809762564</v>
      </c>
      <c r="AE43" s="332">
        <f t="shared" si="34"/>
        <v>2.1171299506814956E-2</v>
      </c>
      <c r="AF43" s="332">
        <f t="shared" si="34"/>
        <v>0.10190931736273057</v>
      </c>
      <c r="AG43" s="330">
        <f t="shared" si="34"/>
        <v>1.6247752882327271E-2</v>
      </c>
      <c r="AI43" s="106"/>
      <c r="AJ43" s="192"/>
      <c r="AK43" s="111"/>
      <c r="AL43" s="111"/>
      <c r="AM43" s="111"/>
      <c r="AN43" s="111"/>
      <c r="AO43" s="111"/>
      <c r="AP43" s="111"/>
      <c r="AQ43" s="111"/>
      <c r="AR43" s="111"/>
      <c r="AS43" s="111"/>
      <c r="AT43" s="111"/>
      <c r="AU43" s="112"/>
    </row>
    <row r="44" spans="9:47" s="105" customFormat="1">
      <c r="R44" s="202"/>
      <c r="S44" s="203"/>
      <c r="T44" s="203"/>
      <c r="U44" s="203"/>
      <c r="V44" s="202"/>
      <c r="W44" s="203"/>
      <c r="X44" s="203"/>
      <c r="Y44" s="203"/>
      <c r="Z44" s="202"/>
      <c r="AA44" s="203"/>
      <c r="AB44" s="203"/>
      <c r="AC44" s="204"/>
      <c r="AD44" s="202"/>
      <c r="AE44" s="203"/>
      <c r="AF44" s="203"/>
      <c r="AG44" s="204"/>
      <c r="AI44" s="106"/>
      <c r="AJ44" s="192"/>
      <c r="AK44" s="111"/>
      <c r="AL44" s="111"/>
      <c r="AM44" s="54"/>
      <c r="AN44" s="54"/>
      <c r="AO44" s="54"/>
      <c r="AP44" s="54"/>
      <c r="AQ44" s="54"/>
      <c r="AR44" s="54"/>
      <c r="AS44" s="54"/>
      <c r="AT44" s="54"/>
      <c r="AU44" s="55"/>
    </row>
    <row r="45" spans="9:47" s="105" customFormat="1">
      <c r="I45" s="561" t="s">
        <v>396</v>
      </c>
      <c r="R45" s="286"/>
      <c r="S45" s="287"/>
      <c r="T45" s="287"/>
      <c r="U45" s="287"/>
      <c r="V45" s="286"/>
      <c r="W45" s="287"/>
      <c r="X45" s="287"/>
      <c r="Y45" s="287"/>
      <c r="Z45" s="286"/>
      <c r="AA45" s="287"/>
      <c r="AB45" s="287"/>
      <c r="AC45" s="285"/>
      <c r="AD45" s="286"/>
      <c r="AE45" s="287"/>
      <c r="AF45" s="287"/>
      <c r="AG45" s="285"/>
      <c r="AI45" s="106"/>
      <c r="AJ45" s="192"/>
      <c r="AK45" s="111"/>
      <c r="AL45" s="111"/>
      <c r="AM45" s="111"/>
      <c r="AN45" s="118"/>
      <c r="AO45" s="118"/>
      <c r="AP45" s="118"/>
      <c r="AQ45" s="118"/>
      <c r="AR45" s="118"/>
      <c r="AS45" s="118"/>
      <c r="AT45" s="118"/>
      <c r="AU45" s="119"/>
    </row>
    <row r="46" spans="9:47" s="105" customFormat="1">
      <c r="I46" s="105" t="s">
        <v>391</v>
      </c>
      <c r="R46" s="286"/>
      <c r="S46" s="287"/>
      <c r="T46" s="287"/>
      <c r="U46" s="287"/>
      <c r="V46" s="286"/>
      <c r="W46" s="287"/>
      <c r="X46" s="287"/>
      <c r="Y46" s="287"/>
      <c r="Z46" s="286"/>
      <c r="AA46" s="287"/>
      <c r="AB46" s="287"/>
      <c r="AC46" s="285"/>
      <c r="AD46" s="286"/>
      <c r="AE46" s="287"/>
      <c r="AF46" s="287"/>
      <c r="AG46" s="285"/>
      <c r="AI46" s="106"/>
      <c r="AJ46" s="192"/>
      <c r="AK46" s="111"/>
      <c r="AL46" s="111"/>
      <c r="AM46" s="102">
        <v>400</v>
      </c>
      <c r="AN46" s="102">
        <v>400</v>
      </c>
      <c r="AO46" s="102">
        <v>400</v>
      </c>
      <c r="AP46" s="102">
        <v>400</v>
      </c>
      <c r="AQ46" s="102">
        <v>400</v>
      </c>
      <c r="AR46" s="556">
        <f>+AQ46</f>
        <v>400</v>
      </c>
      <c r="AS46" s="556">
        <f>+AR46</f>
        <v>400</v>
      </c>
      <c r="AT46" s="556">
        <f>+AS46</f>
        <v>400</v>
      </c>
      <c r="AU46" s="557">
        <f>+AT46</f>
        <v>400</v>
      </c>
    </row>
    <row r="47" spans="9:47" s="426" customFormat="1">
      <c r="I47" s="426" t="s">
        <v>392</v>
      </c>
      <c r="R47" s="666"/>
      <c r="S47" s="665"/>
      <c r="T47" s="665"/>
      <c r="U47" s="665"/>
      <c r="V47" s="666"/>
      <c r="W47" s="665"/>
      <c r="X47" s="665"/>
      <c r="Y47" s="665"/>
      <c r="Z47" s="666"/>
      <c r="AA47" s="665"/>
      <c r="AB47" s="665"/>
      <c r="AC47" s="667"/>
      <c r="AD47" s="666"/>
      <c r="AE47" s="287"/>
      <c r="AF47" s="287"/>
      <c r="AG47" s="285"/>
      <c r="AI47" s="555"/>
      <c r="AJ47" s="435"/>
      <c r="AK47" s="432"/>
      <c r="AL47" s="432"/>
      <c r="AM47" s="429">
        <v>50</v>
      </c>
      <c r="AN47" s="429">
        <v>125</v>
      </c>
      <c r="AO47" s="429">
        <v>200</v>
      </c>
      <c r="AP47" s="429">
        <v>275</v>
      </c>
      <c r="AQ47" s="429">
        <v>350</v>
      </c>
      <c r="AR47" s="559">
        <f>+AQ47+75</f>
        <v>425</v>
      </c>
      <c r="AS47" s="559">
        <f>+AR47+75</f>
        <v>500</v>
      </c>
      <c r="AT47" s="559">
        <f>+AS47+75</f>
        <v>575</v>
      </c>
      <c r="AU47" s="560">
        <f>+AT47+75</f>
        <v>650</v>
      </c>
    </row>
    <row r="48" spans="9:47" s="298" customFormat="1">
      <c r="I48" s="298" t="s">
        <v>393</v>
      </c>
      <c r="R48" s="335"/>
      <c r="S48" s="336"/>
      <c r="T48" s="336"/>
      <c r="U48" s="336"/>
      <c r="V48" s="335"/>
      <c r="W48" s="665"/>
      <c r="X48" s="665"/>
      <c r="Y48" s="635"/>
      <c r="Z48" s="335"/>
      <c r="AA48" s="336"/>
      <c r="AB48" s="336"/>
      <c r="AC48" s="635"/>
      <c r="AD48" s="335"/>
      <c r="AE48" s="287"/>
      <c r="AF48" s="287"/>
      <c r="AG48" s="285"/>
      <c r="AI48" s="317"/>
      <c r="AJ48" s="318"/>
      <c r="AK48" s="313"/>
      <c r="AL48" s="313"/>
      <c r="AM48" s="54">
        <f t="shared" ref="AM48:AU48" si="35">+SUM(AM46:AM47)</f>
        <v>450</v>
      </c>
      <c r="AN48" s="54">
        <f t="shared" si="35"/>
        <v>525</v>
      </c>
      <c r="AO48" s="54">
        <f t="shared" si="35"/>
        <v>600</v>
      </c>
      <c r="AP48" s="54">
        <f t="shared" si="35"/>
        <v>675</v>
      </c>
      <c r="AQ48" s="54">
        <f t="shared" si="35"/>
        <v>750</v>
      </c>
      <c r="AR48" s="54">
        <f t="shared" si="35"/>
        <v>825</v>
      </c>
      <c r="AS48" s="54">
        <f t="shared" si="35"/>
        <v>900</v>
      </c>
      <c r="AT48" s="54">
        <f t="shared" si="35"/>
        <v>975</v>
      </c>
      <c r="AU48" s="55">
        <f t="shared" si="35"/>
        <v>1050</v>
      </c>
    </row>
    <row r="49" spans="9:47" s="298" customFormat="1">
      <c r="I49" s="105" t="s">
        <v>227</v>
      </c>
      <c r="R49" s="335"/>
      <c r="S49" s="336"/>
      <c r="T49" s="336"/>
      <c r="U49" s="336"/>
      <c r="V49" s="335"/>
      <c r="W49" s="336"/>
      <c r="X49" s="336"/>
      <c r="Y49" s="336"/>
      <c r="Z49" s="335"/>
      <c r="AA49" s="336"/>
      <c r="AB49" s="336"/>
      <c r="AC49" s="635"/>
      <c r="AD49" s="335"/>
      <c r="AE49" s="287"/>
      <c r="AF49" s="287"/>
      <c r="AG49" s="285"/>
      <c r="AI49" s="317"/>
      <c r="AJ49" s="318"/>
      <c r="AK49" s="313"/>
      <c r="AL49" s="313"/>
      <c r="AM49" s="54"/>
      <c r="AN49" s="114">
        <f>+AN48/AM48-1</f>
        <v>0.16666666666666674</v>
      </c>
      <c r="AO49" s="114">
        <f t="shared" ref="AO49:AU49" si="36">+AO48/AN48-1</f>
        <v>0.14285714285714279</v>
      </c>
      <c r="AP49" s="114">
        <f t="shared" si="36"/>
        <v>0.125</v>
      </c>
      <c r="AQ49" s="114">
        <f t="shared" si="36"/>
        <v>0.11111111111111116</v>
      </c>
      <c r="AR49" s="114">
        <f t="shared" si="36"/>
        <v>0.10000000000000009</v>
      </c>
      <c r="AS49" s="114">
        <f t="shared" si="36"/>
        <v>9.0909090909090828E-2</v>
      </c>
      <c r="AT49" s="114">
        <f t="shared" si="36"/>
        <v>8.3333333333333259E-2</v>
      </c>
      <c r="AU49" s="115">
        <f t="shared" si="36"/>
        <v>7.6923076923076872E-2</v>
      </c>
    </row>
    <row r="50" spans="9:47" s="105" customFormat="1">
      <c r="I50" s="105" t="s">
        <v>395</v>
      </c>
      <c r="R50" s="286"/>
      <c r="S50" s="287"/>
      <c r="T50" s="287"/>
      <c r="U50" s="287"/>
      <c r="V50" s="286"/>
      <c r="W50" s="287"/>
      <c r="X50" s="287"/>
      <c r="Y50" s="287"/>
      <c r="Z50" s="286"/>
      <c r="AA50" s="287"/>
      <c r="AB50" s="287"/>
      <c r="AC50" s="285"/>
      <c r="AD50" s="286"/>
      <c r="AE50" s="287"/>
      <c r="AF50" s="287"/>
      <c r="AG50" s="285"/>
      <c r="AI50" s="106"/>
      <c r="AJ50" s="192"/>
      <c r="AK50" s="111"/>
      <c r="AL50" s="111"/>
      <c r="AM50" s="111"/>
      <c r="AN50" s="48">
        <f>+AN48-AM48</f>
        <v>75</v>
      </c>
      <c r="AO50" s="48">
        <f t="shared" ref="AO50:AU50" si="37">+AO48-AN48</f>
        <v>75</v>
      </c>
      <c r="AP50" s="48">
        <f t="shared" si="37"/>
        <v>75</v>
      </c>
      <c r="AQ50" s="48">
        <f t="shared" si="37"/>
        <v>75</v>
      </c>
      <c r="AR50" s="48">
        <f t="shared" si="37"/>
        <v>75</v>
      </c>
      <c r="AS50" s="48">
        <f t="shared" si="37"/>
        <v>75</v>
      </c>
      <c r="AT50" s="48">
        <f t="shared" si="37"/>
        <v>75</v>
      </c>
      <c r="AU50" s="49">
        <f t="shared" si="37"/>
        <v>75</v>
      </c>
    </row>
    <row r="51" spans="9:47" s="298" customFormat="1">
      <c r="I51" s="298" t="s">
        <v>394</v>
      </c>
      <c r="R51" s="335"/>
      <c r="S51" s="336"/>
      <c r="T51" s="336"/>
      <c r="U51" s="336"/>
      <c r="V51" s="335"/>
      <c r="W51" s="336"/>
      <c r="X51" s="336"/>
      <c r="Y51" s="336"/>
      <c r="Z51" s="335"/>
      <c r="AA51" s="336"/>
      <c r="AB51" s="336"/>
      <c r="AC51" s="635"/>
      <c r="AD51" s="335"/>
      <c r="AE51" s="287"/>
      <c r="AF51" s="287"/>
      <c r="AG51" s="285"/>
      <c r="AI51" s="317"/>
      <c r="AJ51" s="318"/>
      <c r="AK51" s="313"/>
      <c r="AL51" s="313"/>
      <c r="AM51" s="54">
        <f t="shared" ref="AM51:AU51" si="38">+AM32-AM48</f>
        <v>7</v>
      </c>
      <c r="AN51" s="54">
        <f t="shared" si="38"/>
        <v>39.979029680260965</v>
      </c>
      <c r="AO51" s="54">
        <f t="shared" si="38"/>
        <v>73.798829328881766</v>
      </c>
      <c r="AP51" s="54">
        <f t="shared" si="38"/>
        <v>111.89550065084143</v>
      </c>
      <c r="AQ51" s="54">
        <f t="shared" si="38"/>
        <v>135.48053754883881</v>
      </c>
      <c r="AR51" s="54">
        <f t="shared" si="38"/>
        <v>156.79396106236015</v>
      </c>
      <c r="AS51" s="54">
        <f t="shared" si="38"/>
        <v>175.90510974203221</v>
      </c>
      <c r="AT51" s="54">
        <f t="shared" si="38"/>
        <v>193.11960780320487</v>
      </c>
      <c r="AU51" s="55">
        <f t="shared" si="38"/>
        <v>211.64942614338656</v>
      </c>
    </row>
    <row r="52" spans="9:47" s="105" customFormat="1">
      <c r="R52" s="202"/>
      <c r="S52" s="203"/>
      <c r="T52" s="203"/>
      <c r="U52" s="203"/>
      <c r="V52" s="202"/>
      <c r="W52" s="203"/>
      <c r="X52" s="203"/>
      <c r="Y52" s="203"/>
      <c r="Z52" s="202"/>
      <c r="AA52" s="203"/>
      <c r="AB52" s="203"/>
      <c r="AC52" s="204"/>
      <c r="AD52" s="202"/>
      <c r="AE52" s="203"/>
      <c r="AF52" s="203"/>
      <c r="AG52" s="204"/>
      <c r="AI52" s="106"/>
      <c r="AJ52" s="192"/>
      <c r="AK52" s="111"/>
      <c r="AL52" s="111"/>
      <c r="AM52" s="111"/>
      <c r="AN52" s="111"/>
      <c r="AO52" s="118"/>
      <c r="AP52" s="118"/>
      <c r="AQ52" s="118"/>
      <c r="AR52" s="118"/>
      <c r="AS52" s="118"/>
      <c r="AT52" s="118"/>
      <c r="AU52" s="119"/>
    </row>
    <row r="53" spans="9:47" s="394" customFormat="1">
      <c r="I53" s="11" t="s">
        <v>314</v>
      </c>
      <c r="R53" s="395"/>
      <c r="S53" s="396"/>
      <c r="T53" s="396"/>
      <c r="U53" s="396"/>
      <c r="V53" s="395"/>
      <c r="W53" s="396"/>
      <c r="X53" s="396"/>
      <c r="Y53" s="396"/>
      <c r="Z53" s="395"/>
      <c r="AA53" s="396"/>
      <c r="AB53" s="396"/>
      <c r="AC53" s="397"/>
      <c r="AD53" s="395"/>
      <c r="AE53" s="396"/>
      <c r="AF53" s="396"/>
      <c r="AG53" s="397"/>
      <c r="AI53" s="398"/>
      <c r="AJ53" s="399"/>
      <c r="AK53" s="400"/>
      <c r="AL53" s="400"/>
      <c r="AM53" s="400"/>
      <c r="AN53" s="400"/>
      <c r="AO53" s="400"/>
      <c r="AP53" s="400"/>
      <c r="AQ53" s="400"/>
      <c r="AR53" s="400"/>
      <c r="AS53" s="400"/>
      <c r="AT53" s="400"/>
      <c r="AU53" s="401"/>
    </row>
    <row r="54" spans="9:47" s="403" customFormat="1">
      <c r="I54" s="402"/>
      <c r="R54" s="404"/>
      <c r="S54" s="405"/>
      <c r="T54" s="405"/>
      <c r="U54" s="405"/>
      <c r="V54" s="404"/>
      <c r="W54" s="405"/>
      <c r="X54" s="405"/>
      <c r="Y54" s="405"/>
      <c r="Z54" s="404"/>
      <c r="AA54" s="405"/>
      <c r="AB54" s="405"/>
      <c r="AC54" s="406"/>
      <c r="AD54" s="404"/>
      <c r="AE54" s="405"/>
      <c r="AF54" s="405"/>
      <c r="AG54" s="406"/>
      <c r="AI54" s="407"/>
      <c r="AJ54" s="408"/>
      <c r="AK54" s="409"/>
      <c r="AL54" s="409"/>
      <c r="AM54" s="637"/>
      <c r="AN54" s="637"/>
      <c r="AO54" s="645"/>
      <c r="AP54" s="645"/>
      <c r="AQ54" s="409"/>
      <c r="AR54" s="409"/>
      <c r="AS54" s="409"/>
      <c r="AT54" s="409"/>
      <c r="AU54" s="410"/>
    </row>
    <row r="55" spans="9:47" s="403" customFormat="1">
      <c r="I55" s="411" t="s">
        <v>331</v>
      </c>
      <c r="R55" s="404"/>
      <c r="S55" s="405"/>
      <c r="T55" s="405"/>
      <c r="U55" s="405"/>
      <c r="V55" s="109">
        <v>7</v>
      </c>
      <c r="W55" s="107">
        <v>10</v>
      </c>
      <c r="X55" s="107">
        <v>19</v>
      </c>
      <c r="Y55" s="27">
        <v>22</v>
      </c>
      <c r="Z55" s="25">
        <f t="shared" ref="Z55:AG55" si="39">+Z79</f>
        <v>23</v>
      </c>
      <c r="AA55" s="26">
        <f>+AA79</f>
        <v>23</v>
      </c>
      <c r="AB55" s="26">
        <f>+AB79</f>
        <v>22</v>
      </c>
      <c r="AC55" s="26">
        <f t="shared" si="39"/>
        <v>28</v>
      </c>
      <c r="AD55" s="25">
        <f t="shared" si="39"/>
        <v>25.648818084447292</v>
      </c>
      <c r="AE55" s="26">
        <f t="shared" si="39"/>
        <v>31.862153955469687</v>
      </c>
      <c r="AF55" s="26">
        <f t="shared" si="39"/>
        <v>40.92</v>
      </c>
      <c r="AG55" s="27">
        <f t="shared" si="39"/>
        <v>51.36</v>
      </c>
      <c r="AH55" s="298"/>
      <c r="AI55" s="317"/>
      <c r="AJ55" s="318"/>
      <c r="AK55" s="313"/>
      <c r="AL55" s="48">
        <f>+SUM(V55:Y55)</f>
        <v>58</v>
      </c>
      <c r="AM55" s="48">
        <f>+SUM(Z55:AC55)</f>
        <v>96</v>
      </c>
      <c r="AN55" s="48">
        <f>SUM(AD55:AG55)</f>
        <v>149.79097203991699</v>
      </c>
      <c r="AO55" s="48">
        <f>+AO79</f>
        <v>236.32377498274408</v>
      </c>
      <c r="AP55" s="48">
        <f t="shared" ref="AP55:AU55" si="40">+AP79</f>
        <v>347.80493713686388</v>
      </c>
      <c r="AQ55" s="48">
        <f t="shared" si="40"/>
        <v>488.05463182069371</v>
      </c>
      <c r="AR55" s="48">
        <f>+AR79</f>
        <v>655.24268601619713</v>
      </c>
      <c r="AS55" s="48">
        <f t="shared" si="40"/>
        <v>838.24521780405291</v>
      </c>
      <c r="AT55" s="48">
        <f t="shared" si="40"/>
        <v>1029.8227760939264</v>
      </c>
      <c r="AU55" s="49">
        <f t="shared" si="40"/>
        <v>1230.5705009596884</v>
      </c>
    </row>
    <row r="56" spans="9:47" s="105" customFormat="1">
      <c r="I56" s="163" t="s">
        <v>332</v>
      </c>
      <c r="R56" s="202"/>
      <c r="S56" s="203"/>
      <c r="T56" s="203"/>
      <c r="U56" s="203"/>
      <c r="V56" s="109">
        <f>+V85</f>
        <v>0</v>
      </c>
      <c r="W56" s="107">
        <f t="shared" ref="W56:AG56" si="41">+W85</f>
        <v>0</v>
      </c>
      <c r="X56" s="107">
        <f t="shared" si="41"/>
        <v>0</v>
      </c>
      <c r="Y56" s="27">
        <f t="shared" si="41"/>
        <v>4.5820000000000292</v>
      </c>
      <c r="Z56" s="25">
        <f t="shared" si="41"/>
        <v>8.3000000000000025</v>
      </c>
      <c r="AA56" s="26">
        <f t="shared" si="41"/>
        <v>5.4</v>
      </c>
      <c r="AB56" s="26">
        <f t="shared" ref="AB56" si="42">+AB85</f>
        <v>3.6</v>
      </c>
      <c r="AC56" s="26">
        <f t="shared" si="41"/>
        <v>4.7145190980062495</v>
      </c>
      <c r="AD56" s="25">
        <f t="shared" si="41"/>
        <v>2.5229048146087498</v>
      </c>
      <c r="AE56" s="26">
        <f t="shared" si="41"/>
        <v>4.7634062849999994</v>
      </c>
      <c r="AF56" s="26">
        <f t="shared" si="41"/>
        <v>3.1596463799999999</v>
      </c>
      <c r="AG56" s="27">
        <f t="shared" si="41"/>
        <v>4.1170438496487289</v>
      </c>
      <c r="AH56" s="298"/>
      <c r="AI56" s="317"/>
      <c r="AJ56" s="318"/>
      <c r="AK56" s="313"/>
      <c r="AL56" s="48">
        <f>+SUM(V56:Y56)</f>
        <v>4.5820000000000292</v>
      </c>
      <c r="AM56" s="48">
        <f>+SUM(Z56:AC56)</f>
        <v>22.014519098006254</v>
      </c>
      <c r="AN56" s="48">
        <f>SUM(AD56:AG56)</f>
        <v>14.563001329257478</v>
      </c>
      <c r="AO56" s="48">
        <f>+AO85</f>
        <v>7.2041887272019274</v>
      </c>
      <c r="AP56" s="48">
        <f t="shared" ref="AP56:AU56" si="43">+AP85</f>
        <v>7.2041887272019274</v>
      </c>
      <c r="AQ56" s="48">
        <f t="shared" si="43"/>
        <v>7.2041887272019274</v>
      </c>
      <c r="AR56" s="48">
        <f t="shared" si="43"/>
        <v>7.2041887272019274</v>
      </c>
      <c r="AS56" s="48">
        <f t="shared" si="43"/>
        <v>7.2041887272019274</v>
      </c>
      <c r="AT56" s="48">
        <f t="shared" si="43"/>
        <v>7.2041887272019274</v>
      </c>
      <c r="AU56" s="49">
        <f t="shared" si="43"/>
        <v>7.2041887272019274</v>
      </c>
    </row>
    <row r="57" spans="9:47" s="105" customFormat="1" ht="13.5">
      <c r="I57" s="412" t="s">
        <v>222</v>
      </c>
      <c r="R57" s="202"/>
      <c r="S57" s="203"/>
      <c r="T57" s="203"/>
      <c r="U57" s="203"/>
      <c r="V57" s="467">
        <f t="shared" ref="V57:AA57" si="44">+V58-V56-V55</f>
        <v>5.7729999999999961</v>
      </c>
      <c r="W57" s="468">
        <f t="shared" si="44"/>
        <v>5.757000000000005</v>
      </c>
      <c r="X57" s="468">
        <f t="shared" si="44"/>
        <v>11.780000000000001</v>
      </c>
      <c r="Y57" s="469">
        <f t="shared" si="44"/>
        <v>13.767999999999965</v>
      </c>
      <c r="Z57" s="470">
        <f t="shared" si="44"/>
        <v>33.058</v>
      </c>
      <c r="AA57" s="471">
        <f t="shared" si="44"/>
        <v>17.747999999999998</v>
      </c>
      <c r="AB57" s="471">
        <f t="shared" ref="AB57" si="45">+AB58-AB56-AB55</f>
        <v>64.110000000000014</v>
      </c>
      <c r="AC57" s="471">
        <f>+AC58-AC56-AC55</f>
        <v>27.53148090199376</v>
      </c>
      <c r="AD57" s="470">
        <f t="shared" ref="AD57:AG57" si="46">+AD58-AD56-AD55</f>
        <v>21.628277100943961</v>
      </c>
      <c r="AE57" s="471">
        <f t="shared" si="46"/>
        <v>31.22443975953032</v>
      </c>
      <c r="AF57" s="471">
        <f t="shared" si="46"/>
        <v>41.17035362</v>
      </c>
      <c r="AG57" s="469">
        <f t="shared" si="46"/>
        <v>38.682956150351274</v>
      </c>
      <c r="AH57" s="298"/>
      <c r="AI57" s="317"/>
      <c r="AJ57" s="318"/>
      <c r="AK57" s="313"/>
      <c r="AL57" s="341">
        <f>+SUM(V57:Y57)</f>
        <v>37.077999999999967</v>
      </c>
      <c r="AM57" s="341">
        <f>+SUM(Z57:AC57)</f>
        <v>142.44748090199377</v>
      </c>
      <c r="AN57" s="341">
        <f>SUM(AD57:AG57)</f>
        <v>132.70602663082553</v>
      </c>
      <c r="AO57" s="499">
        <f>+AN57*1.05</f>
        <v>139.34132796236682</v>
      </c>
      <c r="AP57" s="499">
        <f>+AO57*1.1</f>
        <v>153.27546075860351</v>
      </c>
      <c r="AQ57" s="499">
        <f t="shared" ref="AQ57:AU57" si="47">+AP57*1.1</f>
        <v>168.60300683446388</v>
      </c>
      <c r="AR57" s="499">
        <f t="shared" si="47"/>
        <v>185.46330751791029</v>
      </c>
      <c r="AS57" s="499">
        <f t="shared" si="47"/>
        <v>204.00963826970133</v>
      </c>
      <c r="AT57" s="499">
        <f t="shared" si="47"/>
        <v>224.41060209667148</v>
      </c>
      <c r="AU57" s="510">
        <f t="shared" si="47"/>
        <v>246.85166230633865</v>
      </c>
    </row>
    <row r="58" spans="9:47" s="298" customFormat="1">
      <c r="I58" s="298" t="s">
        <v>314</v>
      </c>
      <c r="R58" s="319"/>
      <c r="S58" s="320"/>
      <c r="T58" s="320"/>
      <c r="U58" s="320"/>
      <c r="V58" s="335">
        <f t="shared" ref="V58:AA58" si="48">+V9-V32</f>
        <v>12.772999999999996</v>
      </c>
      <c r="W58" s="336">
        <f t="shared" si="48"/>
        <v>15.757000000000005</v>
      </c>
      <c r="X58" s="336">
        <f t="shared" si="48"/>
        <v>30.78</v>
      </c>
      <c r="Y58" s="635">
        <f t="shared" si="48"/>
        <v>40.349999999999994</v>
      </c>
      <c r="Z58" s="335">
        <f>+Z9-Z32</f>
        <v>64.358000000000004</v>
      </c>
      <c r="AA58" s="336">
        <f t="shared" si="48"/>
        <v>46.147999999999996</v>
      </c>
      <c r="AB58" s="336">
        <f t="shared" ref="AB58:AC58" si="49">+AB9-AB32</f>
        <v>89.710000000000008</v>
      </c>
      <c r="AC58" s="675">
        <f t="shared" si="49"/>
        <v>60.246000000000009</v>
      </c>
      <c r="AD58" s="36">
        <f t="shared" ref="AD58:AG58" si="50">+AD5*AD59</f>
        <v>49.800000000000004</v>
      </c>
      <c r="AE58" s="37">
        <f t="shared" si="50"/>
        <v>67.850000000000009</v>
      </c>
      <c r="AF58" s="37">
        <f t="shared" si="50"/>
        <v>85.25</v>
      </c>
      <c r="AG58" s="38">
        <f t="shared" si="50"/>
        <v>94.16</v>
      </c>
      <c r="AI58" s="317"/>
      <c r="AJ58" s="318"/>
      <c r="AK58" s="313"/>
      <c r="AL58" s="54">
        <f>SUM(V58:Y58)</f>
        <v>99.66</v>
      </c>
      <c r="AM58" s="54">
        <f>SUM(Z58:AC58)</f>
        <v>260.46199999999999</v>
      </c>
      <c r="AN58" s="54">
        <f>SUM(AD58:AG58)</f>
        <v>297.06</v>
      </c>
      <c r="AO58" s="54">
        <f>+SUM(AO55:AO57)</f>
        <v>382.86929167231284</v>
      </c>
      <c r="AP58" s="54">
        <f t="shared" ref="AP58:AU58" si="51">+SUM(AP55:AP57)</f>
        <v>508.28458662266934</v>
      </c>
      <c r="AQ58" s="54">
        <f t="shared" si="51"/>
        <v>663.86182738235948</v>
      </c>
      <c r="AR58" s="54">
        <f t="shared" si="51"/>
        <v>847.91018226130927</v>
      </c>
      <c r="AS58" s="54">
        <f t="shared" si="51"/>
        <v>1049.4590448009562</v>
      </c>
      <c r="AT58" s="54">
        <f t="shared" si="51"/>
        <v>1261.4375669177998</v>
      </c>
      <c r="AU58" s="55">
        <f t="shared" si="51"/>
        <v>1484.626351993229</v>
      </c>
    </row>
    <row r="59" spans="9:47" s="105" customFormat="1">
      <c r="I59" s="105" t="s">
        <v>183</v>
      </c>
      <c r="R59" s="106"/>
      <c r="S59" s="192"/>
      <c r="T59" s="192"/>
      <c r="U59" s="192"/>
      <c r="V59" s="110">
        <f t="shared" ref="V59:AC59" si="52">V58/V5</f>
        <v>0.32921800092788278</v>
      </c>
      <c r="W59" s="116">
        <f t="shared" si="52"/>
        <v>0.21946293768628658</v>
      </c>
      <c r="X59" s="116">
        <f t="shared" si="52"/>
        <v>0.24008611275779226</v>
      </c>
      <c r="Y59" s="116">
        <f t="shared" si="52"/>
        <v>0.24353882739223329</v>
      </c>
      <c r="Z59" s="110">
        <f t="shared" si="52"/>
        <v>0.43006254677643541</v>
      </c>
      <c r="AA59" s="116">
        <f t="shared" si="52"/>
        <v>0.25401962888958612</v>
      </c>
      <c r="AB59" s="116">
        <f t="shared" ref="AB59" si="53">AB58/AB5</f>
        <v>0.43142875005410292</v>
      </c>
      <c r="AC59" s="116">
        <f t="shared" si="52"/>
        <v>0.2108767103149185</v>
      </c>
      <c r="AD59" s="252">
        <v>0.2</v>
      </c>
      <c r="AE59" s="68">
        <v>0.23</v>
      </c>
      <c r="AF59" s="68">
        <v>0.25</v>
      </c>
      <c r="AG59" s="69">
        <v>0.22</v>
      </c>
      <c r="AH59" s="193"/>
      <c r="AI59" s="192"/>
      <c r="AL59" s="116">
        <f t="shared" ref="AL59:AU59" si="54">AL58/AL5</f>
        <v>0.24638920891411734</v>
      </c>
      <c r="AM59" s="116">
        <f t="shared" si="54"/>
        <v>0.31573103306992312</v>
      </c>
      <c r="AN59" s="116">
        <f t="shared" si="54"/>
        <v>0.22624523990860626</v>
      </c>
      <c r="AO59" s="116">
        <f t="shared" si="54"/>
        <v>0.19441258080797122</v>
      </c>
      <c r="AP59" s="116">
        <f t="shared" si="54"/>
        <v>0.18121447400963511</v>
      </c>
      <c r="AQ59" s="116">
        <f t="shared" si="54"/>
        <v>0.17410820093632612</v>
      </c>
      <c r="AR59" s="116">
        <f t="shared" si="54"/>
        <v>0.17081326727808169</v>
      </c>
      <c r="AS59" s="116">
        <f t="shared" si="54"/>
        <v>0.17026811136105235</v>
      </c>
      <c r="AT59" s="116">
        <f t="shared" si="54"/>
        <v>0.17148703977817717</v>
      </c>
      <c r="AU59" s="112">
        <f t="shared" si="54"/>
        <v>0.17372933490628858</v>
      </c>
    </row>
    <row r="60" spans="9:47" s="105" customFormat="1">
      <c r="I60" s="105" t="s">
        <v>225</v>
      </c>
      <c r="R60" s="110"/>
      <c r="S60" s="111"/>
      <c r="T60" s="111"/>
      <c r="U60" s="111"/>
      <c r="V60" s="202"/>
      <c r="W60" s="203"/>
      <c r="X60" s="203"/>
      <c r="Y60" s="203"/>
      <c r="Z60" s="202"/>
      <c r="AA60" s="203"/>
      <c r="AB60" s="203"/>
      <c r="AC60" s="204"/>
      <c r="AD60" s="202">
        <f>+(AD59-Z59)*10000</f>
        <v>-2300.6254677643537</v>
      </c>
      <c r="AE60" s="203">
        <f>+(AE59-AA59)*10000</f>
        <v>-240.19628889586113</v>
      </c>
      <c r="AF60" s="203">
        <f>+(AF59-AB59)*10000</f>
        <v>-1814.2875005410292</v>
      </c>
      <c r="AG60" s="204">
        <f>+(AG59-AC59)*10000</f>
        <v>91.232896850814981</v>
      </c>
      <c r="AH60" s="193"/>
      <c r="AI60" s="192"/>
      <c r="AJ60" s="192"/>
      <c r="AK60" s="111"/>
      <c r="AL60" s="203"/>
      <c r="AM60" s="203">
        <f t="shared" ref="AM60:AU60" si="55">+(AM59-AL59)*10000</f>
        <v>693.41824155805784</v>
      </c>
      <c r="AN60" s="203">
        <f t="shared" si="55"/>
        <v>-894.8579316131686</v>
      </c>
      <c r="AO60" s="203">
        <f t="shared" si="55"/>
        <v>-318.32659100635044</v>
      </c>
      <c r="AP60" s="203">
        <f t="shared" si="55"/>
        <v>-131.98106798336107</v>
      </c>
      <c r="AQ60" s="203">
        <f t="shared" si="55"/>
        <v>-71.062730733089936</v>
      </c>
      <c r="AR60" s="203">
        <f t="shared" si="55"/>
        <v>-32.94933658244431</v>
      </c>
      <c r="AS60" s="203">
        <f t="shared" si="55"/>
        <v>-5.4515591702933293</v>
      </c>
      <c r="AT60" s="203">
        <f t="shared" si="55"/>
        <v>12.189284171248149</v>
      </c>
      <c r="AU60" s="204">
        <f t="shared" si="55"/>
        <v>22.422951281114155</v>
      </c>
    </row>
    <row r="61" spans="9:47" s="105" customFormat="1">
      <c r="I61" s="105" t="s">
        <v>226</v>
      </c>
      <c r="R61" s="202"/>
      <c r="S61" s="203"/>
      <c r="T61" s="203"/>
      <c r="U61" s="203"/>
      <c r="V61" s="202"/>
      <c r="W61" s="203"/>
      <c r="X61" s="203"/>
      <c r="Y61" s="203"/>
      <c r="Z61" s="202">
        <f t="shared" ref="Z61:AG61" si="56">+(Z59-Y59)*10000</f>
        <v>1865.2371938420213</v>
      </c>
      <c r="AA61" s="203">
        <f t="shared" si="56"/>
        <v>-1760.4291788684927</v>
      </c>
      <c r="AB61" s="203">
        <f t="shared" si="56"/>
        <v>1774.091211645168</v>
      </c>
      <c r="AC61" s="204">
        <f t="shared" si="56"/>
        <v>-2205.5203973918442</v>
      </c>
      <c r="AD61" s="202">
        <f t="shared" si="56"/>
        <v>-108.76710314918492</v>
      </c>
      <c r="AE61" s="203">
        <f t="shared" si="56"/>
        <v>300</v>
      </c>
      <c r="AF61" s="203">
        <f t="shared" si="56"/>
        <v>199.99999999999989</v>
      </c>
      <c r="AG61" s="204">
        <f t="shared" si="56"/>
        <v>-300</v>
      </c>
      <c r="AH61" s="193"/>
      <c r="AI61" s="192"/>
      <c r="AJ61" s="192"/>
      <c r="AK61" s="111"/>
      <c r="AL61" s="111"/>
      <c r="AM61" s="111"/>
      <c r="AN61" s="111"/>
      <c r="AO61" s="118"/>
      <c r="AP61" s="118"/>
      <c r="AQ61" s="118"/>
      <c r="AR61" s="118"/>
      <c r="AS61" s="118"/>
      <c r="AT61" s="118"/>
      <c r="AU61" s="119"/>
    </row>
    <row r="62" spans="9:47">
      <c r="I62" s="1" t="s">
        <v>86</v>
      </c>
      <c r="R62" s="101"/>
      <c r="S62" s="203"/>
      <c r="T62" s="203"/>
      <c r="U62" s="102"/>
      <c r="V62" s="202"/>
      <c r="W62" s="203"/>
      <c r="X62" s="203"/>
      <c r="Y62" s="249" t="s">
        <v>252</v>
      </c>
      <c r="Z62" s="250">
        <f>+Z58-V58</f>
        <v>51.585000000000008</v>
      </c>
      <c r="AA62" s="249">
        <f t="shared" ref="AA62:AG62" si="57">+AA58-W58</f>
        <v>30.390999999999991</v>
      </c>
      <c r="AB62" s="249">
        <f t="shared" si="57"/>
        <v>58.930000000000007</v>
      </c>
      <c r="AC62" s="251">
        <f t="shared" si="57"/>
        <v>19.896000000000015</v>
      </c>
      <c r="AD62" s="249">
        <f t="shared" si="57"/>
        <v>-14.558</v>
      </c>
      <c r="AE62" s="249">
        <f t="shared" si="57"/>
        <v>21.702000000000012</v>
      </c>
      <c r="AF62" s="249">
        <f t="shared" si="57"/>
        <v>-4.460000000000008</v>
      </c>
      <c r="AG62" s="251">
        <f t="shared" si="57"/>
        <v>33.913999999999987</v>
      </c>
      <c r="AH62" s="24"/>
      <c r="AI62" s="23"/>
      <c r="AJ62" s="23"/>
      <c r="AK62" s="225"/>
      <c r="AL62" s="48"/>
      <c r="AM62" s="48">
        <f t="shared" ref="AM62:AU62" si="58">+AM58-AL58</f>
        <v>160.80199999999999</v>
      </c>
      <c r="AN62" s="48">
        <f t="shared" si="58"/>
        <v>36.598000000000013</v>
      </c>
      <c r="AO62" s="48">
        <f t="shared" si="58"/>
        <v>85.809291672312838</v>
      </c>
      <c r="AP62" s="48">
        <f t="shared" si="58"/>
        <v>125.4152949503565</v>
      </c>
      <c r="AQ62" s="48">
        <f t="shared" si="58"/>
        <v>155.57724075969014</v>
      </c>
      <c r="AR62" s="48">
        <f t="shared" si="58"/>
        <v>184.04835487894979</v>
      </c>
      <c r="AS62" s="48">
        <f t="shared" si="58"/>
        <v>201.54886253964696</v>
      </c>
      <c r="AT62" s="48">
        <f t="shared" si="58"/>
        <v>211.97852211684358</v>
      </c>
      <c r="AU62" s="49">
        <f t="shared" si="58"/>
        <v>223.18878507542922</v>
      </c>
    </row>
    <row r="63" spans="9:47">
      <c r="I63" s="1" t="s">
        <v>87</v>
      </c>
      <c r="R63" s="101"/>
      <c r="S63" s="203"/>
      <c r="T63" s="203"/>
      <c r="U63" s="102"/>
      <c r="V63" s="202"/>
      <c r="W63" s="203"/>
      <c r="X63" s="203"/>
      <c r="Y63" s="27">
        <f t="shared" ref="Y63:AG63" si="59">+Y58-X58</f>
        <v>9.5699999999999932</v>
      </c>
      <c r="Z63" s="25">
        <f t="shared" si="59"/>
        <v>24.00800000000001</v>
      </c>
      <c r="AA63" s="26">
        <f t="shared" si="59"/>
        <v>-18.210000000000008</v>
      </c>
      <c r="AB63" s="26">
        <f t="shared" si="59"/>
        <v>43.562000000000012</v>
      </c>
      <c r="AC63" s="27">
        <f t="shared" si="59"/>
        <v>-29.463999999999999</v>
      </c>
      <c r="AD63" s="25">
        <f t="shared" si="59"/>
        <v>-10.446000000000005</v>
      </c>
      <c r="AE63" s="26">
        <f t="shared" si="59"/>
        <v>18.050000000000004</v>
      </c>
      <c r="AF63" s="26">
        <f t="shared" si="59"/>
        <v>17.399999999999991</v>
      </c>
      <c r="AG63" s="27">
        <f t="shared" si="59"/>
        <v>8.9099999999999966</v>
      </c>
      <c r="AH63" s="367"/>
      <c r="AI63" s="23"/>
      <c r="AJ63" s="23"/>
      <c r="AK63" s="37"/>
      <c r="AL63" s="37"/>
      <c r="AM63" s="23"/>
      <c r="AN63" s="23"/>
      <c r="AO63" s="23"/>
      <c r="AP63" s="23"/>
      <c r="AQ63" s="23"/>
      <c r="AR63" s="23"/>
      <c r="AS63" s="23"/>
      <c r="AT63" s="23"/>
      <c r="AU63" s="24"/>
    </row>
    <row r="64" spans="9:47" s="105" customFormat="1">
      <c r="I64" s="105" t="s">
        <v>233</v>
      </c>
      <c r="R64" s="202"/>
      <c r="S64" s="203"/>
      <c r="T64" s="203"/>
      <c r="U64" s="102"/>
      <c r="V64" s="202"/>
      <c r="W64" s="203"/>
      <c r="X64" s="203"/>
      <c r="Y64" s="114">
        <f>+Y58/Y9</f>
        <v>0.26312357352461685</v>
      </c>
      <c r="Z64" s="110">
        <f t="shared" ref="Z64:AG64" si="60">Z58/Z9</f>
        <v>0.39396907405820347</v>
      </c>
      <c r="AA64" s="111">
        <f t="shared" si="60"/>
        <v>0.3033099350632279</v>
      </c>
      <c r="AB64" s="111">
        <f t="shared" ref="AB64" si="61">AB58/AB9</f>
        <v>0.42575103222438426</v>
      </c>
      <c r="AC64" s="112">
        <f t="shared" si="60"/>
        <v>0.31501835332503692</v>
      </c>
      <c r="AD64" s="110">
        <f t="shared" si="60"/>
        <v>0.29083070604863703</v>
      </c>
      <c r="AE64" s="111">
        <f t="shared" si="60"/>
        <v>0.34084197275690375</v>
      </c>
      <c r="AF64" s="111">
        <f t="shared" si="60"/>
        <v>0.36058397166253298</v>
      </c>
      <c r="AG64" s="112">
        <f t="shared" si="60"/>
        <v>0.36879573345446698</v>
      </c>
      <c r="AH64" s="366"/>
      <c r="AI64" s="192"/>
      <c r="AJ64" s="192"/>
      <c r="AK64" s="111"/>
      <c r="AL64" s="111"/>
      <c r="AM64" s="111">
        <f t="shared" ref="AM64:AU64" si="62">+AM58/AM9</f>
        <v>0.36303246722474497</v>
      </c>
      <c r="AN64" s="111">
        <f t="shared" si="62"/>
        <v>0.34460156648612833</v>
      </c>
      <c r="AO64" s="111">
        <f t="shared" si="62"/>
        <v>0.36233637039181577</v>
      </c>
      <c r="AP64" s="111">
        <f t="shared" si="62"/>
        <v>0.39244317575377602</v>
      </c>
      <c r="AQ64" s="111">
        <f t="shared" si="62"/>
        <v>0.42847974883320228</v>
      </c>
      <c r="AR64" s="111">
        <f t="shared" si="62"/>
        <v>0.46341381766839906</v>
      </c>
      <c r="AS64" s="111">
        <f t="shared" si="62"/>
        <v>0.49377846264967185</v>
      </c>
      <c r="AT64" s="111">
        <f t="shared" si="62"/>
        <v>0.51920472588287847</v>
      </c>
      <c r="AU64" s="112">
        <f t="shared" si="62"/>
        <v>0.54059623720694494</v>
      </c>
    </row>
    <row r="65" spans="9:47" s="105" customFormat="1">
      <c r="R65" s="202"/>
      <c r="S65" s="203"/>
      <c r="T65" s="203"/>
      <c r="U65" s="102"/>
      <c r="V65" s="202"/>
      <c r="W65" s="203"/>
      <c r="X65" s="203"/>
      <c r="Y65" s="118"/>
      <c r="Z65" s="110"/>
      <c r="AA65" s="111"/>
      <c r="AB65" s="111"/>
      <c r="AC65" s="112"/>
      <c r="AD65" s="110"/>
      <c r="AE65" s="111"/>
      <c r="AF65" s="111"/>
      <c r="AG65" s="112"/>
      <c r="AH65" s="366"/>
      <c r="AI65" s="192"/>
      <c r="AJ65" s="192"/>
      <c r="AK65" s="111"/>
      <c r="AL65" s="111"/>
      <c r="AM65" s="111"/>
      <c r="AN65" s="111"/>
      <c r="AO65" s="111"/>
      <c r="AP65" s="111"/>
      <c r="AQ65" s="111"/>
      <c r="AR65" s="111"/>
      <c r="AS65" s="111"/>
      <c r="AT65" s="111"/>
      <c r="AU65" s="112"/>
    </row>
    <row r="66" spans="9:47" s="105" customFormat="1">
      <c r="I66" s="298" t="s">
        <v>120</v>
      </c>
      <c r="R66" s="202"/>
      <c r="S66" s="203"/>
      <c r="T66" s="203"/>
      <c r="U66" s="102"/>
      <c r="V66" s="202"/>
      <c r="W66" s="203"/>
      <c r="X66" s="203"/>
      <c r="Y66" s="118"/>
      <c r="Z66" s="110"/>
      <c r="AA66" s="111"/>
      <c r="AB66" s="111"/>
      <c r="AC66" s="112"/>
      <c r="AD66" s="110"/>
      <c r="AE66" s="111"/>
      <c r="AF66" s="111"/>
      <c r="AG66" s="112"/>
      <c r="AH66" s="366"/>
      <c r="AI66" s="192"/>
      <c r="AJ66" s="192"/>
      <c r="AK66" s="111"/>
      <c r="AL66" s="111"/>
      <c r="AM66" s="111"/>
      <c r="AN66" s="111"/>
      <c r="AO66" s="111"/>
      <c r="AP66" s="111"/>
      <c r="AQ66" s="111"/>
      <c r="AR66" s="111"/>
      <c r="AS66" s="111"/>
      <c r="AT66" s="111"/>
      <c r="AU66" s="112"/>
    </row>
    <row r="67" spans="9:47" s="105" customFormat="1">
      <c r="I67" s="411" t="s">
        <v>331</v>
      </c>
      <c r="R67" s="202"/>
      <c r="S67" s="203"/>
      <c r="T67" s="203"/>
      <c r="U67" s="102"/>
      <c r="V67" s="202"/>
      <c r="W67" s="203"/>
      <c r="X67" s="203"/>
      <c r="Y67" s="118"/>
      <c r="Z67" s="110">
        <f>+Z55/V55-1</f>
        <v>2.2857142857142856</v>
      </c>
      <c r="AA67" s="111">
        <f t="shared" ref="AA67:AG67" si="63">+AA55/W55-1</f>
        <v>1.2999999999999998</v>
      </c>
      <c r="AB67" s="111">
        <f t="shared" si="63"/>
        <v>0.15789473684210531</v>
      </c>
      <c r="AC67" s="112">
        <f t="shared" si="63"/>
        <v>0.27272727272727271</v>
      </c>
      <c r="AD67" s="110">
        <f t="shared" si="63"/>
        <v>0.11516600367162133</v>
      </c>
      <c r="AE67" s="111">
        <f t="shared" si="63"/>
        <v>0.38531104154216034</v>
      </c>
      <c r="AF67" s="111">
        <f t="shared" si="63"/>
        <v>0.8600000000000001</v>
      </c>
      <c r="AG67" s="112">
        <f t="shared" si="63"/>
        <v>0.8342857142857143</v>
      </c>
      <c r="AH67" s="366"/>
      <c r="AI67" s="192"/>
      <c r="AJ67" s="192"/>
      <c r="AK67" s="111"/>
      <c r="AL67" s="111"/>
      <c r="AM67" s="111"/>
      <c r="AN67" s="111">
        <f>+AN55/AM55-1</f>
        <v>0.56032262541580202</v>
      </c>
      <c r="AO67" s="111">
        <f t="shared" ref="AO67:AU67" si="64">+AO55/AN55-1</f>
        <v>0.5776903758910612</v>
      </c>
      <c r="AP67" s="111">
        <f t="shared" si="64"/>
        <v>0.47173062533492427</v>
      </c>
      <c r="AQ67" s="111">
        <f t="shared" si="64"/>
        <v>0.4032423916646144</v>
      </c>
      <c r="AR67" s="111">
        <f t="shared" si="64"/>
        <v>0.34256012195152485</v>
      </c>
      <c r="AS67" s="111">
        <f t="shared" si="64"/>
        <v>0.2792896978377446</v>
      </c>
      <c r="AT67" s="111">
        <f t="shared" si="64"/>
        <v>0.22854596032381602</v>
      </c>
      <c r="AU67" s="112">
        <f t="shared" si="64"/>
        <v>0.19493424453787034</v>
      </c>
    </row>
    <row r="68" spans="9:47" s="105" customFormat="1">
      <c r="I68" s="163" t="s">
        <v>332</v>
      </c>
      <c r="R68" s="202"/>
      <c r="S68" s="203"/>
      <c r="T68" s="203"/>
      <c r="U68" s="102"/>
      <c r="V68" s="202"/>
      <c r="W68" s="203"/>
      <c r="X68" s="203"/>
      <c r="Y68" s="118"/>
      <c r="Z68" s="110"/>
      <c r="AA68" s="111"/>
      <c r="AB68" s="111"/>
      <c r="AC68" s="112">
        <f>+AC56/Y56-1</f>
        <v>2.8921671323923981E-2</v>
      </c>
      <c r="AD68" s="110">
        <f>+AD56/Z56-1</f>
        <v>-0.69603556450497006</v>
      </c>
      <c r="AE68" s="111">
        <f>+AE56/AA56-1</f>
        <v>-0.11788772500000022</v>
      </c>
      <c r="AF68" s="111">
        <f>+AF56/AB56-1</f>
        <v>-0.12232045000000002</v>
      </c>
      <c r="AG68" s="112">
        <f>+AG56/AC56-1</f>
        <v>-0.12673090000000009</v>
      </c>
      <c r="AH68" s="366"/>
      <c r="AI68" s="192"/>
      <c r="AJ68" s="192"/>
      <c r="AK68" s="111"/>
      <c r="AL68" s="111"/>
      <c r="AM68" s="111"/>
      <c r="AN68" s="111">
        <f>+AN56/AM56-1</f>
        <v>-0.33848196890313276</v>
      </c>
      <c r="AO68" s="111">
        <f t="shared" ref="AO68:AU68" si="65">+AO56/AN56-1</f>
        <v>-0.50530879148321506</v>
      </c>
      <c r="AP68" s="111">
        <f t="shared" si="65"/>
        <v>0</v>
      </c>
      <c r="AQ68" s="111">
        <f t="shared" si="65"/>
        <v>0</v>
      </c>
      <c r="AR68" s="111">
        <f t="shared" si="65"/>
        <v>0</v>
      </c>
      <c r="AS68" s="111">
        <f t="shared" si="65"/>
        <v>0</v>
      </c>
      <c r="AT68" s="111">
        <f t="shared" si="65"/>
        <v>0</v>
      </c>
      <c r="AU68" s="112">
        <f t="shared" si="65"/>
        <v>0</v>
      </c>
    </row>
    <row r="69" spans="9:47" s="426" customFormat="1">
      <c r="I69" s="412" t="s">
        <v>222</v>
      </c>
      <c r="R69" s="427"/>
      <c r="S69" s="428"/>
      <c r="T69" s="428"/>
      <c r="U69" s="429"/>
      <c r="V69" s="427"/>
      <c r="W69" s="428"/>
      <c r="X69" s="428"/>
      <c r="Y69" s="430"/>
      <c r="Z69" s="431">
        <f>+Z57/V57-1</f>
        <v>4.726312142733418</v>
      </c>
      <c r="AA69" s="432">
        <f t="shared" ref="AA69:AG69" si="66">+AA57/W57-1</f>
        <v>2.082855653986448</v>
      </c>
      <c r="AB69" s="432">
        <f t="shared" si="66"/>
        <v>4.4422750424448223</v>
      </c>
      <c r="AC69" s="433">
        <f t="shared" si="66"/>
        <v>0.99967176801233504</v>
      </c>
      <c r="AD69" s="431">
        <f t="shared" si="66"/>
        <v>-0.34574756183241695</v>
      </c>
      <c r="AE69" s="432">
        <f t="shared" si="66"/>
        <v>0.75932160015383832</v>
      </c>
      <c r="AF69" s="432">
        <f t="shared" si="66"/>
        <v>-0.35781697675869617</v>
      </c>
      <c r="AG69" s="433">
        <f t="shared" si="66"/>
        <v>0.40504451206436753</v>
      </c>
      <c r="AH69" s="434"/>
      <c r="AI69" s="435"/>
      <c r="AJ69" s="435"/>
      <c r="AK69" s="432"/>
      <c r="AL69" s="432"/>
      <c r="AM69" s="432"/>
      <c r="AN69" s="432">
        <f>+AN57/AM57-1</f>
        <v>-6.8386286717632583E-2</v>
      </c>
      <c r="AO69" s="432">
        <f t="shared" ref="AO69:AU69" si="67">+AO57/AN57-1</f>
        <v>5.0000000000000044E-2</v>
      </c>
      <c r="AP69" s="432">
        <f t="shared" si="67"/>
        <v>0.10000000000000009</v>
      </c>
      <c r="AQ69" s="432">
        <f t="shared" si="67"/>
        <v>0.10000000000000009</v>
      </c>
      <c r="AR69" s="432">
        <f t="shared" si="67"/>
        <v>0.10000000000000009</v>
      </c>
      <c r="AS69" s="432">
        <f t="shared" si="67"/>
        <v>0.10000000000000009</v>
      </c>
      <c r="AT69" s="432">
        <f t="shared" si="67"/>
        <v>0.10000000000000009</v>
      </c>
      <c r="AU69" s="433">
        <f t="shared" si="67"/>
        <v>0.10000000000000009</v>
      </c>
    </row>
    <row r="70" spans="9:47" s="105" customFormat="1">
      <c r="I70" s="298" t="s">
        <v>314</v>
      </c>
      <c r="R70" s="202"/>
      <c r="S70" s="203"/>
      <c r="T70" s="203"/>
      <c r="U70" s="102"/>
      <c r="V70" s="202"/>
      <c r="W70" s="203"/>
      <c r="X70" s="203"/>
      <c r="Y70" s="118"/>
      <c r="Z70" s="110"/>
      <c r="AA70" s="111"/>
      <c r="AB70" s="111"/>
      <c r="AC70" s="112"/>
      <c r="AD70" s="110"/>
      <c r="AE70" s="111"/>
      <c r="AF70" s="111"/>
      <c r="AG70" s="112"/>
      <c r="AH70" s="366"/>
      <c r="AI70" s="192"/>
      <c r="AJ70" s="192"/>
      <c r="AK70" s="111"/>
      <c r="AL70" s="313"/>
      <c r="AM70" s="313">
        <f>+AM58/AL58-1</f>
        <v>1.6135059201284365</v>
      </c>
      <c r="AN70" s="313">
        <f>+AN58/AM58-1</f>
        <v>0.1405118596954642</v>
      </c>
      <c r="AO70" s="313">
        <f t="shared" ref="AO70:AU70" si="68">+AO58/AN58-1</f>
        <v>0.28886181805801137</v>
      </c>
      <c r="AP70" s="313">
        <f t="shared" si="68"/>
        <v>0.32756686858473882</v>
      </c>
      <c r="AQ70" s="313">
        <f t="shared" si="68"/>
        <v>0.30608294025485505</v>
      </c>
      <c r="AR70" s="313">
        <f t="shared" si="68"/>
        <v>0.27723894835866925</v>
      </c>
      <c r="AS70" s="313">
        <f t="shared" si="68"/>
        <v>0.23770072202946313</v>
      </c>
      <c r="AT70" s="313">
        <f t="shared" si="68"/>
        <v>0.2019883702627463</v>
      </c>
      <c r="AU70" s="472">
        <f t="shared" si="68"/>
        <v>0.17693208996523646</v>
      </c>
    </row>
    <row r="71" spans="9:47" s="105" customFormat="1">
      <c r="R71" s="202"/>
      <c r="S71" s="203"/>
      <c r="T71" s="203"/>
      <c r="U71" s="102"/>
      <c r="V71" s="202"/>
      <c r="W71" s="203"/>
      <c r="X71" s="203"/>
      <c r="Y71" s="118"/>
      <c r="Z71" s="110"/>
      <c r="AA71" s="111"/>
      <c r="AB71" s="111"/>
      <c r="AC71" s="112"/>
      <c r="AD71" s="110"/>
      <c r="AE71" s="111"/>
      <c r="AF71" s="111"/>
      <c r="AG71" s="112"/>
      <c r="AH71" s="366"/>
      <c r="AI71" s="192"/>
      <c r="AJ71" s="192"/>
      <c r="AK71" s="111"/>
      <c r="AL71" s="111"/>
      <c r="AM71" s="111"/>
      <c r="AN71" s="111"/>
      <c r="AO71" s="111"/>
      <c r="AP71" s="111"/>
      <c r="AQ71" s="111"/>
      <c r="AR71" s="111"/>
      <c r="AS71" s="111"/>
      <c r="AT71" s="111"/>
      <c r="AU71" s="112"/>
    </row>
    <row r="72" spans="9:47" s="105" customFormat="1">
      <c r="I72" s="298" t="s">
        <v>86</v>
      </c>
      <c r="R72" s="202"/>
      <c r="S72" s="203"/>
      <c r="T72" s="203"/>
      <c r="U72" s="102"/>
      <c r="V72" s="202"/>
      <c r="W72" s="203"/>
      <c r="X72" s="203"/>
      <c r="Y72" s="118"/>
      <c r="Z72" s="110"/>
      <c r="AA72" s="111"/>
      <c r="AB72" s="111"/>
      <c r="AC72" s="112"/>
      <c r="AD72" s="110"/>
      <c r="AE72" s="111"/>
      <c r="AF72" s="111"/>
      <c r="AG72" s="112"/>
      <c r="AH72" s="366"/>
      <c r="AI72" s="192"/>
      <c r="AJ72" s="192"/>
      <c r="AK72" s="111"/>
      <c r="AL72" s="111"/>
      <c r="AM72" s="111"/>
      <c r="AN72" s="111"/>
      <c r="AO72" s="111"/>
      <c r="AP72" s="111"/>
      <c r="AQ72" s="111"/>
      <c r="AR72" s="111"/>
      <c r="AS72" s="111"/>
      <c r="AT72" s="111"/>
      <c r="AU72" s="112"/>
    </row>
    <row r="73" spans="9:47" s="105" customFormat="1">
      <c r="I73" s="411" t="s">
        <v>331</v>
      </c>
      <c r="R73" s="202"/>
      <c r="S73" s="203"/>
      <c r="T73" s="203"/>
      <c r="U73" s="102"/>
      <c r="V73" s="202"/>
      <c r="W73" s="203"/>
      <c r="X73" s="203"/>
      <c r="Y73" s="118"/>
      <c r="Z73" s="197">
        <f t="shared" ref="Z73:AB75" si="69">+Z55-V55</f>
        <v>16</v>
      </c>
      <c r="AA73" s="198">
        <f t="shared" si="69"/>
        <v>13</v>
      </c>
      <c r="AB73" s="198">
        <f t="shared" si="69"/>
        <v>3</v>
      </c>
      <c r="AC73" s="199">
        <f t="shared" ref="AC73:AG75" si="70">+AC55-Y55</f>
        <v>6</v>
      </c>
      <c r="AD73" s="197">
        <f t="shared" si="70"/>
        <v>2.6488180844472922</v>
      </c>
      <c r="AE73" s="198">
        <f t="shared" si="70"/>
        <v>8.8621539554696867</v>
      </c>
      <c r="AF73" s="198">
        <f t="shared" si="70"/>
        <v>18.920000000000002</v>
      </c>
      <c r="AG73" s="199">
        <f t="shared" si="70"/>
        <v>23.36</v>
      </c>
      <c r="AH73" s="366"/>
      <c r="AI73" s="192"/>
      <c r="AJ73" s="192"/>
      <c r="AK73" s="111"/>
      <c r="AL73" s="111"/>
      <c r="AM73" s="198">
        <f t="shared" ref="AM73:AN76" si="71">+AM55-AL55</f>
        <v>38</v>
      </c>
      <c r="AN73" s="198">
        <f t="shared" si="71"/>
        <v>53.790972039916994</v>
      </c>
      <c r="AO73" s="198">
        <f t="shared" ref="AO73:AU73" si="72">+AO55-AN55</f>
        <v>86.53280294282709</v>
      </c>
      <c r="AP73" s="198">
        <f t="shared" si="72"/>
        <v>111.4811621541198</v>
      </c>
      <c r="AQ73" s="198">
        <f t="shared" si="72"/>
        <v>140.24969468382983</v>
      </c>
      <c r="AR73" s="198">
        <f t="shared" si="72"/>
        <v>167.18805419550341</v>
      </c>
      <c r="AS73" s="198">
        <f t="shared" si="72"/>
        <v>183.00253178785579</v>
      </c>
      <c r="AT73" s="198">
        <f t="shared" si="72"/>
        <v>191.57755828987354</v>
      </c>
      <c r="AU73" s="199">
        <f t="shared" si="72"/>
        <v>200.74772486576194</v>
      </c>
    </row>
    <row r="74" spans="9:47" s="105" customFormat="1">
      <c r="I74" s="163" t="s">
        <v>332</v>
      </c>
      <c r="R74" s="202"/>
      <c r="S74" s="203"/>
      <c r="T74" s="203"/>
      <c r="U74" s="102"/>
      <c r="V74" s="202"/>
      <c r="W74" s="203"/>
      <c r="X74" s="203"/>
      <c r="Y74" s="118"/>
      <c r="Z74" s="197">
        <f t="shared" si="69"/>
        <v>8.3000000000000025</v>
      </c>
      <c r="AA74" s="198">
        <f t="shared" si="69"/>
        <v>5.4</v>
      </c>
      <c r="AB74" s="198">
        <f t="shared" si="69"/>
        <v>3.6</v>
      </c>
      <c r="AC74" s="199">
        <f t="shared" si="70"/>
        <v>0.1325190980062203</v>
      </c>
      <c r="AD74" s="197">
        <f t="shared" si="70"/>
        <v>-5.7770951853912527</v>
      </c>
      <c r="AE74" s="198">
        <f t="shared" si="70"/>
        <v>-0.63659371500000095</v>
      </c>
      <c r="AF74" s="198">
        <f t="shared" si="70"/>
        <v>-0.44035362000000022</v>
      </c>
      <c r="AG74" s="199">
        <f t="shared" si="70"/>
        <v>-0.59747524835752053</v>
      </c>
      <c r="AH74" s="366"/>
      <c r="AI74" s="192"/>
      <c r="AJ74" s="192"/>
      <c r="AK74" s="111"/>
      <c r="AL74" s="111"/>
      <c r="AM74" s="198">
        <f t="shared" si="71"/>
        <v>17.432519098006225</v>
      </c>
      <c r="AN74" s="198">
        <f t="shared" si="71"/>
        <v>-7.4515177687487757</v>
      </c>
      <c r="AO74" s="198">
        <f t="shared" ref="AO74:AU74" si="73">+AO56-AN56</f>
        <v>-7.3588126020555507</v>
      </c>
      <c r="AP74" s="198">
        <f t="shared" si="73"/>
        <v>0</v>
      </c>
      <c r="AQ74" s="198">
        <f t="shared" si="73"/>
        <v>0</v>
      </c>
      <c r="AR74" s="198">
        <f t="shared" si="73"/>
        <v>0</v>
      </c>
      <c r="AS74" s="198">
        <f t="shared" si="73"/>
        <v>0</v>
      </c>
      <c r="AT74" s="198">
        <f t="shared" si="73"/>
        <v>0</v>
      </c>
      <c r="AU74" s="199">
        <f t="shared" si="73"/>
        <v>0</v>
      </c>
    </row>
    <row r="75" spans="9:47" s="437" customFormat="1" ht="13.5">
      <c r="I75" s="436" t="s">
        <v>222</v>
      </c>
      <c r="R75" s="438"/>
      <c r="S75" s="439"/>
      <c r="T75" s="439"/>
      <c r="U75" s="440"/>
      <c r="V75" s="438"/>
      <c r="W75" s="439"/>
      <c r="X75" s="439"/>
      <c r="Y75" s="441"/>
      <c r="Z75" s="505">
        <f t="shared" si="69"/>
        <v>27.285000000000004</v>
      </c>
      <c r="AA75" s="341">
        <f t="shared" si="69"/>
        <v>11.990999999999993</v>
      </c>
      <c r="AB75" s="341">
        <f t="shared" si="69"/>
        <v>52.330000000000013</v>
      </c>
      <c r="AC75" s="507">
        <f t="shared" si="70"/>
        <v>13.763480901993795</v>
      </c>
      <c r="AD75" s="505">
        <f t="shared" si="70"/>
        <v>-11.429722899056038</v>
      </c>
      <c r="AE75" s="506">
        <f t="shared" si="70"/>
        <v>13.476439759530322</v>
      </c>
      <c r="AF75" s="506">
        <f t="shared" si="70"/>
        <v>-22.939646380000013</v>
      </c>
      <c r="AG75" s="507">
        <f t="shared" si="70"/>
        <v>11.151475248357514</v>
      </c>
      <c r="AH75" s="442"/>
      <c r="AI75" s="443"/>
      <c r="AJ75" s="443"/>
      <c r="AK75" s="444"/>
      <c r="AL75" s="444"/>
      <c r="AM75" s="503">
        <f t="shared" si="71"/>
        <v>105.3694809019938</v>
      </c>
      <c r="AN75" s="503">
        <f t="shared" si="71"/>
        <v>-9.7414542711682373</v>
      </c>
      <c r="AO75" s="503">
        <f t="shared" ref="AO75:AU75" si="74">+AO57-AN57</f>
        <v>6.6353013315412852</v>
      </c>
      <c r="AP75" s="503">
        <f t="shared" si="74"/>
        <v>13.934132796236696</v>
      </c>
      <c r="AQ75" s="503">
        <f t="shared" si="74"/>
        <v>15.327546075860369</v>
      </c>
      <c r="AR75" s="503">
        <f t="shared" si="74"/>
        <v>16.860300683446411</v>
      </c>
      <c r="AS75" s="503">
        <f t="shared" si="74"/>
        <v>18.546330751791032</v>
      </c>
      <c r="AT75" s="503">
        <f t="shared" si="74"/>
        <v>20.400963826970155</v>
      </c>
      <c r="AU75" s="504">
        <f t="shared" si="74"/>
        <v>22.441060209667171</v>
      </c>
    </row>
    <row r="76" spans="9:47" s="105" customFormat="1">
      <c r="I76" s="298" t="s">
        <v>314</v>
      </c>
      <c r="R76" s="202"/>
      <c r="S76" s="203"/>
      <c r="T76" s="203"/>
      <c r="U76" s="102"/>
      <c r="V76" s="202"/>
      <c r="W76" s="203"/>
      <c r="X76" s="203"/>
      <c r="Y76" s="118"/>
      <c r="Z76" s="197">
        <f t="shared" ref="Z76:AG76" si="75">+Z58-V58</f>
        <v>51.585000000000008</v>
      </c>
      <c r="AA76" s="198">
        <f t="shared" si="75"/>
        <v>30.390999999999991</v>
      </c>
      <c r="AB76" s="198">
        <f t="shared" si="75"/>
        <v>58.930000000000007</v>
      </c>
      <c r="AC76" s="199">
        <f t="shared" si="75"/>
        <v>19.896000000000015</v>
      </c>
      <c r="AD76" s="197">
        <f t="shared" si="75"/>
        <v>-14.558</v>
      </c>
      <c r="AE76" s="198">
        <f t="shared" si="75"/>
        <v>21.702000000000012</v>
      </c>
      <c r="AF76" s="198">
        <f t="shared" si="75"/>
        <v>-4.460000000000008</v>
      </c>
      <c r="AG76" s="199">
        <f t="shared" si="75"/>
        <v>33.913999999999987</v>
      </c>
      <c r="AH76" s="366"/>
      <c r="AI76" s="192"/>
      <c r="AJ76" s="192"/>
      <c r="AK76" s="111"/>
      <c r="AL76" s="111"/>
      <c r="AM76" s="508">
        <f t="shared" si="71"/>
        <v>160.80199999999999</v>
      </c>
      <c r="AN76" s="508">
        <f t="shared" si="71"/>
        <v>36.598000000000013</v>
      </c>
      <c r="AO76" s="508">
        <f t="shared" ref="AO76:AU76" si="76">+AO58-AN58</f>
        <v>85.809291672312838</v>
      </c>
      <c r="AP76" s="508">
        <f t="shared" si="76"/>
        <v>125.4152949503565</v>
      </c>
      <c r="AQ76" s="508">
        <f t="shared" si="76"/>
        <v>155.57724075969014</v>
      </c>
      <c r="AR76" s="508">
        <f t="shared" si="76"/>
        <v>184.04835487894979</v>
      </c>
      <c r="AS76" s="508">
        <f t="shared" si="76"/>
        <v>201.54886253964696</v>
      </c>
      <c r="AT76" s="508">
        <f t="shared" si="76"/>
        <v>211.97852211684358</v>
      </c>
      <c r="AU76" s="509">
        <f t="shared" si="76"/>
        <v>223.18878507542922</v>
      </c>
    </row>
    <row r="77" spans="9:47" s="105" customFormat="1">
      <c r="R77" s="202"/>
      <c r="S77" s="203"/>
      <c r="T77" s="203"/>
      <c r="U77" s="102"/>
      <c r="V77" s="202"/>
      <c r="W77" s="203"/>
      <c r="X77" s="203"/>
      <c r="Y77" s="118"/>
      <c r="Z77" s="110"/>
      <c r="AA77" s="111"/>
      <c r="AB77" s="111"/>
      <c r="AC77" s="112"/>
      <c r="AD77" s="110"/>
      <c r="AE77" s="111"/>
      <c r="AF77" s="111"/>
      <c r="AG77" s="112"/>
      <c r="AH77" s="366"/>
      <c r="AI77" s="192"/>
      <c r="AJ77" s="192"/>
      <c r="AK77" s="111"/>
      <c r="AL77" s="111"/>
      <c r="AM77" s="111"/>
      <c r="AN77" s="111"/>
      <c r="AO77" s="111"/>
      <c r="AP77" s="111"/>
      <c r="AQ77" s="111"/>
      <c r="AR77" s="111"/>
      <c r="AS77" s="111"/>
      <c r="AT77" s="111"/>
      <c r="AU77" s="112"/>
    </row>
    <row r="78" spans="9:47" s="394" customFormat="1">
      <c r="I78" s="11"/>
      <c r="R78" s="395"/>
      <c r="S78" s="396"/>
      <c r="T78" s="396"/>
      <c r="U78" s="396"/>
      <c r="V78" s="395"/>
      <c r="W78" s="396"/>
      <c r="X78" s="396"/>
      <c r="Y78" s="396"/>
      <c r="Z78" s="395"/>
      <c r="AA78" s="396"/>
      <c r="AB78" s="396"/>
      <c r="AC78" s="397"/>
      <c r="AD78" s="395"/>
      <c r="AE78" s="396"/>
      <c r="AF78" s="396"/>
      <c r="AG78" s="397"/>
      <c r="AI78" s="398"/>
      <c r="AJ78" s="399"/>
      <c r="AK78" s="400"/>
      <c r="AL78" s="400"/>
      <c r="AM78" s="400"/>
      <c r="AN78" s="400"/>
      <c r="AO78" s="400"/>
      <c r="AP78" s="400"/>
      <c r="AQ78" s="400"/>
      <c r="AR78" s="400"/>
      <c r="AS78" s="400"/>
      <c r="AT78" s="400"/>
      <c r="AU78" s="401"/>
    </row>
    <row r="79" spans="9:47" s="105" customFormat="1">
      <c r="I79" s="298" t="s">
        <v>234</v>
      </c>
      <c r="R79" s="202"/>
      <c r="S79" s="203"/>
      <c r="T79" s="203"/>
      <c r="U79" s="203"/>
      <c r="V79" s="354">
        <f>+V55</f>
        <v>7</v>
      </c>
      <c r="W79" s="351">
        <f t="shared" ref="W79:Y79" si="77">+W55</f>
        <v>10</v>
      </c>
      <c r="X79" s="351">
        <f t="shared" si="77"/>
        <v>19</v>
      </c>
      <c r="Y79" s="636">
        <f t="shared" si="77"/>
        <v>22</v>
      </c>
      <c r="Z79" s="632">
        <v>23</v>
      </c>
      <c r="AA79" s="663">
        <v>23</v>
      </c>
      <c r="AB79" s="663">
        <v>22</v>
      </c>
      <c r="AC79" s="663">
        <v>28</v>
      </c>
      <c r="AD79" s="270">
        <f t="shared" ref="AD79:AG79" si="78">+AD82*AD5</f>
        <v>25.648818084447292</v>
      </c>
      <c r="AE79" s="271">
        <f t="shared" si="78"/>
        <v>31.862153955469687</v>
      </c>
      <c r="AF79" s="271">
        <f t="shared" si="78"/>
        <v>40.92</v>
      </c>
      <c r="AG79" s="272">
        <f t="shared" si="78"/>
        <v>51.36</v>
      </c>
      <c r="AH79" s="366"/>
      <c r="AI79" s="192"/>
      <c r="AJ79" s="192"/>
      <c r="AK79" s="111"/>
      <c r="AL79" s="390">
        <v>58</v>
      </c>
      <c r="AM79" s="54">
        <f>+SUM(Z79:AC79)</f>
        <v>96</v>
      </c>
      <c r="AN79" s="54">
        <f>+SUM(AD79:AG79)</f>
        <v>149.79097203991699</v>
      </c>
      <c r="AO79" s="54">
        <f t="shared" ref="AO79:AU79" si="79">+AO82*AO5</f>
        <v>236.32377498274408</v>
      </c>
      <c r="AP79" s="54">
        <f t="shared" si="79"/>
        <v>347.80493713686388</v>
      </c>
      <c r="AQ79" s="54">
        <f t="shared" si="79"/>
        <v>488.05463182069371</v>
      </c>
      <c r="AR79" s="54">
        <f t="shared" si="79"/>
        <v>655.24268601619713</v>
      </c>
      <c r="AS79" s="54">
        <f t="shared" si="79"/>
        <v>838.24521780405291</v>
      </c>
      <c r="AT79" s="54">
        <f t="shared" si="79"/>
        <v>1029.8227760939264</v>
      </c>
      <c r="AU79" s="55">
        <f t="shared" si="79"/>
        <v>1230.5705009596884</v>
      </c>
    </row>
    <row r="80" spans="9:47" s="105" customFormat="1">
      <c r="I80" s="105" t="s">
        <v>227</v>
      </c>
      <c r="R80" s="202"/>
      <c r="S80" s="203"/>
      <c r="T80" s="203"/>
      <c r="U80" s="203"/>
      <c r="V80" s="354"/>
      <c r="W80" s="26"/>
      <c r="X80" s="26"/>
      <c r="Y80" s="26"/>
      <c r="Z80" s="202"/>
      <c r="AA80" s="203"/>
      <c r="AB80" s="203"/>
      <c r="AC80" s="204"/>
      <c r="AD80" s="203"/>
      <c r="AE80" s="203"/>
      <c r="AF80" s="203"/>
      <c r="AG80" s="204"/>
      <c r="AH80" s="366"/>
      <c r="AI80" s="192"/>
      <c r="AJ80" s="192"/>
      <c r="AK80" s="111"/>
      <c r="AL80" s="353"/>
      <c r="AM80" s="332">
        <f t="shared" ref="AM80:AU80" si="80">+AM79/AL79-1</f>
        <v>0.65517241379310343</v>
      </c>
      <c r="AN80" s="332">
        <f t="shared" si="80"/>
        <v>0.56032262541580202</v>
      </c>
      <c r="AO80" s="332">
        <f t="shared" si="80"/>
        <v>0.5776903758910612</v>
      </c>
      <c r="AP80" s="332">
        <f t="shared" si="80"/>
        <v>0.47173062533492427</v>
      </c>
      <c r="AQ80" s="332">
        <f t="shared" si="80"/>
        <v>0.4032423916646144</v>
      </c>
      <c r="AR80" s="332">
        <f t="shared" si="80"/>
        <v>0.34256012195152485</v>
      </c>
      <c r="AS80" s="332">
        <f t="shared" si="80"/>
        <v>0.2792896978377446</v>
      </c>
      <c r="AT80" s="332">
        <f t="shared" si="80"/>
        <v>0.22854596032381602</v>
      </c>
      <c r="AU80" s="330">
        <f t="shared" si="80"/>
        <v>0.19493424453787034</v>
      </c>
    </row>
    <row r="81" spans="9:47" s="105" customFormat="1">
      <c r="I81" s="105" t="s">
        <v>233</v>
      </c>
      <c r="R81" s="202"/>
      <c r="S81" s="203"/>
      <c r="T81" s="203"/>
      <c r="U81" s="203"/>
      <c r="V81" s="202"/>
      <c r="W81" s="203"/>
      <c r="X81" s="203"/>
      <c r="Y81" s="118">
        <v>0.15</v>
      </c>
      <c r="Z81" s="202"/>
      <c r="AA81" s="203"/>
      <c r="AB81" s="203"/>
      <c r="AC81" s="204"/>
      <c r="AD81" s="203"/>
      <c r="AE81" s="203"/>
      <c r="AF81" s="203"/>
      <c r="AG81" s="204"/>
      <c r="AH81" s="366"/>
      <c r="AI81" s="192"/>
      <c r="AJ81" s="192"/>
      <c r="AK81" s="111"/>
      <c r="AL81" s="111">
        <f t="shared" ref="AL81:AU81" si="81">+AL79/AL9</f>
        <v>0.12841517955984591</v>
      </c>
      <c r="AM81" s="111">
        <f t="shared" si="81"/>
        <v>0.13380499594403605</v>
      </c>
      <c r="AN81" s="111">
        <f t="shared" si="81"/>
        <v>0.17376356160518158</v>
      </c>
      <c r="AO81" s="111">
        <f t="shared" si="81"/>
        <v>0.22364995241725186</v>
      </c>
      <c r="AP81" s="111">
        <f t="shared" si="81"/>
        <v>0.26853789720395532</v>
      </c>
      <c r="AQ81" s="111">
        <f t="shared" si="81"/>
        <v>0.3150076076583414</v>
      </c>
      <c r="AR81" s="111">
        <f t="shared" si="81"/>
        <v>0.35811400898177148</v>
      </c>
      <c r="AS81" s="111">
        <f t="shared" si="81"/>
        <v>0.39440075057833968</v>
      </c>
      <c r="AT81" s="111">
        <f t="shared" si="81"/>
        <v>0.42387262452968816</v>
      </c>
      <c r="AU81" s="112">
        <f t="shared" si="81"/>
        <v>0.44808700959910402</v>
      </c>
    </row>
    <row r="82" spans="9:47" s="105" customFormat="1">
      <c r="I82" s="105" t="s">
        <v>312</v>
      </c>
      <c r="R82" s="202"/>
      <c r="S82" s="203"/>
      <c r="T82" s="203"/>
      <c r="U82" s="203"/>
      <c r="V82" s="113">
        <f>+V79/V5</f>
        <v>0.18042167122016597</v>
      </c>
      <c r="W82" s="118">
        <v>0.14499999999999999</v>
      </c>
      <c r="X82" s="118">
        <v>0.15</v>
      </c>
      <c r="Y82" s="111">
        <f>+Y79/Y5</f>
        <v>0.13278449077147791</v>
      </c>
      <c r="Z82" s="113">
        <f>Z79/Z$5</f>
        <v>0.15369400192451621</v>
      </c>
      <c r="AA82" s="114">
        <f>AA79/AA$5</f>
        <v>0.12660248471137386</v>
      </c>
      <c r="AB82" s="114">
        <f>AB79/AB$5</f>
        <v>0.10580127634812467</v>
      </c>
      <c r="AC82" s="112">
        <f>+AC79/AC5</f>
        <v>9.8007301543965031E-2</v>
      </c>
      <c r="AD82" s="68">
        <f>AC82+0.005</f>
        <v>0.10300730154396504</v>
      </c>
      <c r="AE82" s="68">
        <f t="shared" ref="AE82" si="82">AD82+0.005</f>
        <v>0.10800730154396504</v>
      </c>
      <c r="AF82" s="68">
        <v>0.12</v>
      </c>
      <c r="AG82" s="69">
        <v>0.12</v>
      </c>
      <c r="AH82" s="366"/>
      <c r="AI82" s="192"/>
      <c r="AJ82" s="192"/>
      <c r="AK82" s="111"/>
      <c r="AL82" s="111">
        <f>+AL79/AL5</f>
        <v>0.14339327831646403</v>
      </c>
      <c r="AM82" s="111">
        <f>+AM79/AM5</f>
        <v>0.11637083019677581</v>
      </c>
      <c r="AN82" s="111">
        <f>+AN79/AN5</f>
        <v>0.11408299469909901</v>
      </c>
      <c r="AO82" s="68">
        <v>0.12</v>
      </c>
      <c r="AP82" s="68">
        <f t="shared" ref="AP82:AU82" si="83">AO82+0.004</f>
        <v>0.124</v>
      </c>
      <c r="AQ82" s="68">
        <f t="shared" si="83"/>
        <v>0.128</v>
      </c>
      <c r="AR82" s="68">
        <f t="shared" si="83"/>
        <v>0.13200000000000001</v>
      </c>
      <c r="AS82" s="68">
        <f t="shared" si="83"/>
        <v>0.13600000000000001</v>
      </c>
      <c r="AT82" s="68">
        <f t="shared" si="83"/>
        <v>0.14000000000000001</v>
      </c>
      <c r="AU82" s="69">
        <f t="shared" si="83"/>
        <v>0.14400000000000002</v>
      </c>
    </row>
    <row r="83" spans="9:47" s="105" customFormat="1">
      <c r="R83" s="203"/>
      <c r="S83" s="203"/>
      <c r="T83" s="203"/>
      <c r="U83" s="203"/>
      <c r="V83" s="113"/>
      <c r="W83" s="118"/>
      <c r="X83" s="118"/>
      <c r="Y83" s="224"/>
      <c r="Z83" s="202"/>
      <c r="AA83" s="203"/>
      <c r="AB83" s="203"/>
      <c r="AC83" s="204"/>
      <c r="AD83" s="203"/>
      <c r="AE83" s="203"/>
      <c r="AF83" s="203"/>
      <c r="AG83" s="204"/>
      <c r="AH83" s="366"/>
      <c r="AI83" s="192"/>
      <c r="AJ83" s="192"/>
      <c r="AK83" s="111"/>
      <c r="AL83" s="111"/>
      <c r="AM83" s="111"/>
      <c r="AN83" s="111"/>
      <c r="AO83" s="111"/>
      <c r="AP83" s="111"/>
      <c r="AQ83" s="111"/>
      <c r="AR83" s="111"/>
      <c r="AS83" s="111"/>
      <c r="AT83" s="111"/>
      <c r="AU83" s="112"/>
    </row>
    <row r="84" spans="9:47">
      <c r="V84" s="22"/>
      <c r="Z84" s="22"/>
      <c r="AA84" s="23"/>
      <c r="AB84" s="23"/>
      <c r="AC84" s="24"/>
      <c r="AG84" s="24"/>
      <c r="AH84" s="367"/>
      <c r="AU84" s="24"/>
    </row>
    <row r="85" spans="9:47" s="7" customFormat="1">
      <c r="I85" s="338" t="s">
        <v>330</v>
      </c>
      <c r="V85" s="33">
        <f>+'Revenue Model'!V28*'Revenue Model'!V22/1000</f>
        <v>0</v>
      </c>
      <c r="W85" s="7">
        <f>+'Revenue Model'!W28*'Revenue Model'!W22/1000</f>
        <v>0</v>
      </c>
      <c r="X85" s="7">
        <f>+'Revenue Model'!X28*'Revenue Model'!X22/1000</f>
        <v>0</v>
      </c>
      <c r="Y85" s="526">
        <f>+'Revenue Model'!Y28*'Revenue Model'!Y22/1000</f>
        <v>4.5820000000000292</v>
      </c>
      <c r="Z85" s="422">
        <f>+'Revenue Model'!Z28*'Revenue Model'!Z22/1000</f>
        <v>8.3000000000000025</v>
      </c>
      <c r="AA85" s="423">
        <f>+'Revenue Model'!AA28*'Revenue Model'!AA22/1000</f>
        <v>5.4</v>
      </c>
      <c r="AB85" s="423">
        <f>+'Revenue Model'!AB28*'Revenue Model'!AB22/1000</f>
        <v>3.6</v>
      </c>
      <c r="AC85" s="424">
        <f>+'Revenue Model'!AC28*'Revenue Model'!AC22/1000</f>
        <v>4.7145190980062495</v>
      </c>
      <c r="AD85" s="392">
        <f>+'Revenue Model'!AD28*'Revenue Model'!AD22/1000</f>
        <v>2.5229048146087498</v>
      </c>
      <c r="AE85" s="392">
        <f>+'Revenue Model'!AE28*'Revenue Model'!AE22/1000</f>
        <v>4.7634062849999994</v>
      </c>
      <c r="AF85" s="392">
        <f>+'Revenue Model'!AF28*'Revenue Model'!AF22/1000</f>
        <v>3.1596463799999999</v>
      </c>
      <c r="AG85" s="392">
        <f>+'Revenue Model'!AG28*'Revenue Model'!AG22/1000</f>
        <v>4.1170438496487289</v>
      </c>
      <c r="AH85" s="393"/>
      <c r="AL85" s="392">
        <f>+'Revenue Model'!AL28*'Revenue Model'!AL22/1000</f>
        <v>4.5820000000000292</v>
      </c>
      <c r="AM85" s="392">
        <f>+'Revenue Model'!AM28*'Revenue Model'!AM22/1000</f>
        <v>22.3</v>
      </c>
      <c r="AN85" s="392">
        <f>+'Revenue Model'!AN28*'Revenue Model'!AN22/1000</f>
        <v>14.563001329257476</v>
      </c>
      <c r="AO85" s="392">
        <f>+'Revenue Model'!AO28*'Revenue Model'!AO22/1000</f>
        <v>7.2041887272019274</v>
      </c>
      <c r="AP85" s="392">
        <f>+'Revenue Model'!AP28*'Revenue Model'!AP22/1000</f>
        <v>7.2041887272019274</v>
      </c>
      <c r="AQ85" s="392">
        <f>+'Revenue Model'!AQ28*'Revenue Model'!AQ22/1000</f>
        <v>7.2041887272019274</v>
      </c>
      <c r="AR85" s="392">
        <f>+'Revenue Model'!AR28*'Revenue Model'!AR22/1000</f>
        <v>7.2041887272019274</v>
      </c>
      <c r="AS85" s="392">
        <f>+'Revenue Model'!AS28*'Revenue Model'!AS22/1000</f>
        <v>7.2041887272019274</v>
      </c>
      <c r="AT85" s="392">
        <f>+'Revenue Model'!AT28*'Revenue Model'!AT22/1000</f>
        <v>7.2041887272019274</v>
      </c>
      <c r="AU85" s="424">
        <f>+'Revenue Model'!AU28*'Revenue Model'!AU22/1000</f>
        <v>7.2041887272019274</v>
      </c>
    </row>
    <row r="86" spans="9:47" s="298" customFormat="1">
      <c r="I86" s="298" t="s">
        <v>323</v>
      </c>
      <c r="R86" s="319"/>
      <c r="S86" s="320"/>
      <c r="T86" s="320"/>
      <c r="U86" s="320"/>
      <c r="V86" s="44">
        <v>6</v>
      </c>
      <c r="W86" s="45">
        <v>6</v>
      </c>
      <c r="X86" s="45">
        <v>11</v>
      </c>
      <c r="Y86" s="45">
        <v>17</v>
      </c>
      <c r="Z86" s="44">
        <v>20</v>
      </c>
      <c r="AA86" s="320"/>
      <c r="AB86" s="320"/>
      <c r="AC86" s="355"/>
      <c r="AD86" s="320"/>
      <c r="AE86" s="320"/>
      <c r="AF86" s="320"/>
      <c r="AG86" s="355"/>
      <c r="AH86" s="368"/>
      <c r="AI86" s="318"/>
      <c r="AJ86" s="318"/>
      <c r="AK86" s="313"/>
      <c r="AL86" s="54"/>
      <c r="AM86" s="54"/>
      <c r="AN86" s="54"/>
      <c r="AO86" s="54"/>
      <c r="AP86" s="54"/>
      <c r="AQ86" s="54"/>
      <c r="AR86" s="54"/>
      <c r="AS86" s="54"/>
      <c r="AT86" s="54"/>
      <c r="AU86" s="55"/>
    </row>
    <row r="87" spans="9:47" s="105" customFormat="1">
      <c r="I87" s="105" t="s">
        <v>227</v>
      </c>
      <c r="R87" s="202"/>
      <c r="S87" s="203"/>
      <c r="T87" s="203"/>
      <c r="U87" s="203"/>
      <c r="V87" s="354"/>
      <c r="W87" s="26"/>
      <c r="X87" s="26"/>
      <c r="Y87" s="26"/>
      <c r="Z87" s="202"/>
      <c r="AA87" s="203"/>
      <c r="AB87" s="203"/>
      <c r="AC87" s="204"/>
      <c r="AD87" s="203"/>
      <c r="AE87" s="203"/>
      <c r="AF87" s="203"/>
      <c r="AG87" s="204"/>
      <c r="AH87" s="366"/>
      <c r="AI87" s="192"/>
      <c r="AJ87" s="192"/>
      <c r="AK87" s="111"/>
      <c r="AL87" s="353"/>
      <c r="AM87" s="332"/>
      <c r="AN87" s="332"/>
      <c r="AO87" s="332"/>
      <c r="AP87" s="332"/>
      <c r="AQ87" s="332"/>
      <c r="AR87" s="332"/>
      <c r="AS87" s="332"/>
      <c r="AT87" s="332"/>
      <c r="AU87" s="330"/>
    </row>
    <row r="88" spans="9:47" s="105" customFormat="1">
      <c r="I88" s="105" t="s">
        <v>233</v>
      </c>
      <c r="R88" s="202"/>
      <c r="S88" s="203"/>
      <c r="T88" s="203"/>
      <c r="U88" s="203"/>
      <c r="V88" s="113">
        <f>V86/V9</f>
        <v>7.9183878162406143E-2</v>
      </c>
      <c r="W88" s="114">
        <f t="shared" ref="W88:Y88" si="84">W86/W9</f>
        <v>6.3319860274174994E-2</v>
      </c>
      <c r="X88" s="114">
        <f t="shared" si="84"/>
        <v>8.6085459383315077E-2</v>
      </c>
      <c r="Y88" s="114">
        <f t="shared" si="84"/>
        <v>0.11085751548744702</v>
      </c>
      <c r="Z88" s="113">
        <f>Z86/Z9</f>
        <v>0.12243049008925183</v>
      </c>
      <c r="AA88" s="203"/>
      <c r="AB88" s="203"/>
      <c r="AC88" s="204"/>
      <c r="AD88" s="202"/>
      <c r="AE88" s="203"/>
      <c r="AF88" s="203"/>
      <c r="AG88" s="204"/>
      <c r="AH88" s="366"/>
      <c r="AI88" s="192"/>
      <c r="AJ88" s="192"/>
      <c r="AK88" s="111"/>
      <c r="AL88" s="111"/>
      <c r="AM88" s="111"/>
      <c r="AN88" s="111"/>
      <c r="AO88" s="111"/>
      <c r="AP88" s="111"/>
      <c r="AQ88" s="111"/>
      <c r="AR88" s="111"/>
      <c r="AS88" s="111"/>
      <c r="AT88" s="111"/>
      <c r="AU88" s="112"/>
    </row>
    <row r="89" spans="9:47" s="105" customFormat="1">
      <c r="I89" s="105" t="s">
        <v>322</v>
      </c>
      <c r="R89" s="202"/>
      <c r="S89" s="203"/>
      <c r="T89" s="203"/>
      <c r="U89" s="203"/>
      <c r="V89" s="202"/>
      <c r="W89" s="203"/>
      <c r="X89" s="203"/>
      <c r="Y89" s="224"/>
      <c r="Z89" s="202"/>
      <c r="AA89" s="203"/>
      <c r="AB89" s="203"/>
      <c r="AC89" s="204"/>
      <c r="AD89" s="202"/>
      <c r="AE89" s="203"/>
      <c r="AF89" s="203"/>
      <c r="AG89" s="204"/>
      <c r="AH89" s="366"/>
      <c r="AI89" s="192"/>
      <c r="AJ89" s="192"/>
      <c r="AK89" s="111"/>
      <c r="AL89" s="118"/>
      <c r="AM89" s="256"/>
      <c r="AN89" s="256"/>
      <c r="AO89" s="256"/>
      <c r="AP89" s="256"/>
      <c r="AQ89" s="256"/>
      <c r="AR89" s="256"/>
      <c r="AS89" s="256"/>
      <c r="AT89" s="256"/>
      <c r="AU89" s="381"/>
    </row>
    <row r="90" spans="9:47">
      <c r="R90" s="42"/>
      <c r="S90" s="28"/>
      <c r="T90" s="28"/>
      <c r="U90" s="28"/>
      <c r="V90" s="42"/>
      <c r="W90" s="28"/>
      <c r="X90" s="28"/>
      <c r="Y90" s="28"/>
      <c r="Z90" s="42"/>
      <c r="AA90" s="28"/>
      <c r="AB90" s="111"/>
      <c r="AC90" s="29"/>
      <c r="AD90" s="42"/>
      <c r="AE90" s="111"/>
      <c r="AF90" s="28"/>
      <c r="AG90" s="29"/>
      <c r="AH90" s="367"/>
      <c r="AI90" s="23"/>
      <c r="AJ90" s="23"/>
      <c r="AK90" s="28"/>
      <c r="AL90" s="28"/>
      <c r="AM90" s="28"/>
      <c r="AN90" s="28"/>
      <c r="AO90" s="118"/>
      <c r="AP90" s="118"/>
      <c r="AQ90" s="118"/>
      <c r="AR90" s="118"/>
      <c r="AS90" s="118"/>
      <c r="AT90" s="118"/>
      <c r="AU90" s="119"/>
    </row>
    <row r="91" spans="9:47" s="10" customFormat="1">
      <c r="I91" s="11" t="s">
        <v>321</v>
      </c>
      <c r="R91" s="357"/>
      <c r="S91" s="358"/>
      <c r="T91" s="358"/>
      <c r="U91" s="358"/>
      <c r="V91" s="357"/>
      <c r="W91" s="358"/>
      <c r="X91" s="358"/>
      <c r="Y91" s="358"/>
      <c r="Z91" s="357"/>
      <c r="AA91" s="359"/>
      <c r="AB91" s="359"/>
      <c r="AC91" s="360"/>
      <c r="AD91" s="357"/>
      <c r="AE91" s="358"/>
      <c r="AF91" s="358"/>
      <c r="AG91" s="360"/>
      <c r="AI91" s="30"/>
      <c r="AJ91" s="59"/>
      <c r="AK91" s="361"/>
      <c r="AL91" s="361"/>
      <c r="AM91" s="361"/>
      <c r="AN91" s="361"/>
      <c r="AO91" s="362"/>
      <c r="AP91" s="362"/>
      <c r="AQ91" s="362"/>
      <c r="AR91" s="362"/>
      <c r="AS91" s="362"/>
      <c r="AT91" s="362"/>
      <c r="AU91" s="363"/>
    </row>
    <row r="92" spans="9:47" s="298" customFormat="1">
      <c r="I92" s="298" t="s">
        <v>319</v>
      </c>
      <c r="R92" s="319"/>
      <c r="S92" s="320"/>
      <c r="T92" s="320"/>
      <c r="U92" s="320"/>
      <c r="V92" s="319"/>
      <c r="W92" s="320"/>
      <c r="X92" s="320"/>
      <c r="Y92" s="320"/>
      <c r="Z92" s="319"/>
      <c r="AA92" s="320"/>
      <c r="AB92" s="320"/>
      <c r="AC92" s="355"/>
      <c r="AD92" s="319"/>
      <c r="AE92" s="320"/>
      <c r="AF92" s="320"/>
      <c r="AG92" s="355"/>
      <c r="AI92" s="317"/>
      <c r="AJ92" s="318"/>
      <c r="AK92" s="313"/>
      <c r="AL92" s="353">
        <f>+AL79/0.55</f>
        <v>105.45454545454544</v>
      </c>
      <c r="AM92" s="353">
        <f t="shared" ref="AM92:AU92" si="85">+AM79/0.55</f>
        <v>174.54545454545453</v>
      </c>
      <c r="AN92" s="353">
        <f t="shared" si="85"/>
        <v>272.34722189075814</v>
      </c>
      <c r="AO92" s="353">
        <f t="shared" si="85"/>
        <v>429.67959087771646</v>
      </c>
      <c r="AP92" s="353">
        <f t="shared" si="85"/>
        <v>632.3726129761161</v>
      </c>
      <c r="AQ92" s="353">
        <f t="shared" si="85"/>
        <v>887.3720578558067</v>
      </c>
      <c r="AR92" s="353">
        <f t="shared" si="85"/>
        <v>1191.3503382112674</v>
      </c>
      <c r="AS92" s="353">
        <f t="shared" si="85"/>
        <v>1524.082214189187</v>
      </c>
      <c r="AT92" s="353">
        <f t="shared" si="85"/>
        <v>1872.4050474435026</v>
      </c>
      <c r="AU92" s="473">
        <f t="shared" si="85"/>
        <v>2237.4009108357968</v>
      </c>
    </row>
    <row r="93" spans="9:47" s="105" customFormat="1">
      <c r="I93" s="105" t="s">
        <v>227</v>
      </c>
      <c r="R93" s="202"/>
      <c r="S93" s="203"/>
      <c r="T93" s="203"/>
      <c r="U93" s="203"/>
      <c r="V93" s="202"/>
      <c r="W93" s="203"/>
      <c r="X93" s="203"/>
      <c r="Y93" s="203"/>
      <c r="Z93" s="331"/>
      <c r="AA93" s="332"/>
      <c r="AB93" s="332"/>
      <c r="AC93" s="330"/>
      <c r="AD93" s="331"/>
      <c r="AE93" s="332"/>
      <c r="AF93" s="332"/>
      <c r="AG93" s="330"/>
      <c r="AI93" s="106"/>
      <c r="AJ93" s="192"/>
      <c r="AK93" s="111"/>
      <c r="AL93" s="111"/>
      <c r="AM93" s="114">
        <f t="shared" ref="AM93:AU93" si="86">+AM92/AL92-1</f>
        <v>0.65517241379310365</v>
      </c>
      <c r="AN93" s="114">
        <f t="shared" si="86"/>
        <v>0.56032262541580202</v>
      </c>
      <c r="AO93" s="114">
        <f t="shared" si="86"/>
        <v>0.5776903758910612</v>
      </c>
      <c r="AP93" s="114">
        <f t="shared" si="86"/>
        <v>0.47173062533492427</v>
      </c>
      <c r="AQ93" s="114">
        <f t="shared" si="86"/>
        <v>0.4032423916646144</v>
      </c>
      <c r="AR93" s="114">
        <f t="shared" si="86"/>
        <v>0.34256012195152485</v>
      </c>
      <c r="AS93" s="114">
        <f t="shared" si="86"/>
        <v>0.27928969783774438</v>
      </c>
      <c r="AT93" s="114">
        <f t="shared" si="86"/>
        <v>0.22854596032381602</v>
      </c>
      <c r="AU93" s="115">
        <f t="shared" si="86"/>
        <v>0.19493424453787034</v>
      </c>
    </row>
    <row r="94" spans="9:47" s="105" customFormat="1">
      <c r="I94" s="105" t="s">
        <v>317</v>
      </c>
      <c r="R94" s="202"/>
      <c r="S94" s="203"/>
      <c r="T94" s="203"/>
      <c r="U94" s="203"/>
      <c r="V94" s="202"/>
      <c r="W94" s="203"/>
      <c r="X94" s="203"/>
      <c r="Y94" s="203"/>
      <c r="Z94" s="202"/>
      <c r="AA94" s="203"/>
      <c r="AB94" s="203"/>
      <c r="AC94" s="204"/>
      <c r="AD94" s="202"/>
      <c r="AE94" s="203"/>
      <c r="AF94" s="203"/>
      <c r="AG94" s="204"/>
      <c r="AI94" s="106"/>
      <c r="AJ94" s="192"/>
      <c r="AK94" s="111"/>
      <c r="AL94" s="356">
        <f>+AL92/'Revenue Model'!AL34</f>
        <v>0.26370228920866584</v>
      </c>
      <c r="AM94" s="356">
        <f>+AM92/'Revenue Model'!AM34</f>
        <v>0.21746174796885628</v>
      </c>
      <c r="AN94" s="356">
        <f>+AN92/'Revenue Model'!AN34</f>
        <v>0.20975004730269545</v>
      </c>
      <c r="AO94" s="356">
        <f>+AO92/'Revenue Model'!AO34</f>
        <v>0.21898288563408805</v>
      </c>
      <c r="AP94" s="356">
        <f>+AP92/'Revenue Model'!AP34</f>
        <v>0.2260351051979112</v>
      </c>
      <c r="AQ94" s="356">
        <f>+AQ92/'Revenue Model'!AQ34</f>
        <v>0.23316782275181688</v>
      </c>
      <c r="AR94" s="356">
        <f>+AR92/'Revenue Model'!AR34</f>
        <v>0.24034881794669016</v>
      </c>
      <c r="AS94" s="356">
        <f>+AS92/'Revenue Model'!AS34</f>
        <v>0.2475620863023783</v>
      </c>
      <c r="AT94" s="356">
        <f>+AT92/'Revenue Model'!AT34</f>
        <v>0.25479499531944932</v>
      </c>
      <c r="AU94" s="474">
        <f>+AU92/'Revenue Model'!AU34</f>
        <v>0.26203908763521944</v>
      </c>
    </row>
    <row r="95" spans="9:47" s="105" customFormat="1">
      <c r="I95" s="105" t="s">
        <v>320</v>
      </c>
      <c r="R95" s="202"/>
      <c r="S95" s="203"/>
      <c r="T95" s="203"/>
      <c r="U95" s="203"/>
      <c r="V95" s="202"/>
      <c r="W95" s="203"/>
      <c r="X95" s="203"/>
      <c r="Y95" s="203"/>
      <c r="Z95" s="202"/>
      <c r="AA95" s="203"/>
      <c r="AB95" s="203"/>
      <c r="AC95" s="204"/>
      <c r="AD95" s="202"/>
      <c r="AE95" s="203"/>
      <c r="AF95" s="203"/>
      <c r="AG95" s="204"/>
      <c r="AI95" s="106"/>
      <c r="AJ95" s="192"/>
      <c r="AK95" s="111"/>
      <c r="AL95" s="111"/>
      <c r="AM95" s="111">
        <f>+(AM92-AL92)/('Revenue Model'!AM34-'Revenue Model'!AL34)</f>
        <v>0.17154830698750109</v>
      </c>
      <c r="AN95" s="111">
        <f>+(AN92-AM92)/('Revenue Model'!AN34-'Revenue Model'!AM34)</f>
        <v>0.19726529808611742</v>
      </c>
      <c r="AO95" s="111">
        <f>+(AO92-AN92)/('Revenue Model'!AO34-'Revenue Model'!AN34)</f>
        <v>0.23704501091895167</v>
      </c>
      <c r="AP95" s="111">
        <f>+(AP92-AO92)/('Revenue Model'!AP34-'Revenue Model'!AO34)</f>
        <v>0.24259687651420966</v>
      </c>
      <c r="AQ95" s="111">
        <f>+(AQ92-AP92)/('Revenue Model'!AQ34-'Revenue Model'!AP34)</f>
        <v>0.25296352215592938</v>
      </c>
      <c r="AR95" s="111">
        <f>+(AR92-AQ92)/('Revenue Model'!AR34-'Revenue Model'!AQ34)</f>
        <v>0.26409173191345142</v>
      </c>
      <c r="AS95" s="111">
        <f>+(AS92-AR92)/('Revenue Model'!AS34-'Revenue Model'!AR34)</f>
        <v>0.27736716173321374</v>
      </c>
      <c r="AT95" s="111">
        <f>+(AT92-AS92)/('Revenue Model'!AT34-'Revenue Model'!AS34)</f>
        <v>0.29214136313770339</v>
      </c>
      <c r="AU95" s="112">
        <f>+(AU92-AT92)/('Revenue Model'!AU34-'Revenue Model'!AT34)</f>
        <v>0.30678327475113898</v>
      </c>
    </row>
    <row r="96" spans="9:47" s="105" customFormat="1">
      <c r="R96" s="202"/>
      <c r="S96" s="203"/>
      <c r="T96" s="203"/>
      <c r="U96" s="203"/>
      <c r="V96" s="202"/>
      <c r="W96" s="203"/>
      <c r="X96" s="203"/>
      <c r="Y96" s="203"/>
      <c r="Z96" s="202"/>
      <c r="AA96" s="203"/>
      <c r="AB96" s="203"/>
      <c r="AC96" s="204"/>
      <c r="AD96" s="202"/>
      <c r="AE96" s="203"/>
      <c r="AF96" s="203"/>
      <c r="AG96" s="204"/>
      <c r="AI96" s="106"/>
      <c r="AJ96" s="192"/>
      <c r="AK96" s="111"/>
      <c r="AL96" s="111"/>
      <c r="AM96" s="111"/>
      <c r="AN96" s="111"/>
      <c r="AO96" s="118"/>
      <c r="AP96" s="118"/>
      <c r="AQ96" s="118"/>
      <c r="AR96" s="118"/>
      <c r="AS96" s="118"/>
      <c r="AT96" s="118"/>
      <c r="AU96" s="119"/>
    </row>
    <row r="97" spans="9:47" s="298" customFormat="1">
      <c r="I97" s="298" t="s">
        <v>318</v>
      </c>
      <c r="R97" s="319"/>
      <c r="S97" s="320"/>
      <c r="T97" s="320"/>
      <c r="U97" s="320"/>
      <c r="V97" s="319"/>
      <c r="W97" s="320"/>
      <c r="X97" s="320"/>
      <c r="Y97" s="320"/>
      <c r="Z97" s="319"/>
      <c r="AA97" s="320"/>
      <c r="AB97" s="320"/>
      <c r="AC97" s="355"/>
      <c r="AD97" s="319"/>
      <c r="AE97" s="320"/>
      <c r="AF97" s="320"/>
      <c r="AG97" s="355"/>
      <c r="AI97" s="317"/>
      <c r="AJ97" s="318"/>
      <c r="AK97" s="313"/>
      <c r="AL97" s="353">
        <f>+'Revenue Model'!AL34-'Expense Model'!AL92</f>
        <v>294.44545454545448</v>
      </c>
      <c r="AM97" s="353">
        <f>+'Revenue Model'!AM34-'Expense Model'!AM92</f>
        <v>628.1035454545455</v>
      </c>
      <c r="AN97" s="353">
        <f>+'Revenue Model'!AN34-'Expense Model'!AN92</f>
        <v>1026.0897767799843</v>
      </c>
      <c r="AO97" s="353">
        <f>+'Revenue Model'!AO34-'Expense Model'!AO92</f>
        <v>1532.481011917949</v>
      </c>
      <c r="AP97" s="353">
        <f>+'Revenue Model'!AP34-'Expense Model'!AP92</f>
        <v>2165.301723593971</v>
      </c>
      <c r="AQ97" s="353">
        <f>+'Revenue Model'!AQ34-'Expense Model'!AQ92</f>
        <v>2918.3505645161608</v>
      </c>
      <c r="AR97" s="353">
        <f>+'Revenue Model'!AR34-'Expense Model'!AR92</f>
        <v>3765.4052156084781</v>
      </c>
      <c r="AS97" s="353">
        <f>+'Revenue Model'!AS34-'Expense Model'!AS92</f>
        <v>4632.2813750545884</v>
      </c>
      <c r="AT97" s="353">
        <f>+'Revenue Model'!AT34-'Expense Model'!AT92</f>
        <v>5476.2677359287691</v>
      </c>
      <c r="AU97" s="473">
        <f>+'Revenue Model'!AU34-'Expense Model'!AU92</f>
        <v>6301.0233793237239</v>
      </c>
    </row>
    <row r="98" spans="9:47" s="105" customFormat="1">
      <c r="I98" s="105" t="s">
        <v>227</v>
      </c>
      <c r="R98" s="202"/>
      <c r="S98" s="203"/>
      <c r="T98" s="203"/>
      <c r="U98" s="203"/>
      <c r="V98" s="202"/>
      <c r="W98" s="203"/>
      <c r="X98" s="203"/>
      <c r="Y98" s="203"/>
      <c r="Z98" s="331"/>
      <c r="AA98" s="332"/>
      <c r="AB98" s="332"/>
      <c r="AC98" s="330"/>
      <c r="AD98" s="331"/>
      <c r="AE98" s="332"/>
      <c r="AF98" s="332"/>
      <c r="AG98" s="330"/>
      <c r="AI98" s="106"/>
      <c r="AJ98" s="192"/>
      <c r="AK98" s="111"/>
      <c r="AL98" s="111"/>
      <c r="AM98" s="114">
        <f t="shared" ref="AM98:AU98" si="87">+AM97/AL97-1</f>
        <v>1.1331745345642044</v>
      </c>
      <c r="AN98" s="114">
        <f t="shared" si="87"/>
        <v>0.63363156314843661</v>
      </c>
      <c r="AO98" s="114">
        <f t="shared" si="87"/>
        <v>0.49351552524681863</v>
      </c>
      <c r="AP98" s="114">
        <f t="shared" si="87"/>
        <v>0.41293869663287164</v>
      </c>
      <c r="AQ98" s="114">
        <f t="shared" si="87"/>
        <v>0.3477800958252959</v>
      </c>
      <c r="AR98" s="114">
        <f t="shared" si="87"/>
        <v>0.29025116495308789</v>
      </c>
      <c r="AS98" s="114">
        <f t="shared" si="87"/>
        <v>0.23022121386901673</v>
      </c>
      <c r="AT98" s="114">
        <f t="shared" si="87"/>
        <v>0.18219669586980447</v>
      </c>
      <c r="AU98" s="115">
        <f t="shared" si="87"/>
        <v>0.15060542748556416</v>
      </c>
    </row>
    <row r="99" spans="9:47" s="105" customFormat="1">
      <c r="I99" s="105" t="s">
        <v>317</v>
      </c>
      <c r="R99" s="202"/>
      <c r="S99" s="203"/>
      <c r="T99" s="203"/>
      <c r="U99" s="203"/>
      <c r="V99" s="202"/>
      <c r="W99" s="203"/>
      <c r="X99" s="203"/>
      <c r="Y99" s="203"/>
      <c r="Z99" s="202"/>
      <c r="AA99" s="203"/>
      <c r="AB99" s="203"/>
      <c r="AC99" s="204"/>
      <c r="AD99" s="202"/>
      <c r="AE99" s="203"/>
      <c r="AF99" s="203"/>
      <c r="AG99" s="204"/>
      <c r="AI99" s="106"/>
      <c r="AJ99" s="192"/>
      <c r="AK99" s="111"/>
      <c r="AL99" s="356">
        <f>+AL97/'Revenue Model'!AL34</f>
        <v>0.73629771079133421</v>
      </c>
      <c r="AM99" s="356">
        <f>+AM97/'Revenue Model'!AM34</f>
        <v>0.7825382520311438</v>
      </c>
      <c r="AN99" s="356">
        <f>+AN97/'Revenue Model'!AN34</f>
        <v>0.79024995269730447</v>
      </c>
      <c r="AO99" s="356">
        <f>+AO97/'Revenue Model'!AO34</f>
        <v>0.78101711436591192</v>
      </c>
      <c r="AP99" s="356">
        <f>+AP97/'Revenue Model'!AP34</f>
        <v>0.77396489480208874</v>
      </c>
      <c r="AQ99" s="356">
        <f>+AQ97/'Revenue Model'!AQ34</f>
        <v>0.76683217724818309</v>
      </c>
      <c r="AR99" s="356">
        <f>+AR97/'Revenue Model'!AR34</f>
        <v>0.75965118205330984</v>
      </c>
      <c r="AS99" s="356">
        <f>+AS97/'Revenue Model'!AS34</f>
        <v>0.7524379136976217</v>
      </c>
      <c r="AT99" s="356">
        <f>+AT97/'Revenue Model'!AT34</f>
        <v>0.74520500468055073</v>
      </c>
      <c r="AU99" s="474">
        <f>+AU97/'Revenue Model'!AU34</f>
        <v>0.73796091236478056</v>
      </c>
    </row>
    <row r="100" spans="9:47" s="105" customFormat="1">
      <c r="I100" s="105" t="s">
        <v>320</v>
      </c>
      <c r="R100" s="202"/>
      <c r="S100" s="203"/>
      <c r="T100" s="203"/>
      <c r="U100" s="203"/>
      <c r="V100" s="202"/>
      <c r="W100" s="203"/>
      <c r="X100" s="203"/>
      <c r="Y100" s="203"/>
      <c r="Z100" s="202"/>
      <c r="AA100" s="203"/>
      <c r="AB100" s="203"/>
      <c r="AC100" s="204"/>
      <c r="AD100" s="202"/>
      <c r="AE100" s="203"/>
      <c r="AF100" s="203"/>
      <c r="AG100" s="204"/>
      <c r="AI100" s="106"/>
      <c r="AJ100" s="192"/>
      <c r="AK100" s="111"/>
      <c r="AL100" s="111"/>
      <c r="AM100" s="111">
        <f>+(AM97-AL97)/('Revenue Model'!AM34-'Revenue Model'!AL34)</f>
        <v>0.82845169301249899</v>
      </c>
      <c r="AN100" s="111">
        <f>+(AN97-AM97)/('Revenue Model'!AN34-'Revenue Model'!AM34)</f>
        <v>0.80273470191388241</v>
      </c>
      <c r="AO100" s="111">
        <f>+(AO97-AN97)/('Revenue Model'!AO34-'Revenue Model'!AN34)</f>
        <v>0.76295498908104842</v>
      </c>
      <c r="AP100" s="111">
        <f>+(AP97-AO97)/('Revenue Model'!AP34-'Revenue Model'!AO34)</f>
        <v>0.7574031234857902</v>
      </c>
      <c r="AQ100" s="111">
        <f>+(AQ97-AP97)/('Revenue Model'!AQ34-'Revenue Model'!AP34)</f>
        <v>0.74703647784407068</v>
      </c>
      <c r="AR100" s="111">
        <f>+(AR97-AQ97)/('Revenue Model'!AR34-'Revenue Model'!AQ34)</f>
        <v>0.73590826808654852</v>
      </c>
      <c r="AS100" s="111">
        <f>+(AS97-AR97)/('Revenue Model'!AS34-'Revenue Model'!AR34)</f>
        <v>0.72263283826678659</v>
      </c>
      <c r="AT100" s="111">
        <f>+(AT97-AS97)/('Revenue Model'!AT34-'Revenue Model'!AS34)</f>
        <v>0.70785863686229644</v>
      </c>
      <c r="AU100" s="112">
        <f>+(AU97-AT97)/('Revenue Model'!AU34-'Revenue Model'!AT34)</f>
        <v>0.69321672524886102</v>
      </c>
    </row>
    <row r="101" spans="9:47" s="105" customFormat="1">
      <c r="R101" s="202"/>
      <c r="S101" s="203"/>
      <c r="T101" s="203"/>
      <c r="U101" s="203"/>
      <c r="V101" s="202"/>
      <c r="W101" s="203"/>
      <c r="X101" s="203"/>
      <c r="Y101" s="224"/>
      <c r="Z101" s="202"/>
      <c r="AA101" s="203"/>
      <c r="AB101" s="203"/>
      <c r="AC101" s="204"/>
      <c r="AD101" s="202"/>
      <c r="AE101" s="203"/>
      <c r="AF101" s="203"/>
      <c r="AG101" s="204"/>
      <c r="AI101" s="106"/>
      <c r="AJ101" s="192"/>
      <c r="AK101" s="111"/>
      <c r="AL101" s="111"/>
      <c r="AM101" s="111"/>
      <c r="AN101" s="111"/>
      <c r="AO101" s="118"/>
      <c r="AP101" s="118"/>
      <c r="AQ101" s="118"/>
      <c r="AR101" s="118"/>
      <c r="AS101" s="118"/>
      <c r="AT101" s="118"/>
      <c r="AU101" s="119"/>
    </row>
    <row r="102" spans="9:47" s="10" customFormat="1">
      <c r="I102" s="11"/>
      <c r="R102" s="357"/>
      <c r="S102" s="358"/>
      <c r="T102" s="358"/>
      <c r="U102" s="358"/>
      <c r="V102" s="357"/>
      <c r="W102" s="358"/>
      <c r="X102" s="358"/>
      <c r="Y102" s="358"/>
      <c r="Z102" s="357"/>
      <c r="AA102" s="359"/>
      <c r="AB102" s="359"/>
      <c r="AC102" s="360"/>
      <c r="AD102" s="357"/>
      <c r="AE102" s="358"/>
      <c r="AF102" s="358"/>
      <c r="AG102" s="360"/>
      <c r="AI102" s="30"/>
      <c r="AJ102" s="59"/>
      <c r="AK102" s="361"/>
      <c r="AL102" s="361"/>
      <c r="AM102" s="361"/>
      <c r="AN102" s="361"/>
      <c r="AO102" s="362"/>
      <c r="AP102" s="362"/>
      <c r="AQ102" s="362"/>
      <c r="AR102" s="362"/>
      <c r="AS102" s="362"/>
      <c r="AT102" s="362"/>
      <c r="AU102" s="363"/>
    </row>
    <row r="103" spans="9:47" s="105" customFormat="1">
      <c r="R103" s="110"/>
      <c r="S103" s="111"/>
      <c r="T103" s="111"/>
      <c r="U103" s="305" t="s">
        <v>293</v>
      </c>
      <c r="V103" s="110"/>
      <c r="W103" s="111"/>
      <c r="X103" s="111"/>
      <c r="Y103" s="305" t="s">
        <v>294</v>
      </c>
      <c r="Z103" s="110"/>
      <c r="AA103" s="111"/>
      <c r="AB103" s="111"/>
      <c r="AC103" s="112"/>
      <c r="AD103" s="110"/>
      <c r="AE103" s="111"/>
      <c r="AF103" s="111"/>
      <c r="AG103" s="112"/>
      <c r="AI103" s="106"/>
      <c r="AJ103" s="192"/>
      <c r="AK103" s="111"/>
      <c r="AL103" s="111"/>
      <c r="AM103" s="111"/>
      <c r="AN103" s="111"/>
      <c r="AO103" s="118"/>
      <c r="AP103" s="118"/>
      <c r="AQ103" s="118"/>
      <c r="AR103" s="118"/>
      <c r="AS103" s="118"/>
      <c r="AT103" s="118"/>
      <c r="AU103" s="119"/>
    </row>
    <row r="104" spans="9:47" s="105" customFormat="1">
      <c r="I104" s="298" t="s">
        <v>264</v>
      </c>
      <c r="R104" s="202"/>
      <c r="S104" s="203"/>
      <c r="T104" s="203"/>
      <c r="U104" s="304" t="str">
        <f>+AK104</f>
        <v xml:space="preserve">Publisher Stories </v>
      </c>
      <c r="V104" s="202"/>
      <c r="W104" s="203"/>
      <c r="X104" s="203"/>
      <c r="Y104" s="304" t="str">
        <f>+AL104</f>
        <v xml:space="preserve">On-Demand Geofilters </v>
      </c>
      <c r="Z104" s="202" t="s">
        <v>374</v>
      </c>
      <c r="AA104" s="203"/>
      <c r="AB104" s="203"/>
      <c r="AC104" s="204"/>
      <c r="AD104" s="202"/>
      <c r="AE104" s="203"/>
      <c r="AF104" s="203"/>
      <c r="AG104" s="204"/>
      <c r="AI104" s="299" t="s">
        <v>266</v>
      </c>
      <c r="AJ104" s="300" t="s">
        <v>269</v>
      </c>
      <c r="AK104" s="301" t="s">
        <v>275</v>
      </c>
      <c r="AL104" s="301" t="s">
        <v>283</v>
      </c>
      <c r="AM104" s="111" t="s">
        <v>380</v>
      </c>
      <c r="AN104" s="111"/>
      <c r="AO104" s="118"/>
      <c r="AP104" s="118"/>
      <c r="AQ104" s="118"/>
      <c r="AR104" s="118"/>
      <c r="AS104" s="118"/>
      <c r="AT104" s="118"/>
      <c r="AU104" s="119"/>
    </row>
    <row r="105" spans="9:47" s="105" customFormat="1">
      <c r="I105" s="298"/>
      <c r="R105" s="202"/>
      <c r="S105" s="203"/>
      <c r="T105" s="203"/>
      <c r="U105" s="304" t="str">
        <f t="shared" ref="U105:U111" si="88">+AK105</f>
        <v xml:space="preserve">Best Friend Emojies </v>
      </c>
      <c r="V105" s="202"/>
      <c r="W105" s="203"/>
      <c r="X105" s="203"/>
      <c r="Y105" s="304" t="str">
        <f t="shared" ref="Y105:Y113" si="89">+AL105</f>
        <v xml:space="preserve">Face Swap </v>
      </c>
      <c r="Z105" s="202"/>
      <c r="AA105" s="203"/>
      <c r="AB105" s="203"/>
      <c r="AC105" s="204"/>
      <c r="AD105" s="202"/>
      <c r="AE105" s="203"/>
      <c r="AF105" s="203"/>
      <c r="AG105" s="204"/>
      <c r="AI105" s="299" t="s">
        <v>267</v>
      </c>
      <c r="AJ105" s="300" t="s">
        <v>270</v>
      </c>
      <c r="AK105" s="301" t="s">
        <v>276</v>
      </c>
      <c r="AL105" s="301" t="s">
        <v>284</v>
      </c>
      <c r="AM105" s="111"/>
      <c r="AN105" s="111"/>
      <c r="AO105" s="118"/>
      <c r="AP105" s="118"/>
      <c r="AQ105" s="118"/>
      <c r="AR105" s="118"/>
      <c r="AS105" s="118"/>
      <c r="AT105" s="118"/>
      <c r="AU105" s="119"/>
    </row>
    <row r="106" spans="9:47" s="105" customFormat="1">
      <c r="I106" s="298"/>
      <c r="R106" s="202"/>
      <c r="S106" s="203"/>
      <c r="T106" s="203"/>
      <c r="U106" s="304" t="str">
        <f t="shared" si="88"/>
        <v xml:space="preserve">Snapcodes </v>
      </c>
      <c r="V106" s="202"/>
      <c r="W106" s="203"/>
      <c r="X106" s="203"/>
      <c r="Y106" s="304" t="str">
        <f t="shared" si="89"/>
        <v xml:space="preserve">Chat Stickers </v>
      </c>
      <c r="Z106" s="202"/>
      <c r="AA106" s="203"/>
      <c r="AB106" s="203"/>
      <c r="AC106" s="204"/>
      <c r="AD106" s="202"/>
      <c r="AE106" s="203"/>
      <c r="AF106" s="203"/>
      <c r="AG106" s="204"/>
      <c r="AI106" s="299" t="s">
        <v>268</v>
      </c>
      <c r="AJ106" s="300" t="s">
        <v>271</v>
      </c>
      <c r="AK106" s="301" t="s">
        <v>277</v>
      </c>
      <c r="AL106" s="301" t="s">
        <v>285</v>
      </c>
      <c r="AM106" s="111"/>
      <c r="AN106" s="111"/>
      <c r="AO106" s="118"/>
      <c r="AP106" s="118"/>
      <c r="AQ106" s="118"/>
      <c r="AR106" s="118"/>
      <c r="AS106" s="118"/>
      <c r="AT106" s="118"/>
      <c r="AU106" s="119"/>
    </row>
    <row r="107" spans="9:47" s="105" customFormat="1">
      <c r="I107" s="298"/>
      <c r="R107" s="202"/>
      <c r="S107" s="203"/>
      <c r="T107" s="203"/>
      <c r="U107" s="304" t="str">
        <f t="shared" si="88"/>
        <v>Sponsored Geofilters</v>
      </c>
      <c r="V107" s="202"/>
      <c r="W107" s="203"/>
      <c r="X107" s="203"/>
      <c r="Y107" s="304" t="str">
        <f t="shared" si="89"/>
        <v>Voice and Vid Calls</v>
      </c>
      <c r="Z107" s="202"/>
      <c r="AA107" s="203"/>
      <c r="AB107" s="203"/>
      <c r="AC107" s="204"/>
      <c r="AD107" s="202"/>
      <c r="AE107" s="203"/>
      <c r="AF107" s="203"/>
      <c r="AG107" s="204"/>
      <c r="AI107" s="299"/>
      <c r="AJ107" s="300" t="s">
        <v>272</v>
      </c>
      <c r="AK107" s="301" t="s">
        <v>278</v>
      </c>
      <c r="AL107" s="301" t="s">
        <v>286</v>
      </c>
      <c r="AM107" s="111"/>
      <c r="AN107" s="111"/>
      <c r="AO107" s="118"/>
      <c r="AP107" s="118"/>
      <c r="AQ107" s="118"/>
      <c r="AR107" s="118"/>
      <c r="AS107" s="118"/>
      <c r="AT107" s="118"/>
      <c r="AU107" s="119"/>
    </row>
    <row r="108" spans="9:47" s="105" customFormat="1">
      <c r="I108" s="298"/>
      <c r="R108" s="202"/>
      <c r="S108" s="203"/>
      <c r="T108" s="203"/>
      <c r="U108" s="304" t="str">
        <f t="shared" si="88"/>
        <v>Trophies</v>
      </c>
      <c r="V108" s="202"/>
      <c r="W108" s="203"/>
      <c r="X108" s="203"/>
      <c r="Y108" s="304" t="str">
        <f t="shared" si="89"/>
        <v>3D Stickers</v>
      </c>
      <c r="Z108" s="202"/>
      <c r="AA108" s="203"/>
      <c r="AB108" s="203"/>
      <c r="AC108" s="204"/>
      <c r="AD108" s="202"/>
      <c r="AE108" s="203"/>
      <c r="AF108" s="203"/>
      <c r="AG108" s="204"/>
      <c r="AI108" s="299"/>
      <c r="AJ108" s="300" t="s">
        <v>273</v>
      </c>
      <c r="AK108" s="301" t="s">
        <v>279</v>
      </c>
      <c r="AL108" s="301" t="s">
        <v>287</v>
      </c>
      <c r="AM108" s="111"/>
      <c r="AN108" s="111"/>
      <c r="AO108" s="118"/>
      <c r="AP108" s="118"/>
      <c r="AQ108" s="118"/>
      <c r="AR108" s="118"/>
      <c r="AS108" s="118"/>
      <c r="AT108" s="118"/>
      <c r="AU108" s="119"/>
    </row>
    <row r="109" spans="9:47" s="105" customFormat="1">
      <c r="I109" s="298"/>
      <c r="R109" s="202"/>
      <c r="S109" s="203"/>
      <c r="T109" s="203"/>
      <c r="U109" s="304" t="str">
        <f t="shared" si="88"/>
        <v xml:space="preserve">Lenses </v>
      </c>
      <c r="V109" s="202"/>
      <c r="W109" s="203"/>
      <c r="X109" s="203"/>
      <c r="Y109" s="304" t="str">
        <f t="shared" si="89"/>
        <v>Memories</v>
      </c>
      <c r="Z109" s="202"/>
      <c r="AA109" s="203"/>
      <c r="AB109" s="203"/>
      <c r="AC109" s="204"/>
      <c r="AD109" s="202"/>
      <c r="AE109" s="203"/>
      <c r="AF109" s="203"/>
      <c r="AG109" s="204"/>
      <c r="AI109" s="299"/>
      <c r="AJ109" s="300" t="s">
        <v>274</v>
      </c>
      <c r="AK109" s="301" t="s">
        <v>280</v>
      </c>
      <c r="AL109" s="301" t="s">
        <v>288</v>
      </c>
      <c r="AM109" s="111"/>
      <c r="AN109" s="111"/>
      <c r="AO109" s="118"/>
      <c r="AP109" s="118"/>
      <c r="AQ109" s="118"/>
      <c r="AR109" s="118"/>
      <c r="AS109" s="118"/>
      <c r="AT109" s="118"/>
      <c r="AU109" s="119"/>
    </row>
    <row r="110" spans="9:47" s="105" customFormat="1">
      <c r="I110" s="298"/>
      <c r="R110" s="202"/>
      <c r="S110" s="203"/>
      <c r="T110" s="203"/>
      <c r="U110" s="304" t="str">
        <f t="shared" si="88"/>
        <v xml:space="preserve">Sponsored Lenses </v>
      </c>
      <c r="V110" s="202"/>
      <c r="W110" s="203"/>
      <c r="X110" s="203"/>
      <c r="Y110" s="304" t="str">
        <f t="shared" si="89"/>
        <v>Bitmojis</v>
      </c>
      <c r="Z110" s="202"/>
      <c r="AA110" s="203"/>
      <c r="AB110" s="203"/>
      <c r="AC110" s="204"/>
      <c r="AD110" s="202"/>
      <c r="AE110" s="203"/>
      <c r="AF110" s="203"/>
      <c r="AG110" s="204"/>
      <c r="AI110" s="299"/>
      <c r="AJ110" s="300"/>
      <c r="AK110" s="301" t="s">
        <v>281</v>
      </c>
      <c r="AL110" s="301" t="s">
        <v>289</v>
      </c>
      <c r="AM110" s="111"/>
      <c r="AN110" s="111"/>
      <c r="AO110" s="118"/>
      <c r="AP110" s="118"/>
      <c r="AQ110" s="118"/>
      <c r="AR110" s="118"/>
      <c r="AS110" s="118"/>
      <c r="AT110" s="118"/>
      <c r="AU110" s="119"/>
    </row>
    <row r="111" spans="9:47" s="105" customFormat="1">
      <c r="R111" s="110"/>
      <c r="S111" s="111"/>
      <c r="T111" s="111"/>
      <c r="U111" s="370" t="str">
        <f t="shared" si="88"/>
        <v>Story Explorer</v>
      </c>
      <c r="V111" s="110"/>
      <c r="W111" s="111"/>
      <c r="X111" s="111"/>
      <c r="Y111" s="304" t="str">
        <f t="shared" si="89"/>
        <v>Geostickers</v>
      </c>
      <c r="Z111" s="110"/>
      <c r="AA111" s="111"/>
      <c r="AB111" s="111"/>
      <c r="AC111" s="112"/>
      <c r="AD111" s="110"/>
      <c r="AE111" s="111"/>
      <c r="AF111" s="111"/>
      <c r="AG111" s="112"/>
      <c r="AI111" s="302"/>
      <c r="AJ111" s="303"/>
      <c r="AK111" s="301" t="s">
        <v>282</v>
      </c>
      <c r="AL111" s="301" t="s">
        <v>290</v>
      </c>
      <c r="AM111" s="111"/>
      <c r="AN111" s="111"/>
      <c r="AO111" s="118"/>
      <c r="AP111" s="118"/>
      <c r="AQ111" s="118"/>
      <c r="AR111" s="118"/>
      <c r="AS111" s="118"/>
      <c r="AT111" s="118"/>
      <c r="AU111" s="119"/>
    </row>
    <row r="112" spans="9:47" s="105" customFormat="1">
      <c r="R112" s="110"/>
      <c r="S112" s="111"/>
      <c r="T112" s="111"/>
      <c r="U112" s="111"/>
      <c r="V112" s="110"/>
      <c r="W112" s="111"/>
      <c r="X112" s="111"/>
      <c r="Y112" s="304" t="str">
        <f t="shared" si="89"/>
        <v xml:space="preserve">Spectacles </v>
      </c>
      <c r="Z112" s="110"/>
      <c r="AA112" s="111"/>
      <c r="AB112" s="111"/>
      <c r="AC112" s="112"/>
      <c r="AD112" s="110"/>
      <c r="AE112" s="111"/>
      <c r="AF112" s="111"/>
      <c r="AG112" s="112"/>
      <c r="AI112" s="302"/>
      <c r="AJ112" s="303"/>
      <c r="AK112" s="301"/>
      <c r="AL112" s="301" t="s">
        <v>291</v>
      </c>
      <c r="AM112" s="111"/>
      <c r="AN112" s="111"/>
      <c r="AO112" s="118"/>
      <c r="AP112" s="118"/>
      <c r="AQ112" s="118"/>
      <c r="AR112" s="118"/>
      <c r="AS112" s="118"/>
      <c r="AT112" s="118"/>
      <c r="AU112" s="119"/>
    </row>
    <row r="113" spans="9:47" s="105" customFormat="1">
      <c r="R113" s="110"/>
      <c r="S113" s="111"/>
      <c r="T113" s="111"/>
      <c r="U113" s="111"/>
      <c r="V113" s="110"/>
      <c r="W113" s="111"/>
      <c r="X113" s="111"/>
      <c r="Y113" s="304" t="str">
        <f t="shared" si="89"/>
        <v>Story playlist</v>
      </c>
      <c r="Z113" s="110"/>
      <c r="AA113" s="111"/>
      <c r="AB113" s="111"/>
      <c r="AC113" s="112"/>
      <c r="AD113" s="110"/>
      <c r="AE113" s="111"/>
      <c r="AF113" s="111"/>
      <c r="AG113" s="112"/>
      <c r="AI113" s="302"/>
      <c r="AJ113" s="303"/>
      <c r="AK113" s="301"/>
      <c r="AL113" s="301" t="s">
        <v>292</v>
      </c>
      <c r="AM113" s="111"/>
      <c r="AN113" s="111"/>
      <c r="AO113" s="118"/>
      <c r="AP113" s="118"/>
      <c r="AQ113" s="118"/>
      <c r="AR113" s="118"/>
      <c r="AS113" s="118"/>
      <c r="AT113" s="118"/>
      <c r="AU113" s="119"/>
    </row>
    <row r="114" spans="9:47" s="105" customFormat="1">
      <c r="R114" s="110"/>
      <c r="S114" s="111"/>
      <c r="T114" s="111"/>
      <c r="U114" s="111"/>
      <c r="V114" s="110"/>
      <c r="W114" s="111"/>
      <c r="X114" s="111"/>
      <c r="Y114" s="203"/>
      <c r="Z114" s="110"/>
      <c r="AA114" s="111"/>
      <c r="AB114" s="111"/>
      <c r="AC114" s="112"/>
      <c r="AD114" s="110"/>
      <c r="AE114" s="111"/>
      <c r="AF114" s="111"/>
      <c r="AG114" s="112"/>
      <c r="AI114" s="302"/>
      <c r="AJ114" s="303"/>
      <c r="AK114" s="301"/>
      <c r="AL114" s="301"/>
      <c r="AM114" s="111"/>
      <c r="AN114" s="111"/>
      <c r="AO114" s="118"/>
      <c r="AP114" s="118"/>
      <c r="AQ114" s="118"/>
      <c r="AR114" s="118"/>
      <c r="AS114" s="118"/>
      <c r="AT114" s="118"/>
      <c r="AU114" s="119"/>
    </row>
    <row r="115" spans="9:47" s="105" customFormat="1">
      <c r="I115" s="7" t="s">
        <v>238</v>
      </c>
      <c r="R115" s="229">
        <f>+(R9*4)/'Revenue Model'!R11</f>
        <v>1.024641975308642</v>
      </c>
      <c r="S115" s="230">
        <f>+(S9*4)/'Revenue Model'!S11</f>
        <v>1.866574712643678</v>
      </c>
      <c r="T115" s="230">
        <f>+(T9*4)/'Revenue Model'!T11</f>
        <v>2.3749524815205914</v>
      </c>
      <c r="U115" s="230">
        <f>+(U9*4)/'Revenue Model'!U11</f>
        <v>2.4440377358490566</v>
      </c>
      <c r="V115" s="229">
        <f>+(V9*4)/'Revenue Model'!V11</f>
        <v>2.4843606557377047</v>
      </c>
      <c r="W115" s="230">
        <f>+(W9*4)/'Revenue Model'!W11</f>
        <v>2.6505454545454548</v>
      </c>
      <c r="X115" s="230">
        <f>+(X9*4)/'Revenue Model'!X11</f>
        <v>3.3406535947712417</v>
      </c>
      <c r="Y115" s="230">
        <f>+(Y9*4)/'Revenue Model'!Y11</f>
        <v>3.8749210360075801</v>
      </c>
      <c r="Z115" s="229">
        <f>+(Z9*4)/'Revenue Model'!Z11</f>
        <v>3.9363373493975904</v>
      </c>
      <c r="AA115" s="230">
        <f>+(AA9*4)/'Revenue Model'!AA11</f>
        <v>3.497655172413793</v>
      </c>
      <c r="AB115" s="230">
        <f>+(AB9*4)/'Revenue Model'!AB11</f>
        <v>4.735056179775281</v>
      </c>
      <c r="AC115" s="168">
        <f>+(AC9*4)/'Revenue Model'!AC11</f>
        <v>4.0908235294117645</v>
      </c>
      <c r="AD115" s="230">
        <f>+(AD9*4)/'Revenue Model'!AD11</f>
        <v>3.5320469998807114</v>
      </c>
      <c r="AE115" s="230">
        <f>+(AE9*4)/'Revenue Model'!AE11</f>
        <v>3.955586087215309</v>
      </c>
      <c r="AF115" s="230">
        <f>+(AF9*4)/'Revenue Model'!AF11</f>
        <v>4.5501490005059209</v>
      </c>
      <c r="AG115" s="168">
        <f>+(AG9*4)/'Revenue Model'!AG11</f>
        <v>4.7501085289910492</v>
      </c>
      <c r="AI115" s="302"/>
      <c r="AJ115" s="303"/>
      <c r="AK115" s="301"/>
      <c r="AL115" s="301"/>
      <c r="AM115" s="111"/>
      <c r="AN115" s="111"/>
      <c r="AO115" s="118"/>
      <c r="AP115" s="118"/>
      <c r="AQ115" s="118"/>
      <c r="AR115" s="118"/>
      <c r="AS115" s="118"/>
      <c r="AT115" s="118"/>
      <c r="AU115" s="119"/>
    </row>
    <row r="116" spans="9:47" s="105" customFormat="1">
      <c r="I116" s="163" t="s">
        <v>227</v>
      </c>
      <c r="R116" s="110"/>
      <c r="S116" s="111"/>
      <c r="T116" s="111"/>
      <c r="U116" s="111"/>
      <c r="V116" s="110">
        <f t="shared" ref="V116:AG116" si="90">+V115/R115-1</f>
        <v>1.4246133923894413</v>
      </c>
      <c r="W116" s="111">
        <f t="shared" si="90"/>
        <v>0.42000501592107109</v>
      </c>
      <c r="X116" s="111">
        <f t="shared" si="90"/>
        <v>0.40661913059934096</v>
      </c>
      <c r="Y116" s="111">
        <f t="shared" si="90"/>
        <v>0.58545875915513879</v>
      </c>
      <c r="Z116" s="110">
        <f t="shared" si="90"/>
        <v>0.58444682349420662</v>
      </c>
      <c r="AA116" s="111">
        <f t="shared" si="90"/>
        <v>0.31959826096006716</v>
      </c>
      <c r="AB116" s="111">
        <f t="shared" si="90"/>
        <v>0.41740412330884724</v>
      </c>
      <c r="AC116" s="112">
        <f t="shared" si="90"/>
        <v>5.5717907900036501E-2</v>
      </c>
      <c r="AD116" s="111">
        <f t="shared" si="90"/>
        <v>-0.10270724118164076</v>
      </c>
      <c r="AE116" s="111">
        <f t="shared" si="90"/>
        <v>0.13092511760828907</v>
      </c>
      <c r="AF116" s="111">
        <f t="shared" si="90"/>
        <v>-3.9050683296884436E-2</v>
      </c>
      <c r="AG116" s="112">
        <f t="shared" si="90"/>
        <v>0.1611619261596664</v>
      </c>
      <c r="AI116" s="106"/>
      <c r="AJ116" s="192"/>
      <c r="AK116" s="111"/>
      <c r="AL116" s="111"/>
      <c r="AM116" s="111"/>
      <c r="AN116" s="111"/>
      <c r="AO116" s="111"/>
      <c r="AP116" s="111"/>
      <c r="AQ116" s="111"/>
      <c r="AR116" s="111"/>
      <c r="AS116" s="111"/>
      <c r="AT116" s="111"/>
      <c r="AU116" s="112"/>
    </row>
    <row r="117" spans="9:47" s="105" customFormat="1">
      <c r="I117" s="163" t="s">
        <v>228</v>
      </c>
      <c r="R117" s="110"/>
      <c r="S117" s="111">
        <f t="shared" ref="S117:AG117" si="91">+S115/R115-1</f>
        <v>0.82168480076314432</v>
      </c>
      <c r="T117" s="111">
        <f t="shared" si="91"/>
        <v>0.27235865000918436</v>
      </c>
      <c r="U117" s="111">
        <f t="shared" si="91"/>
        <v>2.908911014684068E-2</v>
      </c>
      <c r="V117" s="110">
        <f t="shared" si="91"/>
        <v>1.6498484985396411E-2</v>
      </c>
      <c r="W117" s="111">
        <f t="shared" si="91"/>
        <v>6.6892380711287336E-2</v>
      </c>
      <c r="X117" s="111">
        <f t="shared" si="91"/>
        <v>0.2603645747867902</v>
      </c>
      <c r="Y117" s="111">
        <f t="shared" si="91"/>
        <v>0.15992901570895235</v>
      </c>
      <c r="Z117" s="110">
        <f t="shared" si="91"/>
        <v>1.5849694179391305E-2</v>
      </c>
      <c r="AA117" s="111">
        <f t="shared" si="91"/>
        <v>-0.11144425338720843</v>
      </c>
      <c r="AB117" s="111">
        <f t="shared" si="91"/>
        <v>0.35378016024019199</v>
      </c>
      <c r="AC117" s="112">
        <f t="shared" si="91"/>
        <v>-0.13605596763882344</v>
      </c>
      <c r="AD117" s="111">
        <f t="shared" si="91"/>
        <v>-0.136592675170078</v>
      </c>
      <c r="AE117" s="111">
        <f t="shared" si="91"/>
        <v>0.11991320821860585</v>
      </c>
      <c r="AF117" s="111">
        <f t="shared" si="91"/>
        <v>0.15030968867351291</v>
      </c>
      <c r="AG117" s="112">
        <f t="shared" si="91"/>
        <v>4.3945710011451311E-2</v>
      </c>
      <c r="AI117" s="106"/>
      <c r="AJ117" s="192"/>
      <c r="AK117" s="111"/>
      <c r="AL117" s="111"/>
      <c r="AM117" s="111"/>
      <c r="AN117" s="111"/>
      <c r="AO117" s="118"/>
      <c r="AP117" s="118"/>
      <c r="AQ117" s="118"/>
      <c r="AR117" s="118"/>
      <c r="AS117" s="118"/>
      <c r="AT117" s="118"/>
      <c r="AU117" s="119"/>
    </row>
    <row r="118" spans="9:47" s="105" customFormat="1">
      <c r="R118" s="110"/>
      <c r="S118" s="111"/>
      <c r="T118" s="111"/>
      <c r="U118" s="111"/>
      <c r="V118" s="110"/>
      <c r="W118" s="111"/>
      <c r="X118" s="111"/>
      <c r="Y118" s="111"/>
      <c r="Z118" s="110"/>
      <c r="AA118" s="111"/>
      <c r="AB118" s="111"/>
      <c r="AC118" s="112"/>
      <c r="AD118" s="111"/>
      <c r="AE118" s="111"/>
      <c r="AF118" s="111"/>
      <c r="AG118" s="112"/>
      <c r="AI118" s="106"/>
      <c r="AJ118" s="192"/>
      <c r="AK118" s="111"/>
      <c r="AL118" s="111"/>
      <c r="AM118" s="111"/>
      <c r="AN118" s="111"/>
      <c r="AO118" s="118"/>
      <c r="AP118" s="118"/>
      <c r="AQ118" s="118"/>
      <c r="AR118" s="118"/>
      <c r="AS118" s="118"/>
      <c r="AT118" s="118"/>
      <c r="AU118" s="119"/>
    </row>
    <row r="119" spans="9:47">
      <c r="R119" s="42"/>
      <c r="S119" s="28"/>
      <c r="T119" s="28"/>
      <c r="U119" s="28"/>
      <c r="V119" s="42"/>
      <c r="W119" s="28"/>
      <c r="X119" s="28"/>
      <c r="Y119" s="28"/>
      <c r="Z119" s="42"/>
      <c r="AA119" s="28"/>
      <c r="AB119" s="28"/>
      <c r="AC119" s="29"/>
      <c r="AD119" s="28"/>
      <c r="AE119" s="28"/>
      <c r="AF119" s="28"/>
      <c r="AG119" s="29"/>
      <c r="AI119" s="22"/>
      <c r="AJ119" s="23"/>
      <c r="AK119" s="28"/>
      <c r="AL119" s="28"/>
      <c r="AM119" s="28"/>
      <c r="AN119" s="28"/>
      <c r="AO119" s="118"/>
      <c r="AP119" s="118"/>
      <c r="AQ119" s="118"/>
      <c r="AR119" s="118"/>
      <c r="AS119" s="118"/>
      <c r="AT119" s="118"/>
      <c r="AU119" s="119"/>
    </row>
    <row r="120" spans="9:47">
      <c r="R120" s="42"/>
      <c r="S120" s="28"/>
      <c r="T120" s="28"/>
      <c r="U120" s="28"/>
      <c r="V120" s="42"/>
      <c r="W120" s="28"/>
      <c r="X120" s="28"/>
      <c r="Y120" s="28"/>
      <c r="Z120" s="42"/>
      <c r="AA120" s="28"/>
      <c r="AB120" s="28"/>
      <c r="AC120" s="29"/>
      <c r="AD120" s="28"/>
      <c r="AE120" s="28"/>
      <c r="AF120" s="28"/>
      <c r="AG120" s="29"/>
      <c r="AI120" s="22"/>
      <c r="AJ120" s="23"/>
      <c r="AK120" s="28"/>
      <c r="AL120" s="28"/>
      <c r="AM120" s="28"/>
      <c r="AN120" s="28"/>
      <c r="AO120" s="118"/>
      <c r="AP120" s="118"/>
      <c r="AQ120" s="118"/>
      <c r="AR120" s="118"/>
      <c r="AS120" s="118"/>
      <c r="AT120" s="118"/>
      <c r="AU120" s="119"/>
    </row>
    <row r="121" spans="9:47" s="7" customFormat="1">
      <c r="I121" s="7" t="s">
        <v>145</v>
      </c>
      <c r="R121" s="53">
        <f t="shared" ref="R121:AG121" si="92">+R5-R9</f>
        <v>-16.829000000000001</v>
      </c>
      <c r="S121" s="54">
        <f t="shared" si="92"/>
        <v>-35.298000000000002</v>
      </c>
      <c r="T121" s="54">
        <f t="shared" si="92"/>
        <v>-39.501999999999995</v>
      </c>
      <c r="U121" s="54">
        <f t="shared" si="92"/>
        <v>-32.048999999999992</v>
      </c>
      <c r="V121" s="53">
        <f t="shared" si="92"/>
        <v>-36.974999999999994</v>
      </c>
      <c r="W121" s="54">
        <f t="shared" si="92"/>
        <v>-22.959000000000003</v>
      </c>
      <c r="X121" s="54">
        <f t="shared" si="92"/>
        <v>0.42400000000000659</v>
      </c>
      <c r="Y121" s="54">
        <f t="shared" si="92"/>
        <v>12.331999999999994</v>
      </c>
      <c r="Z121" s="280">
        <f t="shared" si="92"/>
        <v>-13.710000000000008</v>
      </c>
      <c r="AA121" s="281">
        <f t="shared" si="92"/>
        <v>29.522999999999996</v>
      </c>
      <c r="AB121" s="281">
        <f t="shared" ref="AB121" si="93">+AB5-AB9</f>
        <v>-2.7729999999999961</v>
      </c>
      <c r="AC121" s="55">
        <f t="shared" si="92"/>
        <v>94.446999999999974</v>
      </c>
      <c r="AD121" s="54">
        <f t="shared" si="92"/>
        <v>77.766361445783133</v>
      </c>
      <c r="AE121" s="54">
        <f t="shared" si="92"/>
        <v>95.934141264367781</v>
      </c>
      <c r="AF121" s="54">
        <f t="shared" si="92"/>
        <v>104.5779549297753</v>
      </c>
      <c r="AG121" s="55">
        <f t="shared" si="92"/>
        <v>172.68251267981285</v>
      </c>
      <c r="AI121" s="33"/>
      <c r="AJ121" s="34"/>
      <c r="AK121" s="54">
        <f t="shared" ref="AK121:AU121" si="94">+AK5-AK9</f>
        <v>-123.67799999999997</v>
      </c>
      <c r="AL121" s="54">
        <f t="shared" si="94"/>
        <v>-47.177999999999997</v>
      </c>
      <c r="AM121" s="54">
        <f t="shared" si="94"/>
        <v>107.48699999999997</v>
      </c>
      <c r="AN121" s="54">
        <f t="shared" si="94"/>
        <v>450.96097031973898</v>
      </c>
      <c r="AO121" s="54">
        <f t="shared" si="94"/>
        <v>912.69667052167279</v>
      </c>
      <c r="AP121" s="54">
        <f t="shared" si="94"/>
        <v>1509.6984380237786</v>
      </c>
      <c r="AQ121" s="54">
        <f t="shared" si="94"/>
        <v>2263.5844461679717</v>
      </c>
      <c r="AR121" s="54">
        <f t="shared" si="94"/>
        <v>3134.2555992232778</v>
      </c>
      <c r="AS121" s="54">
        <f t="shared" si="94"/>
        <v>4038.2036234279885</v>
      </c>
      <c r="AT121" s="54">
        <f t="shared" si="94"/>
        <v>4926.3197973784681</v>
      </c>
      <c r="AU121" s="55">
        <f t="shared" si="94"/>
        <v>5799.3527007501079</v>
      </c>
    </row>
    <row r="122" spans="9:47">
      <c r="I122" s="1" t="s">
        <v>139</v>
      </c>
      <c r="R122" s="110">
        <f t="shared" ref="R122:AG122" si="95">+R121/R5</f>
        <v>-4.2931122448979595</v>
      </c>
      <c r="S122" s="111">
        <f t="shared" si="95"/>
        <v>-6.66</v>
      </c>
      <c r="T122" s="111">
        <f t="shared" si="95"/>
        <v>-2.36185351270553</v>
      </c>
      <c r="U122" s="111">
        <f t="shared" si="95"/>
        <v>-0.97955253988630075</v>
      </c>
      <c r="V122" s="110">
        <f t="shared" si="95"/>
        <v>-0.95301304190937663</v>
      </c>
      <c r="W122" s="111">
        <f t="shared" si="95"/>
        <v>-0.31977213849967967</v>
      </c>
      <c r="X122" s="111">
        <f t="shared" si="95"/>
        <v>3.307229103616163E-3</v>
      </c>
      <c r="Y122" s="111">
        <f t="shared" si="95"/>
        <v>7.4431742736084758E-2</v>
      </c>
      <c r="Z122" s="110">
        <f t="shared" si="95"/>
        <v>-9.1614989842831229E-2</v>
      </c>
      <c r="AA122" s="111">
        <f t="shared" si="95"/>
        <v>0.16250805026669088</v>
      </c>
      <c r="AB122" s="111">
        <f t="shared" ref="AB122" si="96">+AB121/AB5</f>
        <v>-1.3335769968788604E-2</v>
      </c>
      <c r="AC122" s="112">
        <f t="shared" si="95"/>
        <v>0.33058912889010222</v>
      </c>
      <c r="AD122" s="111">
        <f t="shared" si="95"/>
        <v>0.31231470460153871</v>
      </c>
      <c r="AE122" s="111">
        <f t="shared" si="95"/>
        <v>0.32520047886226366</v>
      </c>
      <c r="AF122" s="111">
        <f t="shared" si="95"/>
        <v>0.30668021973541143</v>
      </c>
      <c r="AG122" s="112">
        <f t="shared" si="95"/>
        <v>0.4034638146724599</v>
      </c>
      <c r="AI122" s="22"/>
      <c r="AJ122" s="23"/>
      <c r="AK122" s="111">
        <f t="shared" ref="AK122:AU122" si="97">+AK121/AK5</f>
        <v>-2.1082794947411481</v>
      </c>
      <c r="AL122" s="111">
        <f t="shared" si="97"/>
        <v>-0.11663807042093344</v>
      </c>
      <c r="AM122" s="111">
        <f t="shared" si="97"/>
        <v>0.13029532734750873</v>
      </c>
      <c r="AN122" s="111">
        <f t="shared" si="97"/>
        <v>0.34345846939812563</v>
      </c>
      <c r="AO122" s="111">
        <f t="shared" si="97"/>
        <v>0.4634472366167896</v>
      </c>
      <c r="AP122" s="111">
        <f t="shared" si="97"/>
        <v>0.53824022124586146</v>
      </c>
      <c r="AQ122" s="111">
        <f t="shared" si="97"/>
        <v>0.59366060727387471</v>
      </c>
      <c r="AR122" s="111">
        <f t="shared" si="97"/>
        <v>0.63140230013532084</v>
      </c>
      <c r="AS122" s="111">
        <f t="shared" si="97"/>
        <v>0.655173070029474</v>
      </c>
      <c r="AT122" s="111">
        <f t="shared" si="97"/>
        <v>0.66971209769600393</v>
      </c>
      <c r="AU122" s="112">
        <f t="shared" si="97"/>
        <v>0.67863384361703671</v>
      </c>
    </row>
    <row r="123" spans="9:47" s="105" customFormat="1">
      <c r="I123" s="105" t="s">
        <v>225</v>
      </c>
      <c r="R123" s="110"/>
      <c r="S123" s="111"/>
      <c r="T123" s="111"/>
      <c r="U123" s="111"/>
      <c r="V123" s="202">
        <f t="shared" ref="V123:AG123" si="98">+(V122-R122)*10000</f>
        <v>33400.992029885827</v>
      </c>
      <c r="W123" s="203">
        <f t="shared" si="98"/>
        <v>63402.278615003204</v>
      </c>
      <c r="X123" s="203">
        <f t="shared" si="98"/>
        <v>23651.607418091462</v>
      </c>
      <c r="Y123" s="203">
        <f t="shared" si="98"/>
        <v>10539.842826223856</v>
      </c>
      <c r="Z123" s="202">
        <f t="shared" si="98"/>
        <v>8613.9805206654546</v>
      </c>
      <c r="AA123" s="203">
        <f t="shared" si="98"/>
        <v>4822.8018876637061</v>
      </c>
      <c r="AB123" s="203">
        <f t="shared" si="98"/>
        <v>-166.42999072404768</v>
      </c>
      <c r="AC123" s="204">
        <f t="shared" si="98"/>
        <v>2561.5738615401747</v>
      </c>
      <c r="AD123" s="202">
        <f t="shared" si="98"/>
        <v>4039.2969444436994</v>
      </c>
      <c r="AE123" s="203">
        <f t="shared" si="98"/>
        <v>1626.9242859557278</v>
      </c>
      <c r="AF123" s="203">
        <f t="shared" si="98"/>
        <v>3200.1598970420005</v>
      </c>
      <c r="AG123" s="204">
        <f t="shared" si="98"/>
        <v>728.74685782357676</v>
      </c>
      <c r="AI123" s="106"/>
      <c r="AJ123" s="192"/>
      <c r="AK123" s="111"/>
      <c r="AL123" s="203">
        <f t="shared" ref="AL123:AU123" si="99">+(AL122-AK122)*10000</f>
        <v>19916.414243202144</v>
      </c>
      <c r="AM123" s="203">
        <f t="shared" si="99"/>
        <v>2469.3339776844218</v>
      </c>
      <c r="AN123" s="203">
        <f t="shared" si="99"/>
        <v>2131.631420506169</v>
      </c>
      <c r="AO123" s="203">
        <f t="shared" si="99"/>
        <v>1199.8876721866397</v>
      </c>
      <c r="AP123" s="203">
        <f t="shared" si="99"/>
        <v>747.92984629071861</v>
      </c>
      <c r="AQ123" s="203">
        <f t="shared" si="99"/>
        <v>554.20386028013252</v>
      </c>
      <c r="AR123" s="203">
        <f t="shared" si="99"/>
        <v>377.41692861446131</v>
      </c>
      <c r="AS123" s="203">
        <f t="shared" si="99"/>
        <v>237.70769894153165</v>
      </c>
      <c r="AT123" s="203">
        <f t="shared" si="99"/>
        <v>145.39027666529924</v>
      </c>
      <c r="AU123" s="204">
        <f t="shared" si="99"/>
        <v>89.21745921032786</v>
      </c>
    </row>
    <row r="124" spans="9:47" s="105" customFormat="1">
      <c r="I124" s="105" t="s">
        <v>226</v>
      </c>
      <c r="R124" s="202"/>
      <c r="S124" s="203">
        <f>+(S122-R122)*10000</f>
        <v>-23668.877551020407</v>
      </c>
      <c r="T124" s="203">
        <f t="shared" ref="T124:AG124" si="100">+(T122-S122)*10000</f>
        <v>42981.464872944707</v>
      </c>
      <c r="U124" s="203">
        <f t="shared" si="100"/>
        <v>13823.009728192292</v>
      </c>
      <c r="V124" s="202">
        <f t="shared" si="100"/>
        <v>265.39497976924122</v>
      </c>
      <c r="W124" s="203">
        <f t="shared" si="100"/>
        <v>6332.4090340969697</v>
      </c>
      <c r="X124" s="203">
        <f t="shared" si="100"/>
        <v>3230.793676032958</v>
      </c>
      <c r="Y124" s="203">
        <f t="shared" si="100"/>
        <v>711.24513632468597</v>
      </c>
      <c r="Z124" s="202">
        <f t="shared" si="100"/>
        <v>-1660.46732578916</v>
      </c>
      <c r="AA124" s="203">
        <f t="shared" si="100"/>
        <v>2541.2304010952212</v>
      </c>
      <c r="AB124" s="203">
        <f t="shared" si="100"/>
        <v>-1758.4382023547948</v>
      </c>
      <c r="AC124" s="204">
        <f t="shared" si="100"/>
        <v>3439.2489885889081</v>
      </c>
      <c r="AD124" s="202">
        <f t="shared" si="100"/>
        <v>-182.74424288563517</v>
      </c>
      <c r="AE124" s="203">
        <f t="shared" si="100"/>
        <v>128.85774260724958</v>
      </c>
      <c r="AF124" s="203">
        <f t="shared" si="100"/>
        <v>-185.20259126852235</v>
      </c>
      <c r="AG124" s="204">
        <f t="shared" si="100"/>
        <v>967.83594937048463</v>
      </c>
      <c r="AI124" s="106"/>
      <c r="AJ124" s="192"/>
      <c r="AK124" s="111"/>
      <c r="AL124" s="111"/>
      <c r="AM124" s="111"/>
      <c r="AN124" s="111"/>
      <c r="AO124" s="118"/>
      <c r="AP124" s="118"/>
      <c r="AQ124" s="118"/>
      <c r="AR124" s="118"/>
      <c r="AS124" s="118"/>
      <c r="AT124" s="118"/>
      <c r="AU124" s="119"/>
    </row>
    <row r="125" spans="9:47" s="105" customFormat="1">
      <c r="R125" s="202"/>
      <c r="S125" s="203"/>
      <c r="T125" s="203"/>
      <c r="U125" s="203"/>
      <c r="V125" s="202"/>
      <c r="W125" s="203"/>
      <c r="X125" s="203"/>
      <c r="Y125" s="203"/>
      <c r="Z125" s="202"/>
      <c r="AA125" s="203"/>
      <c r="AB125" s="203"/>
      <c r="AC125" s="204"/>
      <c r="AD125" s="202"/>
      <c r="AE125" s="695"/>
      <c r="AF125" s="695"/>
      <c r="AG125" s="204"/>
      <c r="AI125" s="106"/>
      <c r="AJ125" s="192"/>
      <c r="AK125" s="111"/>
      <c r="AL125" s="111"/>
      <c r="AM125" s="111"/>
      <c r="AN125" s="26"/>
      <c r="AO125" s="111">
        <f t="shared" ref="AO125:AU125" si="101">AO207</f>
        <v>9.6871492871470233E-2</v>
      </c>
      <c r="AP125" s="111">
        <f t="shared" si="101"/>
        <v>0.11289347646616998</v>
      </c>
      <c r="AQ125" s="111">
        <f t="shared" si="101"/>
        <v>9.3243734097594677E-2</v>
      </c>
      <c r="AR125" s="111">
        <f t="shared" si="101"/>
        <v>7.5677994579280705E-2</v>
      </c>
      <c r="AS125" s="111">
        <f t="shared" si="101"/>
        <v>5.8801811028564854E-2</v>
      </c>
      <c r="AT125" s="111">
        <f t="shared" si="101"/>
        <v>4.8919419492831517E-2</v>
      </c>
      <c r="AU125" s="112">
        <f t="shared" si="101"/>
        <v>4.351376124152595E-2</v>
      </c>
    </row>
    <row r="126" spans="9:47">
      <c r="I126" s="11" t="s">
        <v>19</v>
      </c>
      <c r="J126" s="30"/>
      <c r="K126" s="31"/>
      <c r="L126" s="31"/>
      <c r="M126" s="32"/>
      <c r="N126" s="43"/>
      <c r="O126" s="31"/>
      <c r="P126" s="31"/>
      <c r="Q126" s="31"/>
      <c r="R126" s="43"/>
      <c r="S126" s="31"/>
      <c r="T126" s="31"/>
      <c r="U126" s="31"/>
      <c r="V126" s="43"/>
      <c r="W126" s="31"/>
      <c r="X126" s="59"/>
      <c r="Y126" s="59"/>
      <c r="Z126" s="30"/>
      <c r="AA126" s="59"/>
      <c r="AB126" s="59"/>
      <c r="AC126" s="60"/>
      <c r="AD126" s="30"/>
      <c r="AE126" s="59"/>
      <c r="AF126" s="59"/>
      <c r="AG126" s="60"/>
      <c r="AH126" s="10"/>
      <c r="AI126" s="30"/>
      <c r="AJ126" s="59"/>
      <c r="AK126" s="59"/>
      <c r="AL126" s="59"/>
      <c r="AM126" s="59"/>
      <c r="AN126" s="59"/>
      <c r="AO126" s="59"/>
      <c r="AP126" s="59"/>
      <c r="AQ126" s="59"/>
      <c r="AR126" s="59"/>
      <c r="AS126" s="59"/>
      <c r="AT126" s="59"/>
      <c r="AU126" s="60"/>
    </row>
    <row r="127" spans="9:47">
      <c r="I127" s="1" t="s">
        <v>109</v>
      </c>
      <c r="R127" s="101">
        <v>16.587</v>
      </c>
      <c r="S127" s="102">
        <v>17.259</v>
      </c>
      <c r="T127" s="102">
        <v>18.989000000000001</v>
      </c>
      <c r="U127" s="102">
        <v>29.4</v>
      </c>
      <c r="V127" s="101">
        <v>28.097999999999999</v>
      </c>
      <c r="W127" s="102">
        <v>36.052</v>
      </c>
      <c r="X127" s="102">
        <v>54.561999999999998</v>
      </c>
      <c r="Y127" s="102">
        <v>64.963999999999999</v>
      </c>
      <c r="Z127" s="101">
        <v>805.84799999999996</v>
      </c>
      <c r="AA127" s="102">
        <v>255.73500000000001</v>
      </c>
      <c r="AB127" s="102">
        <v>239.44200000000001</v>
      </c>
      <c r="AC127" s="102">
        <v>233.83799999999999</v>
      </c>
      <c r="AD127" s="47">
        <f>+AC127+AD129</f>
        <v>193.83799999999999</v>
      </c>
      <c r="AE127" s="26">
        <f t="shared" ref="AE127:AG127" si="102">+AA127+AE128</f>
        <v>185.73500000000001</v>
      </c>
      <c r="AF127" s="26">
        <f t="shared" si="102"/>
        <v>169.44200000000001</v>
      </c>
      <c r="AG127" s="27">
        <f t="shared" si="102"/>
        <v>163.83799999999999</v>
      </c>
      <c r="AI127" s="22"/>
      <c r="AJ127" s="23"/>
      <c r="AK127" s="26">
        <f>+SUM(R127:U127)</f>
        <v>82.235000000000014</v>
      </c>
      <c r="AL127" s="26">
        <f>+SUM(V127:Y127)</f>
        <v>183.67599999999999</v>
      </c>
      <c r="AM127" s="48">
        <f>+SUM(Z127:AC127)</f>
        <v>1534.8630000000001</v>
      </c>
      <c r="AN127" s="48">
        <f>+SUM(AD127:AG127)</f>
        <v>712.85299999999995</v>
      </c>
      <c r="AO127" s="48">
        <f>+AN127+AO128</f>
        <v>762.85299999999995</v>
      </c>
      <c r="AP127" s="48">
        <f t="shared" ref="AP127:AU127" si="103">+AO127+AP128</f>
        <v>912.85299999999995</v>
      </c>
      <c r="AQ127" s="48">
        <f t="shared" si="103"/>
        <v>1087.8530000000001</v>
      </c>
      <c r="AR127" s="48">
        <f t="shared" si="103"/>
        <v>1262.8530000000001</v>
      </c>
      <c r="AS127" s="48">
        <f t="shared" si="103"/>
        <v>1437.8530000000001</v>
      </c>
      <c r="AT127" s="48">
        <f t="shared" si="103"/>
        <v>1612.8530000000001</v>
      </c>
      <c r="AU127" s="49">
        <f t="shared" si="103"/>
        <v>1787.8530000000001</v>
      </c>
    </row>
    <row r="128" spans="9:47">
      <c r="I128" s="1" t="s">
        <v>86</v>
      </c>
      <c r="R128" s="101"/>
      <c r="S128" s="102"/>
      <c r="T128" s="102"/>
      <c r="U128" s="102"/>
      <c r="V128" s="25">
        <f t="shared" ref="V128:AC128" si="104">+V127-R127</f>
        <v>11.510999999999999</v>
      </c>
      <c r="W128" s="26">
        <f t="shared" si="104"/>
        <v>18.792999999999999</v>
      </c>
      <c r="X128" s="26">
        <f t="shared" si="104"/>
        <v>35.572999999999993</v>
      </c>
      <c r="Y128" s="26">
        <f t="shared" si="104"/>
        <v>35.564</v>
      </c>
      <c r="Z128" s="25">
        <f t="shared" si="104"/>
        <v>777.75</v>
      </c>
      <c r="AA128" s="26">
        <f t="shared" si="104"/>
        <v>219.68300000000002</v>
      </c>
      <c r="AB128" s="26">
        <f t="shared" si="104"/>
        <v>184.88</v>
      </c>
      <c r="AC128" s="26">
        <f t="shared" si="104"/>
        <v>168.874</v>
      </c>
      <c r="AD128" s="25">
        <f>+AD127-Z127</f>
        <v>-612.01</v>
      </c>
      <c r="AE128" s="61">
        <v>-70</v>
      </c>
      <c r="AF128" s="61">
        <v>-70</v>
      </c>
      <c r="AG128" s="61">
        <v>-70</v>
      </c>
      <c r="AI128" s="22"/>
      <c r="AJ128" s="23"/>
      <c r="AK128" s="37"/>
      <c r="AL128" s="26">
        <f t="shared" ref="AL128:AN128" si="105">+AL127-AK127</f>
        <v>101.44099999999997</v>
      </c>
      <c r="AM128" s="26">
        <f t="shared" si="105"/>
        <v>1351.1870000000001</v>
      </c>
      <c r="AN128" s="26">
        <f t="shared" si="105"/>
        <v>-822.0100000000001</v>
      </c>
      <c r="AO128" s="61">
        <v>50</v>
      </c>
      <c r="AP128" s="61">
        <v>150</v>
      </c>
      <c r="AQ128" s="61">
        <v>175</v>
      </c>
      <c r="AR128" s="61">
        <v>175</v>
      </c>
      <c r="AS128" s="61">
        <v>175</v>
      </c>
      <c r="AT128" s="61">
        <v>175</v>
      </c>
      <c r="AU128" s="61">
        <v>175</v>
      </c>
    </row>
    <row r="129" spans="9:47">
      <c r="I129" s="1" t="s">
        <v>87</v>
      </c>
      <c r="R129" s="101"/>
      <c r="S129" s="26">
        <f>+S127-R127</f>
        <v>0.6720000000000006</v>
      </c>
      <c r="T129" s="26">
        <f t="shared" ref="T129:AC129" si="106">+T127-S127</f>
        <v>1.7300000000000004</v>
      </c>
      <c r="U129" s="26">
        <f t="shared" si="106"/>
        <v>10.410999999999998</v>
      </c>
      <c r="V129" s="25">
        <f t="shared" si="106"/>
        <v>-1.3019999999999996</v>
      </c>
      <c r="W129" s="26">
        <f t="shared" si="106"/>
        <v>7.9540000000000006</v>
      </c>
      <c r="X129" s="26">
        <f t="shared" si="106"/>
        <v>18.509999999999998</v>
      </c>
      <c r="Y129" s="26">
        <f t="shared" si="106"/>
        <v>10.402000000000001</v>
      </c>
      <c r="Z129" s="25">
        <f t="shared" si="106"/>
        <v>740.88400000000001</v>
      </c>
      <c r="AA129" s="26">
        <f t="shared" si="106"/>
        <v>-550.11299999999994</v>
      </c>
      <c r="AB129" s="26">
        <f t="shared" si="106"/>
        <v>-16.293000000000006</v>
      </c>
      <c r="AC129" s="27">
        <f t="shared" si="106"/>
        <v>-5.6040000000000134</v>
      </c>
      <c r="AD129" s="66">
        <v>-40</v>
      </c>
      <c r="AE129" s="26">
        <f>+AE127-AD127</f>
        <v>-8.1029999999999802</v>
      </c>
      <c r="AF129" s="26">
        <f>+AF127-AE127</f>
        <v>-16.293000000000006</v>
      </c>
      <c r="AG129" s="27">
        <f>+AG127-AF127</f>
        <v>-5.6040000000000134</v>
      </c>
      <c r="AI129" s="22"/>
      <c r="AJ129" s="23"/>
      <c r="AK129" s="37"/>
      <c r="AL129" s="37"/>
      <c r="AM129" s="23"/>
      <c r="AN129" s="23"/>
      <c r="AO129" s="23"/>
      <c r="AP129" s="23"/>
      <c r="AQ129" s="23"/>
      <c r="AR129" s="23"/>
      <c r="AS129" s="23"/>
      <c r="AT129" s="23"/>
      <c r="AU129" s="24"/>
    </row>
    <row r="130" spans="9:47" s="105" customFormat="1">
      <c r="I130" s="105" t="s">
        <v>227</v>
      </c>
      <c r="R130" s="110"/>
      <c r="S130" s="111"/>
      <c r="T130" s="111"/>
      <c r="U130" s="111"/>
      <c r="V130" s="110">
        <f t="shared" ref="V130:AG130" si="107">+V127/R127-1</f>
        <v>0.69397721106890931</v>
      </c>
      <c r="W130" s="111">
        <f t="shared" si="107"/>
        <v>1.088881163450953</v>
      </c>
      <c r="X130" s="111">
        <f t="shared" si="107"/>
        <v>1.8733477276317867</v>
      </c>
      <c r="Y130" s="111">
        <f t="shared" si="107"/>
        <v>1.2096598639455785</v>
      </c>
      <c r="Z130" s="110">
        <f t="shared" si="107"/>
        <v>27.679906043134743</v>
      </c>
      <c r="AA130" s="111">
        <f t="shared" si="107"/>
        <v>6.093503827804283</v>
      </c>
      <c r="AB130" s="111">
        <f t="shared" si="107"/>
        <v>3.3884388402184671</v>
      </c>
      <c r="AC130" s="112">
        <f t="shared" si="107"/>
        <v>2.5995012622375469</v>
      </c>
      <c r="AD130" s="110">
        <f t="shared" si="107"/>
        <v>-0.7594608412504591</v>
      </c>
      <c r="AE130" s="111">
        <f t="shared" si="107"/>
        <v>-0.27372084384225859</v>
      </c>
      <c r="AF130" s="111">
        <f t="shared" si="107"/>
        <v>-0.29234637198152369</v>
      </c>
      <c r="AG130" s="112">
        <f t="shared" si="107"/>
        <v>-0.29935254321367788</v>
      </c>
      <c r="AI130" s="106"/>
      <c r="AJ130" s="192"/>
      <c r="AK130" s="111"/>
      <c r="AL130" s="111">
        <f>+AL127/AK127-1</f>
        <v>1.2335501915242895</v>
      </c>
      <c r="AM130" s="111">
        <f t="shared" ref="AM130:AU130" si="108">+AM127/AL127-1</f>
        <v>7.3563612012456723</v>
      </c>
      <c r="AN130" s="111">
        <f t="shared" si="108"/>
        <v>-0.53555919974616639</v>
      </c>
      <c r="AO130" s="111">
        <f t="shared" si="108"/>
        <v>7.0140688192376288E-2</v>
      </c>
      <c r="AP130" s="111">
        <f t="shared" si="108"/>
        <v>0.19663028132549787</v>
      </c>
      <c r="AQ130" s="111">
        <f t="shared" si="108"/>
        <v>0.19170666032756656</v>
      </c>
      <c r="AR130" s="111">
        <f t="shared" si="108"/>
        <v>0.16086732306662754</v>
      </c>
      <c r="AS130" s="111">
        <f t="shared" si="108"/>
        <v>0.13857511523510646</v>
      </c>
      <c r="AT130" s="111">
        <f t="shared" si="108"/>
        <v>0.12170924287809681</v>
      </c>
      <c r="AU130" s="112">
        <f t="shared" si="108"/>
        <v>0.10850337879521565</v>
      </c>
    </row>
    <row r="131" spans="9:47" s="105" customFormat="1">
      <c r="I131" s="105" t="s">
        <v>228</v>
      </c>
      <c r="R131" s="110"/>
      <c r="S131" s="111">
        <f>+S127/R127-1</f>
        <v>4.0513655272201188E-2</v>
      </c>
      <c r="T131" s="111">
        <f t="shared" ref="T131:AG131" si="109">+T127/S127-1</f>
        <v>0.10023755721652483</v>
      </c>
      <c r="U131" s="111">
        <f t="shared" si="109"/>
        <v>0.54826478487545405</v>
      </c>
      <c r="V131" s="110">
        <f t="shared" si="109"/>
        <v>-4.4285714285714262E-2</v>
      </c>
      <c r="W131" s="111">
        <f t="shared" si="109"/>
        <v>0.28308064630934582</v>
      </c>
      <c r="X131" s="111">
        <f t="shared" si="109"/>
        <v>0.51342505270165306</v>
      </c>
      <c r="Y131" s="111">
        <f t="shared" si="109"/>
        <v>0.19064550419706028</v>
      </c>
      <c r="Z131" s="110">
        <f t="shared" si="109"/>
        <v>11.404531740656363</v>
      </c>
      <c r="AA131" s="111">
        <f t="shared" si="109"/>
        <v>-0.6826510706733776</v>
      </c>
      <c r="AB131" s="111">
        <f t="shared" si="109"/>
        <v>-6.3710481553170273E-2</v>
      </c>
      <c r="AC131" s="112">
        <f t="shared" si="109"/>
        <v>-2.3404415265492307E-2</v>
      </c>
      <c r="AD131" s="110">
        <f t="shared" si="109"/>
        <v>-0.17105859612210161</v>
      </c>
      <c r="AE131" s="111">
        <f t="shared" si="109"/>
        <v>-4.1802948854197775E-2</v>
      </c>
      <c r="AF131" s="111">
        <f t="shared" si="109"/>
        <v>-8.7721754112041417E-2</v>
      </c>
      <c r="AG131" s="112">
        <f t="shared" si="109"/>
        <v>-3.3073264007743131E-2</v>
      </c>
      <c r="AI131" s="106"/>
      <c r="AJ131" s="192"/>
      <c r="AK131" s="111"/>
      <c r="AL131" s="111"/>
      <c r="AM131" s="111"/>
      <c r="AN131" s="111"/>
      <c r="AO131" s="118"/>
      <c r="AP131" s="118"/>
      <c r="AQ131" s="118"/>
      <c r="AR131" s="118"/>
      <c r="AS131" s="118"/>
      <c r="AT131" s="118"/>
      <c r="AU131" s="119"/>
    </row>
    <row r="132" spans="9:47">
      <c r="I132" s="1" t="s">
        <v>18</v>
      </c>
      <c r="R132" s="42">
        <f t="shared" ref="R132:AG132" si="110">+R127/R$5</f>
        <v>4.2313775510204081</v>
      </c>
      <c r="S132" s="28">
        <f t="shared" si="110"/>
        <v>3.2564150943396228</v>
      </c>
      <c r="T132" s="28">
        <f t="shared" si="110"/>
        <v>1.1353662182361735</v>
      </c>
      <c r="U132" s="28">
        <f t="shared" si="110"/>
        <v>0.89858793324775343</v>
      </c>
      <c r="V132" s="42">
        <f t="shared" si="110"/>
        <v>0.72421258827774626</v>
      </c>
      <c r="W132" s="28">
        <f t="shared" si="110"/>
        <v>0.50213097857879052</v>
      </c>
      <c r="X132" s="28">
        <f t="shared" si="110"/>
        <v>0.42558734516863744</v>
      </c>
      <c r="Y132" s="28">
        <f t="shared" si="110"/>
        <v>0.39210052993083139</v>
      </c>
      <c r="Z132" s="42">
        <f t="shared" ref="Z132" si="111">+Z127/Z$5</f>
        <v>5.3849566983855448</v>
      </c>
      <c r="AA132" s="28">
        <f t="shared" si="110"/>
        <v>1.407682018594052</v>
      </c>
      <c r="AB132" s="28">
        <f t="shared" ref="AB132" si="112">+AB127/AB$5</f>
        <v>1.1515122368794395</v>
      </c>
      <c r="AC132" s="29">
        <f t="shared" si="110"/>
        <v>0.81849397780134625</v>
      </c>
      <c r="AD132" s="42">
        <f t="shared" si="110"/>
        <v>0.77846586345381519</v>
      </c>
      <c r="AE132" s="28">
        <f t="shared" si="110"/>
        <v>0.62961016949152548</v>
      </c>
      <c r="AF132" s="28">
        <f t="shared" si="110"/>
        <v>0.49689736070381235</v>
      </c>
      <c r="AG132" s="29">
        <f t="shared" si="110"/>
        <v>0.38279906542056075</v>
      </c>
      <c r="AI132" s="22"/>
      <c r="AJ132" s="23"/>
      <c r="AK132" s="28">
        <f>+AK127/AK$5</f>
        <v>1.4018205683309755</v>
      </c>
      <c r="AL132" s="28">
        <f>+AL127/AL$5</f>
        <v>0.45410178944922147</v>
      </c>
      <c r="AM132" s="28">
        <f>+AM127/AM$5</f>
        <v>1.86055501612827</v>
      </c>
      <c r="AN132" s="28">
        <f>+AN127/AN$5</f>
        <v>0.54291926884996189</v>
      </c>
      <c r="AO132" s="28">
        <f t="shared" ref="AO132:AU132" si="113">+AO127/AO$5</f>
        <v>0.38735992604503822</v>
      </c>
      <c r="AP132" s="28">
        <f t="shared" si="113"/>
        <v>0.32545188383987023</v>
      </c>
      <c r="AQ132" s="28">
        <f t="shared" si="113"/>
        <v>0.28530655160579904</v>
      </c>
      <c r="AR132" s="28">
        <f t="shared" si="113"/>
        <v>0.25440435972432879</v>
      </c>
      <c r="AS132" s="28">
        <f t="shared" si="113"/>
        <v>0.23328258109515523</v>
      </c>
      <c r="AT132" s="28">
        <f t="shared" si="113"/>
        <v>0.21926046426788845</v>
      </c>
      <c r="AU132" s="29">
        <f t="shared" si="113"/>
        <v>0.20921258213098817</v>
      </c>
    </row>
    <row r="133" spans="9:47" s="105" customFormat="1">
      <c r="I133" s="105" t="s">
        <v>225</v>
      </c>
      <c r="R133" s="110"/>
      <c r="S133" s="111"/>
      <c r="T133" s="111"/>
      <c r="U133" s="111"/>
      <c r="V133" s="202">
        <f t="shared" ref="V133:AG133" si="114">+(V132-R132)*10000</f>
        <v>-35071.649627426617</v>
      </c>
      <c r="W133" s="203">
        <f t="shared" si="114"/>
        <v>-27542.841157608324</v>
      </c>
      <c r="X133" s="203">
        <f t="shared" si="114"/>
        <v>-7097.788730675361</v>
      </c>
      <c r="Y133" s="203">
        <f t="shared" si="114"/>
        <v>-5064.8740331692197</v>
      </c>
      <c r="Z133" s="202">
        <f t="shared" si="114"/>
        <v>46607.441101077988</v>
      </c>
      <c r="AA133" s="203">
        <f t="shared" si="114"/>
        <v>9055.5104001526142</v>
      </c>
      <c r="AB133" s="203">
        <f t="shared" si="114"/>
        <v>7259.2489171080206</v>
      </c>
      <c r="AC133" s="204">
        <f t="shared" si="114"/>
        <v>4263.9344787051486</v>
      </c>
      <c r="AD133" s="202">
        <f t="shared" si="114"/>
        <v>-46064.908349317302</v>
      </c>
      <c r="AE133" s="203">
        <f t="shared" si="114"/>
        <v>-7780.7184910252645</v>
      </c>
      <c r="AF133" s="203">
        <f t="shared" si="114"/>
        <v>-6546.1487617562716</v>
      </c>
      <c r="AG133" s="204">
        <f t="shared" si="114"/>
        <v>-4356.9491238078554</v>
      </c>
      <c r="AI133" s="106"/>
      <c r="AJ133" s="192"/>
      <c r="AK133" s="111"/>
      <c r="AL133" s="203">
        <f t="shared" ref="AL133:AU133" si="115">+(AL132-AK132)*10000</f>
        <v>-9477.1877888175404</v>
      </c>
      <c r="AM133" s="203">
        <f t="shared" si="115"/>
        <v>14064.532266790486</v>
      </c>
      <c r="AN133" s="203">
        <f t="shared" si="115"/>
        <v>-13176.357472783082</v>
      </c>
      <c r="AO133" s="203">
        <f t="shared" si="115"/>
        <v>-1555.5934280492368</v>
      </c>
      <c r="AP133" s="203">
        <f t="shared" si="115"/>
        <v>-619.08042205167988</v>
      </c>
      <c r="AQ133" s="203">
        <f t="shared" si="115"/>
        <v>-401.45332234071185</v>
      </c>
      <c r="AR133" s="203">
        <f t="shared" si="115"/>
        <v>-309.02191881470253</v>
      </c>
      <c r="AS133" s="203">
        <f t="shared" si="115"/>
        <v>-211.21778629173554</v>
      </c>
      <c r="AT133" s="203">
        <f t="shared" si="115"/>
        <v>-140.22116827266785</v>
      </c>
      <c r="AU133" s="204">
        <f t="shared" si="115"/>
        <v>-100.47882136900277</v>
      </c>
    </row>
    <row r="134" spans="9:47" s="105" customFormat="1">
      <c r="I134" s="105" t="s">
        <v>226</v>
      </c>
      <c r="R134" s="202"/>
      <c r="S134" s="203">
        <f>+(S132-R132)*10000</f>
        <v>-9749.6245668078536</v>
      </c>
      <c r="T134" s="203">
        <f t="shared" ref="T134:AG134" si="116">+(T132-S132)*10000</f>
        <v>-21210.488761034492</v>
      </c>
      <c r="U134" s="203">
        <f t="shared" si="116"/>
        <v>-2367.7828498842</v>
      </c>
      <c r="V134" s="202">
        <f t="shared" si="116"/>
        <v>-1743.7534497000718</v>
      </c>
      <c r="W134" s="203">
        <f t="shared" si="116"/>
        <v>-2220.8160969895575</v>
      </c>
      <c r="X134" s="203">
        <f t="shared" si="116"/>
        <v>-765.43633410153075</v>
      </c>
      <c r="Y134" s="203">
        <f t="shared" si="116"/>
        <v>-334.86815237806059</v>
      </c>
      <c r="Z134" s="202">
        <f t="shared" si="116"/>
        <v>49928.56168454713</v>
      </c>
      <c r="AA134" s="203">
        <f t="shared" si="116"/>
        <v>-39772.74679791493</v>
      </c>
      <c r="AB134" s="203">
        <f t="shared" si="116"/>
        <v>-2561.6978171461246</v>
      </c>
      <c r="AC134" s="204">
        <f t="shared" si="116"/>
        <v>-3330.1825907809325</v>
      </c>
      <c r="AD134" s="202">
        <f t="shared" si="116"/>
        <v>-400.28114347531061</v>
      </c>
      <c r="AE134" s="203">
        <f t="shared" si="116"/>
        <v>-1488.5569396228971</v>
      </c>
      <c r="AF134" s="203">
        <f t="shared" si="116"/>
        <v>-1327.1280878771313</v>
      </c>
      <c r="AG134" s="204">
        <f t="shared" si="116"/>
        <v>-1140.982952832516</v>
      </c>
      <c r="AI134" s="106"/>
      <c r="AJ134" s="192"/>
      <c r="AK134" s="111"/>
      <c r="AL134" s="111"/>
      <c r="AM134" s="111"/>
      <c r="AN134" s="111"/>
      <c r="AO134" s="118"/>
      <c r="AP134" s="118"/>
      <c r="AQ134" s="118"/>
      <c r="AR134" s="118"/>
      <c r="AS134" s="118"/>
      <c r="AT134" s="118"/>
      <c r="AU134" s="119"/>
    </row>
    <row r="135" spans="9:47">
      <c r="R135" s="42"/>
      <c r="S135" s="28"/>
      <c r="T135" s="28"/>
      <c r="U135" s="28"/>
      <c r="V135" s="42"/>
      <c r="W135" s="28"/>
      <c r="X135" s="28"/>
      <c r="Y135" s="29"/>
      <c r="Z135" s="42"/>
      <c r="AA135" s="497"/>
      <c r="AB135" s="28"/>
      <c r="AC135" s="29"/>
      <c r="AD135" s="194">
        <f>AD225</f>
        <v>60.669928755402339</v>
      </c>
      <c r="AE135" s="195">
        <f>AE225</f>
        <v>22.18267935565548</v>
      </c>
      <c r="AF135" s="195">
        <f>AF225</f>
        <v>4.8656793556554732</v>
      </c>
      <c r="AG135" s="196">
        <f>AG225</f>
        <v>-10.334320644344544</v>
      </c>
      <c r="AI135" s="22"/>
      <c r="AJ135" s="23"/>
      <c r="AK135" s="28"/>
      <c r="AL135" s="28"/>
      <c r="AM135" s="28"/>
      <c r="AN135" s="28"/>
      <c r="AO135" s="23"/>
      <c r="AP135" s="118"/>
      <c r="AQ135" s="118"/>
      <c r="AR135" s="118"/>
      <c r="AS135" s="118"/>
      <c r="AT135" s="118"/>
      <c r="AU135" s="119"/>
    </row>
    <row r="136" spans="9:47">
      <c r="R136" s="42"/>
      <c r="S136" s="28"/>
      <c r="T136" s="28"/>
      <c r="U136" s="28"/>
      <c r="V136" s="42"/>
      <c r="W136" s="28"/>
      <c r="X136" s="28"/>
      <c r="Y136" s="29"/>
      <c r="Z136" s="42"/>
      <c r="AA136" s="28"/>
      <c r="AB136" s="28"/>
      <c r="AC136" s="29"/>
      <c r="AD136" s="42"/>
      <c r="AE136" s="28"/>
      <c r="AF136" s="28"/>
      <c r="AG136" s="29"/>
      <c r="AI136" s="22"/>
      <c r="AJ136" s="23"/>
      <c r="AK136" s="28"/>
      <c r="AL136" s="28"/>
      <c r="AM136" s="26"/>
      <c r="AN136" s="26"/>
      <c r="AO136" s="26"/>
      <c r="AP136" s="26"/>
      <c r="AQ136" s="26"/>
      <c r="AR136" s="26"/>
      <c r="AS136" s="26"/>
      <c r="AT136" s="26"/>
      <c r="AU136" s="27"/>
    </row>
    <row r="137" spans="9:47">
      <c r="I137" s="11" t="s">
        <v>110</v>
      </c>
      <c r="J137" s="30"/>
      <c r="K137" s="31"/>
      <c r="L137" s="31"/>
      <c r="M137" s="32"/>
      <c r="N137" s="43"/>
      <c r="O137" s="31"/>
      <c r="P137" s="31"/>
      <c r="Q137" s="31"/>
      <c r="R137" s="43" t="s">
        <v>229</v>
      </c>
      <c r="S137" s="31"/>
      <c r="T137" s="31"/>
      <c r="U137" s="31"/>
      <c r="V137" s="43"/>
      <c r="W137" s="31"/>
      <c r="X137" s="59"/>
      <c r="Y137" s="60"/>
      <c r="Z137" s="43"/>
      <c r="AA137" s="59"/>
      <c r="AB137" s="59"/>
      <c r="AC137" s="60"/>
      <c r="AD137" s="30"/>
      <c r="AE137" s="59"/>
      <c r="AF137" s="59"/>
      <c r="AG137" s="60"/>
      <c r="AH137" s="10"/>
      <c r="AI137" s="30"/>
      <c r="AJ137" s="59"/>
      <c r="AK137" s="59"/>
      <c r="AL137" s="59"/>
      <c r="AM137" s="59"/>
      <c r="AN137" s="59"/>
      <c r="AO137" s="59"/>
      <c r="AP137" s="59"/>
      <c r="AQ137" s="59"/>
      <c r="AR137" s="59"/>
      <c r="AS137" s="59"/>
      <c r="AT137" s="59"/>
      <c r="AU137" s="60"/>
    </row>
    <row r="138" spans="9:47">
      <c r="I138" s="1" t="s">
        <v>111</v>
      </c>
      <c r="R138" s="101">
        <v>3.4529999999999998</v>
      </c>
      <c r="S138" s="102">
        <v>5.8719999999999999</v>
      </c>
      <c r="T138" s="102">
        <v>8.2059999999999995</v>
      </c>
      <c r="U138" s="102">
        <v>9.6850000000000005</v>
      </c>
      <c r="V138" s="101">
        <v>14.737</v>
      </c>
      <c r="W138" s="102">
        <v>24.587</v>
      </c>
      <c r="X138" s="102">
        <v>34.658000000000001</v>
      </c>
      <c r="Y138" s="103">
        <v>50.389000000000003</v>
      </c>
      <c r="Z138" s="101">
        <v>219.733</v>
      </c>
      <c r="AA138" s="102">
        <v>90.903000000000006</v>
      </c>
      <c r="AB138" s="102">
        <v>101.511</v>
      </c>
      <c r="AC138" s="103">
        <v>110.458</v>
      </c>
      <c r="AD138" s="47">
        <f>+AC138+AD140</f>
        <v>100.458</v>
      </c>
      <c r="AE138" s="26">
        <f t="shared" ref="AE138:AG138" si="117">+AA138+AE139</f>
        <v>100.90300000000001</v>
      </c>
      <c r="AF138" s="26">
        <f t="shared" si="117"/>
        <v>111.511</v>
      </c>
      <c r="AG138" s="27">
        <f t="shared" si="117"/>
        <v>135.458</v>
      </c>
      <c r="AI138" s="22"/>
      <c r="AJ138" s="23"/>
      <c r="AK138" s="26">
        <f>+SUM(R138:U138)</f>
        <v>27.216000000000001</v>
      </c>
      <c r="AL138" s="26">
        <f>+SUM(V138:Y138)</f>
        <v>124.37100000000001</v>
      </c>
      <c r="AM138" s="48">
        <f>+SUM(Z138:AC138)</f>
        <v>522.60500000000002</v>
      </c>
      <c r="AN138" s="48">
        <f>+SUM(AD138:AG138)</f>
        <v>448.32999999999993</v>
      </c>
      <c r="AO138" s="48">
        <f>+AN138+AO139</f>
        <v>548.32999999999993</v>
      </c>
      <c r="AP138" s="48">
        <f t="shared" ref="AP138" si="118">+AO138+AP139</f>
        <v>678.32999999999993</v>
      </c>
      <c r="AQ138" s="48">
        <f t="shared" ref="AQ138" si="119">+AP138+AQ139</f>
        <v>818.32999999999993</v>
      </c>
      <c r="AR138" s="48">
        <f t="shared" ref="AR138" si="120">+AQ138+AR139</f>
        <v>958.32999999999993</v>
      </c>
      <c r="AS138" s="48">
        <f t="shared" ref="AS138" si="121">+AR138+AS139</f>
        <v>1098.33</v>
      </c>
      <c r="AT138" s="48">
        <f t="shared" ref="AT138" si="122">+AS138+AT139</f>
        <v>1238.33</v>
      </c>
      <c r="AU138" s="49">
        <f t="shared" ref="AU138" si="123">+AT138+AU139</f>
        <v>1378.33</v>
      </c>
    </row>
    <row r="139" spans="9:47">
      <c r="I139" s="1" t="s">
        <v>86</v>
      </c>
      <c r="R139" s="101"/>
      <c r="S139" s="102"/>
      <c r="T139" s="102"/>
      <c r="U139" s="102"/>
      <c r="V139" s="25">
        <f t="shared" ref="V139:AC139" si="124">+V138-R138</f>
        <v>11.284000000000001</v>
      </c>
      <c r="W139" s="26">
        <f t="shared" si="124"/>
        <v>18.715</v>
      </c>
      <c r="X139" s="26">
        <f t="shared" si="124"/>
        <v>26.452000000000002</v>
      </c>
      <c r="Y139" s="26">
        <f t="shared" si="124"/>
        <v>40.704000000000001</v>
      </c>
      <c r="Z139" s="25">
        <f t="shared" si="124"/>
        <v>204.99600000000001</v>
      </c>
      <c r="AA139" s="26">
        <f t="shared" si="124"/>
        <v>66.316000000000003</v>
      </c>
      <c r="AB139" s="26">
        <f t="shared" si="124"/>
        <v>66.852999999999994</v>
      </c>
      <c r="AC139" s="26">
        <f t="shared" si="124"/>
        <v>60.068999999999996</v>
      </c>
      <c r="AD139" s="25">
        <f>+AD138-Z138</f>
        <v>-119.27500000000001</v>
      </c>
      <c r="AE139" s="61">
        <v>10</v>
      </c>
      <c r="AF139" s="61">
        <v>10</v>
      </c>
      <c r="AG139" s="61">
        <v>25</v>
      </c>
      <c r="AI139" s="22"/>
      <c r="AJ139" s="23"/>
      <c r="AK139" s="37"/>
      <c r="AL139" s="26">
        <f t="shared" ref="AL139:AN139" si="125">+AL138-AK138</f>
        <v>97.155000000000001</v>
      </c>
      <c r="AM139" s="26">
        <f t="shared" si="125"/>
        <v>398.23400000000004</v>
      </c>
      <c r="AN139" s="26">
        <f t="shared" si="125"/>
        <v>-74.275000000000091</v>
      </c>
      <c r="AO139" s="61">
        <v>100</v>
      </c>
      <c r="AP139" s="61">
        <v>130</v>
      </c>
      <c r="AQ139" s="61">
        <v>140</v>
      </c>
      <c r="AR139" s="61">
        <v>140</v>
      </c>
      <c r="AS139" s="61">
        <v>140</v>
      </c>
      <c r="AT139" s="61">
        <v>140</v>
      </c>
      <c r="AU139" s="62">
        <v>140</v>
      </c>
    </row>
    <row r="140" spans="9:47" ht="12" customHeight="1">
      <c r="I140" s="1" t="s">
        <v>87</v>
      </c>
      <c r="R140" s="101"/>
      <c r="S140" s="26">
        <f>+S138-R138</f>
        <v>2.419</v>
      </c>
      <c r="T140" s="26">
        <f t="shared" ref="T140:AG140" si="126">+T138-S138</f>
        <v>2.3339999999999996</v>
      </c>
      <c r="U140" s="26">
        <f t="shared" si="126"/>
        <v>1.479000000000001</v>
      </c>
      <c r="V140" s="25">
        <f t="shared" si="126"/>
        <v>5.0519999999999996</v>
      </c>
      <c r="W140" s="26">
        <f t="shared" si="126"/>
        <v>9.85</v>
      </c>
      <c r="X140" s="26">
        <f t="shared" si="126"/>
        <v>10.071000000000002</v>
      </c>
      <c r="Y140" s="27">
        <f t="shared" si="126"/>
        <v>15.731000000000002</v>
      </c>
      <c r="Z140" s="25">
        <f t="shared" si="126"/>
        <v>169.34399999999999</v>
      </c>
      <c r="AA140" s="26">
        <f t="shared" si="126"/>
        <v>-128.82999999999998</v>
      </c>
      <c r="AB140" s="26">
        <f t="shared" si="126"/>
        <v>10.60799999999999</v>
      </c>
      <c r="AC140" s="27">
        <f t="shared" si="126"/>
        <v>8.9470000000000027</v>
      </c>
      <c r="AD140" s="66">
        <v>-10</v>
      </c>
      <c r="AE140" s="26">
        <f t="shared" si="126"/>
        <v>0.44500000000000739</v>
      </c>
      <c r="AF140" s="26">
        <f t="shared" si="126"/>
        <v>10.60799999999999</v>
      </c>
      <c r="AG140" s="27">
        <f t="shared" si="126"/>
        <v>23.947000000000003</v>
      </c>
      <c r="AI140" s="22"/>
      <c r="AJ140" s="23"/>
      <c r="AK140" s="37"/>
      <c r="AL140" s="37"/>
      <c r="AM140" s="23"/>
      <c r="AN140" s="23"/>
      <c r="AO140" s="23"/>
      <c r="AP140" s="23"/>
      <c r="AQ140" s="23"/>
      <c r="AR140" s="23"/>
      <c r="AS140" s="23"/>
      <c r="AT140" s="23"/>
      <c r="AU140" s="24"/>
    </row>
    <row r="141" spans="9:47" s="105" customFormat="1">
      <c r="I141" s="105" t="s">
        <v>227</v>
      </c>
      <c r="R141" s="110"/>
      <c r="S141" s="111"/>
      <c r="T141" s="111"/>
      <c r="U141" s="111"/>
      <c r="V141" s="110">
        <f t="shared" ref="V141:AG141" si="127">+V138/R138-1</f>
        <v>3.2678830002896033</v>
      </c>
      <c r="W141" s="111">
        <f t="shared" si="127"/>
        <v>3.1871594005449593</v>
      </c>
      <c r="X141" s="111">
        <f t="shared" si="127"/>
        <v>3.2234950036558621</v>
      </c>
      <c r="Y141" s="111">
        <f t="shared" si="127"/>
        <v>4.2027878162106349</v>
      </c>
      <c r="Z141" s="110">
        <f t="shared" si="127"/>
        <v>13.910293818280518</v>
      </c>
      <c r="AA141" s="111">
        <f t="shared" si="127"/>
        <v>2.6971977061048524</v>
      </c>
      <c r="AB141" s="111">
        <f t="shared" si="127"/>
        <v>1.9289341566160769</v>
      </c>
      <c r="AC141" s="112">
        <f t="shared" si="127"/>
        <v>1.1921054198336938</v>
      </c>
      <c r="AD141" s="110">
        <f t="shared" si="127"/>
        <v>-0.54281787442031915</v>
      </c>
      <c r="AE141" s="111">
        <f t="shared" si="127"/>
        <v>0.11000737049382314</v>
      </c>
      <c r="AF141" s="111">
        <f t="shared" si="127"/>
        <v>9.8511491365467885E-2</v>
      </c>
      <c r="AG141" s="112">
        <f t="shared" si="127"/>
        <v>0.22633036991435662</v>
      </c>
      <c r="AI141" s="106"/>
      <c r="AJ141" s="192"/>
      <c r="AK141" s="111"/>
      <c r="AL141" s="111">
        <f>+AL138/AK138-1</f>
        <v>3.5697751322751321</v>
      </c>
      <c r="AM141" s="111">
        <f t="shared" ref="AM141:AU141" si="128">+AM138/AL138-1</f>
        <v>3.2019843854274708</v>
      </c>
      <c r="AN141" s="111">
        <f t="shared" si="128"/>
        <v>-0.14212454913366712</v>
      </c>
      <c r="AO141" s="111">
        <f t="shared" si="128"/>
        <v>0.22304998550175092</v>
      </c>
      <c r="AP141" s="111">
        <f t="shared" si="128"/>
        <v>0.23708350810643219</v>
      </c>
      <c r="AQ141" s="111">
        <f t="shared" si="128"/>
        <v>0.20638922058585063</v>
      </c>
      <c r="AR141" s="111">
        <f t="shared" si="128"/>
        <v>0.17108012659929361</v>
      </c>
      <c r="AS141" s="111">
        <f t="shared" si="128"/>
        <v>0.14608746465205091</v>
      </c>
      <c r="AT141" s="111">
        <f t="shared" si="128"/>
        <v>0.12746624420711439</v>
      </c>
      <c r="AU141" s="112">
        <f t="shared" si="128"/>
        <v>0.11305548601745907</v>
      </c>
    </row>
    <row r="142" spans="9:47" s="105" customFormat="1">
      <c r="I142" s="105" t="s">
        <v>228</v>
      </c>
      <c r="R142" s="110"/>
      <c r="S142" s="111">
        <f>+S138/R138-1</f>
        <v>0.70055024616275707</v>
      </c>
      <c r="T142" s="111">
        <f t="shared" ref="T142:AG142" si="129">+T138/S138-1</f>
        <v>0.39747956403269757</v>
      </c>
      <c r="U142" s="111">
        <f t="shared" si="129"/>
        <v>0.18023397514014139</v>
      </c>
      <c r="V142" s="110">
        <f t="shared" si="129"/>
        <v>0.52163138874548265</v>
      </c>
      <c r="W142" s="111">
        <f t="shared" si="129"/>
        <v>0.66838569586754426</v>
      </c>
      <c r="X142" s="111">
        <f t="shared" si="129"/>
        <v>0.40960670272908462</v>
      </c>
      <c r="Y142" s="111">
        <f t="shared" si="129"/>
        <v>0.45389231923365458</v>
      </c>
      <c r="Z142" s="110">
        <f t="shared" si="129"/>
        <v>3.3607334934211828</v>
      </c>
      <c r="AA142" s="111">
        <f t="shared" si="129"/>
        <v>-0.58630246708505318</v>
      </c>
      <c r="AB142" s="111">
        <f t="shared" si="129"/>
        <v>0.11669581861984746</v>
      </c>
      <c r="AC142" s="112">
        <f t="shared" si="129"/>
        <v>8.8138231324684124E-2</v>
      </c>
      <c r="AD142" s="110">
        <f t="shared" si="129"/>
        <v>-9.0532147965742604E-2</v>
      </c>
      <c r="AE142" s="111">
        <f t="shared" si="129"/>
        <v>4.4297119194092183E-3</v>
      </c>
      <c r="AF142" s="111">
        <f t="shared" si="129"/>
        <v>0.10513067004945342</v>
      </c>
      <c r="AG142" s="112">
        <f t="shared" si="129"/>
        <v>0.21475011433849578</v>
      </c>
      <c r="AI142" s="106"/>
      <c r="AJ142" s="192"/>
      <c r="AK142" s="111"/>
      <c r="AL142" s="111"/>
      <c r="AM142" s="111"/>
      <c r="AN142" s="111"/>
      <c r="AO142" s="118"/>
      <c r="AP142" s="118"/>
      <c r="AQ142" s="118"/>
      <c r="AR142" s="118"/>
      <c r="AS142" s="118"/>
      <c r="AT142" s="118"/>
      <c r="AU142" s="119"/>
    </row>
    <row r="143" spans="9:47">
      <c r="I143" s="1" t="s">
        <v>18</v>
      </c>
      <c r="R143" s="42">
        <f t="shared" ref="R143:AG143" si="130">+R138/R$5</f>
        <v>0.88086734693877544</v>
      </c>
      <c r="S143" s="28">
        <f t="shared" si="130"/>
        <v>1.1079245283018868</v>
      </c>
      <c r="T143" s="28">
        <f t="shared" si="130"/>
        <v>0.49064275037369198</v>
      </c>
      <c r="U143" s="28">
        <f t="shared" si="130"/>
        <v>0.29601442630967661</v>
      </c>
      <c r="V143" s="42">
        <f t="shared" si="130"/>
        <v>0.37983916696736941</v>
      </c>
      <c r="W143" s="28">
        <f t="shared" si="130"/>
        <v>0.34244686481517589</v>
      </c>
      <c r="X143" s="28">
        <f t="shared" si="130"/>
        <v>0.27033477894605473</v>
      </c>
      <c r="Y143" s="29">
        <f t="shared" si="130"/>
        <v>0.30413080479472726</v>
      </c>
      <c r="Z143" s="42">
        <f t="shared" ref="Z143" si="131">+Z138/Z$5</f>
        <v>1.46833235325564</v>
      </c>
      <c r="AA143" s="28">
        <f t="shared" si="130"/>
        <v>0.50037155077034867</v>
      </c>
      <c r="AB143" s="28">
        <f t="shared" ref="AB143" si="132">+AB138/AB$5</f>
        <v>0.48818151651702191</v>
      </c>
      <c r="AC143" s="29">
        <f t="shared" si="130"/>
        <v>0.38663180406940317</v>
      </c>
      <c r="AD143" s="42">
        <f t="shared" si="130"/>
        <v>0.4034457831325301</v>
      </c>
      <c r="AE143" s="28">
        <f t="shared" si="130"/>
        <v>0.34204406779661017</v>
      </c>
      <c r="AF143" s="28">
        <f t="shared" si="130"/>
        <v>0.32701173020527857</v>
      </c>
      <c r="AG143" s="29">
        <f t="shared" si="130"/>
        <v>0.31649065420560746</v>
      </c>
      <c r="AI143" s="22"/>
      <c r="AJ143" s="23"/>
      <c r="AK143" s="28">
        <f>+AK138/AK$5</f>
        <v>0.46393808703953088</v>
      </c>
      <c r="AL143" s="28">
        <f>+AL138/AL$5</f>
        <v>0.30748216237063708</v>
      </c>
      <c r="AM143" s="28">
        <f>+AM138/AM$5</f>
        <v>0.63349976786443774</v>
      </c>
      <c r="AN143" s="28">
        <f>+AN138/AN$5</f>
        <v>0.34145468392993139</v>
      </c>
      <c r="AO143" s="28">
        <f t="shared" ref="AO143:AU143" si="133">+AO138/AO$5</f>
        <v>0.27842987868996488</v>
      </c>
      <c r="AP143" s="28">
        <f t="shared" si="133"/>
        <v>0.24183935021859945</v>
      </c>
      <c r="AQ143" s="28">
        <f t="shared" si="133"/>
        <v>0.21461990763051028</v>
      </c>
      <c r="AR143" s="28">
        <f t="shared" si="133"/>
        <v>0.19305756889726355</v>
      </c>
      <c r="AS143" s="28">
        <f t="shared" si="133"/>
        <v>0.17819711562603535</v>
      </c>
      <c r="AT143" s="28">
        <f t="shared" si="133"/>
        <v>0.16834566492845551</v>
      </c>
      <c r="AU143" s="29">
        <f t="shared" si="133"/>
        <v>0.16129065327440506</v>
      </c>
    </row>
    <row r="144" spans="9:47" s="105" customFormat="1">
      <c r="I144" s="105" t="s">
        <v>225</v>
      </c>
      <c r="R144" s="110"/>
      <c r="S144" s="111"/>
      <c r="T144" s="111"/>
      <c r="U144" s="111"/>
      <c r="V144" s="202">
        <f t="shared" ref="V144:AG144" si="134">+(V143-R143)*10000</f>
        <v>-5010.2817997140601</v>
      </c>
      <c r="W144" s="203">
        <f t="shared" si="134"/>
        <v>-7654.7766348671084</v>
      </c>
      <c r="X144" s="203">
        <f t="shared" si="134"/>
        <v>-2203.0797142763727</v>
      </c>
      <c r="Y144" s="203">
        <f t="shared" si="134"/>
        <v>81.16378485050646</v>
      </c>
      <c r="Z144" s="202">
        <f t="shared" si="134"/>
        <v>10884.931862882708</v>
      </c>
      <c r="AA144" s="203">
        <f t="shared" si="134"/>
        <v>1579.2468595517278</v>
      </c>
      <c r="AB144" s="203">
        <f t="shared" si="134"/>
        <v>2178.4673757096716</v>
      </c>
      <c r="AC144" s="204">
        <f t="shared" si="134"/>
        <v>825.00999274675917</v>
      </c>
      <c r="AD144" s="202">
        <f t="shared" si="134"/>
        <v>-10648.865701231101</v>
      </c>
      <c r="AE144" s="203">
        <f t="shared" si="134"/>
        <v>-1583.2748297373851</v>
      </c>
      <c r="AF144" s="203">
        <f t="shared" si="134"/>
        <v>-1611.6978631174334</v>
      </c>
      <c r="AG144" s="204">
        <f t="shared" si="134"/>
        <v>-701.41149863795715</v>
      </c>
      <c r="AI144" s="106"/>
      <c r="AJ144" s="192"/>
      <c r="AK144" s="111"/>
      <c r="AL144" s="203">
        <f t="shared" ref="AL144:AU144" si="135">+(AL143-AK143)*10000</f>
        <v>-1564.5592466889379</v>
      </c>
      <c r="AM144" s="203">
        <f t="shared" si="135"/>
        <v>3260.1760549380065</v>
      </c>
      <c r="AN144" s="203">
        <f t="shared" si="135"/>
        <v>-2920.4508393450633</v>
      </c>
      <c r="AO144" s="203">
        <f t="shared" si="135"/>
        <v>-630.24805239966508</v>
      </c>
      <c r="AP144" s="203">
        <f t="shared" si="135"/>
        <v>-365.90528471365428</v>
      </c>
      <c r="AQ144" s="203">
        <f t="shared" si="135"/>
        <v>-272.19442588089169</v>
      </c>
      <c r="AR144" s="203">
        <f t="shared" si="135"/>
        <v>-215.62338733246727</v>
      </c>
      <c r="AS144" s="203">
        <f t="shared" si="135"/>
        <v>-148.60453271228204</v>
      </c>
      <c r="AT144" s="203">
        <f t="shared" si="135"/>
        <v>-98.514506975798383</v>
      </c>
      <c r="AU144" s="204">
        <f t="shared" si="135"/>
        <v>-70.550116540504533</v>
      </c>
    </row>
    <row r="145" spans="9:47" s="105" customFormat="1">
      <c r="I145" s="105" t="s">
        <v>226</v>
      </c>
      <c r="R145" s="202"/>
      <c r="S145" s="203">
        <f>+(S143-R143)*10000</f>
        <v>2270.5718136311139</v>
      </c>
      <c r="T145" s="203">
        <f t="shared" ref="T145:AG145" si="136">+(T143-S143)*10000</f>
        <v>-6172.8177792819479</v>
      </c>
      <c r="U145" s="203">
        <f t="shared" si="136"/>
        <v>-1946.2832406401537</v>
      </c>
      <c r="V145" s="202">
        <f t="shared" si="136"/>
        <v>838.24740657692803</v>
      </c>
      <c r="W145" s="203">
        <f t="shared" si="136"/>
        <v>-373.92302152193525</v>
      </c>
      <c r="X145" s="203">
        <f t="shared" si="136"/>
        <v>-721.12085869121154</v>
      </c>
      <c r="Y145" s="203">
        <f t="shared" si="136"/>
        <v>337.96025848672531</v>
      </c>
      <c r="Z145" s="202">
        <f t="shared" si="136"/>
        <v>11642.015484609128</v>
      </c>
      <c r="AA145" s="203">
        <f t="shared" si="136"/>
        <v>-9679.6080248529142</v>
      </c>
      <c r="AB145" s="203">
        <f t="shared" si="136"/>
        <v>-121.90034253326765</v>
      </c>
      <c r="AC145" s="204">
        <f t="shared" si="136"/>
        <v>-1015.4971244761873</v>
      </c>
      <c r="AD145" s="202">
        <f t="shared" si="136"/>
        <v>168.13979063126928</v>
      </c>
      <c r="AE145" s="203">
        <f t="shared" si="136"/>
        <v>-614.01715335919926</v>
      </c>
      <c r="AF145" s="203">
        <f t="shared" si="136"/>
        <v>-150.32337591331603</v>
      </c>
      <c r="AG145" s="204">
        <f t="shared" si="136"/>
        <v>-105.21075999671115</v>
      </c>
      <c r="AI145" s="106"/>
      <c r="AJ145" s="192"/>
      <c r="AK145" s="111"/>
      <c r="AL145" s="111"/>
      <c r="AM145" s="111"/>
      <c r="AN145" s="111"/>
      <c r="AO145" s="118"/>
      <c r="AP145" s="118"/>
      <c r="AQ145" s="118"/>
      <c r="AR145" s="118"/>
      <c r="AS145" s="118"/>
      <c r="AT145" s="118"/>
      <c r="AU145" s="119"/>
    </row>
    <row r="146" spans="9:47">
      <c r="R146" s="42"/>
      <c r="S146" s="28"/>
      <c r="T146" s="28"/>
      <c r="U146" s="28"/>
      <c r="V146" s="42"/>
      <c r="W146" s="28"/>
      <c r="X146" s="23"/>
      <c r="Y146" s="24"/>
      <c r="Z146" s="42"/>
      <c r="AA146" s="23"/>
      <c r="AB146" s="26">
        <f t="shared" ref="AB146:AC146" si="137">AB245</f>
        <v>28.152999999999999</v>
      </c>
      <c r="AC146" s="27">
        <f t="shared" si="137"/>
        <v>24.882000000000005</v>
      </c>
      <c r="AD146" s="22"/>
      <c r="AE146" s="23"/>
      <c r="AF146" s="23"/>
      <c r="AG146" s="24"/>
      <c r="AI146" s="22"/>
      <c r="AJ146" s="23"/>
      <c r="AK146" s="23"/>
      <c r="AL146" s="351"/>
      <c r="AM146" s="351"/>
      <c r="AN146" s="351"/>
      <c r="AO146" s="417"/>
      <c r="AP146" s="351"/>
      <c r="AQ146" s="351"/>
      <c r="AR146" s="351"/>
      <c r="AS146" s="351"/>
      <c r="AT146" s="351"/>
      <c r="AU146" s="636"/>
    </row>
    <row r="147" spans="9:47">
      <c r="I147" s="11" t="s">
        <v>21</v>
      </c>
      <c r="J147" s="30"/>
      <c r="K147" s="31"/>
      <c r="L147" s="31"/>
      <c r="M147" s="32"/>
      <c r="N147" s="43"/>
      <c r="O147" s="31"/>
      <c r="P147" s="31"/>
      <c r="Q147" s="31"/>
      <c r="R147" s="43"/>
      <c r="S147" s="31"/>
      <c r="T147" s="31"/>
      <c r="U147" s="31"/>
      <c r="V147" s="43"/>
      <c r="W147" s="31"/>
      <c r="X147" s="59"/>
      <c r="Y147" s="60"/>
      <c r="Z147" s="43"/>
      <c r="AA147" s="59"/>
      <c r="AB147" s="59"/>
      <c r="AC147" s="60"/>
      <c r="AD147" s="30"/>
      <c r="AE147" s="59"/>
      <c r="AF147" s="59"/>
      <c r="AG147" s="60"/>
      <c r="AH147" s="10"/>
      <c r="AI147" s="30"/>
      <c r="AJ147" s="59"/>
      <c r="AK147" s="59"/>
      <c r="AL147" s="59"/>
      <c r="AM147" s="59"/>
      <c r="AN147" s="59"/>
      <c r="AO147" s="59"/>
      <c r="AP147" s="59"/>
      <c r="AQ147" s="59"/>
      <c r="AR147" s="59"/>
      <c r="AS147" s="59"/>
      <c r="AT147" s="59"/>
      <c r="AU147" s="60"/>
    </row>
    <row r="148" spans="9:47">
      <c r="I148" s="1" t="s">
        <v>112</v>
      </c>
      <c r="R148" s="101">
        <v>61.976999999999997</v>
      </c>
      <c r="S148" s="102">
        <v>29.391999999999999</v>
      </c>
      <c r="T148" s="102">
        <v>30.204999999999998</v>
      </c>
      <c r="U148" s="102">
        <v>27.026</v>
      </c>
      <c r="V148" s="101">
        <v>24.010999999999999</v>
      </c>
      <c r="W148" s="102">
        <v>32.261000000000003</v>
      </c>
      <c r="X148" s="102">
        <v>42.171999999999997</v>
      </c>
      <c r="Y148" s="102">
        <v>66.715999999999994</v>
      </c>
      <c r="Z148" s="101">
        <v>1174.4760000000001</v>
      </c>
      <c r="AA148" s="102">
        <v>131.90299999999999</v>
      </c>
      <c r="AB148" s="102">
        <v>118.101</v>
      </c>
      <c r="AC148" s="102">
        <v>111.11499999999999</v>
      </c>
      <c r="AD148" s="47">
        <f>+AC148+AD150</f>
        <v>71.114999999999995</v>
      </c>
      <c r="AE148" s="26">
        <f>+AA148+AE149</f>
        <v>116.90299999999999</v>
      </c>
      <c r="AF148" s="26">
        <f>+AB148+AF149+AF161</f>
        <v>144.19804457152836</v>
      </c>
      <c r="AG148" s="27">
        <f>+AC148+AG149+AG161</f>
        <v>132.21204457152834</v>
      </c>
      <c r="AI148" s="22"/>
      <c r="AJ148" s="23"/>
      <c r="AK148" s="26">
        <f>+SUM(R148:U148)</f>
        <v>148.6</v>
      </c>
      <c r="AL148" s="26">
        <f>+SUM(V148:Y148)</f>
        <v>165.16</v>
      </c>
      <c r="AM148" s="48">
        <f>+SUM(Z148:AC148)</f>
        <v>1535.595</v>
      </c>
      <c r="AN148" s="48">
        <f>+SUM(AD148:AG148)</f>
        <v>464.42808914305664</v>
      </c>
      <c r="AO148" s="48">
        <f t="shared" ref="AO148:AU148" si="138">+AN148+AO149</f>
        <v>514.4280891430567</v>
      </c>
      <c r="AP148" s="48">
        <f t="shared" si="138"/>
        <v>594.4280891430567</v>
      </c>
      <c r="AQ148" s="48">
        <f t="shared" si="138"/>
        <v>674.4280891430567</v>
      </c>
      <c r="AR148" s="48">
        <f t="shared" si="138"/>
        <v>754.4280891430567</v>
      </c>
      <c r="AS148" s="48">
        <f t="shared" si="138"/>
        <v>834.4280891430567</v>
      </c>
      <c r="AT148" s="48">
        <f t="shared" si="138"/>
        <v>914.4280891430567</v>
      </c>
      <c r="AU148" s="49">
        <f t="shared" si="138"/>
        <v>994.4280891430567</v>
      </c>
    </row>
    <row r="149" spans="9:47">
      <c r="I149" s="1" t="s">
        <v>86</v>
      </c>
      <c r="R149" s="101"/>
      <c r="S149" s="102"/>
      <c r="T149" s="102"/>
      <c r="U149" s="102"/>
      <c r="V149" s="25">
        <f t="shared" ref="V149:AC149" si="139">+V148-R148</f>
        <v>-37.965999999999994</v>
      </c>
      <c r="W149" s="26">
        <f t="shared" si="139"/>
        <v>2.8690000000000033</v>
      </c>
      <c r="X149" s="26">
        <f t="shared" si="139"/>
        <v>11.966999999999999</v>
      </c>
      <c r="Y149" s="26">
        <f t="shared" si="139"/>
        <v>39.69</v>
      </c>
      <c r="Z149" s="25">
        <f t="shared" si="139"/>
        <v>1150.4650000000001</v>
      </c>
      <c r="AA149" s="26">
        <f t="shared" si="139"/>
        <v>99.641999999999996</v>
      </c>
      <c r="AB149" s="26">
        <f t="shared" si="139"/>
        <v>75.929000000000002</v>
      </c>
      <c r="AC149" s="26">
        <f t="shared" si="139"/>
        <v>44.399000000000001</v>
      </c>
      <c r="AD149" s="25">
        <f>+AD148-Z148</f>
        <v>-1103.3610000000001</v>
      </c>
      <c r="AE149" s="61">
        <v>-15</v>
      </c>
      <c r="AF149" s="61">
        <v>15</v>
      </c>
      <c r="AG149" s="62">
        <v>10</v>
      </c>
      <c r="AI149" s="22"/>
      <c r="AJ149" s="23"/>
      <c r="AK149" s="37"/>
      <c r="AL149" s="26">
        <f>+AL148-AK148</f>
        <v>16.560000000000002</v>
      </c>
      <c r="AM149" s="26">
        <f>+AM148-AL148</f>
        <v>1370.4349999999999</v>
      </c>
      <c r="AN149" s="26">
        <f>+AN148-AM148</f>
        <v>-1071.1669108569433</v>
      </c>
      <c r="AO149" s="61">
        <v>50</v>
      </c>
      <c r="AP149" s="61">
        <v>80</v>
      </c>
      <c r="AQ149" s="61">
        <v>80</v>
      </c>
      <c r="AR149" s="61">
        <v>80</v>
      </c>
      <c r="AS149" s="61">
        <v>80</v>
      </c>
      <c r="AT149" s="61">
        <v>80</v>
      </c>
      <c r="AU149" s="61">
        <v>80</v>
      </c>
    </row>
    <row r="150" spans="9:47">
      <c r="I150" s="1" t="s">
        <v>87</v>
      </c>
      <c r="R150" s="101"/>
      <c r="S150" s="26">
        <f>+S148-R148</f>
        <v>-32.584999999999994</v>
      </c>
      <c r="T150" s="26">
        <f t="shared" ref="T150:AG150" si="140">+T148-S148</f>
        <v>0.81299999999999883</v>
      </c>
      <c r="U150" s="26">
        <f t="shared" si="140"/>
        <v>-3.1789999999999985</v>
      </c>
      <c r="V150" s="25">
        <f t="shared" si="140"/>
        <v>-3.0150000000000006</v>
      </c>
      <c r="W150" s="26">
        <f t="shared" si="140"/>
        <v>8.2500000000000036</v>
      </c>
      <c r="X150" s="26">
        <f t="shared" si="140"/>
        <v>9.9109999999999943</v>
      </c>
      <c r="Y150" s="26">
        <f t="shared" si="140"/>
        <v>24.543999999999997</v>
      </c>
      <c r="Z150" s="25">
        <f t="shared" si="140"/>
        <v>1107.7600000000002</v>
      </c>
      <c r="AA150" s="26">
        <f t="shared" si="140"/>
        <v>-1042.5730000000001</v>
      </c>
      <c r="AB150" s="26">
        <f t="shared" si="140"/>
        <v>-13.801999999999992</v>
      </c>
      <c r="AC150" s="27">
        <f t="shared" si="140"/>
        <v>-6.9860000000000042</v>
      </c>
      <c r="AD150" s="66">
        <v>-40</v>
      </c>
      <c r="AE150" s="26">
        <f t="shared" si="140"/>
        <v>45.787999999999997</v>
      </c>
      <c r="AF150" s="26">
        <f t="shared" si="140"/>
        <v>27.295044571528365</v>
      </c>
      <c r="AG150" s="27">
        <f t="shared" si="140"/>
        <v>-11.986000000000018</v>
      </c>
      <c r="AI150" s="22"/>
      <c r="AJ150" s="23"/>
      <c r="AK150" s="37"/>
      <c r="AL150" s="37"/>
      <c r="AM150" s="23"/>
      <c r="AN150" s="23"/>
      <c r="AO150" s="23"/>
      <c r="AP150" s="23"/>
      <c r="AQ150" s="23"/>
      <c r="AR150" s="23"/>
      <c r="AS150" s="23"/>
      <c r="AT150" s="23"/>
      <c r="AU150" s="24"/>
    </row>
    <row r="151" spans="9:47" s="105" customFormat="1">
      <c r="I151" s="105" t="s">
        <v>227</v>
      </c>
      <c r="R151" s="110"/>
      <c r="S151" s="111"/>
      <c r="T151" s="111"/>
      <c r="U151" s="111"/>
      <c r="V151" s="110">
        <f t="shared" ref="V151:AG151" si="141">+V148/R148-1</f>
        <v>-0.61258208690320604</v>
      </c>
      <c r="W151" s="111">
        <f t="shared" si="141"/>
        <v>9.7611594991834583E-2</v>
      </c>
      <c r="X151" s="111">
        <f t="shared" si="141"/>
        <v>0.39619268333057445</v>
      </c>
      <c r="Y151" s="111">
        <f t="shared" si="141"/>
        <v>1.4685858062606378</v>
      </c>
      <c r="Z151" s="110">
        <f t="shared" si="141"/>
        <v>47.914081046187171</v>
      </c>
      <c r="AA151" s="111">
        <f t="shared" si="141"/>
        <v>3.0886209354948697</v>
      </c>
      <c r="AB151" s="111">
        <f t="shared" si="141"/>
        <v>1.8004600208669261</v>
      </c>
      <c r="AC151" s="112">
        <f t="shared" si="141"/>
        <v>0.66549253552371246</v>
      </c>
      <c r="AD151" s="110">
        <f t="shared" si="141"/>
        <v>-0.93944959283970042</v>
      </c>
      <c r="AE151" s="111">
        <f t="shared" si="141"/>
        <v>-0.11371993055502905</v>
      </c>
      <c r="AF151" s="111">
        <f t="shared" si="141"/>
        <v>0.22097225740280235</v>
      </c>
      <c r="AG151" s="112">
        <f t="shared" si="141"/>
        <v>0.18986675580730195</v>
      </c>
      <c r="AI151" s="106"/>
      <c r="AJ151" s="192"/>
      <c r="AK151" s="111"/>
      <c r="AL151" s="111">
        <f>+AL148/AK148-1</f>
        <v>0.11144010767160162</v>
      </c>
      <c r="AM151" s="111">
        <f t="shared" ref="AM151:AU151" si="142">+AM148/AL148-1</f>
        <v>8.297620489222572</v>
      </c>
      <c r="AN151" s="111">
        <f t="shared" si="142"/>
        <v>-0.69755821740559409</v>
      </c>
      <c r="AO151" s="111">
        <f t="shared" si="142"/>
        <v>0.10765929358893422</v>
      </c>
      <c r="AP151" s="111">
        <f t="shared" si="142"/>
        <v>0.15551250347403345</v>
      </c>
      <c r="AQ151" s="111">
        <f t="shared" si="142"/>
        <v>0.13458314211788025</v>
      </c>
      <c r="AR151" s="111">
        <f t="shared" si="142"/>
        <v>0.11861902149071191</v>
      </c>
      <c r="AS151" s="111">
        <f t="shared" si="142"/>
        <v>0.10604059041713398</v>
      </c>
      <c r="AT151" s="111">
        <f t="shared" si="142"/>
        <v>9.5874049592648003E-2</v>
      </c>
      <c r="AU151" s="112">
        <f t="shared" si="142"/>
        <v>8.7486376402731603E-2</v>
      </c>
    </row>
    <row r="152" spans="9:47" s="105" customFormat="1">
      <c r="I152" s="105" t="s">
        <v>228</v>
      </c>
      <c r="R152" s="110"/>
      <c r="S152" s="111">
        <f>+S148/R148-1</f>
        <v>-0.52575955596430934</v>
      </c>
      <c r="T152" s="111">
        <f t="shared" ref="T152:AG152" si="143">+T148/S148-1</f>
        <v>2.766058791507886E-2</v>
      </c>
      <c r="U152" s="112">
        <f t="shared" si="143"/>
        <v>-0.10524747558351266</v>
      </c>
      <c r="V152" s="110">
        <f t="shared" si="143"/>
        <v>-0.11155923925109157</v>
      </c>
      <c r="W152" s="111">
        <f t="shared" si="143"/>
        <v>0.34359252009495655</v>
      </c>
      <c r="X152" s="111">
        <f t="shared" si="143"/>
        <v>0.30721304361303092</v>
      </c>
      <c r="Y152" s="111">
        <f t="shared" si="143"/>
        <v>0.58199753390875464</v>
      </c>
      <c r="Z152" s="110">
        <f t="shared" si="143"/>
        <v>16.604112956412258</v>
      </c>
      <c r="AA152" s="111">
        <f t="shared" si="143"/>
        <v>-0.8876920430898545</v>
      </c>
      <c r="AB152" s="111">
        <f t="shared" si="143"/>
        <v>-0.10463749876803408</v>
      </c>
      <c r="AC152" s="112">
        <f t="shared" si="143"/>
        <v>-5.9152759079093342E-2</v>
      </c>
      <c r="AD152" s="110">
        <f t="shared" si="143"/>
        <v>-0.35998740044098454</v>
      </c>
      <c r="AE152" s="111">
        <f t="shared" si="143"/>
        <v>0.64385853898614909</v>
      </c>
      <c r="AF152" s="111">
        <f t="shared" si="143"/>
        <v>0.23348455190652384</v>
      </c>
      <c r="AG152" s="112">
        <f t="shared" si="143"/>
        <v>-8.3121792917617898E-2</v>
      </c>
      <c r="AI152" s="106"/>
      <c r="AJ152" s="192"/>
      <c r="AK152" s="111"/>
      <c r="AL152" s="111"/>
      <c r="AM152" s="111"/>
      <c r="AN152" s="111"/>
      <c r="AO152" s="118"/>
      <c r="AP152" s="118"/>
      <c r="AQ152" s="118"/>
      <c r="AR152" s="118"/>
      <c r="AS152" s="118"/>
      <c r="AT152" s="118"/>
      <c r="AU152" s="119"/>
    </row>
    <row r="153" spans="9:47">
      <c r="I153" s="1" t="s">
        <v>18</v>
      </c>
      <c r="R153" s="42">
        <f>+R148/R$5</f>
        <v>15.810459183673469</v>
      </c>
      <c r="S153" s="28">
        <f>+S148/S$5</f>
        <v>5.5456603773584909</v>
      </c>
      <c r="T153" s="28">
        <f>+T148/T$5</f>
        <v>1.8059790732436469</v>
      </c>
      <c r="U153" s="29">
        <f>+U148/U$5</f>
        <v>0.8260284858487682</v>
      </c>
      <c r="V153" s="42">
        <f>+V148/V$5</f>
        <v>0.61887210680962934</v>
      </c>
      <c r="W153" s="28">
        <f t="shared" ref="W153:AG153" si="144">+W148/W$5</f>
        <v>0.44933006490431493</v>
      </c>
      <c r="X153" s="28">
        <f t="shared" si="144"/>
        <v>0.3289444947115534</v>
      </c>
      <c r="Y153" s="29">
        <f t="shared" si="144"/>
        <v>0.40267500392317812</v>
      </c>
      <c r="Z153" s="42">
        <f>+Z148/Z$5</f>
        <v>7.8482572436651354</v>
      </c>
      <c r="AA153" s="28">
        <f t="shared" si="144"/>
        <v>0.72605424090801507</v>
      </c>
      <c r="AB153" s="28">
        <f t="shared" ref="AB153" si="145">+AB148/AB$5</f>
        <v>0.5679652971813578</v>
      </c>
      <c r="AC153" s="29">
        <f t="shared" si="144"/>
        <v>0.3889314753949169</v>
      </c>
      <c r="AD153" s="42">
        <f t="shared" si="144"/>
        <v>0.28560240963855421</v>
      </c>
      <c r="AE153" s="28">
        <f t="shared" si="144"/>
        <v>0.39628135593220337</v>
      </c>
      <c r="AF153" s="28">
        <f t="shared" si="144"/>
        <v>0.42286816589891013</v>
      </c>
      <c r="AG153" s="29">
        <f t="shared" si="144"/>
        <v>0.30890664619515967</v>
      </c>
      <c r="AI153" s="22"/>
      <c r="AJ153" s="23"/>
      <c r="AK153" s="28">
        <f t="shared" ref="AK153:AP153" si="146">+AK148/AK$5</f>
        <v>2.5331128650086083</v>
      </c>
      <c r="AL153" s="28">
        <f t="shared" si="146"/>
        <v>0.40832472149564136</v>
      </c>
      <c r="AM153" s="28">
        <f t="shared" si="146"/>
        <v>1.8614423437085204</v>
      </c>
      <c r="AN153" s="28">
        <f t="shared" si="146"/>
        <v>0.35371522402365319</v>
      </c>
      <c r="AO153" s="28">
        <f t="shared" si="146"/>
        <v>0.26121523618042369</v>
      </c>
      <c r="AP153" s="28">
        <f t="shared" si="146"/>
        <v>0.21192650012536754</v>
      </c>
      <c r="AQ153" s="28">
        <f>+AQ148/AQ$5</f>
        <v>0.17687936919739516</v>
      </c>
      <c r="AR153" s="28">
        <f>+AR148/AR$5</f>
        <v>0.15198110546238411</v>
      </c>
      <c r="AS153" s="28">
        <f>+AS148/AS$5</f>
        <v>0.13538069494836436</v>
      </c>
      <c r="AT153" s="28">
        <f>+AT148/AT$5</f>
        <v>0.12431258606029483</v>
      </c>
      <c r="AU153" s="29">
        <f>+AU148/AU$5</f>
        <v>0.11636687595300249</v>
      </c>
    </row>
    <row r="154" spans="9:47" s="105" customFormat="1">
      <c r="I154" s="105" t="s">
        <v>225</v>
      </c>
      <c r="R154" s="110"/>
      <c r="S154" s="111"/>
      <c r="T154" s="111"/>
      <c r="U154" s="112"/>
      <c r="V154" s="202">
        <f t="shared" ref="V154:AG154" si="147">+(V153-R153)*10000</f>
        <v>-151915.87076863839</v>
      </c>
      <c r="W154" s="203">
        <f t="shared" si="147"/>
        <v>-50963.303124541766</v>
      </c>
      <c r="X154" s="203">
        <f t="shared" si="147"/>
        <v>-14770.345785320935</v>
      </c>
      <c r="Y154" s="203">
        <f t="shared" si="147"/>
        <v>-4233.5348192559004</v>
      </c>
      <c r="Z154" s="202">
        <f t="shared" si="147"/>
        <v>72293.851368555057</v>
      </c>
      <c r="AA154" s="203">
        <f t="shared" si="147"/>
        <v>2767.2417600370013</v>
      </c>
      <c r="AB154" s="203">
        <f t="shared" si="147"/>
        <v>2390.208024698044</v>
      </c>
      <c r="AC154" s="204">
        <f t="shared" si="147"/>
        <v>-137.43528528261217</v>
      </c>
      <c r="AD154" s="202">
        <f t="shared" si="147"/>
        <v>-75626.548340265814</v>
      </c>
      <c r="AE154" s="203">
        <f t="shared" si="147"/>
        <v>-3297.7288497581171</v>
      </c>
      <c r="AF154" s="203">
        <f t="shared" si="147"/>
        <v>-1450.9713128244766</v>
      </c>
      <c r="AG154" s="204">
        <f t="shared" si="147"/>
        <v>-800.24829199757232</v>
      </c>
      <c r="AI154" s="106"/>
      <c r="AJ154" s="192"/>
      <c r="AK154" s="111"/>
      <c r="AL154" s="203">
        <f t="shared" ref="AL154:AU154" si="148">+(AL153-AK153)*10000</f>
        <v>-21247.881435129671</v>
      </c>
      <c r="AM154" s="203">
        <f t="shared" si="148"/>
        <v>14531.17622212879</v>
      </c>
      <c r="AN154" s="203">
        <f t="shared" si="148"/>
        <v>-15077.271196848671</v>
      </c>
      <c r="AO154" s="203">
        <f t="shared" si="148"/>
        <v>-924.99987843229496</v>
      </c>
      <c r="AP154" s="203">
        <f t="shared" si="148"/>
        <v>-492.88736055056154</v>
      </c>
      <c r="AQ154" s="203">
        <f t="shared" si="148"/>
        <v>-350.47130927972376</v>
      </c>
      <c r="AR154" s="203">
        <f t="shared" si="148"/>
        <v>-248.98263735011056</v>
      </c>
      <c r="AS154" s="203">
        <f t="shared" si="148"/>
        <v>-166.00410514019754</v>
      </c>
      <c r="AT154" s="203">
        <f t="shared" si="148"/>
        <v>-110.68108888069528</v>
      </c>
      <c r="AU154" s="204">
        <f t="shared" si="148"/>
        <v>-79.457101072923365</v>
      </c>
    </row>
    <row r="155" spans="9:47" s="105" customFormat="1">
      <c r="I155" s="105" t="s">
        <v>226</v>
      </c>
      <c r="R155" s="202"/>
      <c r="S155" s="203">
        <f>+(S153-R153)*10000</f>
        <v>-102647.98806314978</v>
      </c>
      <c r="T155" s="203">
        <f t="shared" ref="T155:AG155" si="149">+(T153-S153)*10000</f>
        <v>-37396.813041148438</v>
      </c>
      <c r="U155" s="203">
        <f t="shared" si="149"/>
        <v>-9799.5058739487868</v>
      </c>
      <c r="V155" s="202">
        <f t="shared" si="149"/>
        <v>-2071.5637903913885</v>
      </c>
      <c r="W155" s="203">
        <f t="shared" si="149"/>
        <v>-1695.4204190531441</v>
      </c>
      <c r="X155" s="203">
        <f t="shared" si="149"/>
        <v>-1203.8557019276152</v>
      </c>
      <c r="Y155" s="203">
        <f t="shared" si="149"/>
        <v>737.30509211624712</v>
      </c>
      <c r="Z155" s="202">
        <f t="shared" si="149"/>
        <v>74455.822397419572</v>
      </c>
      <c r="AA155" s="203">
        <f t="shared" si="149"/>
        <v>-71222.030027571207</v>
      </c>
      <c r="AB155" s="203">
        <f t="shared" si="149"/>
        <v>-1580.8894372665727</v>
      </c>
      <c r="AC155" s="204">
        <f t="shared" si="149"/>
        <v>-1790.338217864409</v>
      </c>
      <c r="AD155" s="202">
        <f t="shared" si="149"/>
        <v>-1033.2906575636268</v>
      </c>
      <c r="AE155" s="203">
        <f t="shared" si="149"/>
        <v>1106.7894629364916</v>
      </c>
      <c r="AF155" s="203">
        <f t="shared" si="149"/>
        <v>265.86809966706761</v>
      </c>
      <c r="AG155" s="204">
        <f t="shared" si="149"/>
        <v>-1139.6151970375047</v>
      </c>
      <c r="AI155" s="106"/>
      <c r="AJ155" s="192"/>
      <c r="AK155" s="111"/>
      <c r="AL155" s="111"/>
      <c r="AM155" s="111"/>
      <c r="AN155" s="111"/>
      <c r="AO155" s="118"/>
      <c r="AP155" s="118"/>
      <c r="AQ155" s="118"/>
      <c r="AR155" s="118"/>
      <c r="AS155" s="118"/>
      <c r="AT155" s="118"/>
      <c r="AU155" s="119"/>
    </row>
    <row r="156" spans="9:47">
      <c r="R156" s="42"/>
      <c r="S156" s="28"/>
      <c r="T156" s="28"/>
      <c r="U156" s="29"/>
      <c r="V156" s="42"/>
      <c r="W156" s="28"/>
      <c r="X156" s="28"/>
      <c r="Y156" s="29"/>
      <c r="Z156" s="42"/>
      <c r="AA156" s="28"/>
      <c r="AB156" s="28"/>
      <c r="AC156" s="29"/>
      <c r="AD156" s="42"/>
      <c r="AE156" s="28"/>
      <c r="AF156" s="28"/>
      <c r="AG156" s="29"/>
      <c r="AI156" s="22"/>
      <c r="AJ156" s="23"/>
      <c r="AK156" s="23"/>
      <c r="AL156" s="23"/>
      <c r="AM156" s="23"/>
      <c r="AN156" s="23"/>
      <c r="AO156" s="23"/>
      <c r="AP156" s="23"/>
      <c r="AQ156" s="23"/>
      <c r="AR156" s="23"/>
      <c r="AS156" s="23"/>
      <c r="AT156" s="23"/>
      <c r="AU156" s="24"/>
    </row>
    <row r="157" spans="9:47">
      <c r="I157" s="11" t="s">
        <v>129</v>
      </c>
      <c r="J157" s="30"/>
      <c r="K157" s="31"/>
      <c r="L157" s="31"/>
      <c r="M157" s="32"/>
      <c r="N157" s="43"/>
      <c r="O157" s="31"/>
      <c r="P157" s="31"/>
      <c r="Q157" s="31"/>
      <c r="R157" s="43"/>
      <c r="S157" s="31"/>
      <c r="T157" s="31"/>
      <c r="U157" s="32"/>
      <c r="V157" s="43"/>
      <c r="W157" s="31"/>
      <c r="X157" s="59"/>
      <c r="Y157" s="60"/>
      <c r="Z157" s="30"/>
      <c r="AA157" s="59"/>
      <c r="AB157" s="59"/>
      <c r="AC157" s="60"/>
      <c r="AD157" s="30"/>
      <c r="AE157" s="59"/>
      <c r="AF157" s="59"/>
      <c r="AG157" s="60"/>
      <c r="AH157" s="10"/>
      <c r="AI157" s="30"/>
      <c r="AJ157" s="59"/>
      <c r="AK157" s="59"/>
      <c r="AL157" s="59"/>
      <c r="AM157" s="59"/>
      <c r="AN157" s="59"/>
      <c r="AO157" s="59"/>
      <c r="AP157" s="59"/>
      <c r="AQ157" s="59"/>
      <c r="AR157" s="59"/>
      <c r="AS157" s="59"/>
      <c r="AT157" s="59"/>
      <c r="AU157" s="60"/>
    </row>
    <row r="158" spans="9:47">
      <c r="I158" s="1" t="s">
        <v>24</v>
      </c>
      <c r="R158" s="101">
        <v>0.127</v>
      </c>
      <c r="S158" s="102">
        <v>0.128</v>
      </c>
      <c r="T158" s="102">
        <v>0.128</v>
      </c>
      <c r="U158" s="103">
        <v>0.105</v>
      </c>
      <c r="V158" s="101">
        <v>0.154</v>
      </c>
      <c r="W158" s="102">
        <v>0.128</v>
      </c>
      <c r="X158" s="102">
        <v>0.128</v>
      </c>
      <c r="Y158" s="103">
        <v>0.122</v>
      </c>
      <c r="Z158" s="101">
        <v>20.026</v>
      </c>
      <c r="AA158" s="102">
        <v>2.2229999999999999</v>
      </c>
      <c r="AB158" s="102">
        <v>2.0390000000000001</v>
      </c>
      <c r="AC158" s="103">
        <v>2.23</v>
      </c>
      <c r="AD158" s="47">
        <f t="shared" ref="AD158:AG161" si="150">+(AC158/AC$162)*AD$162</f>
        <v>0.83964508665473447</v>
      </c>
      <c r="AE158" s="48">
        <f t="shared" si="150"/>
        <v>1.2168769371807746</v>
      </c>
      <c r="AF158" s="48">
        <f t="shared" si="150"/>
        <v>1.2168769371807746</v>
      </c>
      <c r="AG158" s="49">
        <f t="shared" si="150"/>
        <v>1.2168769371807746</v>
      </c>
      <c r="AI158" s="22"/>
      <c r="AJ158" s="23"/>
      <c r="AK158" s="48">
        <f>+SUM(R158:U158)</f>
        <v>0.48799999999999999</v>
      </c>
      <c r="AL158" s="48">
        <f>+SUM(V158:Y158)</f>
        <v>0.53200000000000003</v>
      </c>
      <c r="AM158" s="48">
        <f>+SUM(Z158:AC158)</f>
        <v>26.518000000000001</v>
      </c>
      <c r="AN158" s="48">
        <f>+SUM(AD158:AG158)</f>
        <v>4.4902758981970585</v>
      </c>
      <c r="AO158" s="48">
        <f t="shared" ref="AO158:AU161" si="151">+(AN158/AN$162)*AO$162</f>
        <v>5.0500392893002148</v>
      </c>
      <c r="AP158" s="48">
        <f t="shared" si="151"/>
        <v>5.4540424324442327</v>
      </c>
      <c r="AQ158" s="48">
        <f t="shared" si="151"/>
        <v>5.8903658270397719</v>
      </c>
      <c r="AR158" s="48">
        <f t="shared" si="151"/>
        <v>6.1848841183917607</v>
      </c>
      <c r="AS158" s="48">
        <f t="shared" si="151"/>
        <v>6.4941283243113483</v>
      </c>
      <c r="AT158" s="48">
        <f t="shared" si="151"/>
        <v>6.8188347405269161</v>
      </c>
      <c r="AU158" s="49">
        <f t="shared" si="151"/>
        <v>7.1597764775532617</v>
      </c>
    </row>
    <row r="159" spans="9:47">
      <c r="I159" s="1" t="s">
        <v>126</v>
      </c>
      <c r="R159" s="101">
        <v>2.7149999999999999</v>
      </c>
      <c r="S159" s="102">
        <v>2.2970000000000002</v>
      </c>
      <c r="T159" s="102">
        <v>2.6379999999999999</v>
      </c>
      <c r="U159" s="103">
        <v>2.6589999999999998</v>
      </c>
      <c r="V159" s="101">
        <v>2.6480000000000001</v>
      </c>
      <c r="W159" s="102">
        <v>2.7</v>
      </c>
      <c r="X159" s="102">
        <v>12.138</v>
      </c>
      <c r="Y159" s="103">
        <v>4.4489999999999998</v>
      </c>
      <c r="Z159" s="101">
        <v>722.12900000000002</v>
      </c>
      <c r="AA159" s="102">
        <v>163.84800000000001</v>
      </c>
      <c r="AB159" s="102">
        <v>146.53100000000001</v>
      </c>
      <c r="AC159" s="103">
        <v>131.33099999999999</v>
      </c>
      <c r="AD159" s="47">
        <f t="shared" si="150"/>
        <v>49.449071244597725</v>
      </c>
      <c r="AE159" s="48">
        <f t="shared" si="150"/>
        <v>71.665320644344533</v>
      </c>
      <c r="AF159" s="48">
        <f t="shared" si="150"/>
        <v>71.665320644344533</v>
      </c>
      <c r="AG159" s="49">
        <f t="shared" si="150"/>
        <v>71.665320644344533</v>
      </c>
      <c r="AI159" s="541"/>
      <c r="AJ159" s="23"/>
      <c r="AK159" s="48">
        <f>+SUM(R159:U159)</f>
        <v>10.309000000000001</v>
      </c>
      <c r="AL159" s="48">
        <f>+SUM(V159:Y159)</f>
        <v>21.935000000000002</v>
      </c>
      <c r="AM159" s="48">
        <f>+SUM(Z159:AC159)</f>
        <v>1163.8389999999999</v>
      </c>
      <c r="AN159" s="48">
        <f>+SUM(AD159:AG159)</f>
        <v>264.44503317763133</v>
      </c>
      <c r="AO159" s="48">
        <f t="shared" si="151"/>
        <v>297.41108067402979</v>
      </c>
      <c r="AP159" s="48">
        <f t="shared" si="151"/>
        <v>321.20396712795224</v>
      </c>
      <c r="AQ159" s="48">
        <f t="shared" si="151"/>
        <v>346.90028449818846</v>
      </c>
      <c r="AR159" s="48">
        <f t="shared" si="151"/>
        <v>364.2452987230979</v>
      </c>
      <c r="AS159" s="48">
        <f t="shared" si="151"/>
        <v>382.4575636592528</v>
      </c>
      <c r="AT159" s="48">
        <f t="shared" si="151"/>
        <v>401.58044184221546</v>
      </c>
      <c r="AU159" s="49">
        <f t="shared" si="151"/>
        <v>421.6594639343262</v>
      </c>
    </row>
    <row r="160" spans="9:47">
      <c r="I160" s="1" t="s">
        <v>127</v>
      </c>
      <c r="R160" s="101">
        <v>0.83</v>
      </c>
      <c r="S160" s="102">
        <v>0.875</v>
      </c>
      <c r="T160" s="102">
        <v>0.86199999999999999</v>
      </c>
      <c r="U160" s="103">
        <v>0.96699999999999997</v>
      </c>
      <c r="V160" s="101">
        <v>0.77500000000000002</v>
      </c>
      <c r="W160" s="102">
        <v>0.55300000000000005</v>
      </c>
      <c r="X160" s="102">
        <v>1.2509999999999999</v>
      </c>
      <c r="Y160" s="103">
        <v>1.377</v>
      </c>
      <c r="Z160" s="101">
        <v>160.94200000000001</v>
      </c>
      <c r="AA160" s="102">
        <v>20.558</v>
      </c>
      <c r="AB160" s="102">
        <v>27.968</v>
      </c>
      <c r="AC160" s="103">
        <v>29.359000000000002</v>
      </c>
      <c r="AD160" s="47">
        <f t="shared" si="150"/>
        <v>11.054322914392982</v>
      </c>
      <c r="AE160" s="48">
        <f t="shared" si="150"/>
        <v>16.020757846946353</v>
      </c>
      <c r="AF160" s="48">
        <f t="shared" si="150"/>
        <v>16.020757846946353</v>
      </c>
      <c r="AG160" s="49">
        <f t="shared" si="150"/>
        <v>16.020757846946353</v>
      </c>
      <c r="AI160" s="22"/>
      <c r="AJ160" s="23"/>
      <c r="AK160" s="48">
        <f>+SUM(R160:U160)</f>
        <v>3.5340000000000003</v>
      </c>
      <c r="AL160" s="48">
        <f>+SUM(V160:Y160)</f>
        <v>3.9559999999999995</v>
      </c>
      <c r="AM160" s="48">
        <f>+SUM(Z160:AC160)</f>
        <v>238.827</v>
      </c>
      <c r="AN160" s="48">
        <f>+SUM(AD160:AG160)</f>
        <v>59.116596455232042</v>
      </c>
      <c r="AO160" s="48">
        <f t="shared" si="151"/>
        <v>66.486145064827369</v>
      </c>
      <c r="AP160" s="48">
        <f t="shared" si="151"/>
        <v>71.805036670013564</v>
      </c>
      <c r="AQ160" s="48">
        <f t="shared" si="151"/>
        <v>77.549439603614658</v>
      </c>
      <c r="AR160" s="48">
        <f t="shared" si="151"/>
        <v>81.426911583795402</v>
      </c>
      <c r="AS160" s="48">
        <f t="shared" si="151"/>
        <v>85.498257162985169</v>
      </c>
      <c r="AT160" s="48">
        <f t="shared" si="151"/>
        <v>89.773170021134419</v>
      </c>
      <c r="AU160" s="49">
        <f t="shared" si="151"/>
        <v>94.261828522191138</v>
      </c>
    </row>
    <row r="161" spans="9:49" s="339" customFormat="1">
      <c r="I161" s="339" t="s">
        <v>128</v>
      </c>
      <c r="R161" s="511">
        <v>47.99</v>
      </c>
      <c r="S161" s="429">
        <v>2.7360000000000002</v>
      </c>
      <c r="T161" s="429">
        <v>5.0810000000000004</v>
      </c>
      <c r="U161" s="512">
        <v>3.3860000000000001</v>
      </c>
      <c r="V161" s="511">
        <v>1.9610000000000001</v>
      </c>
      <c r="W161" s="429">
        <v>1.361</v>
      </c>
      <c r="X161" s="429">
        <v>1.278</v>
      </c>
      <c r="Y161" s="512">
        <v>0.81899999999999995</v>
      </c>
      <c r="Z161" s="511">
        <v>1109.9770000000001</v>
      </c>
      <c r="AA161" s="429">
        <v>55.814</v>
      </c>
      <c r="AB161" s="429">
        <v>49.054000000000002</v>
      </c>
      <c r="AC161" s="512">
        <v>20.335999999999999</v>
      </c>
      <c r="AD161" s="340">
        <f t="shared" si="150"/>
        <v>7.6569607543545644</v>
      </c>
      <c r="AE161" s="341">
        <f t="shared" si="150"/>
        <v>11.097044571528354</v>
      </c>
      <c r="AF161" s="341">
        <f t="shared" si="150"/>
        <v>11.097044571528354</v>
      </c>
      <c r="AG161" s="342">
        <f t="shared" si="150"/>
        <v>11.097044571528354</v>
      </c>
      <c r="AI161" s="540"/>
      <c r="AJ161" s="170"/>
      <c r="AK161" s="341">
        <f>+SUM(R161:U161)</f>
        <v>59.193000000000005</v>
      </c>
      <c r="AL161" s="341">
        <f>+SUM(V161:Y161)</f>
        <v>5.4189999999999996</v>
      </c>
      <c r="AM161" s="341">
        <f>+SUM(Z161:AC161)</f>
        <v>1235.1810000000003</v>
      </c>
      <c r="AN161" s="341">
        <f>+SUM(AD161:AG161)</f>
        <v>40.94809446893963</v>
      </c>
      <c r="AO161" s="341">
        <f t="shared" si="151"/>
        <v>46.052734971842675</v>
      </c>
      <c r="AP161" s="341">
        <f t="shared" si="151"/>
        <v>49.736953769590095</v>
      </c>
      <c r="AQ161" s="341">
        <f t="shared" si="151"/>
        <v>53.71591007115731</v>
      </c>
      <c r="AR161" s="341">
        <f t="shared" si="151"/>
        <v>56.401705574715173</v>
      </c>
      <c r="AS161" s="341">
        <f t="shared" si="151"/>
        <v>59.221790853450933</v>
      </c>
      <c r="AT161" s="341">
        <f t="shared" si="151"/>
        <v>62.18288039612348</v>
      </c>
      <c r="AU161" s="342">
        <f t="shared" si="151"/>
        <v>65.292024415929646</v>
      </c>
    </row>
    <row r="162" spans="9:49" s="7" customFormat="1">
      <c r="I162" s="7" t="s">
        <v>161</v>
      </c>
      <c r="R162" s="53">
        <f>+SUM(R158:R161)</f>
        <v>51.661999999999999</v>
      </c>
      <c r="S162" s="54">
        <f t="shared" ref="S162:AC162" si="152">+SUM(S158:S161)</f>
        <v>6.0360000000000005</v>
      </c>
      <c r="T162" s="54">
        <f t="shared" si="152"/>
        <v>8.7089999999999996</v>
      </c>
      <c r="U162" s="55">
        <f t="shared" si="152"/>
        <v>7.117</v>
      </c>
      <c r="V162" s="53">
        <f t="shared" si="152"/>
        <v>5.5380000000000003</v>
      </c>
      <c r="W162" s="54">
        <f t="shared" si="152"/>
        <v>4.742</v>
      </c>
      <c r="X162" s="54">
        <f t="shared" si="152"/>
        <v>14.795</v>
      </c>
      <c r="Y162" s="55">
        <f t="shared" si="152"/>
        <v>6.7669999999999995</v>
      </c>
      <c r="Z162" s="53">
        <f t="shared" ref="Z162" si="153">+SUM(Z158:Z161)</f>
        <v>2013.0740000000001</v>
      </c>
      <c r="AA162" s="54">
        <f t="shared" si="152"/>
        <v>242.44300000000001</v>
      </c>
      <c r="AB162" s="54">
        <f t="shared" ref="AB162" si="154">+SUM(AB158:AB161)</f>
        <v>225.59199999999998</v>
      </c>
      <c r="AC162" s="294">
        <f t="shared" si="152"/>
        <v>183.25599999999997</v>
      </c>
      <c r="AD162" s="61">
        <f>100-31</f>
        <v>69</v>
      </c>
      <c r="AE162" s="61">
        <v>100</v>
      </c>
      <c r="AF162" s="61">
        <v>100</v>
      </c>
      <c r="AG162" s="62">
        <v>100</v>
      </c>
      <c r="AI162" s="33"/>
      <c r="AJ162" s="34"/>
      <c r="AK162" s="54">
        <f>Model!AK57</f>
        <v>73.524000000000001</v>
      </c>
      <c r="AL162" s="54">
        <f>Model!AL57</f>
        <v>31.842000000000002</v>
      </c>
      <c r="AM162" s="54">
        <f>+SUM(Z162:AC162)</f>
        <v>2664.3650000000002</v>
      </c>
      <c r="AN162" s="54">
        <f>SUM(AD162:AG162)</f>
        <v>369</v>
      </c>
      <c r="AO162" s="390">
        <v>415</v>
      </c>
      <c r="AP162" s="54">
        <f>+AO162*(1+AP163)</f>
        <v>448.20000000000005</v>
      </c>
      <c r="AQ162" s="54">
        <f t="shared" ref="AQ162:AU162" si="155">+AP162*(1+AQ163)</f>
        <v>484.0560000000001</v>
      </c>
      <c r="AR162" s="54">
        <f t="shared" si="155"/>
        <v>508.25880000000012</v>
      </c>
      <c r="AS162" s="54">
        <f t="shared" si="155"/>
        <v>533.67174000000011</v>
      </c>
      <c r="AT162" s="54">
        <f t="shared" si="155"/>
        <v>560.3553270000001</v>
      </c>
      <c r="AU162" s="55">
        <f t="shared" si="155"/>
        <v>588.37309335000009</v>
      </c>
      <c r="AW162" s="682"/>
    </row>
    <row r="163" spans="9:49" s="105" customFormat="1">
      <c r="I163" s="105" t="s">
        <v>227</v>
      </c>
      <c r="R163" s="110"/>
      <c r="S163" s="111"/>
      <c r="T163" s="111"/>
      <c r="U163" s="112"/>
      <c r="V163" s="110">
        <f>+V162/R162-1</f>
        <v>-0.89280322093608455</v>
      </c>
      <c r="W163" s="111">
        <f t="shared" ref="W163:AG163" si="156">+W162/S162-1</f>
        <v>-0.21438038436050366</v>
      </c>
      <c r="X163" s="111">
        <f t="shared" si="156"/>
        <v>0.69881731542082903</v>
      </c>
      <c r="Y163" s="111">
        <f t="shared" si="156"/>
        <v>-4.917802444850361E-2</v>
      </c>
      <c r="Z163" s="110">
        <f>+Z162/V162-1</f>
        <v>362.50198627663417</v>
      </c>
      <c r="AA163" s="111">
        <f t="shared" si="156"/>
        <v>50.126739772248001</v>
      </c>
      <c r="AB163" s="111">
        <f t="shared" si="156"/>
        <v>14.247854004731327</v>
      </c>
      <c r="AC163" s="112">
        <f t="shared" si="156"/>
        <v>26.080833456479976</v>
      </c>
      <c r="AD163" s="110">
        <f t="shared" si="156"/>
        <v>-0.96572406180796133</v>
      </c>
      <c r="AE163" s="111">
        <f t="shared" si="156"/>
        <v>-0.58753191471809862</v>
      </c>
      <c r="AF163" s="111">
        <f t="shared" si="156"/>
        <v>-0.55672186956984282</v>
      </c>
      <c r="AG163" s="112">
        <f t="shared" si="156"/>
        <v>-0.45431527480682754</v>
      </c>
      <c r="AI163" s="106"/>
      <c r="AJ163" s="192"/>
      <c r="AK163" s="111"/>
      <c r="AL163" s="111">
        <f>+AL162/AK162-1</f>
        <v>-0.56691692508568625</v>
      </c>
      <c r="AM163" s="111">
        <f t="shared" ref="AM163:AO163" si="157">+AM162/AL162-1</f>
        <v>82.674549337353184</v>
      </c>
      <c r="AN163" s="111">
        <f t="shared" si="157"/>
        <v>-0.86150546190180399</v>
      </c>
      <c r="AO163" s="111">
        <f t="shared" si="157"/>
        <v>0.12466124661246614</v>
      </c>
      <c r="AP163" s="93">
        <v>0.08</v>
      </c>
      <c r="AQ163" s="93">
        <v>0.08</v>
      </c>
      <c r="AR163" s="93">
        <v>0.05</v>
      </c>
      <c r="AS163" s="93">
        <v>0.05</v>
      </c>
      <c r="AT163" s="93">
        <v>0.05</v>
      </c>
      <c r="AU163" s="94">
        <v>0.05</v>
      </c>
    </row>
    <row r="164" spans="9:49" s="105" customFormat="1">
      <c r="I164" s="105" t="s">
        <v>228</v>
      </c>
      <c r="R164" s="110"/>
      <c r="S164" s="111">
        <f>+S162/R162-1</f>
        <v>-0.88316364058689167</v>
      </c>
      <c r="T164" s="111">
        <f t="shared" ref="T164:AG164" si="158">+T162/S162-1</f>
        <v>0.44284294234592436</v>
      </c>
      <c r="U164" s="112">
        <f t="shared" si="158"/>
        <v>-0.18279940291652308</v>
      </c>
      <c r="V164" s="110">
        <f t="shared" si="158"/>
        <v>-0.22186314458339185</v>
      </c>
      <c r="W164" s="111">
        <f t="shared" si="158"/>
        <v>-0.14373420007222826</v>
      </c>
      <c r="X164" s="111">
        <f t="shared" si="158"/>
        <v>2.1199915647406158</v>
      </c>
      <c r="Y164" s="111">
        <f t="shared" si="158"/>
        <v>-0.54261574856370398</v>
      </c>
      <c r="Z164" s="110">
        <f t="shared" si="158"/>
        <v>296.4839663070785</v>
      </c>
      <c r="AA164" s="111">
        <f t="shared" si="158"/>
        <v>-0.87956577850590689</v>
      </c>
      <c r="AB164" s="111">
        <f t="shared" si="158"/>
        <v>-6.9504997050853334E-2</v>
      </c>
      <c r="AC164" s="112">
        <f t="shared" si="158"/>
        <v>-0.18766622929891141</v>
      </c>
      <c r="AD164" s="110">
        <f t="shared" si="158"/>
        <v>-0.62347753961671093</v>
      </c>
      <c r="AE164" s="111">
        <f t="shared" si="158"/>
        <v>0.44927536231884058</v>
      </c>
      <c r="AF164" s="111">
        <f t="shared" si="158"/>
        <v>0</v>
      </c>
      <c r="AG164" s="112">
        <f t="shared" si="158"/>
        <v>0</v>
      </c>
      <c r="AI164" s="106"/>
      <c r="AJ164" s="192"/>
      <c r="AK164" s="111"/>
      <c r="AL164" s="111"/>
      <c r="AM164" s="378"/>
      <c r="AN164" s="111"/>
      <c r="AO164" s="696"/>
      <c r="AP164" s="118"/>
      <c r="AQ164" s="118"/>
      <c r="AR164" s="118"/>
      <c r="AS164" s="118"/>
      <c r="AT164" s="118"/>
      <c r="AU164" s="119"/>
    </row>
    <row r="165" spans="9:49">
      <c r="I165" s="1" t="s">
        <v>183</v>
      </c>
      <c r="R165" s="42">
        <f t="shared" ref="R165:AG165" si="159">+R162/R5</f>
        <v>13.179081632653061</v>
      </c>
      <c r="S165" s="28">
        <f t="shared" si="159"/>
        <v>1.138867924528302</v>
      </c>
      <c r="T165" s="28">
        <f t="shared" si="159"/>
        <v>0.52071748878923763</v>
      </c>
      <c r="U165" s="29">
        <f t="shared" si="159"/>
        <v>0.21752552111987283</v>
      </c>
      <c r="V165" s="42">
        <f t="shared" si="159"/>
        <v>0.14273931645961133</v>
      </c>
      <c r="W165" s="28">
        <f t="shared" si="159"/>
        <v>6.6046407977938107E-2</v>
      </c>
      <c r="X165" s="28">
        <f t="shared" si="159"/>
        <v>0.11540201553773673</v>
      </c>
      <c r="Y165" s="29">
        <f t="shared" si="159"/>
        <v>4.0843302229572311E-2</v>
      </c>
      <c r="Z165" s="42">
        <f t="shared" ref="Z165" si="160">+Z162/Z5</f>
        <v>13.452060836095372</v>
      </c>
      <c r="AA165" s="28">
        <f t="shared" si="159"/>
        <v>1.3345167913425919</v>
      </c>
      <c r="AB165" s="28">
        <f t="shared" ref="AB165" si="161">+AB162/AB5</f>
        <v>1.0849055242693699</v>
      </c>
      <c r="AC165" s="29">
        <f t="shared" si="159"/>
        <v>0.64144378756217335</v>
      </c>
      <c r="AD165" s="28">
        <f t="shared" si="159"/>
        <v>0.27710843373493976</v>
      </c>
      <c r="AE165" s="28">
        <f t="shared" si="159"/>
        <v>0.33898305084745761</v>
      </c>
      <c r="AF165" s="28">
        <f t="shared" si="159"/>
        <v>0.2932551319648094</v>
      </c>
      <c r="AG165" s="29">
        <f t="shared" si="159"/>
        <v>0.23364485981308411</v>
      </c>
      <c r="AI165" s="22"/>
      <c r="AJ165" s="23"/>
      <c r="AK165" s="28">
        <f>AK162/AK5</f>
        <v>1.2533283330208138</v>
      </c>
      <c r="AL165" s="28">
        <f>AL162/AL5</f>
        <v>7.872290979573876E-2</v>
      </c>
      <c r="AM165" s="28">
        <f>AM162/AM5</f>
        <v>3.2297329895545062</v>
      </c>
      <c r="AN165" s="28">
        <f>AN162/AN5</f>
        <v>0.28103579588728106</v>
      </c>
      <c r="AO165" s="28">
        <f>AO162/AO5</f>
        <v>0.21072784574313905</v>
      </c>
      <c r="AP165" s="28">
        <f t="shared" ref="AP165:AU165" si="162">AP162/AP5</f>
        <v>0.15979301633124923</v>
      </c>
      <c r="AQ165" s="28">
        <f t="shared" si="162"/>
        <v>0.12695129594172805</v>
      </c>
      <c r="AR165" s="28">
        <f t="shared" si="162"/>
        <v>0.10238979088481058</v>
      </c>
      <c r="AS165" s="28">
        <f t="shared" si="162"/>
        <v>8.6584874089870534E-2</v>
      </c>
      <c r="AT165" s="28">
        <f t="shared" si="162"/>
        <v>7.617790905495074E-2</v>
      </c>
      <c r="AU165" s="29">
        <f t="shared" si="162"/>
        <v>6.885076911588954E-2</v>
      </c>
    </row>
    <row r="166" spans="9:49" s="105" customFormat="1">
      <c r="I166" s="105" t="s">
        <v>225</v>
      </c>
      <c r="R166" s="110"/>
      <c r="S166" s="111"/>
      <c r="T166" s="111"/>
      <c r="U166" s="112"/>
      <c r="V166" s="202">
        <f t="shared" ref="V166:AG166" si="163">+(V165-R165)*10000</f>
        <v>-130363.42316193449</v>
      </c>
      <c r="W166" s="203">
        <f t="shared" si="163"/>
        <v>-10728.215165503638</v>
      </c>
      <c r="X166" s="203">
        <f t="shared" si="163"/>
        <v>-4053.1547325150091</v>
      </c>
      <c r="Y166" s="203">
        <f t="shared" si="163"/>
        <v>-1766.8221889030053</v>
      </c>
      <c r="Z166" s="202">
        <f t="shared" si="163"/>
        <v>133093.2151963576</v>
      </c>
      <c r="AA166" s="203">
        <f t="shared" si="163"/>
        <v>12684.703833646538</v>
      </c>
      <c r="AB166" s="203">
        <f t="shared" si="163"/>
        <v>9695.0350873163316</v>
      </c>
      <c r="AC166" s="204">
        <f t="shared" si="163"/>
        <v>6006.0048533260106</v>
      </c>
      <c r="AD166" s="202">
        <f t="shared" si="163"/>
        <v>-131749.52402360432</v>
      </c>
      <c r="AE166" s="203">
        <f t="shared" si="163"/>
        <v>-9955.3374049513441</v>
      </c>
      <c r="AF166" s="203">
        <f t="shared" si="163"/>
        <v>-7916.5039230456059</v>
      </c>
      <c r="AG166" s="204">
        <f t="shared" si="163"/>
        <v>-4077.9892774908922</v>
      </c>
      <c r="AI166" s="106"/>
      <c r="AJ166" s="192"/>
      <c r="AK166" s="111"/>
      <c r="AL166" s="203">
        <f t="shared" ref="AL166:AU166" si="164">+(AL165-AK165)*10000</f>
        <v>-11746.054232250752</v>
      </c>
      <c r="AM166" s="203">
        <f t="shared" si="164"/>
        <v>31510.100797587675</v>
      </c>
      <c r="AN166" s="203">
        <f t="shared" si="164"/>
        <v>-29486.971936672249</v>
      </c>
      <c r="AO166" s="203">
        <f t="shared" si="164"/>
        <v>-703.07950144142012</v>
      </c>
      <c r="AP166" s="203">
        <f t="shared" si="164"/>
        <v>-509.34829411889814</v>
      </c>
      <c r="AQ166" s="203">
        <f t="shared" si="164"/>
        <v>-328.41720389521186</v>
      </c>
      <c r="AR166" s="203">
        <f t="shared" si="164"/>
        <v>-245.61505056917468</v>
      </c>
      <c r="AS166" s="203">
        <f t="shared" si="164"/>
        <v>-158.04916794940047</v>
      </c>
      <c r="AT166" s="203">
        <f t="shared" si="164"/>
        <v>-104.06965034919793</v>
      </c>
      <c r="AU166" s="204">
        <f t="shared" si="164"/>
        <v>-73.271399390612004</v>
      </c>
    </row>
    <row r="167" spans="9:49" s="105" customFormat="1">
      <c r="I167" s="105" t="s">
        <v>226</v>
      </c>
      <c r="R167" s="202"/>
      <c r="S167" s="203"/>
      <c r="T167" s="203"/>
      <c r="U167" s="203"/>
      <c r="V167" s="202">
        <f t="shared" ref="V167:AG167" si="165">+(V165-U165)*10000</f>
        <v>-747.86204660261512</v>
      </c>
      <c r="W167" s="203">
        <f t="shared" si="165"/>
        <v>-766.92908481673214</v>
      </c>
      <c r="X167" s="203">
        <f t="shared" si="165"/>
        <v>493.55607559798619</v>
      </c>
      <c r="Y167" s="203">
        <f t="shared" si="165"/>
        <v>-745.58713308164408</v>
      </c>
      <c r="Z167" s="202">
        <f t="shared" si="165"/>
        <v>134112.17533865801</v>
      </c>
      <c r="AA167" s="203">
        <f t="shared" si="165"/>
        <v>-121175.4404475278</v>
      </c>
      <c r="AB167" s="203">
        <f t="shared" si="165"/>
        <v>-2496.1126707322201</v>
      </c>
      <c r="AC167" s="204">
        <f t="shared" si="165"/>
        <v>-4434.6173670719654</v>
      </c>
      <c r="AD167" s="202">
        <f t="shared" si="165"/>
        <v>-3643.3535382723358</v>
      </c>
      <c r="AE167" s="203">
        <f t="shared" si="165"/>
        <v>618.74617112517853</v>
      </c>
      <c r="AF167" s="203">
        <f t="shared" si="165"/>
        <v>-457.27918882648208</v>
      </c>
      <c r="AG167" s="204">
        <f t="shared" si="165"/>
        <v>-596.10272151725292</v>
      </c>
      <c r="AI167" s="106"/>
      <c r="AJ167" s="192"/>
      <c r="AK167" s="111"/>
      <c r="AL167" s="111"/>
      <c r="AM167" s="111"/>
      <c r="AN167" s="111"/>
      <c r="AO167" s="118"/>
      <c r="AP167" s="118"/>
      <c r="AQ167" s="118"/>
      <c r="AR167" s="118"/>
      <c r="AS167" s="118"/>
      <c r="AT167" s="118"/>
      <c r="AU167" s="119"/>
    </row>
    <row r="168" spans="9:49">
      <c r="R168" s="42"/>
      <c r="S168" s="28"/>
      <c r="T168" s="28"/>
      <c r="U168" s="29"/>
      <c r="V168" s="42"/>
      <c r="W168" s="28"/>
      <c r="X168" s="28"/>
      <c r="Y168" s="29"/>
      <c r="Z168" s="42"/>
      <c r="AA168" s="497"/>
      <c r="AB168" s="28"/>
      <c r="AC168" s="29"/>
      <c r="AD168" s="47"/>
      <c r="AE168" s="48"/>
      <c r="AF168" s="28"/>
      <c r="AG168" s="29"/>
      <c r="AI168" s="22"/>
      <c r="AJ168" s="23"/>
      <c r="AK168" s="23"/>
      <c r="AL168" s="23"/>
      <c r="AM168" s="23"/>
      <c r="AN168" s="23"/>
      <c r="AO168" s="23"/>
      <c r="AP168" s="23"/>
      <c r="AQ168" s="23"/>
      <c r="AR168" s="23"/>
      <c r="AS168" s="23"/>
      <c r="AT168" s="23"/>
      <c r="AU168" s="24"/>
    </row>
    <row r="169" spans="9:49">
      <c r="I169" s="11" t="s">
        <v>113</v>
      </c>
      <c r="J169" s="30"/>
      <c r="K169" s="31"/>
      <c r="L169" s="31"/>
      <c r="M169" s="32"/>
      <c r="N169" s="43"/>
      <c r="O169" s="31"/>
      <c r="P169" s="31"/>
      <c r="Q169" s="31"/>
      <c r="R169" s="43"/>
      <c r="S169" s="31"/>
      <c r="T169" s="31"/>
      <c r="U169" s="32"/>
      <c r="V169" s="43"/>
      <c r="W169" s="31"/>
      <c r="X169" s="59"/>
      <c r="Y169" s="60"/>
      <c r="Z169" s="30"/>
      <c r="AA169" s="59"/>
      <c r="AB169" s="59"/>
      <c r="AC169" s="60"/>
      <c r="AD169" s="30"/>
      <c r="AE169" s="59"/>
      <c r="AF169" s="59"/>
      <c r="AG169" s="60"/>
      <c r="AH169" s="10"/>
      <c r="AI169" s="30"/>
      <c r="AJ169" s="59"/>
      <c r="AK169" s="59"/>
      <c r="AL169" s="59"/>
      <c r="AM169" s="59"/>
      <c r="AN169" s="59"/>
      <c r="AO169" s="59"/>
      <c r="AP169" s="59"/>
      <c r="AQ169" s="59"/>
      <c r="AR169" s="59"/>
      <c r="AS169" s="59"/>
      <c r="AT169" s="59"/>
      <c r="AU169" s="60"/>
    </row>
    <row r="170" spans="9:49">
      <c r="I170" s="1" t="s">
        <v>22</v>
      </c>
      <c r="R170" s="47">
        <f t="shared" ref="R170:AG170" si="166">+R9+R127+R138+R148</f>
        <v>102.76599999999999</v>
      </c>
      <c r="S170" s="48">
        <f t="shared" si="166"/>
        <v>93.120999999999995</v>
      </c>
      <c r="T170" s="48">
        <f t="shared" si="166"/>
        <v>113.627</v>
      </c>
      <c r="U170" s="49">
        <f t="shared" si="166"/>
        <v>130.87800000000001</v>
      </c>
      <c r="V170" s="47">
        <f t="shared" si="166"/>
        <v>142.619</v>
      </c>
      <c r="W170" s="48">
        <f t="shared" si="166"/>
        <v>187.65699999999998</v>
      </c>
      <c r="X170" s="48">
        <f t="shared" si="166"/>
        <v>259.17200000000003</v>
      </c>
      <c r="Y170" s="49">
        <f t="shared" si="166"/>
        <v>335.41899999999998</v>
      </c>
      <c r="Z170" s="47">
        <f t="shared" si="166"/>
        <v>2363.415</v>
      </c>
      <c r="AA170" s="48">
        <f t="shared" si="166"/>
        <v>630.68900000000008</v>
      </c>
      <c r="AB170" s="48">
        <f t="shared" ref="AB170" si="167">+AB9+AB127+AB138+AB148</f>
        <v>669.76400000000001</v>
      </c>
      <c r="AC170" s="49">
        <f t="shared" si="166"/>
        <v>646.65700000000004</v>
      </c>
      <c r="AD170" s="47">
        <f t="shared" si="166"/>
        <v>536.64463855421684</v>
      </c>
      <c r="AE170" s="48">
        <f t="shared" si="166"/>
        <v>602.60685873563227</v>
      </c>
      <c r="AF170" s="48">
        <f t="shared" si="166"/>
        <v>661.57308964175309</v>
      </c>
      <c r="AG170" s="49">
        <f t="shared" si="166"/>
        <v>686.8255318917154</v>
      </c>
      <c r="AI170" s="22"/>
      <c r="AJ170" s="23"/>
      <c r="AK170" s="26">
        <f>+SUM(R170:U170)</f>
        <v>440.39200000000005</v>
      </c>
      <c r="AL170" s="26">
        <f>+SUM(V170:Y170)</f>
        <v>924.86699999999996</v>
      </c>
      <c r="AM170" s="48">
        <f t="shared" ref="AM170:AU170" si="168">AM148+AM138+AM127+AM9</f>
        <v>4310.5249999999996</v>
      </c>
      <c r="AN170" s="48">
        <f t="shared" si="168"/>
        <v>2487.6501188233178</v>
      </c>
      <c r="AO170" s="48">
        <f t="shared" si="168"/>
        <v>2882.279210144251</v>
      </c>
      <c r="AP170" s="48">
        <f t="shared" si="168"/>
        <v>3480.7911764165674</v>
      </c>
      <c r="AQ170" s="48">
        <f t="shared" si="168"/>
        <v>4129.9534540742552</v>
      </c>
      <c r="AR170" s="48">
        <f t="shared" si="168"/>
        <v>4805.3152324667262</v>
      </c>
      <c r="AS170" s="48">
        <f t="shared" si="168"/>
        <v>5495.9752436860454</v>
      </c>
      <c r="AT170" s="48">
        <f t="shared" si="168"/>
        <v>6195.1682638640614</v>
      </c>
      <c r="AU170" s="49">
        <f t="shared" si="168"/>
        <v>6906.8868672796716</v>
      </c>
    </row>
    <row r="171" spans="9:49">
      <c r="I171" s="1" t="s">
        <v>1</v>
      </c>
      <c r="R171" s="22"/>
      <c r="S171" s="23"/>
      <c r="T171" s="23"/>
      <c r="U171" s="24"/>
      <c r="V171" s="42">
        <f t="shared" ref="V171:AG171" si="169">+V170/R170-1</f>
        <v>0.38780335908763619</v>
      </c>
      <c r="W171" s="28">
        <f t="shared" si="169"/>
        <v>1.0151952835558036</v>
      </c>
      <c r="X171" s="28">
        <f t="shared" si="169"/>
        <v>1.2809015462874145</v>
      </c>
      <c r="Y171" s="29">
        <f t="shared" si="169"/>
        <v>1.5628371460444073</v>
      </c>
      <c r="Z171" s="42">
        <f t="shared" si="169"/>
        <v>15.571529740076709</v>
      </c>
      <c r="AA171" s="28">
        <f t="shared" si="169"/>
        <v>2.3608605061361962</v>
      </c>
      <c r="AB171" s="28">
        <f t="shared" si="169"/>
        <v>1.5842452116741006</v>
      </c>
      <c r="AC171" s="29">
        <f t="shared" si="169"/>
        <v>0.92790807914876638</v>
      </c>
      <c r="AD171" s="42">
        <f t="shared" si="169"/>
        <v>-0.77293677219014989</v>
      </c>
      <c r="AE171" s="28">
        <f t="shared" si="169"/>
        <v>-4.4526131364853061E-2</v>
      </c>
      <c r="AF171" s="28">
        <f t="shared" si="169"/>
        <v>-1.2229547061721635E-2</v>
      </c>
      <c r="AG171" s="29">
        <f t="shared" si="169"/>
        <v>6.2117214986794123E-2</v>
      </c>
      <c r="AI171" s="22"/>
      <c r="AJ171" s="23"/>
      <c r="AK171" s="23"/>
      <c r="AL171" s="28">
        <f>+AL170/AK170-1</f>
        <v>1.1000994568475355</v>
      </c>
      <c r="AM171" s="28">
        <f t="shared" ref="AM171:AU171" si="170">+AM170/AL170-1</f>
        <v>3.6606971596997191</v>
      </c>
      <c r="AN171" s="28">
        <f t="shared" si="170"/>
        <v>-0.42288929566043165</v>
      </c>
      <c r="AO171" s="28">
        <f t="shared" si="170"/>
        <v>0.1586352873078456</v>
      </c>
      <c r="AP171" s="28">
        <f t="shared" si="170"/>
        <v>0.20765232048506577</v>
      </c>
      <c r="AQ171" s="28">
        <f t="shared" si="170"/>
        <v>0.18649848403890545</v>
      </c>
      <c r="AR171" s="28">
        <f t="shared" si="170"/>
        <v>0.16352769732216177</v>
      </c>
      <c r="AS171" s="28">
        <f t="shared" si="170"/>
        <v>0.14372834617652774</v>
      </c>
      <c r="AT171" s="28">
        <f t="shared" si="170"/>
        <v>0.12721909928201947</v>
      </c>
      <c r="AU171" s="29">
        <f t="shared" si="170"/>
        <v>0.11488285274945809</v>
      </c>
    </row>
    <row r="172" spans="9:49">
      <c r="I172" s="1" t="s">
        <v>23</v>
      </c>
      <c r="R172" s="22"/>
      <c r="S172" s="23"/>
      <c r="T172" s="23"/>
      <c r="U172" s="24"/>
      <c r="V172" s="47">
        <f t="shared" ref="V172:AG172" si="171">+V170-R170</f>
        <v>39.853000000000009</v>
      </c>
      <c r="W172" s="48">
        <f t="shared" si="171"/>
        <v>94.535999999999987</v>
      </c>
      <c r="X172" s="48">
        <f t="shared" si="171"/>
        <v>145.54500000000002</v>
      </c>
      <c r="Y172" s="49">
        <f t="shared" si="171"/>
        <v>204.54099999999997</v>
      </c>
      <c r="Z172" s="47">
        <f t="shared" si="171"/>
        <v>2220.7959999999998</v>
      </c>
      <c r="AA172" s="48">
        <f t="shared" si="171"/>
        <v>443.0320000000001</v>
      </c>
      <c r="AB172" s="48">
        <f t="shared" si="171"/>
        <v>410.59199999999998</v>
      </c>
      <c r="AC172" s="49">
        <f t="shared" si="171"/>
        <v>311.23800000000006</v>
      </c>
      <c r="AD172" s="47">
        <f t="shared" si="171"/>
        <v>-1826.7703614457832</v>
      </c>
      <c r="AE172" s="48">
        <f t="shared" si="171"/>
        <v>-28.082141264367806</v>
      </c>
      <c r="AF172" s="48">
        <f t="shared" si="171"/>
        <v>-8.1909103582469243</v>
      </c>
      <c r="AG172" s="49">
        <f t="shared" si="171"/>
        <v>40.168531891715361</v>
      </c>
      <c r="AI172" s="22"/>
      <c r="AJ172" s="23"/>
      <c r="AK172" s="23"/>
      <c r="AL172" s="48">
        <f>+AL170-AK170</f>
        <v>484.47499999999991</v>
      </c>
      <c r="AM172" s="48">
        <f t="shared" ref="AM172:AU172" si="172">+AM170-AL170</f>
        <v>3385.6579999999994</v>
      </c>
      <c r="AN172" s="48">
        <f t="shared" si="172"/>
        <v>-1822.8748811766818</v>
      </c>
      <c r="AO172" s="48">
        <f t="shared" si="172"/>
        <v>394.62909132093318</v>
      </c>
      <c r="AP172" s="48">
        <f t="shared" si="172"/>
        <v>598.51196627231639</v>
      </c>
      <c r="AQ172" s="48">
        <f t="shared" si="172"/>
        <v>649.16227765768781</v>
      </c>
      <c r="AR172" s="48">
        <f t="shared" si="172"/>
        <v>675.36177839247102</v>
      </c>
      <c r="AS172" s="48">
        <f t="shared" si="172"/>
        <v>690.66001121931913</v>
      </c>
      <c r="AT172" s="48">
        <f t="shared" si="172"/>
        <v>699.19302017801601</v>
      </c>
      <c r="AU172" s="49">
        <f t="shared" si="172"/>
        <v>711.71860341561023</v>
      </c>
    </row>
    <row r="173" spans="9:49">
      <c r="I173" s="1" t="s">
        <v>3</v>
      </c>
      <c r="R173" s="22"/>
      <c r="S173" s="28">
        <f t="shared" ref="S173:AG173" si="173">+S170/R170-1</f>
        <v>-9.3853998404141437E-2</v>
      </c>
      <c r="T173" s="28">
        <f t="shared" si="173"/>
        <v>0.22020811632177484</v>
      </c>
      <c r="U173" s="29">
        <f t="shared" si="173"/>
        <v>0.15182131007595046</v>
      </c>
      <c r="V173" s="42">
        <f t="shared" si="173"/>
        <v>8.9709500450801283E-2</v>
      </c>
      <c r="W173" s="28">
        <f t="shared" si="173"/>
        <v>0.31579242597409873</v>
      </c>
      <c r="X173" s="28">
        <f t="shared" si="173"/>
        <v>0.38109423043105273</v>
      </c>
      <c r="Y173" s="29">
        <f t="shared" si="173"/>
        <v>0.29419458892164263</v>
      </c>
      <c r="Z173" s="42">
        <f t="shared" si="173"/>
        <v>6.0461571944344241</v>
      </c>
      <c r="AA173" s="28">
        <f t="shared" si="173"/>
        <v>-0.73314504646877499</v>
      </c>
      <c r="AB173" s="28">
        <f t="shared" si="173"/>
        <v>6.1956051239200116E-2</v>
      </c>
      <c r="AC173" s="29">
        <f t="shared" si="173"/>
        <v>-3.4500212014978326E-2</v>
      </c>
      <c r="AD173" s="42">
        <f t="shared" si="173"/>
        <v>-0.17012475152327</v>
      </c>
      <c r="AE173" s="28">
        <f t="shared" si="173"/>
        <v>0.12291601451404666</v>
      </c>
      <c r="AF173" s="28">
        <f t="shared" si="173"/>
        <v>9.7851908008218746E-2</v>
      </c>
      <c r="AG173" s="29">
        <f t="shared" si="173"/>
        <v>3.817029840744679E-2</v>
      </c>
      <c r="AI173" s="22"/>
      <c r="AJ173" s="23"/>
      <c r="AK173" s="23"/>
      <c r="AL173" s="23"/>
      <c r="AM173" s="23"/>
      <c r="AN173" s="23"/>
      <c r="AO173" s="23"/>
      <c r="AP173" s="23"/>
      <c r="AQ173" s="23"/>
      <c r="AR173" s="23"/>
      <c r="AS173" s="23"/>
      <c r="AT173" s="23"/>
      <c r="AU173" s="24"/>
    </row>
    <row r="174" spans="9:49">
      <c r="I174" s="1" t="s">
        <v>4</v>
      </c>
      <c r="R174" s="22"/>
      <c r="S174" s="48">
        <f t="shared" ref="S174:AG174" si="174">+S170-R170</f>
        <v>-9.644999999999996</v>
      </c>
      <c r="T174" s="48">
        <f t="shared" si="174"/>
        <v>20.506</v>
      </c>
      <c r="U174" s="49">
        <f t="shared" si="174"/>
        <v>17.251000000000019</v>
      </c>
      <c r="V174" s="47">
        <f t="shared" si="174"/>
        <v>11.740999999999985</v>
      </c>
      <c r="W174" s="48">
        <f t="shared" si="174"/>
        <v>45.037999999999982</v>
      </c>
      <c r="X174" s="48">
        <f t="shared" si="174"/>
        <v>71.515000000000043</v>
      </c>
      <c r="Y174" s="49">
        <f t="shared" si="174"/>
        <v>76.246999999999957</v>
      </c>
      <c r="Z174" s="47">
        <f t="shared" si="174"/>
        <v>2027.9960000000001</v>
      </c>
      <c r="AA174" s="48">
        <f t="shared" si="174"/>
        <v>-1732.7259999999999</v>
      </c>
      <c r="AB174" s="48">
        <f t="shared" si="174"/>
        <v>39.074999999999932</v>
      </c>
      <c r="AC174" s="49">
        <f t="shared" si="174"/>
        <v>-23.106999999999971</v>
      </c>
      <c r="AD174" s="47">
        <f t="shared" si="174"/>
        <v>-110.0123614457832</v>
      </c>
      <c r="AE174" s="48">
        <f t="shared" si="174"/>
        <v>65.962220181415432</v>
      </c>
      <c r="AF174" s="48">
        <f t="shared" si="174"/>
        <v>58.966230906120813</v>
      </c>
      <c r="AG174" s="49">
        <f t="shared" si="174"/>
        <v>25.252442249962314</v>
      </c>
      <c r="AI174" s="22"/>
      <c r="AJ174" s="23"/>
      <c r="AK174" s="23"/>
      <c r="AL174" s="23"/>
      <c r="AM174" s="23"/>
      <c r="AN174" s="23"/>
      <c r="AO174" s="23"/>
      <c r="AP174" s="23"/>
      <c r="AQ174" s="23"/>
      <c r="AR174" s="23"/>
      <c r="AS174" s="23"/>
      <c r="AT174" s="23"/>
      <c r="AU174" s="24"/>
    </row>
    <row r="175" spans="9:49">
      <c r="R175" s="22"/>
      <c r="S175" s="48"/>
      <c r="T175" s="48"/>
      <c r="U175" s="49"/>
      <c r="V175" s="47"/>
      <c r="W175" s="48"/>
      <c r="X175" s="48"/>
      <c r="Y175" s="49"/>
      <c r="Z175" s="47"/>
      <c r="AA175" s="48"/>
      <c r="AB175" s="48"/>
      <c r="AC175" s="49"/>
      <c r="AD175" s="47"/>
      <c r="AE175" s="48"/>
      <c r="AF175" s="48"/>
      <c r="AG175" s="49"/>
      <c r="AI175" s="22"/>
      <c r="AJ175" s="23"/>
      <c r="AK175" s="48"/>
      <c r="AL175" s="48"/>
      <c r="AM175" s="23"/>
      <c r="AN175" s="23"/>
      <c r="AO175" s="23"/>
      <c r="AP175" s="23"/>
      <c r="AQ175" s="23"/>
      <c r="AR175" s="23"/>
      <c r="AS175" s="23"/>
      <c r="AT175" s="23"/>
      <c r="AU175" s="24"/>
    </row>
    <row r="176" spans="9:49" s="7" customFormat="1">
      <c r="I176" s="7" t="s">
        <v>316</v>
      </c>
      <c r="R176" s="53">
        <f t="shared" ref="R176:Y176" si="175">+R127+R138+R148</f>
        <v>82.016999999999996</v>
      </c>
      <c r="S176" s="54">
        <f t="shared" si="175"/>
        <v>52.522999999999996</v>
      </c>
      <c r="T176" s="54">
        <f t="shared" si="175"/>
        <v>57.4</v>
      </c>
      <c r="U176" s="55">
        <f t="shared" si="175"/>
        <v>66.111000000000004</v>
      </c>
      <c r="V176" s="53">
        <f t="shared" si="175"/>
        <v>66.846000000000004</v>
      </c>
      <c r="W176" s="54">
        <f t="shared" si="175"/>
        <v>92.9</v>
      </c>
      <c r="X176" s="54">
        <f t="shared" si="175"/>
        <v>131.392</v>
      </c>
      <c r="Y176" s="55">
        <f t="shared" si="175"/>
        <v>182.06900000000002</v>
      </c>
      <c r="Z176" s="53">
        <f>+Z127+Z138+Z148</f>
        <v>2200.0569999999998</v>
      </c>
      <c r="AA176" s="54">
        <f t="shared" ref="AA176:AG176" si="176">+AA127+AA138+AA148</f>
        <v>478.54100000000005</v>
      </c>
      <c r="AB176" s="54">
        <f t="shared" ref="AB176" si="177">+AB127+AB138+AB148</f>
        <v>459.05399999999997</v>
      </c>
      <c r="AC176" s="55">
        <f t="shared" si="176"/>
        <v>455.411</v>
      </c>
      <c r="AD176" s="53">
        <f t="shared" si="176"/>
        <v>365.411</v>
      </c>
      <c r="AE176" s="54">
        <f t="shared" si="176"/>
        <v>403.54100000000005</v>
      </c>
      <c r="AF176" s="54">
        <f t="shared" si="176"/>
        <v>425.15104457152836</v>
      </c>
      <c r="AG176" s="55">
        <f t="shared" si="176"/>
        <v>431.50804457152833</v>
      </c>
      <c r="AI176" s="33"/>
      <c r="AJ176" s="34"/>
      <c r="AK176" s="54">
        <f t="shared" ref="AK176:AU176" si="178">+AK127+AK138+AK148</f>
        <v>258.05100000000004</v>
      </c>
      <c r="AL176" s="54">
        <f t="shared" si="178"/>
        <v>473.20699999999999</v>
      </c>
      <c r="AM176" s="54">
        <f>+AM127+AM138+AM148</f>
        <v>3593.0630000000001</v>
      </c>
      <c r="AN176" s="54">
        <f t="shared" si="178"/>
        <v>1625.6110891430567</v>
      </c>
      <c r="AO176" s="54">
        <f t="shared" si="178"/>
        <v>1825.6110891430567</v>
      </c>
      <c r="AP176" s="54">
        <f t="shared" si="178"/>
        <v>2185.6110891430567</v>
      </c>
      <c r="AQ176" s="54">
        <f t="shared" si="178"/>
        <v>2580.6110891430567</v>
      </c>
      <c r="AR176" s="54">
        <f t="shared" si="178"/>
        <v>2975.6110891430567</v>
      </c>
      <c r="AS176" s="54">
        <f t="shared" si="178"/>
        <v>3370.6110891430567</v>
      </c>
      <c r="AT176" s="54">
        <f t="shared" si="178"/>
        <v>3765.6110891430567</v>
      </c>
      <c r="AU176" s="55">
        <f t="shared" si="178"/>
        <v>4160.6110891430562</v>
      </c>
    </row>
    <row r="177" spans="9:47">
      <c r="I177" s="1" t="s">
        <v>1</v>
      </c>
      <c r="R177" s="22"/>
      <c r="S177" s="23"/>
      <c r="T177" s="23"/>
      <c r="U177" s="24"/>
      <c r="V177" s="42">
        <f t="shared" ref="V177:AG177" si="179">+V176/R176-1</f>
        <v>-0.18497384688540175</v>
      </c>
      <c r="W177" s="28">
        <f t="shared" si="179"/>
        <v>0.7687489290406111</v>
      </c>
      <c r="X177" s="28">
        <f t="shared" si="179"/>
        <v>1.2890592334494775</v>
      </c>
      <c r="Y177" s="29">
        <f t="shared" si="179"/>
        <v>1.7539895025033658</v>
      </c>
      <c r="Z177" s="42">
        <f t="shared" si="179"/>
        <v>31.912320856894951</v>
      </c>
      <c r="AA177" s="28">
        <f t="shared" si="179"/>
        <v>4.1511410118406893</v>
      </c>
      <c r="AB177" s="28">
        <f t="shared" si="179"/>
        <v>2.49377435460302</v>
      </c>
      <c r="AC177" s="29">
        <f t="shared" si="179"/>
        <v>1.5013099429337227</v>
      </c>
      <c r="AD177" s="42">
        <f t="shared" si="179"/>
        <v>-0.83390839419160501</v>
      </c>
      <c r="AE177" s="28">
        <f t="shared" si="179"/>
        <v>-0.15672638290136054</v>
      </c>
      <c r="AF177" s="28">
        <f t="shared" si="179"/>
        <v>-7.3853959291219851E-2</v>
      </c>
      <c r="AG177" s="29">
        <f t="shared" si="179"/>
        <v>-5.2486557040720694E-2</v>
      </c>
      <c r="AI177" s="22"/>
      <c r="AJ177" s="23"/>
      <c r="AK177" s="23"/>
      <c r="AL177" s="28">
        <f t="shared" ref="AL177:AU177" si="180">+AL176/AK176-1</f>
        <v>0.83377316886971919</v>
      </c>
      <c r="AM177" s="28">
        <f t="shared" si="180"/>
        <v>6.5930047526769471</v>
      </c>
      <c r="AN177" s="28">
        <f t="shared" si="180"/>
        <v>-0.54756955579597222</v>
      </c>
      <c r="AO177" s="28">
        <f t="shared" si="180"/>
        <v>0.12303065680084058</v>
      </c>
      <c r="AP177" s="28">
        <f t="shared" si="180"/>
        <v>0.1971942447879107</v>
      </c>
      <c r="AQ177" s="28">
        <f t="shared" si="180"/>
        <v>0.18072748713718934</v>
      </c>
      <c r="AR177" s="28">
        <f t="shared" si="180"/>
        <v>0.15306452090429779</v>
      </c>
      <c r="AS177" s="28">
        <f t="shared" si="180"/>
        <v>0.1327458421704415</v>
      </c>
      <c r="AT177" s="28">
        <f t="shared" si="180"/>
        <v>0.11718943228790746</v>
      </c>
      <c r="AU177" s="29">
        <f t="shared" si="180"/>
        <v>0.10489665306618012</v>
      </c>
    </row>
    <row r="178" spans="9:47">
      <c r="I178" s="1" t="s">
        <v>23</v>
      </c>
      <c r="R178" s="22"/>
      <c r="S178" s="23"/>
      <c r="T178" s="23"/>
      <c r="U178" s="24"/>
      <c r="V178" s="47">
        <f t="shared" ref="V178:AG178" si="181">+V176-R176</f>
        <v>-15.170999999999992</v>
      </c>
      <c r="W178" s="48">
        <f t="shared" si="181"/>
        <v>40.37700000000001</v>
      </c>
      <c r="X178" s="48">
        <f t="shared" si="181"/>
        <v>73.99199999999999</v>
      </c>
      <c r="Y178" s="49">
        <f t="shared" si="181"/>
        <v>115.95800000000001</v>
      </c>
      <c r="Z178" s="47">
        <f t="shared" si="181"/>
        <v>2133.2109999999998</v>
      </c>
      <c r="AA178" s="48">
        <f t="shared" si="181"/>
        <v>385.64100000000008</v>
      </c>
      <c r="AB178" s="48">
        <f t="shared" si="181"/>
        <v>327.66199999999998</v>
      </c>
      <c r="AC178" s="49">
        <f t="shared" si="181"/>
        <v>273.34199999999998</v>
      </c>
      <c r="AD178" s="47">
        <f t="shared" si="181"/>
        <v>-1834.6459999999997</v>
      </c>
      <c r="AE178" s="48">
        <f t="shared" si="181"/>
        <v>-75</v>
      </c>
      <c r="AF178" s="48">
        <f t="shared" si="181"/>
        <v>-33.902955428471614</v>
      </c>
      <c r="AG178" s="49">
        <f t="shared" si="181"/>
        <v>-23.902955428471671</v>
      </c>
      <c r="AI178" s="22"/>
      <c r="AJ178" s="23"/>
      <c r="AK178" s="23"/>
      <c r="AL178" s="48">
        <f t="shared" ref="AL178:AU178" si="182">+AL176-AK176</f>
        <v>215.15599999999995</v>
      </c>
      <c r="AM178" s="48">
        <f t="shared" si="182"/>
        <v>3119.8560000000002</v>
      </c>
      <c r="AN178" s="48">
        <f t="shared" si="182"/>
        <v>-1967.4519108569434</v>
      </c>
      <c r="AO178" s="48">
        <f t="shared" si="182"/>
        <v>200</v>
      </c>
      <c r="AP178" s="48">
        <f t="shared" si="182"/>
        <v>360</v>
      </c>
      <c r="AQ178" s="48">
        <f t="shared" si="182"/>
        <v>395</v>
      </c>
      <c r="AR178" s="48">
        <f t="shared" si="182"/>
        <v>395</v>
      </c>
      <c r="AS178" s="48">
        <f t="shared" si="182"/>
        <v>395</v>
      </c>
      <c r="AT178" s="48">
        <f t="shared" si="182"/>
        <v>395</v>
      </c>
      <c r="AU178" s="49">
        <f t="shared" si="182"/>
        <v>394.99999999999955</v>
      </c>
    </row>
    <row r="179" spans="9:47">
      <c r="I179" s="1" t="s">
        <v>3</v>
      </c>
      <c r="R179" s="22"/>
      <c r="S179" s="28">
        <f t="shared" ref="S179:AG179" si="183">+S176/R176-1</f>
        <v>-0.35960837387370914</v>
      </c>
      <c r="T179" s="28">
        <f t="shared" si="183"/>
        <v>9.28545589551244E-2</v>
      </c>
      <c r="U179" s="29">
        <f t="shared" si="183"/>
        <v>0.15175958188153316</v>
      </c>
      <c r="V179" s="42">
        <f t="shared" si="183"/>
        <v>1.1117665743975991E-2</v>
      </c>
      <c r="W179" s="28">
        <f t="shared" si="183"/>
        <v>0.38976154145349007</v>
      </c>
      <c r="X179" s="28">
        <f t="shared" si="183"/>
        <v>0.41433799784714731</v>
      </c>
      <c r="Y179" s="29">
        <f t="shared" si="183"/>
        <v>0.38569319288845616</v>
      </c>
      <c r="Z179" s="42">
        <f t="shared" si="183"/>
        <v>11.083644112946189</v>
      </c>
      <c r="AA179" s="28">
        <f t="shared" si="183"/>
        <v>-0.78248699920047526</v>
      </c>
      <c r="AB179" s="28">
        <f t="shared" si="183"/>
        <v>-4.0721693647984392E-2</v>
      </c>
      <c r="AC179" s="29">
        <f t="shared" si="183"/>
        <v>-7.9358855385204263E-3</v>
      </c>
      <c r="AD179" s="42">
        <f t="shared" si="183"/>
        <v>-0.19762368497906291</v>
      </c>
      <c r="AE179" s="28">
        <f t="shared" si="183"/>
        <v>0.10434825443131168</v>
      </c>
      <c r="AF179" s="28">
        <f t="shared" si="183"/>
        <v>5.3551050752038254E-2</v>
      </c>
      <c r="AG179" s="29">
        <f t="shared" si="183"/>
        <v>1.4952333014744523E-2</v>
      </c>
      <c r="AI179" s="22"/>
      <c r="AJ179" s="23"/>
      <c r="AK179" s="23"/>
      <c r="AL179" s="23"/>
      <c r="AM179" s="23"/>
      <c r="AN179" s="23"/>
      <c r="AO179" s="23"/>
      <c r="AP179" s="23"/>
      <c r="AQ179" s="23"/>
      <c r="AR179" s="23"/>
      <c r="AS179" s="23"/>
      <c r="AT179" s="23"/>
      <c r="AU179" s="24"/>
    </row>
    <row r="180" spans="9:47">
      <c r="I180" s="1" t="s">
        <v>4</v>
      </c>
      <c r="R180" s="22"/>
      <c r="S180" s="48">
        <f t="shared" ref="S180:AG180" si="184">+S176-R176</f>
        <v>-29.494</v>
      </c>
      <c r="T180" s="48">
        <f t="shared" si="184"/>
        <v>4.8770000000000024</v>
      </c>
      <c r="U180" s="49">
        <f t="shared" si="184"/>
        <v>8.7110000000000056</v>
      </c>
      <c r="V180" s="47">
        <f t="shared" si="184"/>
        <v>0.73499999999999943</v>
      </c>
      <c r="W180" s="48">
        <f t="shared" si="184"/>
        <v>26.054000000000002</v>
      </c>
      <c r="X180" s="48">
        <f t="shared" si="184"/>
        <v>38.49199999999999</v>
      </c>
      <c r="Y180" s="49">
        <f t="shared" si="184"/>
        <v>50.677000000000021</v>
      </c>
      <c r="Z180" s="47">
        <f t="shared" si="184"/>
        <v>2017.9879999999998</v>
      </c>
      <c r="AA180" s="48">
        <f t="shared" si="184"/>
        <v>-1721.5159999999996</v>
      </c>
      <c r="AB180" s="48">
        <f t="shared" si="184"/>
        <v>-19.48700000000008</v>
      </c>
      <c r="AC180" s="49">
        <f t="shared" si="184"/>
        <v>-3.6429999999999723</v>
      </c>
      <c r="AD180" s="47">
        <f t="shared" si="184"/>
        <v>-90</v>
      </c>
      <c r="AE180" s="48">
        <f t="shared" si="184"/>
        <v>38.130000000000052</v>
      </c>
      <c r="AF180" s="48">
        <f t="shared" si="184"/>
        <v>21.610044571528306</v>
      </c>
      <c r="AG180" s="49">
        <f t="shared" si="184"/>
        <v>6.3569999999999709</v>
      </c>
      <c r="AI180" s="22"/>
      <c r="AJ180" s="23"/>
      <c r="AK180" s="23"/>
      <c r="AL180" s="23"/>
      <c r="AM180" s="23"/>
      <c r="AN180" s="23"/>
      <c r="AO180" s="23"/>
      <c r="AP180" s="23"/>
      <c r="AQ180" s="23"/>
      <c r="AR180" s="23"/>
      <c r="AS180" s="23"/>
      <c r="AT180" s="23"/>
      <c r="AU180" s="24"/>
    </row>
    <row r="181" spans="9:47">
      <c r="R181" s="23"/>
      <c r="S181" s="48"/>
      <c r="T181" s="48"/>
      <c r="U181" s="48"/>
      <c r="V181" s="47"/>
      <c r="W181" s="48"/>
      <c r="X181" s="48"/>
      <c r="Y181" s="49"/>
      <c r="Z181" s="47"/>
      <c r="AA181" s="48"/>
      <c r="AB181" s="48"/>
      <c r="AC181" s="49"/>
      <c r="AD181" s="47"/>
      <c r="AE181" s="48"/>
      <c r="AF181" s="48"/>
      <c r="AG181" s="49"/>
      <c r="AI181" s="22"/>
      <c r="AJ181" s="23"/>
      <c r="AK181" s="23"/>
      <c r="AL181" s="23"/>
      <c r="AM181" s="23"/>
      <c r="AN181" s="23"/>
      <c r="AO181" s="23"/>
      <c r="AP181" s="23"/>
      <c r="AQ181" s="23"/>
      <c r="AR181" s="23"/>
      <c r="AS181" s="23"/>
      <c r="AT181" s="23"/>
      <c r="AU181" s="24"/>
    </row>
    <row r="182" spans="9:47" s="7" customFormat="1">
      <c r="I182" s="7" t="s">
        <v>378</v>
      </c>
      <c r="R182" s="9">
        <f t="shared" ref="R182:AG182" si="185">R224+R234+R244</f>
        <v>30.481999999999996</v>
      </c>
      <c r="S182" s="9">
        <f t="shared" si="185"/>
        <v>46.614999999999995</v>
      </c>
      <c r="T182" s="9">
        <f t="shared" si="185"/>
        <v>48.819000000000003</v>
      </c>
      <c r="U182" s="9">
        <f t="shared" si="185"/>
        <v>59.099000000000004</v>
      </c>
      <c r="V182" s="53">
        <f t="shared" si="185"/>
        <v>61.462000000000003</v>
      </c>
      <c r="W182" s="54">
        <f t="shared" si="185"/>
        <v>88.286000000000001</v>
      </c>
      <c r="X182" s="54">
        <f t="shared" si="185"/>
        <v>116.72499999999999</v>
      </c>
      <c r="Y182" s="55">
        <f t="shared" si="185"/>
        <v>175.42399999999998</v>
      </c>
      <c r="Z182" s="53">
        <f t="shared" si="185"/>
        <v>207.00899999999996</v>
      </c>
      <c r="AA182" s="54">
        <f t="shared" si="185"/>
        <v>238.321</v>
      </c>
      <c r="AB182" s="54">
        <f t="shared" ref="AB182" si="186">AB224+AB234+AB244</f>
        <v>235.501</v>
      </c>
      <c r="AC182" s="55">
        <f>AC224+AC234+AC244</f>
        <v>274.38499999999999</v>
      </c>
      <c r="AD182" s="53">
        <f t="shared" si="185"/>
        <v>297.25064508665469</v>
      </c>
      <c r="AE182" s="54">
        <f t="shared" si="185"/>
        <v>304.75787693718075</v>
      </c>
      <c r="AF182" s="54">
        <f t="shared" si="185"/>
        <v>326.36792150870912</v>
      </c>
      <c r="AG182" s="55">
        <f t="shared" si="185"/>
        <v>332.72492150870909</v>
      </c>
      <c r="AI182" s="33"/>
      <c r="AK182" s="9">
        <f t="shared" ref="AK182:AU182" si="187">AK224+AK234+AK244</f>
        <v>185.01499999999999</v>
      </c>
      <c r="AL182" s="9">
        <f t="shared" si="187"/>
        <v>441.89699999999999</v>
      </c>
      <c r="AM182" s="9">
        <f t="shared" si="187"/>
        <v>955.21599999999989</v>
      </c>
      <c r="AN182" s="9">
        <f>AN224+AN234+AN244</f>
        <v>1261.1013650412535</v>
      </c>
      <c r="AO182" s="9">
        <f t="shared" si="187"/>
        <v>1415.6611284323567</v>
      </c>
      <c r="AP182" s="9">
        <f t="shared" si="187"/>
        <v>1742.8651315755005</v>
      </c>
      <c r="AQ182" s="9">
        <f t="shared" si="187"/>
        <v>2102.4454549700963</v>
      </c>
      <c r="AR182" s="9">
        <f t="shared" si="187"/>
        <v>2473.5371732614485</v>
      </c>
      <c r="AS182" s="9">
        <f t="shared" si="187"/>
        <v>2843.433477467368</v>
      </c>
      <c r="AT182" s="9">
        <f t="shared" si="187"/>
        <v>3212.0745968835836</v>
      </c>
      <c r="AU182" s="55">
        <f t="shared" si="187"/>
        <v>3579.3977722706099</v>
      </c>
    </row>
    <row r="183" spans="9:47">
      <c r="I183" s="1" t="s">
        <v>1</v>
      </c>
      <c r="R183" s="22"/>
      <c r="S183" s="23"/>
      <c r="T183" s="23"/>
      <c r="U183" s="23"/>
      <c r="V183" s="42">
        <f t="shared" ref="V183:AG183" si="188">+V182/R182-1</f>
        <v>1.0163375106620305</v>
      </c>
      <c r="W183" s="28">
        <f t="shared" si="188"/>
        <v>0.89393971897457924</v>
      </c>
      <c r="X183" s="28">
        <f t="shared" si="188"/>
        <v>1.3909748253753658</v>
      </c>
      <c r="Y183" s="29">
        <f t="shared" si="188"/>
        <v>1.9683074163691425</v>
      </c>
      <c r="Z183" s="42">
        <f t="shared" si="188"/>
        <v>2.3680810907552625</v>
      </c>
      <c r="AA183" s="28">
        <f t="shared" si="188"/>
        <v>1.6994200666017263</v>
      </c>
      <c r="AB183" s="28">
        <f t="shared" si="188"/>
        <v>1.0175712143928037</v>
      </c>
      <c r="AC183" s="29">
        <f t="shared" si="188"/>
        <v>0.56412463516964628</v>
      </c>
      <c r="AD183" s="42">
        <f t="shared" si="188"/>
        <v>0.43593102274130469</v>
      </c>
      <c r="AE183" s="28">
        <f t="shared" si="188"/>
        <v>0.27877055289790142</v>
      </c>
      <c r="AF183" s="28">
        <f t="shared" si="188"/>
        <v>0.38584516205327835</v>
      </c>
      <c r="AG183" s="29">
        <f t="shared" si="188"/>
        <v>0.21262066624891696</v>
      </c>
      <c r="AI183" s="22"/>
      <c r="AJ183" s="23"/>
      <c r="AK183" s="23"/>
      <c r="AL183" s="28">
        <f t="shared" ref="AL183:AU183" si="189">+AL182/AK182-1</f>
        <v>1.3884387752344405</v>
      </c>
      <c r="AM183" s="28">
        <f t="shared" si="189"/>
        <v>1.1616258992480146</v>
      </c>
      <c r="AN183" s="28">
        <f t="shared" si="189"/>
        <v>0.32022638339522547</v>
      </c>
      <c r="AO183" s="28">
        <f t="shared" si="189"/>
        <v>0.12255934984738293</v>
      </c>
      <c r="AP183" s="28">
        <f t="shared" si="189"/>
        <v>0.23113158691125157</v>
      </c>
      <c r="AQ183" s="28">
        <f t="shared" si="189"/>
        <v>0.20631563330981639</v>
      </c>
      <c r="AR183" s="28">
        <f t="shared" si="189"/>
        <v>0.17650480178408734</v>
      </c>
      <c r="AS183" s="28">
        <f t="shared" si="189"/>
        <v>0.14954143734100334</v>
      </c>
      <c r="AT183" s="28">
        <f t="shared" si="189"/>
        <v>0.12964647224473214</v>
      </c>
      <c r="AU183" s="29">
        <f t="shared" si="189"/>
        <v>0.11435698776840697</v>
      </c>
    </row>
    <row r="184" spans="9:47">
      <c r="I184" s="1" t="s">
        <v>23</v>
      </c>
      <c r="R184" s="22"/>
      <c r="S184" s="23"/>
      <c r="T184" s="23"/>
      <c r="U184" s="23"/>
      <c r="V184" s="47">
        <f t="shared" ref="V184:AG184" si="190">+V182-R182</f>
        <v>30.980000000000008</v>
      </c>
      <c r="W184" s="48">
        <f t="shared" si="190"/>
        <v>41.671000000000006</v>
      </c>
      <c r="X184" s="48">
        <f t="shared" si="190"/>
        <v>67.905999999999992</v>
      </c>
      <c r="Y184" s="49">
        <f t="shared" si="190"/>
        <v>116.32499999999997</v>
      </c>
      <c r="Z184" s="47">
        <f t="shared" si="190"/>
        <v>145.54699999999997</v>
      </c>
      <c r="AA184" s="48">
        <f t="shared" si="190"/>
        <v>150.035</v>
      </c>
      <c r="AB184" s="48">
        <f t="shared" si="190"/>
        <v>118.77600000000001</v>
      </c>
      <c r="AC184" s="49">
        <f t="shared" si="190"/>
        <v>98.961000000000013</v>
      </c>
      <c r="AD184" s="47">
        <f t="shared" si="190"/>
        <v>90.241645086654728</v>
      </c>
      <c r="AE184" s="48">
        <f t="shared" si="190"/>
        <v>66.436876937180756</v>
      </c>
      <c r="AF184" s="48">
        <f t="shared" si="190"/>
        <v>90.866921508709112</v>
      </c>
      <c r="AG184" s="49">
        <f t="shared" si="190"/>
        <v>58.339921508709097</v>
      </c>
      <c r="AI184" s="22"/>
      <c r="AJ184" s="23"/>
      <c r="AK184" s="23"/>
      <c r="AL184" s="48">
        <f t="shared" ref="AL184:AU184" si="191">+AL182-AK182</f>
        <v>256.88200000000001</v>
      </c>
      <c r="AM184" s="48">
        <f t="shared" si="191"/>
        <v>513.31899999999996</v>
      </c>
      <c r="AN184" s="48">
        <f t="shared" si="191"/>
        <v>305.88536504125364</v>
      </c>
      <c r="AO184" s="48">
        <f t="shared" si="191"/>
        <v>154.55976339110316</v>
      </c>
      <c r="AP184" s="48">
        <f t="shared" si="191"/>
        <v>327.20400314314384</v>
      </c>
      <c r="AQ184" s="48">
        <f t="shared" si="191"/>
        <v>359.58032339459578</v>
      </c>
      <c r="AR184" s="48">
        <f t="shared" si="191"/>
        <v>371.09171829135221</v>
      </c>
      <c r="AS184" s="48">
        <f t="shared" si="191"/>
        <v>369.89630420591948</v>
      </c>
      <c r="AT184" s="48">
        <f t="shared" si="191"/>
        <v>368.64111941621559</v>
      </c>
      <c r="AU184" s="49">
        <f t="shared" si="191"/>
        <v>367.32317538702637</v>
      </c>
    </row>
    <row r="185" spans="9:47">
      <c r="I185" s="1" t="s">
        <v>3</v>
      </c>
      <c r="R185" s="22"/>
      <c r="S185" s="28">
        <f t="shared" ref="S185:AG185" si="192">+S182/R182-1</f>
        <v>0.52926317170789328</v>
      </c>
      <c r="T185" s="28">
        <f t="shared" si="192"/>
        <v>4.728091815939095E-2</v>
      </c>
      <c r="U185" s="28">
        <f t="shared" si="192"/>
        <v>0.21057375202277795</v>
      </c>
      <c r="V185" s="42">
        <f t="shared" si="192"/>
        <v>3.9983756070322674E-2</v>
      </c>
      <c r="W185" s="28">
        <f t="shared" si="192"/>
        <v>0.43643226709186167</v>
      </c>
      <c r="X185" s="28">
        <f t="shared" si="192"/>
        <v>0.32212355299821027</v>
      </c>
      <c r="Y185" s="29">
        <f t="shared" si="192"/>
        <v>0.50288284429213959</v>
      </c>
      <c r="Z185" s="42">
        <f t="shared" si="192"/>
        <v>0.1800494801167456</v>
      </c>
      <c r="AA185" s="28">
        <f t="shared" si="192"/>
        <v>0.15125912399943986</v>
      </c>
      <c r="AB185" s="28">
        <f t="shared" si="192"/>
        <v>-1.1832780157854272E-2</v>
      </c>
      <c r="AC185" s="29">
        <f t="shared" si="192"/>
        <v>0.16511182542749281</v>
      </c>
      <c r="AD185" s="42">
        <f t="shared" si="192"/>
        <v>8.3334165813199412E-2</v>
      </c>
      <c r="AE185" s="28">
        <f t="shared" si="192"/>
        <v>2.5255561172415897E-2</v>
      </c>
      <c r="AF185" s="28">
        <f t="shared" si="192"/>
        <v>7.0908895903559532E-2</v>
      </c>
      <c r="AG185" s="29">
        <f t="shared" si="192"/>
        <v>1.947801723470044E-2</v>
      </c>
      <c r="AI185" s="22"/>
      <c r="AJ185" s="23"/>
      <c r="AK185" s="23"/>
      <c r="AL185" s="23"/>
      <c r="AM185" s="23"/>
      <c r="AN185" s="23"/>
      <c r="AO185" s="23"/>
      <c r="AP185" s="23"/>
      <c r="AQ185" s="23"/>
      <c r="AR185" s="23"/>
      <c r="AS185" s="23"/>
      <c r="AT185" s="23"/>
      <c r="AU185" s="24"/>
    </row>
    <row r="186" spans="9:47">
      <c r="I186" s="1" t="s">
        <v>4</v>
      </c>
      <c r="R186" s="22"/>
      <c r="S186" s="48">
        <f t="shared" ref="S186:AG186" si="193">+S182-R182</f>
        <v>16.132999999999999</v>
      </c>
      <c r="T186" s="48">
        <f t="shared" si="193"/>
        <v>2.2040000000000077</v>
      </c>
      <c r="U186" s="48">
        <f t="shared" si="193"/>
        <v>10.280000000000001</v>
      </c>
      <c r="V186" s="47">
        <f t="shared" si="193"/>
        <v>2.3629999999999995</v>
      </c>
      <c r="W186" s="48">
        <f t="shared" si="193"/>
        <v>26.823999999999998</v>
      </c>
      <c r="X186" s="48">
        <f t="shared" si="193"/>
        <v>28.438999999999993</v>
      </c>
      <c r="Y186" s="49">
        <f t="shared" si="193"/>
        <v>58.698999999999984</v>
      </c>
      <c r="Z186" s="47">
        <f t="shared" si="193"/>
        <v>31.58499999999998</v>
      </c>
      <c r="AA186" s="48">
        <f t="shared" si="193"/>
        <v>31.31200000000004</v>
      </c>
      <c r="AB186" s="48">
        <f t="shared" si="193"/>
        <v>-2.8199999999999932</v>
      </c>
      <c r="AC186" s="49">
        <f t="shared" si="193"/>
        <v>38.883999999999986</v>
      </c>
      <c r="AD186" s="47">
        <f t="shared" si="193"/>
        <v>22.865645086654695</v>
      </c>
      <c r="AE186" s="48">
        <f t="shared" si="193"/>
        <v>7.5072318505260682</v>
      </c>
      <c r="AF186" s="48">
        <f t="shared" si="193"/>
        <v>21.610044571528363</v>
      </c>
      <c r="AG186" s="49">
        <f t="shared" si="193"/>
        <v>6.3569999999999709</v>
      </c>
      <c r="AI186" s="22"/>
      <c r="AJ186" s="23"/>
      <c r="AK186" s="23"/>
      <c r="AL186" s="23"/>
      <c r="AM186" s="23"/>
      <c r="AN186" s="23"/>
      <c r="AO186" s="23"/>
      <c r="AP186" s="23"/>
      <c r="AQ186" s="23"/>
      <c r="AR186" s="23"/>
      <c r="AS186" s="23"/>
      <c r="AT186" s="23"/>
      <c r="AU186" s="24"/>
    </row>
    <row r="187" spans="9:47">
      <c r="R187" s="22"/>
      <c r="S187" s="48"/>
      <c r="T187" s="48"/>
      <c r="U187" s="48"/>
      <c r="V187" s="47"/>
      <c r="W187" s="48"/>
      <c r="X187" s="48"/>
      <c r="Y187" s="48"/>
      <c r="Z187" s="47"/>
      <c r="AA187" s="48"/>
      <c r="AB187" s="48"/>
      <c r="AC187" s="49"/>
      <c r="AD187" s="47"/>
      <c r="AE187" s="48"/>
      <c r="AF187" s="48"/>
      <c r="AG187" s="49"/>
      <c r="AI187" s="22"/>
      <c r="AJ187" s="23"/>
      <c r="AK187" s="23"/>
      <c r="AL187" s="23"/>
      <c r="AM187" s="23"/>
      <c r="AN187" s="23"/>
      <c r="AO187" s="23"/>
      <c r="AP187" s="23"/>
      <c r="AQ187" s="23"/>
      <c r="AR187" s="23"/>
      <c r="AS187" s="23"/>
      <c r="AT187" s="23"/>
      <c r="AU187" s="24"/>
    </row>
    <row r="188" spans="9:47">
      <c r="I188" s="11" t="s">
        <v>333</v>
      </c>
      <c r="J188" s="30"/>
      <c r="K188" s="31"/>
      <c r="L188" s="31"/>
      <c r="M188" s="32"/>
      <c r="N188" s="43"/>
      <c r="O188" s="31"/>
      <c r="P188" s="31"/>
      <c r="Q188" s="31"/>
      <c r="R188" s="43"/>
      <c r="S188" s="31"/>
      <c r="T188" s="31"/>
      <c r="U188" s="31"/>
      <c r="V188" s="43"/>
      <c r="W188" s="31"/>
      <c r="X188" s="59"/>
      <c r="Y188" s="59"/>
      <c r="Z188" s="30"/>
      <c r="AA188" s="59"/>
      <c r="AB188" s="59"/>
      <c r="AC188" s="60"/>
      <c r="AD188" s="30"/>
      <c r="AE188" s="59"/>
      <c r="AF188" s="59"/>
      <c r="AG188" s="60"/>
      <c r="AH188" s="10"/>
      <c r="AI188" s="30"/>
      <c r="AJ188" s="59"/>
      <c r="AK188" s="59"/>
      <c r="AL188" s="59"/>
      <c r="AM188" s="59"/>
      <c r="AN188" s="59"/>
      <c r="AO188" s="59"/>
      <c r="AP188" s="59"/>
      <c r="AQ188" s="59"/>
      <c r="AR188" s="59"/>
      <c r="AS188" s="59"/>
      <c r="AT188" s="59"/>
      <c r="AU188" s="60"/>
    </row>
    <row r="189" spans="9:47">
      <c r="I189" s="1" t="s">
        <v>143</v>
      </c>
      <c r="R189" s="101">
        <v>270</v>
      </c>
      <c r="S189" s="102">
        <v>406</v>
      </c>
      <c r="T189" s="102">
        <v>523</v>
      </c>
      <c r="U189" s="103">
        <v>600</v>
      </c>
      <c r="V189" s="101">
        <v>783</v>
      </c>
      <c r="W189" s="102">
        <v>1061</v>
      </c>
      <c r="X189" s="102">
        <v>1413</v>
      </c>
      <c r="Y189" s="237">
        <v>1859</v>
      </c>
      <c r="Z189" s="101">
        <v>2360</v>
      </c>
      <c r="AA189" s="102">
        <v>2600</v>
      </c>
      <c r="AB189" s="102">
        <v>2900</v>
      </c>
      <c r="AC189" s="237">
        <v>3069</v>
      </c>
      <c r="AD189" s="194">
        <f t="shared" ref="AD189:AG189" si="194">AC189+AD190</f>
        <v>2819</v>
      </c>
      <c r="AE189" s="195">
        <f t="shared" si="194"/>
        <v>2849</v>
      </c>
      <c r="AF189" s="195">
        <f t="shared" si="194"/>
        <v>2879</v>
      </c>
      <c r="AG189" s="196">
        <f t="shared" si="194"/>
        <v>2909</v>
      </c>
      <c r="AI189" s="22"/>
      <c r="AJ189" s="23"/>
      <c r="AK189" s="233">
        <f>+U189</f>
        <v>600</v>
      </c>
      <c r="AL189" s="226">
        <f>Y189</f>
        <v>1859</v>
      </c>
      <c r="AM189" s="255">
        <f>AC189</f>
        <v>3069</v>
      </c>
      <c r="AN189" s="255">
        <f>AG189</f>
        <v>2909</v>
      </c>
      <c r="AO189" s="206">
        <f t="shared" ref="AO189:AU189" si="195">+AN189+AO190</f>
        <v>3209</v>
      </c>
      <c r="AP189" s="206">
        <f t="shared" si="195"/>
        <v>3559</v>
      </c>
      <c r="AQ189" s="206">
        <f t="shared" si="195"/>
        <v>3909</v>
      </c>
      <c r="AR189" s="206">
        <f t="shared" si="195"/>
        <v>4259</v>
      </c>
      <c r="AS189" s="206">
        <f t="shared" si="195"/>
        <v>4609</v>
      </c>
      <c r="AT189" s="206">
        <f t="shared" si="195"/>
        <v>4941.5</v>
      </c>
      <c r="AU189" s="207">
        <f t="shared" si="195"/>
        <v>5257.375</v>
      </c>
    </row>
    <row r="190" spans="9:47">
      <c r="I190" s="1" t="s">
        <v>239</v>
      </c>
      <c r="R190" s="47"/>
      <c r="S190" s="48">
        <f>+S189-R189</f>
        <v>136</v>
      </c>
      <c r="T190" s="48">
        <f t="shared" ref="T190:AC190" si="196">+T189-S189</f>
        <v>117</v>
      </c>
      <c r="U190" s="49">
        <f t="shared" si="196"/>
        <v>77</v>
      </c>
      <c r="V190" s="47">
        <f t="shared" si="196"/>
        <v>183</v>
      </c>
      <c r="W190" s="48">
        <f t="shared" si="196"/>
        <v>278</v>
      </c>
      <c r="X190" s="48">
        <f t="shared" si="196"/>
        <v>352</v>
      </c>
      <c r="Y190" s="49">
        <f t="shared" si="196"/>
        <v>446</v>
      </c>
      <c r="Z190" s="47">
        <f t="shared" si="196"/>
        <v>501</v>
      </c>
      <c r="AA190" s="48">
        <f t="shared" si="196"/>
        <v>240</v>
      </c>
      <c r="AB190" s="48">
        <f t="shared" si="196"/>
        <v>300</v>
      </c>
      <c r="AC190" s="49">
        <f t="shared" si="196"/>
        <v>169</v>
      </c>
      <c r="AD190" s="253">
        <v>-250</v>
      </c>
      <c r="AE190" s="254">
        <v>30</v>
      </c>
      <c r="AF190" s="254">
        <v>30</v>
      </c>
      <c r="AG190" s="254">
        <v>30</v>
      </c>
      <c r="AI190" s="22"/>
      <c r="AJ190" s="23"/>
      <c r="AK190" s="37"/>
      <c r="AL190" s="256">
        <f>+AL189-AK189</f>
        <v>1259</v>
      </c>
      <c r="AM190" s="256">
        <f>+AM189-AL189</f>
        <v>1210</v>
      </c>
      <c r="AN190" s="256">
        <f>+SUM(AD190:AG190)</f>
        <v>-160</v>
      </c>
      <c r="AO190" s="205">
        <v>300</v>
      </c>
      <c r="AP190" s="205">
        <v>350</v>
      </c>
      <c r="AQ190" s="205">
        <v>350</v>
      </c>
      <c r="AR190" s="205">
        <v>350</v>
      </c>
      <c r="AS190" s="205">
        <v>350</v>
      </c>
      <c r="AT190" s="205">
        <f>+AS190*0.95</f>
        <v>332.5</v>
      </c>
      <c r="AU190" s="205">
        <f>+AT190*0.95</f>
        <v>315.875</v>
      </c>
    </row>
    <row r="191" spans="9:47" s="105" customFormat="1">
      <c r="I191" s="1" t="s">
        <v>1</v>
      </c>
      <c r="R191" s="194"/>
      <c r="S191" s="195"/>
      <c r="T191" s="195"/>
      <c r="U191" s="196"/>
      <c r="V191" s="194"/>
      <c r="W191" s="195"/>
      <c r="X191" s="195"/>
      <c r="Y191" s="196"/>
      <c r="Z191" s="194"/>
      <c r="AA191" s="195"/>
      <c r="AB191" s="195"/>
      <c r="AC191" s="196"/>
      <c r="AD191" s="194"/>
      <c r="AE191" s="195"/>
      <c r="AF191" s="195"/>
      <c r="AG191" s="196"/>
      <c r="AI191" s="106"/>
      <c r="AJ191" s="192"/>
      <c r="AK191" s="225"/>
      <c r="AL191" s="111">
        <f>+AL189/AK189-1</f>
        <v>2.0983333333333332</v>
      </c>
      <c r="AM191" s="111">
        <f>+AM189/AL189-1</f>
        <v>0.65088757396449703</v>
      </c>
      <c r="AN191" s="111">
        <f>+AN189/AM189-1</f>
        <v>-5.2134245682632807E-2</v>
      </c>
      <c r="AO191" s="111">
        <f>+AO189/AN189-1</f>
        <v>0.10312822275696121</v>
      </c>
      <c r="AP191" s="111">
        <f t="shared" ref="AP191:AU191" si="197">+AP189/AO189-1</f>
        <v>0.10906824555936434</v>
      </c>
      <c r="AQ191" s="111">
        <f t="shared" si="197"/>
        <v>9.8342230963753829E-2</v>
      </c>
      <c r="AR191" s="111">
        <f t="shared" si="197"/>
        <v>8.9536965975952842E-2</v>
      </c>
      <c r="AS191" s="111">
        <f t="shared" si="197"/>
        <v>8.2178915238318773E-2</v>
      </c>
      <c r="AT191" s="111">
        <f t="shared" si="197"/>
        <v>7.2141462356259511E-2</v>
      </c>
      <c r="AU191" s="111">
        <f t="shared" si="197"/>
        <v>6.3922897905494214E-2</v>
      </c>
    </row>
    <row r="192" spans="9:47" s="105" customFormat="1">
      <c r="R192" s="194"/>
      <c r="S192" s="195"/>
      <c r="T192" s="195"/>
      <c r="U192" s="196"/>
      <c r="V192" s="194"/>
      <c r="W192" s="195"/>
      <c r="X192" s="195"/>
      <c r="Y192" s="196"/>
      <c r="Z192" s="194"/>
      <c r="AA192" s="195"/>
      <c r="AB192" s="195"/>
      <c r="AC192" s="196"/>
      <c r="AD192" s="194"/>
      <c r="AE192" s="195"/>
      <c r="AF192" s="195"/>
      <c r="AG192" s="196"/>
      <c r="AI192" s="106"/>
      <c r="AJ192" s="192"/>
      <c r="AK192" s="225"/>
      <c r="AL192" s="111"/>
      <c r="AM192" s="111"/>
      <c r="AN192" s="111"/>
      <c r="AO192" s="111"/>
      <c r="AP192" s="111"/>
      <c r="AQ192" s="111"/>
      <c r="AR192" s="111"/>
      <c r="AS192" s="111"/>
      <c r="AT192" s="111"/>
      <c r="AU192" s="111"/>
    </row>
    <row r="193" spans="9:47" s="105" customFormat="1">
      <c r="I193" s="105" t="s">
        <v>315</v>
      </c>
      <c r="R193" s="194"/>
      <c r="S193" s="195">
        <f t="shared" ref="S193:AG193" si="198">+(S5*4)/(S189/1000)</f>
        <v>52.216748768472904</v>
      </c>
      <c r="T193" s="195">
        <f t="shared" si="198"/>
        <v>127.91586998087955</v>
      </c>
      <c r="U193" s="196">
        <f t="shared" si="198"/>
        <v>218.12000000000003</v>
      </c>
      <c r="V193" s="194">
        <f t="shared" si="198"/>
        <v>198.20178799489145</v>
      </c>
      <c r="W193" s="195">
        <f t="shared" si="198"/>
        <v>270.68049010367582</v>
      </c>
      <c r="X193" s="195">
        <f t="shared" si="198"/>
        <v>362.92710544939848</v>
      </c>
      <c r="Y193" s="196">
        <f t="shared" si="198"/>
        <v>356.49704142011831</v>
      </c>
      <c r="Z193" s="194">
        <f t="shared" ref="Z193" si="199">+(Z5*4)/(Z189/1000)</f>
        <v>253.64067796610169</v>
      </c>
      <c r="AA193" s="195">
        <f t="shared" si="198"/>
        <v>279.49384615384611</v>
      </c>
      <c r="AB193" s="195">
        <f t="shared" ref="AB193" si="200">+(AB5*4)/(AB189/1000)</f>
        <v>286.80965517241384</v>
      </c>
      <c r="AC193" s="196">
        <f t="shared" si="198"/>
        <v>372.35972629521012</v>
      </c>
      <c r="AD193" s="194">
        <f t="shared" si="198"/>
        <v>353.31677899964529</v>
      </c>
      <c r="AE193" s="195">
        <f t="shared" si="198"/>
        <v>414.18041418041418</v>
      </c>
      <c r="AF193" s="195">
        <f t="shared" si="198"/>
        <v>473.77561653351859</v>
      </c>
      <c r="AG193" s="196">
        <f t="shared" si="198"/>
        <v>588.51839119972499</v>
      </c>
      <c r="AI193" s="106"/>
      <c r="AJ193" s="192"/>
      <c r="AK193" s="26">
        <f t="shared" ref="AK193:AU193" si="201">+(AK5/AK189)*1000</f>
        <v>97.771666666666675</v>
      </c>
      <c r="AL193" s="26">
        <f t="shared" si="201"/>
        <v>217.58041958041957</v>
      </c>
      <c r="AM193" s="26">
        <f t="shared" si="201"/>
        <v>268.80058651026388</v>
      </c>
      <c r="AN193" s="26">
        <f t="shared" si="201"/>
        <v>451.35785493296663</v>
      </c>
      <c r="AO193" s="26">
        <f t="shared" si="201"/>
        <v>613.70046479366397</v>
      </c>
      <c r="AP193" s="26">
        <f t="shared" si="201"/>
        <v>788.10860502874107</v>
      </c>
      <c r="AQ193" s="26">
        <f t="shared" si="201"/>
        <v>975.42256615481449</v>
      </c>
      <c r="AR193" s="26">
        <f t="shared" si="201"/>
        <v>1165.5223626548361</v>
      </c>
      <c r="AS193" s="26">
        <f t="shared" si="201"/>
        <v>1337.2896025105179</v>
      </c>
      <c r="AT193" s="26">
        <f t="shared" si="201"/>
        <v>1488.5919198825202</v>
      </c>
      <c r="AU193" s="27">
        <f t="shared" si="201"/>
        <v>1625.4553800873484</v>
      </c>
    </row>
    <row r="194" spans="9:47" s="105" customFormat="1">
      <c r="I194" s="105" t="s">
        <v>1</v>
      </c>
      <c r="R194" s="194"/>
      <c r="S194" s="195"/>
      <c r="T194" s="195"/>
      <c r="U194" s="196"/>
      <c r="V194" s="194"/>
      <c r="W194" s="111">
        <f t="shared" ref="W194:AG194" si="202">+W193/S193-1</f>
        <v>4.1837867444383203</v>
      </c>
      <c r="X194" s="111">
        <f t="shared" si="202"/>
        <v>1.8372328273547893</v>
      </c>
      <c r="Y194" s="112">
        <f t="shared" si="202"/>
        <v>0.63440785540123912</v>
      </c>
      <c r="Z194" s="194"/>
      <c r="AA194" s="111">
        <f t="shared" si="202"/>
        <v>3.2559997385827932E-2</v>
      </c>
      <c r="AB194" s="111">
        <f t="shared" si="202"/>
        <v>-0.20973206226283747</v>
      </c>
      <c r="AC194" s="112">
        <f t="shared" si="202"/>
        <v>4.4495979018233323E-2</v>
      </c>
      <c r="AD194" s="110">
        <f t="shared" si="202"/>
        <v>0.3929815273828634</v>
      </c>
      <c r="AE194" s="111">
        <f t="shared" si="202"/>
        <v>0.48189457435291971</v>
      </c>
      <c r="AF194" s="111">
        <f t="shared" si="202"/>
        <v>0.65188168525467294</v>
      </c>
      <c r="AG194" s="112">
        <f t="shared" si="202"/>
        <v>0.5805103227870092</v>
      </c>
      <c r="AI194" s="106"/>
      <c r="AJ194" s="192"/>
      <c r="AK194" s="225"/>
      <c r="AL194" s="28">
        <f t="shared" ref="AL194:AU194" si="203">+AL193/AK193-1</f>
        <v>1.2253933782495223</v>
      </c>
      <c r="AM194" s="28">
        <f t="shared" si="203"/>
        <v>0.23540797939730473</v>
      </c>
      <c r="AN194" s="28">
        <f t="shared" si="203"/>
        <v>0.67915502266112804</v>
      </c>
      <c r="AO194" s="111">
        <f t="shared" si="203"/>
        <v>0.35967604880789694</v>
      </c>
      <c r="AP194" s="111">
        <f t="shared" si="203"/>
        <v>0.2841909860598133</v>
      </c>
      <c r="AQ194" s="111">
        <f t="shared" si="203"/>
        <v>0.2376753152178086</v>
      </c>
      <c r="AR194" s="111">
        <f t="shared" si="203"/>
        <v>0.19488968483619229</v>
      </c>
      <c r="AS194" s="28">
        <f t="shared" si="203"/>
        <v>0.14737361148904005</v>
      </c>
      <c r="AT194" s="28">
        <f t="shared" si="203"/>
        <v>0.11314102576432195</v>
      </c>
      <c r="AU194" s="29">
        <f t="shared" si="203"/>
        <v>9.1941557909053673E-2</v>
      </c>
    </row>
    <row r="195" spans="9:47">
      <c r="R195" s="47"/>
      <c r="S195" s="48"/>
      <c r="T195" s="48"/>
      <c r="U195" s="49"/>
      <c r="V195" s="47"/>
      <c r="W195" s="48"/>
      <c r="X195" s="48"/>
      <c r="Y195" s="49"/>
      <c r="Z195" s="47"/>
      <c r="AA195" s="195"/>
      <c r="AB195" s="195"/>
      <c r="AC195" s="196"/>
      <c r="AD195" s="194"/>
      <c r="AE195" s="195"/>
      <c r="AF195" s="195"/>
      <c r="AG195" s="196"/>
      <c r="AI195" s="22"/>
      <c r="AJ195" s="23"/>
      <c r="AK195" s="37"/>
      <c r="AL195" s="26"/>
      <c r="AM195" s="23"/>
      <c r="AN195" s="23"/>
      <c r="AO195" s="23"/>
      <c r="AP195" s="23"/>
      <c r="AQ195" s="23"/>
      <c r="AR195" s="23"/>
      <c r="AS195" s="23"/>
      <c r="AT195" s="23"/>
      <c r="AU195" s="24"/>
    </row>
    <row r="196" spans="9:47" s="7" customFormat="1">
      <c r="I196" s="7" t="s">
        <v>255</v>
      </c>
      <c r="R196" s="371"/>
      <c r="S196" s="225">
        <f t="shared" ref="S196:AG196" si="204">+((S176*4)/S189)*1000</f>
        <v>517.46798029556646</v>
      </c>
      <c r="T196" s="225">
        <f t="shared" si="204"/>
        <v>439.00573613766733</v>
      </c>
      <c r="U196" s="425">
        <f t="shared" si="204"/>
        <v>440.74</v>
      </c>
      <c r="V196" s="371">
        <f>+((V176*4)/V189)*1000</f>
        <v>341.4865900383142</v>
      </c>
      <c r="W196" s="225">
        <f t="shared" si="204"/>
        <v>350.23562676720076</v>
      </c>
      <c r="X196" s="225">
        <f t="shared" si="204"/>
        <v>371.9518754423213</v>
      </c>
      <c r="Y196" s="425">
        <f t="shared" si="204"/>
        <v>391.75685852608933</v>
      </c>
      <c r="Z196" s="371">
        <f>+((Z176*4)/Z189)*1000</f>
        <v>3728.9101694915253</v>
      </c>
      <c r="AA196" s="225">
        <f t="shared" si="204"/>
        <v>736.21692307692319</v>
      </c>
      <c r="AB196" s="225">
        <f t="shared" ref="AB196" si="205">+((AB176*4)/AB189)*1000</f>
        <v>633.17793103448275</v>
      </c>
      <c r="AC196" s="425">
        <f t="shared" si="204"/>
        <v>593.56272401433694</v>
      </c>
      <c r="AD196" s="371">
        <f t="shared" si="204"/>
        <v>518.49733948208586</v>
      </c>
      <c r="AE196" s="225">
        <f t="shared" si="204"/>
        <v>566.57213057213062</v>
      </c>
      <c r="AF196" s="225">
        <f t="shared" si="204"/>
        <v>590.69266352417969</v>
      </c>
      <c r="AG196" s="425">
        <f t="shared" si="204"/>
        <v>593.34210322657736</v>
      </c>
      <c r="AI196" s="33"/>
      <c r="AJ196" s="34"/>
      <c r="AK196" s="37"/>
      <c r="AL196" s="513">
        <f t="shared" ref="AL196:AU196" si="206">+(AL176/AVERAGE(AK189:AL189)*1000)</f>
        <v>384.8775925172834</v>
      </c>
      <c r="AM196" s="513">
        <f>+(AM176/AVERAGE(AL189:AM189)*1000)</f>
        <v>1458.2236201298701</v>
      </c>
      <c r="AN196" s="513">
        <f t="shared" si="206"/>
        <v>543.86453300202629</v>
      </c>
      <c r="AO196" s="514">
        <f t="shared" si="206"/>
        <v>596.79996376039776</v>
      </c>
      <c r="AP196" s="514">
        <f t="shared" si="206"/>
        <v>645.86616109428383</v>
      </c>
      <c r="AQ196" s="513">
        <f t="shared" si="206"/>
        <v>691.11170035968303</v>
      </c>
      <c r="AR196" s="513">
        <f t="shared" si="206"/>
        <v>728.60212760603736</v>
      </c>
      <c r="AS196" s="513">
        <f t="shared" si="206"/>
        <v>760.17390373095554</v>
      </c>
      <c r="AT196" s="513">
        <f t="shared" si="206"/>
        <v>788.56836587467819</v>
      </c>
      <c r="AU196" s="515">
        <f t="shared" si="206"/>
        <v>815.89608444912915</v>
      </c>
    </row>
    <row r="197" spans="9:47">
      <c r="I197" s="1" t="s">
        <v>1</v>
      </c>
      <c r="R197" s="47"/>
      <c r="S197" s="48"/>
      <c r="T197" s="48"/>
      <c r="U197" s="49"/>
      <c r="V197" s="110"/>
      <c r="W197" s="111">
        <f t="shared" ref="W197:AG197" si="207">+W196/S196-1</f>
        <v>-0.32317430236523281</v>
      </c>
      <c r="X197" s="111">
        <f t="shared" si="207"/>
        <v>-0.15274028372676818</v>
      </c>
      <c r="Y197" s="112">
        <f t="shared" si="207"/>
        <v>-0.11113840693812838</v>
      </c>
      <c r="Z197" s="110">
        <f t="shared" si="207"/>
        <v>9.9196386571816717</v>
      </c>
      <c r="AA197" s="111">
        <f t="shared" si="207"/>
        <v>1.1020617744472969</v>
      </c>
      <c r="AB197" s="111">
        <f t="shared" si="207"/>
        <v>0.70231143553588526</v>
      </c>
      <c r="AC197" s="112">
        <f t="shared" si="207"/>
        <v>0.51513039554049866</v>
      </c>
      <c r="AD197" s="110">
        <f t="shared" si="207"/>
        <v>-0.86095204338140752</v>
      </c>
      <c r="AE197" s="111">
        <f t="shared" si="207"/>
        <v>-0.23042772746350915</v>
      </c>
      <c r="AF197" s="111">
        <f t="shared" si="207"/>
        <v>-6.7098465420124209E-2</v>
      </c>
      <c r="AG197" s="112">
        <f t="shared" si="207"/>
        <v>-3.716890883367352E-4</v>
      </c>
      <c r="AI197" s="22"/>
      <c r="AJ197" s="23"/>
      <c r="AK197" s="37"/>
      <c r="AL197" s="28"/>
      <c r="AM197" s="28">
        <f t="shared" ref="AM197:AU197" si="208">+AM196/AL196-1</f>
        <v>2.7887984348280468</v>
      </c>
      <c r="AN197" s="28">
        <f t="shared" si="208"/>
        <v>-0.62703626145241742</v>
      </c>
      <c r="AO197" s="111">
        <f t="shared" si="208"/>
        <v>9.7332014768784836E-2</v>
      </c>
      <c r="AP197" s="111">
        <f t="shared" si="208"/>
        <v>8.2215483098764253E-2</v>
      </c>
      <c r="AQ197" s="111">
        <f t="shared" si="208"/>
        <v>7.0054048332150121E-2</v>
      </c>
      <c r="AR197" s="111">
        <f t="shared" si="208"/>
        <v>5.4246552658336888E-2</v>
      </c>
      <c r="AS197" s="28">
        <f t="shared" si="208"/>
        <v>4.3331984534074053E-2</v>
      </c>
      <c r="AT197" s="28">
        <f t="shared" si="208"/>
        <v>3.7352587354501088E-2</v>
      </c>
      <c r="AU197" s="29">
        <f t="shared" si="208"/>
        <v>3.4654850177941343E-2</v>
      </c>
    </row>
    <row r="198" spans="9:47">
      <c r="R198" s="47"/>
      <c r="S198" s="48"/>
      <c r="T198" s="48"/>
      <c r="U198" s="49"/>
      <c r="V198" s="47"/>
      <c r="W198" s="48"/>
      <c r="X198" s="48"/>
      <c r="Y198" s="49"/>
      <c r="Z198" s="194"/>
      <c r="AA198" s="195"/>
      <c r="AB198" s="195"/>
      <c r="AC198" s="474"/>
      <c r="AD198" s="194"/>
      <c r="AE198" s="195"/>
      <c r="AF198" s="195"/>
      <c r="AG198" s="196"/>
      <c r="AI198" s="22"/>
      <c r="AJ198" s="23"/>
      <c r="AK198" s="37"/>
      <c r="AL198" s="37"/>
      <c r="AM198" s="23"/>
      <c r="AN198" s="23"/>
      <c r="AO198" s="23"/>
      <c r="AP198" s="23"/>
      <c r="AQ198" s="23"/>
      <c r="AR198" s="23"/>
      <c r="AS198" s="23"/>
      <c r="AT198" s="23"/>
      <c r="AU198" s="24"/>
    </row>
    <row r="199" spans="9:47">
      <c r="I199" s="1" t="s">
        <v>240</v>
      </c>
      <c r="R199" s="47"/>
      <c r="S199" s="48"/>
      <c r="T199" s="48"/>
      <c r="U199" s="49"/>
      <c r="V199" s="47"/>
      <c r="W199" s="48"/>
      <c r="X199" s="48"/>
      <c r="Y199" s="49"/>
      <c r="Z199" s="110">
        <f t="shared" ref="Z199:AG199" si="209">(Z170-V170)/(Z189-V189)</f>
        <v>1.4082409638554216</v>
      </c>
      <c r="AA199" s="111">
        <f t="shared" si="209"/>
        <v>0.28787004548408063</v>
      </c>
      <c r="AB199" s="111">
        <f t="shared" si="209"/>
        <v>0.27612104909213181</v>
      </c>
      <c r="AC199" s="112">
        <f t="shared" si="209"/>
        <v>0.25722148760330582</v>
      </c>
      <c r="AD199" s="110">
        <f t="shared" si="209"/>
        <v>-3.9798918550017066</v>
      </c>
      <c r="AE199" s="111">
        <f t="shared" si="209"/>
        <v>-0.11277968379264179</v>
      </c>
      <c r="AF199" s="111">
        <f t="shared" si="209"/>
        <v>0.39004335039271065</v>
      </c>
      <c r="AG199" s="112">
        <f t="shared" si="209"/>
        <v>-0.25105332432322103</v>
      </c>
      <c r="AI199" s="22"/>
      <c r="AJ199" s="23"/>
      <c r="AK199" s="37"/>
      <c r="AL199" s="28">
        <f t="shared" ref="AL199:AU199" si="210">+(AL170-AK170)/(AL189-AK189)</f>
        <v>0.38480937251787123</v>
      </c>
      <c r="AM199" s="28">
        <f t="shared" si="210"/>
        <v>2.7980644628099167</v>
      </c>
      <c r="AN199" s="28">
        <f t="shared" si="210"/>
        <v>11.392968007354261</v>
      </c>
      <c r="AO199" s="28">
        <f t="shared" si="210"/>
        <v>1.3154303044031106</v>
      </c>
      <c r="AP199" s="28">
        <f t="shared" si="210"/>
        <v>1.7100341893494755</v>
      </c>
      <c r="AQ199" s="28">
        <f t="shared" si="210"/>
        <v>1.854749364736251</v>
      </c>
      <c r="AR199" s="28">
        <f t="shared" si="210"/>
        <v>1.9296050811213459</v>
      </c>
      <c r="AS199" s="28">
        <f t="shared" si="210"/>
        <v>1.9733143177694832</v>
      </c>
      <c r="AT199" s="28">
        <f t="shared" si="210"/>
        <v>2.1028361509113265</v>
      </c>
      <c r="AU199" s="29">
        <f t="shared" si="210"/>
        <v>2.2531653452017735</v>
      </c>
    </row>
    <row r="200" spans="9:47">
      <c r="R200" s="47"/>
      <c r="S200" s="48"/>
      <c r="T200" s="48"/>
      <c r="U200" s="49"/>
      <c r="V200" s="47"/>
      <c r="W200" s="48"/>
      <c r="X200" s="48"/>
      <c r="Y200" s="49"/>
      <c r="Z200" s="47"/>
      <c r="AA200" s="48"/>
      <c r="AB200" s="48"/>
      <c r="AC200" s="49"/>
      <c r="AD200" s="47"/>
      <c r="AE200" s="48"/>
      <c r="AF200" s="48"/>
      <c r="AG200" s="49"/>
      <c r="AI200" s="22"/>
      <c r="AJ200" s="23"/>
      <c r="AK200" s="37"/>
      <c r="AL200" s="37"/>
      <c r="AM200" s="23"/>
      <c r="AN200" s="23"/>
      <c r="AO200" s="23"/>
      <c r="AP200" s="23"/>
      <c r="AQ200" s="23"/>
      <c r="AR200" s="23"/>
      <c r="AS200" s="23"/>
      <c r="AT200" s="23"/>
      <c r="AU200" s="24"/>
    </row>
    <row r="201" spans="9:47" s="105" customFormat="1">
      <c r="I201" s="105" t="s">
        <v>235</v>
      </c>
      <c r="R201" s="194"/>
      <c r="S201" s="195"/>
      <c r="T201" s="195"/>
      <c r="U201" s="196"/>
      <c r="V201" s="194"/>
      <c r="W201" s="195"/>
      <c r="X201" s="195"/>
      <c r="Y201" s="196"/>
      <c r="Z201" s="194"/>
      <c r="AA201" s="195"/>
      <c r="AB201" s="195"/>
      <c r="AC201" s="196"/>
      <c r="AD201" s="194"/>
      <c r="AE201" s="195"/>
      <c r="AF201" s="195"/>
      <c r="AG201" s="196"/>
      <c r="AI201" s="106"/>
      <c r="AJ201" s="192"/>
      <c r="AK201" s="225"/>
      <c r="AL201" s="226">
        <v>853</v>
      </c>
      <c r="AM201" s="227"/>
      <c r="AN201" s="227"/>
      <c r="AO201" s="227"/>
      <c r="AP201" s="227"/>
      <c r="AQ201" s="227"/>
      <c r="AR201" s="227"/>
      <c r="AS201" s="227"/>
      <c r="AT201" s="227"/>
      <c r="AU201" s="228"/>
    </row>
    <row r="202" spans="9:47" s="105" customFormat="1">
      <c r="I202" s="105" t="s">
        <v>236</v>
      </c>
      <c r="R202" s="194"/>
      <c r="S202" s="195"/>
      <c r="T202" s="195"/>
      <c r="U202" s="196"/>
      <c r="V202" s="194"/>
      <c r="W202" s="195"/>
      <c r="X202" s="195"/>
      <c r="Y202" s="196"/>
      <c r="Z202" s="194"/>
      <c r="AA202" s="195"/>
      <c r="AB202" s="195"/>
      <c r="AC202" s="196"/>
      <c r="AG202" s="193"/>
      <c r="AI202" s="106"/>
      <c r="AJ202" s="192"/>
      <c r="AK202" s="225"/>
      <c r="AL202" s="226">
        <v>556</v>
      </c>
      <c r="AM202" s="227"/>
      <c r="AN202" s="227"/>
      <c r="AO202" s="227"/>
      <c r="AP202" s="227"/>
      <c r="AQ202" s="227"/>
      <c r="AR202" s="227"/>
      <c r="AS202" s="227"/>
      <c r="AT202" s="227"/>
      <c r="AU202" s="228"/>
    </row>
    <row r="203" spans="9:47" s="105" customFormat="1">
      <c r="I203" s="105" t="s">
        <v>237</v>
      </c>
      <c r="R203" s="194"/>
      <c r="S203" s="195"/>
      <c r="T203" s="195"/>
      <c r="U203" s="196"/>
      <c r="V203" s="194"/>
      <c r="W203" s="195"/>
      <c r="X203" s="195"/>
      <c r="Y203" s="196"/>
      <c r="Z203" s="194"/>
      <c r="AA203" s="195"/>
      <c r="AB203" s="195"/>
      <c r="AC203" s="196"/>
      <c r="AD203" s="194"/>
      <c r="AE203" s="195"/>
      <c r="AF203" s="195"/>
      <c r="AG203" s="196"/>
      <c r="AI203" s="106"/>
      <c r="AJ203" s="192"/>
      <c r="AK203" s="225"/>
      <c r="AL203" s="226">
        <v>450</v>
      </c>
      <c r="AM203" s="227"/>
      <c r="AN203" s="227"/>
      <c r="AO203" s="227"/>
      <c r="AP203" s="227"/>
      <c r="AQ203" s="227"/>
      <c r="AR203" s="227"/>
      <c r="AS203" s="227"/>
      <c r="AT203" s="227"/>
      <c r="AU203" s="228"/>
    </row>
    <row r="204" spans="9:47" s="105" customFormat="1">
      <c r="R204" s="194"/>
      <c r="S204" s="195"/>
      <c r="T204" s="195"/>
      <c r="U204" s="196"/>
      <c r="V204" s="194"/>
      <c r="W204" s="195"/>
      <c r="X204" s="195"/>
      <c r="Y204" s="196"/>
      <c r="Z204" s="194"/>
      <c r="AA204" s="195"/>
      <c r="AB204" s="195"/>
      <c r="AC204" s="196"/>
      <c r="AD204" s="194"/>
      <c r="AE204" s="195"/>
      <c r="AF204" s="195"/>
      <c r="AG204" s="196"/>
      <c r="AI204" s="106"/>
      <c r="AJ204" s="192"/>
      <c r="AK204" s="225"/>
      <c r="AL204" s="226"/>
      <c r="AM204" s="227"/>
      <c r="AN204" s="227"/>
      <c r="AO204" s="227"/>
      <c r="AP204" s="227"/>
      <c r="AQ204" s="227"/>
      <c r="AR204" s="227"/>
      <c r="AS204" s="227"/>
      <c r="AT204" s="227"/>
      <c r="AU204" s="228"/>
    </row>
    <row r="205" spans="9:47" s="105" customFormat="1">
      <c r="R205" s="194"/>
      <c r="S205" s="195"/>
      <c r="T205" s="195"/>
      <c r="U205" s="196"/>
      <c r="V205" s="194"/>
      <c r="W205" s="195"/>
      <c r="X205" s="195"/>
      <c r="Y205" s="196"/>
      <c r="Z205" s="194"/>
      <c r="AA205" s="195"/>
      <c r="AB205" s="195"/>
      <c r="AC205" s="196"/>
      <c r="AD205" s="194"/>
      <c r="AE205" s="195"/>
      <c r="AF205" s="195"/>
      <c r="AG205" s="196"/>
      <c r="AI205" s="106"/>
      <c r="AJ205" s="192"/>
      <c r="AK205" s="225"/>
      <c r="AL205" s="226"/>
      <c r="AM205" s="227"/>
      <c r="AN205" s="227"/>
      <c r="AO205" s="227"/>
      <c r="AP205" s="227"/>
      <c r="AQ205" s="227"/>
      <c r="AR205" s="227"/>
      <c r="AS205" s="227"/>
      <c r="AT205" s="227"/>
      <c r="AU205" s="228"/>
    </row>
    <row r="206" spans="9:47" s="298" customFormat="1">
      <c r="I206" s="298" t="s">
        <v>379</v>
      </c>
      <c r="R206" s="280"/>
      <c r="S206" s="281">
        <f t="shared" ref="S206:AG206" si="211">(S182*4*1000)/S189</f>
        <v>459.26108374384228</v>
      </c>
      <c r="T206" s="281">
        <f t="shared" si="211"/>
        <v>373.37667304015298</v>
      </c>
      <c r="U206" s="282">
        <f t="shared" si="211"/>
        <v>393.9933333333334</v>
      </c>
      <c r="V206" s="280">
        <f t="shared" si="211"/>
        <v>313.98212005108559</v>
      </c>
      <c r="W206" s="281">
        <f t="shared" si="211"/>
        <v>332.84071630537227</v>
      </c>
      <c r="X206" s="281">
        <f t="shared" si="211"/>
        <v>330.43170559094125</v>
      </c>
      <c r="Y206" s="282">
        <f t="shared" si="211"/>
        <v>377.45884884346418</v>
      </c>
      <c r="Z206" s="280">
        <f>(Z182*4*1000)/Z189</f>
        <v>350.86271186440672</v>
      </c>
      <c r="AA206" s="281">
        <f t="shared" si="211"/>
        <v>366.6476923076923</v>
      </c>
      <c r="AB206" s="281">
        <f t="shared" ref="AB206" si="212">(AB182*4*1000)/AB189</f>
        <v>324.82896551724139</v>
      </c>
      <c r="AC206" s="282">
        <f t="shared" si="211"/>
        <v>357.6213750407299</v>
      </c>
      <c r="AD206" s="280">
        <f>(AD182*4*1000)/AD189</f>
        <v>421.78168866499425</v>
      </c>
      <c r="AE206" s="281">
        <f t="shared" si="211"/>
        <v>427.88048710028886</v>
      </c>
      <c r="AF206" s="281">
        <f t="shared" si="211"/>
        <v>453.4462264796237</v>
      </c>
      <c r="AG206" s="282">
        <f t="shared" si="211"/>
        <v>457.51106429523423</v>
      </c>
      <c r="AI206" s="317"/>
      <c r="AJ206" s="318"/>
      <c r="AK206" s="281">
        <f>(AK182*1000)/(AVERAGE(AJ189:AK189))</f>
        <v>308.35833333333335</v>
      </c>
      <c r="AL206" s="281">
        <f>(AL182*1000)/(AVERAGE(AK189:AL189))</f>
        <v>359.41195607970718</v>
      </c>
      <c r="AM206" s="281">
        <f t="shared" ref="AM206:AU206" si="213">(AM182*1000)/(AVERAGE(AL189:AM189))</f>
        <v>387.6688311688311</v>
      </c>
      <c r="AN206" s="281">
        <f t="shared" si="213"/>
        <v>421.91414019446427</v>
      </c>
      <c r="AO206" s="281">
        <f t="shared" si="213"/>
        <v>462.78559281868479</v>
      </c>
      <c r="AP206" s="281">
        <f t="shared" si="213"/>
        <v>515.03106725044347</v>
      </c>
      <c r="AQ206" s="281">
        <f t="shared" si="213"/>
        <v>563.05448713714418</v>
      </c>
      <c r="AR206" s="281">
        <f t="shared" si="213"/>
        <v>605.66532156254868</v>
      </c>
      <c r="AS206" s="281">
        <f t="shared" si="213"/>
        <v>641.27953934762468</v>
      </c>
      <c r="AT206" s="281">
        <f t="shared" si="213"/>
        <v>672.65056214514084</v>
      </c>
      <c r="AU206" s="282">
        <f t="shared" si="213"/>
        <v>701.92011810530278</v>
      </c>
    </row>
    <row r="207" spans="9:47">
      <c r="I207" s="1" t="s">
        <v>1</v>
      </c>
      <c r="R207" s="47"/>
      <c r="S207" s="48"/>
      <c r="T207" s="48"/>
      <c r="U207" s="49"/>
      <c r="V207" s="110"/>
      <c r="W207" s="111">
        <f t="shared" ref="W207:AG207" si="214">+W206/S206-1</f>
        <v>-0.27526906135374252</v>
      </c>
      <c r="X207" s="111">
        <f t="shared" si="214"/>
        <v>-0.11501781056523963</v>
      </c>
      <c r="Y207" s="112">
        <f t="shared" si="214"/>
        <v>-4.1966406766280051E-2</v>
      </c>
      <c r="Z207" s="110">
        <f t="shared" si="214"/>
        <v>0.11746080256837743</v>
      </c>
      <c r="AA207" s="111">
        <f t="shared" si="214"/>
        <v>0.10157103487093533</v>
      </c>
      <c r="AB207" s="111">
        <f t="shared" si="214"/>
        <v>-1.695581864240292E-2</v>
      </c>
      <c r="AC207" s="112">
        <f t="shared" si="214"/>
        <v>-5.2555328517310929E-2</v>
      </c>
      <c r="AD207" s="110">
        <f t="shared" si="214"/>
        <v>0.20212742592035449</v>
      </c>
      <c r="AE207" s="111">
        <f t="shared" si="214"/>
        <v>0.1670071735817984</v>
      </c>
      <c r="AF207" s="111">
        <f t="shared" si="214"/>
        <v>0.39595379296787359</v>
      </c>
      <c r="AG207" s="112">
        <f t="shared" si="214"/>
        <v>0.27931688714951042</v>
      </c>
      <c r="AI207" s="22"/>
      <c r="AJ207" s="23"/>
      <c r="AK207" s="37"/>
      <c r="AL207" s="28">
        <f t="shared" ref="AL207:AU207" si="215">+AL206/AK206-1</f>
        <v>0.16556589275369182</v>
      </c>
      <c r="AM207" s="28">
        <f t="shared" si="215"/>
        <v>7.8619741528179299E-2</v>
      </c>
      <c r="AN207" s="111">
        <f t="shared" si="215"/>
        <v>8.8336503407773881E-2</v>
      </c>
      <c r="AO207" s="111">
        <f t="shared" si="215"/>
        <v>9.6871492871470233E-2</v>
      </c>
      <c r="AP207" s="111">
        <f t="shared" si="215"/>
        <v>0.11289347646616998</v>
      </c>
      <c r="AQ207" s="111">
        <f t="shared" si="215"/>
        <v>9.3243734097594677E-2</v>
      </c>
      <c r="AR207" s="111">
        <f t="shared" si="215"/>
        <v>7.5677994579280705E-2</v>
      </c>
      <c r="AS207" s="111">
        <f t="shared" si="215"/>
        <v>5.8801811028564854E-2</v>
      </c>
      <c r="AT207" s="111">
        <f t="shared" si="215"/>
        <v>4.8919419492831517E-2</v>
      </c>
      <c r="AU207" s="112">
        <f t="shared" si="215"/>
        <v>4.351376124152595E-2</v>
      </c>
    </row>
    <row r="208" spans="9:47" s="105" customFormat="1">
      <c r="R208" s="194"/>
      <c r="S208" s="195"/>
      <c r="T208" s="195"/>
      <c r="U208" s="196"/>
      <c r="V208" s="194"/>
      <c r="W208" s="195"/>
      <c r="X208" s="195"/>
      <c r="Y208" s="196"/>
      <c r="Z208" s="194"/>
      <c r="AA208" s="195"/>
      <c r="AB208" s="195"/>
      <c r="AC208" s="196"/>
      <c r="AD208" s="194"/>
      <c r="AE208" s="195"/>
      <c r="AF208" s="195"/>
      <c r="AG208" s="196"/>
      <c r="AI208" s="106"/>
      <c r="AJ208" s="192"/>
      <c r="AK208" s="225"/>
      <c r="AL208" s="226"/>
      <c r="AM208" s="281"/>
      <c r="AN208" s="281"/>
      <c r="AO208" s="281"/>
      <c r="AP208" s="281"/>
      <c r="AQ208" s="281"/>
      <c r="AR208" s="281"/>
      <c r="AS208" s="281"/>
      <c r="AT208" s="281"/>
      <c r="AU208" s="282"/>
    </row>
    <row r="209" spans="9:47" s="105" customFormat="1">
      <c r="R209" s="194"/>
      <c r="S209" s="195"/>
      <c r="T209" s="195"/>
      <c r="U209" s="196"/>
      <c r="V209" s="194"/>
      <c r="W209" s="195"/>
      <c r="X209" s="195"/>
      <c r="Y209" s="196"/>
      <c r="Z209" s="194"/>
      <c r="AA209" s="195"/>
      <c r="AB209" s="195"/>
      <c r="AC209" s="196"/>
      <c r="AD209" s="194"/>
      <c r="AE209" s="195"/>
      <c r="AF209" s="195"/>
      <c r="AG209" s="196"/>
      <c r="AI209" s="106"/>
      <c r="AJ209" s="192"/>
      <c r="AK209" s="225"/>
      <c r="AL209" s="226"/>
      <c r="AM209" s="28"/>
      <c r="AN209" s="28"/>
      <c r="AO209" s="111"/>
      <c r="AP209" s="111"/>
      <c r="AQ209" s="111"/>
      <c r="AR209" s="111"/>
      <c r="AS209" s="28"/>
      <c r="AT209" s="28"/>
      <c r="AU209" s="29"/>
    </row>
    <row r="210" spans="9:47" s="105" customFormat="1">
      <c r="R210" s="194"/>
      <c r="S210" s="195"/>
      <c r="T210" s="195"/>
      <c r="U210" s="196"/>
      <c r="V210" s="194"/>
      <c r="W210" s="195"/>
      <c r="X210" s="195"/>
      <c r="Y210" s="196"/>
      <c r="Z210" s="194"/>
      <c r="AA210" s="195"/>
      <c r="AB210" s="195"/>
      <c r="AC210" s="196"/>
      <c r="AD210" s="194"/>
      <c r="AE210" s="195"/>
      <c r="AF210" s="195"/>
      <c r="AG210" s="196"/>
      <c r="AI210" s="106"/>
      <c r="AJ210" s="192"/>
      <c r="AK210" s="225"/>
      <c r="AL210" s="226"/>
      <c r="AM210" s="227"/>
      <c r="AN210" s="227"/>
      <c r="AO210" s="227"/>
      <c r="AP210" s="227"/>
      <c r="AQ210" s="227"/>
      <c r="AR210" s="227"/>
      <c r="AS210" s="227"/>
      <c r="AT210" s="227"/>
      <c r="AU210" s="228"/>
    </row>
    <row r="211" spans="9:47" s="105" customFormat="1">
      <c r="R211" s="194"/>
      <c r="S211" s="195"/>
      <c r="T211" s="195"/>
      <c r="U211" s="196"/>
      <c r="V211" s="194"/>
      <c r="W211" s="195"/>
      <c r="X211" s="195"/>
      <c r="Y211" s="196"/>
      <c r="Z211" s="194"/>
      <c r="AA211" s="195"/>
      <c r="AB211" s="195"/>
      <c r="AC211" s="196"/>
      <c r="AD211" s="194"/>
      <c r="AE211" s="195"/>
      <c r="AF211" s="195"/>
      <c r="AG211" s="196"/>
      <c r="AI211" s="106"/>
      <c r="AJ211" s="192"/>
      <c r="AK211" s="225"/>
      <c r="AL211" s="226"/>
      <c r="AM211" s="227"/>
      <c r="AN211" s="227"/>
      <c r="AO211" s="227"/>
      <c r="AP211" s="227"/>
      <c r="AQ211" s="227"/>
      <c r="AR211" s="227"/>
      <c r="AS211" s="227"/>
      <c r="AT211" s="227"/>
      <c r="AU211" s="228"/>
    </row>
    <row r="212" spans="9:47">
      <c r="R212" s="47"/>
      <c r="S212" s="48"/>
      <c r="T212" s="48"/>
      <c r="U212" s="49"/>
      <c r="V212" s="47"/>
      <c r="W212" s="48"/>
      <c r="X212" s="48"/>
      <c r="Y212" s="49"/>
      <c r="Z212" s="47"/>
      <c r="AA212" s="48"/>
      <c r="AB212" s="48"/>
      <c r="AC212" s="49"/>
      <c r="AD212" s="47"/>
      <c r="AE212" s="48"/>
      <c r="AF212" s="48"/>
      <c r="AG212" s="49"/>
      <c r="AI212" s="22"/>
      <c r="AJ212" s="23"/>
      <c r="AK212" s="37"/>
      <c r="AL212" s="37"/>
      <c r="AM212" s="48"/>
      <c r="AN212" s="48"/>
      <c r="AO212" s="48"/>
      <c r="AP212" s="48"/>
      <c r="AQ212" s="48"/>
      <c r="AR212" s="23"/>
      <c r="AS212" s="23"/>
      <c r="AT212" s="23"/>
      <c r="AU212" s="24"/>
    </row>
    <row r="213" spans="9:47">
      <c r="I213" s="11" t="s">
        <v>325</v>
      </c>
      <c r="J213" s="30"/>
      <c r="K213" s="31"/>
      <c r="L213" s="31"/>
      <c r="M213" s="32"/>
      <c r="N213" s="43"/>
      <c r="O213" s="31"/>
      <c r="P213" s="31"/>
      <c r="Q213" s="31"/>
      <c r="R213" s="43"/>
      <c r="S213" s="31"/>
      <c r="T213" s="31"/>
      <c r="U213" s="31"/>
      <c r="V213" s="43"/>
      <c r="W213" s="31"/>
      <c r="X213" s="59"/>
      <c r="Y213" s="59"/>
      <c r="Z213" s="30"/>
      <c r="AA213" s="59"/>
      <c r="AB213" s="59"/>
      <c r="AC213" s="60"/>
      <c r="AD213" s="30"/>
      <c r="AE213" s="59"/>
      <c r="AF213" s="59"/>
      <c r="AG213" s="60"/>
      <c r="AH213" s="10"/>
      <c r="AI213" s="30"/>
      <c r="AJ213" s="59"/>
      <c r="AK213" s="59"/>
      <c r="AL213" s="59"/>
      <c r="AM213" s="59"/>
      <c r="AN213" s="59"/>
      <c r="AO213" s="59"/>
      <c r="AP213" s="59"/>
      <c r="AQ213" s="59"/>
      <c r="AR213" s="59"/>
      <c r="AS213" s="59"/>
      <c r="AT213" s="59"/>
      <c r="AU213" s="60"/>
    </row>
    <row r="214" spans="9:47">
      <c r="I214" s="1" t="s">
        <v>325</v>
      </c>
      <c r="R214" s="47">
        <f t="shared" ref="R214:AG214" si="216">+R9-R158</f>
        <v>20.622</v>
      </c>
      <c r="S214" s="48">
        <f t="shared" si="216"/>
        <v>40.47</v>
      </c>
      <c r="T214" s="48">
        <f t="shared" si="216"/>
        <v>56.098999999999997</v>
      </c>
      <c r="U214" s="49">
        <f t="shared" si="216"/>
        <v>64.661999999999992</v>
      </c>
      <c r="V214" s="47">
        <f t="shared" si="216"/>
        <v>75.619</v>
      </c>
      <c r="W214" s="48">
        <f t="shared" si="216"/>
        <v>94.629000000000005</v>
      </c>
      <c r="X214" s="48">
        <f t="shared" si="216"/>
        <v>127.652</v>
      </c>
      <c r="Y214" s="49">
        <f t="shared" si="216"/>
        <v>153.22799999999998</v>
      </c>
      <c r="Z214" s="47">
        <f t="shared" ref="Z214" si="217">+Z9-Z158</f>
        <v>143.33199999999999</v>
      </c>
      <c r="AA214" s="48">
        <f t="shared" si="216"/>
        <v>149.92499999999998</v>
      </c>
      <c r="AB214" s="48">
        <f t="shared" si="216"/>
        <v>208.67100000000002</v>
      </c>
      <c r="AC214" s="49">
        <f t="shared" si="216"/>
        <v>189.01600000000002</v>
      </c>
      <c r="AD214" s="47">
        <f t="shared" si="216"/>
        <v>170.39399346756213</v>
      </c>
      <c r="AE214" s="48">
        <f t="shared" si="216"/>
        <v>197.84898179845143</v>
      </c>
      <c r="AF214" s="48">
        <f>+AF9-AF158</f>
        <v>235.20516813304391</v>
      </c>
      <c r="AG214" s="49">
        <f t="shared" si="216"/>
        <v>254.10061038300637</v>
      </c>
      <c r="AI214" s="22"/>
      <c r="AJ214" s="23"/>
      <c r="AK214" s="48">
        <f t="shared" ref="AK214:AU214" si="218">+AK9-AK158</f>
        <v>181.85299999999998</v>
      </c>
      <c r="AL214" s="48">
        <f t="shared" si="218"/>
        <v>451.12799999999999</v>
      </c>
      <c r="AM214" s="48">
        <f t="shared" si="218"/>
        <v>690.94399999999996</v>
      </c>
      <c r="AN214" s="48">
        <f t="shared" si="218"/>
        <v>857.54875378206395</v>
      </c>
      <c r="AO214" s="48">
        <f t="shared" si="218"/>
        <v>1051.6180817118943</v>
      </c>
      <c r="AP214" s="48">
        <f t="shared" si="218"/>
        <v>1289.7260448410664</v>
      </c>
      <c r="AQ214" s="48">
        <f t="shared" si="218"/>
        <v>1543.4519991041586</v>
      </c>
      <c r="AR214" s="48">
        <f t="shared" si="218"/>
        <v>1823.5192592052779</v>
      </c>
      <c r="AS214" s="48">
        <f t="shared" si="218"/>
        <v>2118.8700262186767</v>
      </c>
      <c r="AT214" s="48">
        <f t="shared" si="218"/>
        <v>2422.7383399804776</v>
      </c>
      <c r="AU214" s="49">
        <f t="shared" si="218"/>
        <v>2739.116001659062</v>
      </c>
    </row>
    <row r="215" spans="9:47">
      <c r="I215" s="1" t="s">
        <v>86</v>
      </c>
      <c r="R215" s="101"/>
      <c r="S215" s="102"/>
      <c r="T215" s="102"/>
      <c r="U215" s="102"/>
      <c r="V215" s="25">
        <f t="shared" ref="V215:AC215" si="219">+V214-R214</f>
        <v>54.997</v>
      </c>
      <c r="W215" s="26">
        <f t="shared" si="219"/>
        <v>54.159000000000006</v>
      </c>
      <c r="X215" s="26">
        <f t="shared" si="219"/>
        <v>71.552999999999997</v>
      </c>
      <c r="Y215" s="27">
        <f t="shared" si="219"/>
        <v>88.565999999999988</v>
      </c>
      <c r="Z215" s="25">
        <f t="shared" si="219"/>
        <v>67.712999999999994</v>
      </c>
      <c r="AA215" s="26">
        <f t="shared" si="219"/>
        <v>55.295999999999978</v>
      </c>
      <c r="AB215" s="26">
        <f t="shared" si="219"/>
        <v>81.01900000000002</v>
      </c>
      <c r="AC215" s="27">
        <f t="shared" si="219"/>
        <v>35.788000000000039</v>
      </c>
      <c r="AD215" s="25">
        <f t="shared" ref="AD215" si="220">+AD214-Z214</f>
        <v>27.061993467562132</v>
      </c>
      <c r="AE215" s="26">
        <f t="shared" ref="AE215" si="221">+AE214-AA214</f>
        <v>47.92398179845145</v>
      </c>
      <c r="AF215" s="26">
        <f t="shared" ref="AF215" si="222">+AF214-AB214</f>
        <v>26.534168133043892</v>
      </c>
      <c r="AG215" s="27">
        <f t="shared" ref="AG215" si="223">+AG214-AC214</f>
        <v>65.08461038300635</v>
      </c>
      <c r="AI215" s="22"/>
      <c r="AJ215" s="23"/>
      <c r="AK215" s="37"/>
      <c r="AL215" s="26">
        <f t="shared" ref="AL215:AU215" si="224">+AL214-AK214</f>
        <v>269.27499999999998</v>
      </c>
      <c r="AM215" s="26">
        <f t="shared" si="224"/>
        <v>239.81599999999997</v>
      </c>
      <c r="AN215" s="26">
        <f t="shared" si="224"/>
        <v>166.60475378206399</v>
      </c>
      <c r="AO215" s="26">
        <f t="shared" si="224"/>
        <v>194.06932792983037</v>
      </c>
      <c r="AP215" s="26">
        <f t="shared" si="224"/>
        <v>238.10796312917205</v>
      </c>
      <c r="AQ215" s="26">
        <f t="shared" si="224"/>
        <v>253.72595426309226</v>
      </c>
      <c r="AR215" s="26">
        <f t="shared" si="224"/>
        <v>280.06726010111925</v>
      </c>
      <c r="AS215" s="26">
        <f t="shared" si="224"/>
        <v>295.35076701339881</v>
      </c>
      <c r="AT215" s="26">
        <f t="shared" si="224"/>
        <v>303.86831376180089</v>
      </c>
      <c r="AU215" s="27">
        <f t="shared" si="224"/>
        <v>316.37766167858445</v>
      </c>
    </row>
    <row r="216" spans="9:47">
      <c r="I216" s="1" t="s">
        <v>87</v>
      </c>
      <c r="R216" s="101"/>
      <c r="S216" s="26">
        <f t="shared" ref="S216:AG216" si="225">+S214-R214</f>
        <v>19.847999999999999</v>
      </c>
      <c r="T216" s="26">
        <f t="shared" si="225"/>
        <v>15.628999999999998</v>
      </c>
      <c r="U216" s="26">
        <f t="shared" si="225"/>
        <v>8.5629999999999953</v>
      </c>
      <c r="V216" s="25">
        <f t="shared" si="225"/>
        <v>10.957000000000008</v>
      </c>
      <c r="W216" s="26">
        <f t="shared" si="225"/>
        <v>19.010000000000005</v>
      </c>
      <c r="X216" s="26">
        <f t="shared" si="225"/>
        <v>33.022999999999996</v>
      </c>
      <c r="Y216" s="27">
        <f t="shared" si="225"/>
        <v>25.575999999999979</v>
      </c>
      <c r="Z216" s="25">
        <f t="shared" si="225"/>
        <v>-9.8959999999999866</v>
      </c>
      <c r="AA216" s="26">
        <f t="shared" si="225"/>
        <v>6.5929999999999893</v>
      </c>
      <c r="AB216" s="26">
        <f t="shared" si="225"/>
        <v>58.746000000000038</v>
      </c>
      <c r="AC216" s="27">
        <f t="shared" si="225"/>
        <v>-19.655000000000001</v>
      </c>
      <c r="AD216" s="25">
        <f t="shared" si="225"/>
        <v>-18.622006532437894</v>
      </c>
      <c r="AE216" s="26">
        <f t="shared" si="225"/>
        <v>27.454988330889307</v>
      </c>
      <c r="AF216" s="26">
        <f t="shared" si="225"/>
        <v>37.356186334592479</v>
      </c>
      <c r="AG216" s="27">
        <f t="shared" si="225"/>
        <v>18.895442249962457</v>
      </c>
      <c r="AI216" s="22"/>
      <c r="AJ216" s="23"/>
      <c r="AK216" s="37"/>
      <c r="AL216" s="37"/>
      <c r="AM216" s="23"/>
      <c r="AN216" s="23"/>
      <c r="AO216" s="23"/>
      <c r="AP216" s="23"/>
      <c r="AQ216" s="23"/>
      <c r="AR216" s="23"/>
      <c r="AS216" s="23"/>
      <c r="AT216" s="23"/>
      <c r="AU216" s="24"/>
    </row>
    <row r="217" spans="9:47" s="105" customFormat="1">
      <c r="I217" s="105" t="s">
        <v>227</v>
      </c>
      <c r="R217" s="110"/>
      <c r="S217" s="111"/>
      <c r="T217" s="111"/>
      <c r="U217" s="111"/>
      <c r="V217" s="110">
        <f t="shared" ref="V217:AG217" si="226">+V214/R214-1</f>
        <v>2.6669091261759288</v>
      </c>
      <c r="W217" s="111">
        <f t="shared" si="226"/>
        <v>1.3382505559673836</v>
      </c>
      <c r="X217" s="111">
        <f t="shared" si="226"/>
        <v>1.2754772812349597</v>
      </c>
      <c r="Y217" s="112">
        <f t="shared" si="226"/>
        <v>1.3696761621972722</v>
      </c>
      <c r="Z217" s="110">
        <f t="shared" si="226"/>
        <v>0.89544955632843592</v>
      </c>
      <c r="AA217" s="111">
        <f t="shared" si="226"/>
        <v>0.58434517959610655</v>
      </c>
      <c r="AB217" s="111">
        <f t="shared" si="226"/>
        <v>0.63468649139848976</v>
      </c>
      <c r="AC217" s="112">
        <f t="shared" si="226"/>
        <v>0.23356044587151192</v>
      </c>
      <c r="AD217" s="110">
        <f t="shared" si="226"/>
        <v>0.18880636192589328</v>
      </c>
      <c r="AE217" s="111">
        <f t="shared" si="226"/>
        <v>0.3196530385089309</v>
      </c>
      <c r="AF217" s="111">
        <f t="shared" si="226"/>
        <v>0.12715790949889483</v>
      </c>
      <c r="AG217" s="112">
        <f t="shared" si="226"/>
        <v>0.34433386794242993</v>
      </c>
      <c r="AI217" s="106"/>
      <c r="AJ217" s="192"/>
      <c r="AK217" s="111"/>
      <c r="AL217" s="111">
        <f t="shared" ref="AL217:AU217" si="227">+AL214/AK214-1</f>
        <v>1.480728940407912</v>
      </c>
      <c r="AM217" s="111">
        <f t="shared" si="227"/>
        <v>0.53159192069656491</v>
      </c>
      <c r="AN217" s="111">
        <f t="shared" si="227"/>
        <v>0.24112627619903204</v>
      </c>
      <c r="AO217" s="111">
        <f t="shared" si="227"/>
        <v>0.22630704910236599</v>
      </c>
      <c r="AP217" s="111">
        <f t="shared" si="227"/>
        <v>0.22642056776121988</v>
      </c>
      <c r="AQ217" s="111">
        <f t="shared" si="227"/>
        <v>0.19672856516932558</v>
      </c>
      <c r="AR217" s="111">
        <f t="shared" si="227"/>
        <v>0.18145511506912704</v>
      </c>
      <c r="AS217" s="111">
        <f t="shared" si="227"/>
        <v>0.1619674514115732</v>
      </c>
      <c r="AT217" s="111">
        <f t="shared" si="227"/>
        <v>0.14341054901988604</v>
      </c>
      <c r="AU217" s="112">
        <f t="shared" si="227"/>
        <v>0.13058680603582373</v>
      </c>
    </row>
    <row r="218" spans="9:47" s="105" customFormat="1">
      <c r="I218" s="105" t="s">
        <v>228</v>
      </c>
      <c r="R218" s="110"/>
      <c r="S218" s="111">
        <f t="shared" ref="S218:AG218" si="228">+S214/R214-1</f>
        <v>0.9624672679662496</v>
      </c>
      <c r="T218" s="111">
        <f t="shared" si="228"/>
        <v>0.38618729923400053</v>
      </c>
      <c r="U218" s="111">
        <f t="shared" si="228"/>
        <v>0.15264086703862811</v>
      </c>
      <c r="V218" s="110">
        <f t="shared" si="228"/>
        <v>0.16945037270730889</v>
      </c>
      <c r="W218" s="111">
        <f t="shared" si="228"/>
        <v>0.25139184596463848</v>
      </c>
      <c r="X218" s="111">
        <f t="shared" si="228"/>
        <v>0.34897335911824068</v>
      </c>
      <c r="Y218" s="112">
        <f t="shared" si="228"/>
        <v>0.20035722119512411</v>
      </c>
      <c r="Z218" s="110">
        <f t="shared" si="228"/>
        <v>-6.4583496488892278E-2</v>
      </c>
      <c r="AA218" s="111">
        <f t="shared" si="228"/>
        <v>4.5998102307928335E-2</v>
      </c>
      <c r="AB218" s="111">
        <f t="shared" si="228"/>
        <v>0.39183591795897987</v>
      </c>
      <c r="AC218" s="112">
        <f t="shared" si="228"/>
        <v>-9.4191334684742944E-2</v>
      </c>
      <c r="AD218" s="110">
        <f t="shared" si="228"/>
        <v>-9.8520794707526838E-2</v>
      </c>
      <c r="AE218" s="111">
        <f t="shared" si="228"/>
        <v>0.1611265031834348</v>
      </c>
      <c r="AF218" s="111">
        <f t="shared" si="228"/>
        <v>0.18881161780578282</v>
      </c>
      <c r="AG218" s="112">
        <f t="shared" si="228"/>
        <v>8.0335999416791148E-2</v>
      </c>
      <c r="AI218" s="106"/>
      <c r="AJ218" s="192"/>
      <c r="AK218" s="111"/>
      <c r="AL218" s="111"/>
      <c r="AM218" s="111"/>
      <c r="AN218" s="111"/>
      <c r="AO218" s="118"/>
      <c r="AP218" s="118"/>
      <c r="AQ218" s="118"/>
      <c r="AR218" s="118"/>
      <c r="AS218" s="118"/>
      <c r="AT218" s="118"/>
      <c r="AU218" s="119"/>
    </row>
    <row r="219" spans="9:47">
      <c r="I219" s="1" t="s">
        <v>18</v>
      </c>
      <c r="R219" s="42">
        <f t="shared" ref="R219:AG219" si="229">+R214/R$5</f>
        <v>5.2607142857142861</v>
      </c>
      <c r="S219" s="28">
        <f t="shared" si="229"/>
        <v>7.6358490566037736</v>
      </c>
      <c r="T219" s="28">
        <f t="shared" si="229"/>
        <v>3.3542002989536619</v>
      </c>
      <c r="U219" s="28">
        <f t="shared" si="229"/>
        <v>1.9763432972675588</v>
      </c>
      <c r="V219" s="42">
        <f t="shared" si="229"/>
        <v>1.949043765142533</v>
      </c>
      <c r="W219" s="28">
        <f t="shared" si="229"/>
        <v>1.3179893590350706</v>
      </c>
      <c r="X219" s="28">
        <f t="shared" si="229"/>
        <v>0.99569436211038653</v>
      </c>
      <c r="Y219" s="29">
        <f t="shared" si="229"/>
        <v>0.92483190690600059</v>
      </c>
      <c r="Z219" s="42">
        <f t="shared" ref="Z219" si="230">+Z214/Z$5</f>
        <v>0.95779429060194587</v>
      </c>
      <c r="AA219" s="28">
        <f t="shared" si="229"/>
        <v>0.82525554436316195</v>
      </c>
      <c r="AB219" s="28">
        <f t="shared" si="229"/>
        <v>1.0035299153108874</v>
      </c>
      <c r="AC219" s="29">
        <f t="shared" si="229"/>
        <v>0.66160528959407483</v>
      </c>
      <c r="AD219" s="42">
        <f t="shared" si="229"/>
        <v>0.68431322677735795</v>
      </c>
      <c r="AE219" s="28">
        <f t="shared" si="229"/>
        <v>0.67067451457102178</v>
      </c>
      <c r="AF219" s="28">
        <f t="shared" si="229"/>
        <v>0.68975122619660967</v>
      </c>
      <c r="AG219" s="29">
        <f t="shared" si="229"/>
        <v>0.5936930149135663</v>
      </c>
      <c r="AI219" s="22"/>
      <c r="AJ219" s="23"/>
      <c r="AK219" s="28">
        <f>+AK214/AK$5</f>
        <v>3.0999607930041075</v>
      </c>
      <c r="AL219" s="28">
        <f>+AL214/AL$5</f>
        <v>1.1153228079370652</v>
      </c>
      <c r="AM219" s="28">
        <f>+AM214/AM$5</f>
        <v>0.83755965520292774</v>
      </c>
      <c r="AN219" s="28">
        <f>+AN214/AN$5</f>
        <v>0.65312167081649963</v>
      </c>
      <c r="AO219" s="28">
        <f t="shared" ref="AO219:AU219" si="231">+AO214/AO$5</f>
        <v>0.53398846482814422</v>
      </c>
      <c r="AP219" s="28">
        <f t="shared" si="231"/>
        <v>0.45981529439117802</v>
      </c>
      <c r="AQ219" s="28">
        <f t="shared" si="231"/>
        <v>0.40479455168435835</v>
      </c>
      <c r="AR219" s="28">
        <f t="shared" si="231"/>
        <v>0.36735174211337424</v>
      </c>
      <c r="AS219" s="28">
        <f t="shared" si="231"/>
        <v>0.34377329860663924</v>
      </c>
      <c r="AT219" s="28">
        <f t="shared" si="231"/>
        <v>0.32936091089747971</v>
      </c>
      <c r="AU219" s="29">
        <f t="shared" si="231"/>
        <v>0.32052832725252045</v>
      </c>
    </row>
    <row r="220" spans="9:47" s="105" customFormat="1">
      <c r="I220" s="105" t="s">
        <v>225</v>
      </c>
      <c r="R220" s="110"/>
      <c r="S220" s="111"/>
      <c r="T220" s="111"/>
      <c r="U220" s="111"/>
      <c r="V220" s="202">
        <f t="shared" ref="V220:AG220" si="232">+(V219-R219)*10000</f>
        <v>-33116.705205717531</v>
      </c>
      <c r="W220" s="203">
        <f t="shared" si="232"/>
        <v>-63178.596975687025</v>
      </c>
      <c r="X220" s="203">
        <f t="shared" si="232"/>
        <v>-23585.059368432754</v>
      </c>
      <c r="Y220" s="204">
        <f t="shared" si="232"/>
        <v>-10515.113903615582</v>
      </c>
      <c r="Z220" s="202">
        <f t="shared" si="232"/>
        <v>-9912.4947454058711</v>
      </c>
      <c r="AA220" s="203">
        <f t="shared" si="232"/>
        <v>-4927.3381467190866</v>
      </c>
      <c r="AB220" s="203">
        <f t="shared" si="232"/>
        <v>78.355532005008882</v>
      </c>
      <c r="AC220" s="204">
        <f t="shared" si="232"/>
        <v>-2632.2661731192575</v>
      </c>
      <c r="AD220" s="202">
        <f t="shared" si="232"/>
        <v>-2734.8106382458791</v>
      </c>
      <c r="AE220" s="203">
        <f t="shared" si="232"/>
        <v>-1545.8102979214016</v>
      </c>
      <c r="AF220" s="203">
        <f t="shared" si="232"/>
        <v>-3137.7868911427777</v>
      </c>
      <c r="AG220" s="204">
        <f t="shared" si="232"/>
        <v>-679.12274680508528</v>
      </c>
      <c r="AI220" s="106"/>
      <c r="AJ220" s="192"/>
      <c r="AK220" s="111"/>
      <c r="AL220" s="203">
        <f t="shared" ref="AL220:AU220" si="233">+(AL219-AK219)*10000</f>
        <v>-19846.379850670422</v>
      </c>
      <c r="AM220" s="203">
        <f t="shared" si="233"/>
        <v>-2777.6315273413743</v>
      </c>
      <c r="AN220" s="203">
        <f t="shared" si="233"/>
        <v>-1844.3798438642812</v>
      </c>
      <c r="AO220" s="203">
        <f t="shared" si="233"/>
        <v>-1191.3320598835542</v>
      </c>
      <c r="AP220" s="203">
        <f t="shared" si="233"/>
        <v>-741.731704369662</v>
      </c>
      <c r="AQ220" s="203">
        <f t="shared" si="233"/>
        <v>-550.20742706819669</v>
      </c>
      <c r="AR220" s="203">
        <f t="shared" si="233"/>
        <v>-374.42809570984116</v>
      </c>
      <c r="AS220" s="203">
        <f t="shared" si="233"/>
        <v>-235.78443506734993</v>
      </c>
      <c r="AT220" s="203">
        <f t="shared" si="233"/>
        <v>-144.12387709159535</v>
      </c>
      <c r="AU220" s="204">
        <f t="shared" si="233"/>
        <v>-88.325836449592572</v>
      </c>
    </row>
    <row r="221" spans="9:47" s="105" customFormat="1">
      <c r="I221" s="105" t="s">
        <v>226</v>
      </c>
      <c r="R221" s="202"/>
      <c r="S221" s="203">
        <f t="shared" ref="S221:AG221" si="234">+(S219-R219)*10000</f>
        <v>23751.347708894875</v>
      </c>
      <c r="T221" s="203">
        <f t="shared" si="234"/>
        <v>-42816.487576501124</v>
      </c>
      <c r="U221" s="203">
        <f t="shared" si="234"/>
        <v>-13778.570016861031</v>
      </c>
      <c r="V221" s="202">
        <f t="shared" si="234"/>
        <v>-272.9953212502578</v>
      </c>
      <c r="W221" s="203">
        <f t="shared" si="234"/>
        <v>-6310.5440610746236</v>
      </c>
      <c r="X221" s="203">
        <f t="shared" si="234"/>
        <v>-3222.9499692468412</v>
      </c>
      <c r="Y221" s="204">
        <f t="shared" si="234"/>
        <v>-708.62455204385947</v>
      </c>
      <c r="Z221" s="202">
        <f t="shared" si="234"/>
        <v>329.62383695945283</v>
      </c>
      <c r="AA221" s="203">
        <f t="shared" si="234"/>
        <v>-1325.3874623878392</v>
      </c>
      <c r="AB221" s="203">
        <f t="shared" si="234"/>
        <v>1782.7437094772547</v>
      </c>
      <c r="AC221" s="204">
        <f t="shared" si="234"/>
        <v>-3419.2462571681258</v>
      </c>
      <c r="AD221" s="202">
        <f t="shared" si="234"/>
        <v>227.07937183283121</v>
      </c>
      <c r="AE221" s="203">
        <f t="shared" si="234"/>
        <v>-136.38712206336169</v>
      </c>
      <c r="AF221" s="203">
        <f t="shared" si="234"/>
        <v>190.76711625587882</v>
      </c>
      <c r="AG221" s="204">
        <f t="shared" si="234"/>
        <v>-960.58211283043374</v>
      </c>
      <c r="AI221" s="106"/>
      <c r="AJ221" s="192"/>
      <c r="AK221" s="111"/>
      <c r="AL221" s="111"/>
      <c r="AM221" s="111"/>
      <c r="AN221" s="111"/>
      <c r="AO221" s="118"/>
      <c r="AP221" s="118"/>
      <c r="AQ221" s="118"/>
      <c r="AR221" s="118"/>
      <c r="AS221" s="118"/>
      <c r="AT221" s="118"/>
      <c r="AU221" s="119"/>
    </row>
    <row r="222" spans="9:47">
      <c r="R222" s="47"/>
      <c r="S222" s="48"/>
      <c r="T222" s="48"/>
      <c r="U222" s="48"/>
      <c r="V222" s="47"/>
      <c r="W222" s="48"/>
      <c r="X222" s="48"/>
      <c r="Y222" s="49"/>
      <c r="Z222" s="47"/>
      <c r="AA222" s="48"/>
      <c r="AB222" s="48"/>
      <c r="AC222" s="49"/>
      <c r="AD222" s="47"/>
      <c r="AE222" s="48"/>
      <c r="AF222" s="48"/>
      <c r="AG222" s="49"/>
      <c r="AI222" s="22"/>
      <c r="AJ222" s="23"/>
      <c r="AK222" s="37"/>
      <c r="AL222" s="37"/>
      <c r="AM222" s="23"/>
      <c r="AN222" s="23"/>
      <c r="AO222" s="23"/>
      <c r="AP222" s="23"/>
      <c r="AQ222" s="23"/>
      <c r="AR222" s="23"/>
      <c r="AS222" s="23"/>
      <c r="AT222" s="23"/>
      <c r="AU222" s="24"/>
    </row>
    <row r="223" spans="9:47">
      <c r="I223" s="11" t="s">
        <v>324</v>
      </c>
      <c r="J223" s="30"/>
      <c r="K223" s="31"/>
      <c r="L223" s="31"/>
      <c r="M223" s="32"/>
      <c r="N223" s="43"/>
      <c r="O223" s="31"/>
      <c r="P223" s="31"/>
      <c r="Q223" s="31"/>
      <c r="R223" s="43"/>
      <c r="S223" s="31"/>
      <c r="T223" s="31"/>
      <c r="U223" s="31"/>
      <c r="V223" s="43"/>
      <c r="W223" s="31"/>
      <c r="X223" s="59"/>
      <c r="Y223" s="60"/>
      <c r="Z223" s="43"/>
      <c r="AA223" s="59"/>
      <c r="AB223" s="59"/>
      <c r="AC223" s="60"/>
      <c r="AD223" s="30"/>
      <c r="AE223" s="59"/>
      <c r="AF223" s="59"/>
      <c r="AG223" s="60"/>
      <c r="AH223" s="10"/>
      <c r="AI223" s="30"/>
      <c r="AJ223" s="59"/>
      <c r="AK223" s="59"/>
      <c r="AL223" s="59"/>
      <c r="AM223" s="59"/>
      <c r="AN223" s="59"/>
      <c r="AO223" s="59"/>
      <c r="AP223" s="59"/>
      <c r="AQ223" s="59"/>
      <c r="AR223" s="59"/>
      <c r="AS223" s="59"/>
      <c r="AT223" s="59"/>
      <c r="AU223" s="60"/>
    </row>
    <row r="224" spans="9:47">
      <c r="I224" s="1" t="s">
        <v>324</v>
      </c>
      <c r="R224" s="48">
        <f t="shared" ref="R224:AG224" si="235">+R127-R159</f>
        <v>13.872</v>
      </c>
      <c r="S224" s="48">
        <f t="shared" si="235"/>
        <v>14.962</v>
      </c>
      <c r="T224" s="48">
        <f t="shared" si="235"/>
        <v>16.350999999999999</v>
      </c>
      <c r="U224" s="48">
        <f t="shared" si="235"/>
        <v>26.741</v>
      </c>
      <c r="V224" s="47">
        <f t="shared" si="235"/>
        <v>25.45</v>
      </c>
      <c r="W224" s="48">
        <f t="shared" si="235"/>
        <v>33.351999999999997</v>
      </c>
      <c r="X224" s="48">
        <f t="shared" si="235"/>
        <v>42.423999999999999</v>
      </c>
      <c r="Y224" s="49">
        <f t="shared" si="235"/>
        <v>60.515000000000001</v>
      </c>
      <c r="Z224" s="47">
        <f t="shared" ref="Z224" si="236">+Z127-Z159</f>
        <v>83.718999999999937</v>
      </c>
      <c r="AA224" s="48">
        <f t="shared" si="235"/>
        <v>91.887</v>
      </c>
      <c r="AB224" s="48">
        <f t="shared" si="235"/>
        <v>92.911000000000001</v>
      </c>
      <c r="AC224" s="49">
        <f t="shared" si="235"/>
        <v>102.50700000000001</v>
      </c>
      <c r="AD224" s="47">
        <f t="shared" si="235"/>
        <v>144.38892875540228</v>
      </c>
      <c r="AE224" s="48">
        <f t="shared" si="235"/>
        <v>114.06967935565548</v>
      </c>
      <c r="AF224" s="48">
        <f t="shared" si="235"/>
        <v>97.776679355655475</v>
      </c>
      <c r="AG224" s="49">
        <f t="shared" si="235"/>
        <v>92.172679355655461</v>
      </c>
      <c r="AI224" s="22"/>
      <c r="AK224" s="3">
        <f t="shared" ref="AK224:AU224" si="237">+AK127-AK159</f>
        <v>71.926000000000016</v>
      </c>
      <c r="AL224" s="3">
        <f t="shared" si="237"/>
        <v>161.74099999999999</v>
      </c>
      <c r="AM224" s="3">
        <f t="shared" si="237"/>
        <v>371.02400000000011</v>
      </c>
      <c r="AN224" s="3">
        <f>+AN127-AN159</f>
        <v>448.40796682236862</v>
      </c>
      <c r="AO224" s="3">
        <f>+AO127-AO159</f>
        <v>465.44191932597016</v>
      </c>
      <c r="AP224" s="3">
        <f t="shared" si="237"/>
        <v>591.64903287204766</v>
      </c>
      <c r="AQ224" s="3">
        <f t="shared" si="237"/>
        <v>740.95271550181155</v>
      </c>
      <c r="AR224" s="3">
        <f t="shared" si="237"/>
        <v>898.60770127690216</v>
      </c>
      <c r="AS224" s="3">
        <f t="shared" si="237"/>
        <v>1055.3954363407472</v>
      </c>
      <c r="AT224" s="3">
        <f t="shared" si="237"/>
        <v>1211.2725581577847</v>
      </c>
      <c r="AU224" s="49">
        <f t="shared" si="237"/>
        <v>1366.1935360656739</v>
      </c>
    </row>
    <row r="225" spans="9:48">
      <c r="I225" s="1" t="s">
        <v>86</v>
      </c>
      <c r="R225" s="101"/>
      <c r="S225" s="102"/>
      <c r="T225" s="102"/>
      <c r="U225" s="102"/>
      <c r="V225" s="25">
        <f t="shared" ref="V225:AG225" si="238">+V224-R224</f>
        <v>11.577999999999999</v>
      </c>
      <c r="W225" s="26">
        <f t="shared" si="238"/>
        <v>18.389999999999997</v>
      </c>
      <c r="X225" s="26">
        <f t="shared" si="238"/>
        <v>26.073</v>
      </c>
      <c r="Y225" s="27">
        <f t="shared" si="238"/>
        <v>33.774000000000001</v>
      </c>
      <c r="Z225" s="25">
        <f t="shared" si="238"/>
        <v>58.268999999999934</v>
      </c>
      <c r="AA225" s="26">
        <f t="shared" si="238"/>
        <v>58.535000000000004</v>
      </c>
      <c r="AB225" s="26">
        <f t="shared" si="238"/>
        <v>50.487000000000002</v>
      </c>
      <c r="AC225" s="27">
        <f t="shared" si="238"/>
        <v>41.992000000000004</v>
      </c>
      <c r="AD225" s="25">
        <f t="shared" si="238"/>
        <v>60.669928755402339</v>
      </c>
      <c r="AE225" s="26">
        <f t="shared" si="238"/>
        <v>22.18267935565548</v>
      </c>
      <c r="AF225" s="26">
        <f t="shared" si="238"/>
        <v>4.8656793556554732</v>
      </c>
      <c r="AG225" s="27">
        <f t="shared" si="238"/>
        <v>-10.334320644344544</v>
      </c>
      <c r="AI225" s="22"/>
      <c r="AJ225" s="23"/>
      <c r="AK225" s="37"/>
      <c r="AL225" s="26">
        <f t="shared" ref="AL225:AU225" si="239">+AL224-AK224</f>
        <v>89.814999999999969</v>
      </c>
      <c r="AM225" s="26">
        <f t="shared" si="239"/>
        <v>209.28300000000013</v>
      </c>
      <c r="AN225" s="26">
        <f t="shared" si="239"/>
        <v>77.383966822368507</v>
      </c>
      <c r="AO225" s="26">
        <f t="shared" si="239"/>
        <v>17.03395250360154</v>
      </c>
      <c r="AP225" s="26">
        <f t="shared" si="239"/>
        <v>126.20711354607749</v>
      </c>
      <c r="AQ225" s="26">
        <f t="shared" si="239"/>
        <v>149.3036826297639</v>
      </c>
      <c r="AR225" s="26">
        <f t="shared" si="239"/>
        <v>157.65498577509061</v>
      </c>
      <c r="AS225" s="26">
        <f t="shared" si="239"/>
        <v>156.78773506384505</v>
      </c>
      <c r="AT225" s="26">
        <f t="shared" si="239"/>
        <v>155.87712181703751</v>
      </c>
      <c r="AU225" s="27">
        <f t="shared" si="239"/>
        <v>154.92097790788921</v>
      </c>
    </row>
    <row r="226" spans="9:48">
      <c r="I226" s="1" t="s">
        <v>87</v>
      </c>
      <c r="R226" s="101"/>
      <c r="S226" s="26">
        <f t="shared" ref="S226:AG226" si="240">+S224-R224</f>
        <v>1.0899999999999999</v>
      </c>
      <c r="T226" s="26">
        <f t="shared" si="240"/>
        <v>1.3889999999999993</v>
      </c>
      <c r="U226" s="26">
        <f t="shared" si="240"/>
        <v>10.39</v>
      </c>
      <c r="V226" s="25">
        <f t="shared" si="240"/>
        <v>-1.2910000000000004</v>
      </c>
      <c r="W226" s="26">
        <f t="shared" si="240"/>
        <v>7.9019999999999975</v>
      </c>
      <c r="X226" s="26">
        <f t="shared" si="240"/>
        <v>9.0720000000000027</v>
      </c>
      <c r="Y226" s="27">
        <f t="shared" si="240"/>
        <v>18.091000000000001</v>
      </c>
      <c r="Z226" s="25">
        <f t="shared" si="240"/>
        <v>23.203999999999937</v>
      </c>
      <c r="AA226" s="26">
        <f t="shared" si="240"/>
        <v>8.1680000000000632</v>
      </c>
      <c r="AB226" s="26">
        <f t="shared" si="240"/>
        <v>1.0240000000000009</v>
      </c>
      <c r="AC226" s="27">
        <f t="shared" si="240"/>
        <v>9.5960000000000036</v>
      </c>
      <c r="AD226" s="25">
        <f t="shared" si="240"/>
        <v>41.881928755402271</v>
      </c>
      <c r="AE226" s="26">
        <f t="shared" si="240"/>
        <v>-30.319249399746795</v>
      </c>
      <c r="AF226" s="26">
        <f t="shared" si="240"/>
        <v>-16.293000000000006</v>
      </c>
      <c r="AG226" s="27">
        <f t="shared" si="240"/>
        <v>-5.6040000000000134</v>
      </c>
      <c r="AI226" s="22"/>
      <c r="AJ226" s="23"/>
      <c r="AK226" s="37"/>
      <c r="AL226" s="37"/>
      <c r="AM226" s="23"/>
      <c r="AN226" s="23"/>
      <c r="AO226" s="23"/>
      <c r="AP226" s="23"/>
      <c r="AQ226" s="23"/>
      <c r="AR226" s="23"/>
      <c r="AS226" s="23"/>
      <c r="AT226" s="23"/>
      <c r="AU226" s="24"/>
    </row>
    <row r="227" spans="9:48" s="105" customFormat="1">
      <c r="I227" s="105" t="s">
        <v>227</v>
      </c>
      <c r="R227" s="110"/>
      <c r="S227" s="111"/>
      <c r="T227" s="111"/>
      <c r="U227" s="111"/>
      <c r="V227" s="110">
        <f t="shared" ref="V227:AG227" si="241">+V224/R224-1</f>
        <v>0.83463091118800459</v>
      </c>
      <c r="W227" s="111">
        <f t="shared" si="241"/>
        <v>1.2291137548456086</v>
      </c>
      <c r="X227" s="111">
        <f t="shared" si="241"/>
        <v>1.594581371169959</v>
      </c>
      <c r="Y227" s="112">
        <f t="shared" si="241"/>
        <v>1.2630043753038405</v>
      </c>
      <c r="Z227" s="110">
        <f t="shared" si="241"/>
        <v>2.2895481335952823</v>
      </c>
      <c r="AA227" s="111">
        <f t="shared" si="241"/>
        <v>1.7550671623890626</v>
      </c>
      <c r="AB227" s="111">
        <f t="shared" si="241"/>
        <v>1.1900575146143693</v>
      </c>
      <c r="AC227" s="112">
        <f t="shared" si="241"/>
        <v>0.69391060067751797</v>
      </c>
      <c r="AD227" s="110">
        <f t="shared" si="241"/>
        <v>0.72468530148953514</v>
      </c>
      <c r="AE227" s="111">
        <f t="shared" si="241"/>
        <v>0.24141259759982892</v>
      </c>
      <c r="AF227" s="111">
        <f t="shared" si="241"/>
        <v>5.2369249665330075E-2</v>
      </c>
      <c r="AG227" s="112">
        <f t="shared" si="241"/>
        <v>-0.1008157554542084</v>
      </c>
      <c r="AI227" s="106"/>
      <c r="AJ227" s="192"/>
      <c r="AK227" s="111"/>
      <c r="AL227" s="111">
        <f t="shared" ref="AL227:AU227" si="242">+AL224/AK224-1</f>
        <v>1.2487139560103433</v>
      </c>
      <c r="AM227" s="111">
        <f t="shared" si="242"/>
        <v>1.2939390754354192</v>
      </c>
      <c r="AN227" s="111">
        <f t="shared" si="242"/>
        <v>0.20856862850480962</v>
      </c>
      <c r="AO227" s="111">
        <f t="shared" si="242"/>
        <v>3.7987622352725348E-2</v>
      </c>
      <c r="AP227" s="111">
        <f t="shared" si="242"/>
        <v>0.2711554509934222</v>
      </c>
      <c r="AQ227" s="111">
        <f t="shared" si="242"/>
        <v>0.25235177332243341</v>
      </c>
      <c r="AR227" s="111">
        <f t="shared" si="242"/>
        <v>0.21277334231553291</v>
      </c>
      <c r="AS227" s="111">
        <f t="shared" si="242"/>
        <v>0.17447851252671565</v>
      </c>
      <c r="AT227" s="111">
        <f t="shared" si="242"/>
        <v>0.14769546697822822</v>
      </c>
      <c r="AU227" s="112">
        <f t="shared" si="242"/>
        <v>0.12789935416642084</v>
      </c>
    </row>
    <row r="228" spans="9:48" s="105" customFormat="1">
      <c r="I228" s="105" t="s">
        <v>228</v>
      </c>
      <c r="R228" s="110"/>
      <c r="S228" s="111">
        <f t="shared" ref="S228:AG228" si="243">+S224/R224-1</f>
        <v>7.8575547866205353E-2</v>
      </c>
      <c r="T228" s="111">
        <f t="shared" si="243"/>
        <v>9.2835182462237542E-2</v>
      </c>
      <c r="U228" s="111">
        <f t="shared" si="243"/>
        <v>0.63543514158155467</v>
      </c>
      <c r="V228" s="110">
        <f t="shared" si="243"/>
        <v>-4.8277925283272904E-2</v>
      </c>
      <c r="W228" s="111">
        <f t="shared" si="243"/>
        <v>0.31049115913555991</v>
      </c>
      <c r="X228" s="111">
        <f t="shared" si="243"/>
        <v>0.27200767570160722</v>
      </c>
      <c r="Y228" s="112">
        <f t="shared" si="243"/>
        <v>0.42643315104657753</v>
      </c>
      <c r="Z228" s="110">
        <f t="shared" si="243"/>
        <v>0.38344212178798531</v>
      </c>
      <c r="AA228" s="111">
        <f t="shared" si="243"/>
        <v>9.7564471625318783E-2</v>
      </c>
      <c r="AB228" s="111">
        <f t="shared" si="243"/>
        <v>1.1144122672412937E-2</v>
      </c>
      <c r="AC228" s="112">
        <f t="shared" si="243"/>
        <v>0.1032816351131729</v>
      </c>
      <c r="AD228" s="110">
        <f t="shared" si="243"/>
        <v>0.40857628020917858</v>
      </c>
      <c r="AE228" s="111">
        <f t="shared" si="243"/>
        <v>-0.20998320065874443</v>
      </c>
      <c r="AF228" s="111">
        <f t="shared" si="243"/>
        <v>-0.14283374944186877</v>
      </c>
      <c r="AG228" s="112">
        <f t="shared" si="243"/>
        <v>-5.7314280224386338E-2</v>
      </c>
      <c r="AI228" s="106"/>
      <c r="AJ228" s="192"/>
      <c r="AK228" s="111"/>
      <c r="AL228" s="111"/>
      <c r="AM228" s="111"/>
      <c r="AN228" s="111"/>
      <c r="AO228" s="118"/>
      <c r="AP228" s="118"/>
      <c r="AQ228" s="118"/>
      <c r="AR228" s="118"/>
      <c r="AS228" s="118"/>
      <c r="AT228" s="118"/>
      <c r="AU228" s="119"/>
    </row>
    <row r="229" spans="9:48" s="7" customFormat="1">
      <c r="I229" s="7" t="s">
        <v>18</v>
      </c>
      <c r="R229" s="379">
        <f t="shared" ref="R229:AG229" si="244">+R224/R$5</f>
        <v>3.5387755102040819</v>
      </c>
      <c r="S229" s="297">
        <f t="shared" si="244"/>
        <v>2.8230188679245285</v>
      </c>
      <c r="T229" s="297">
        <f t="shared" si="244"/>
        <v>0.97763826606875925</v>
      </c>
      <c r="U229" s="297">
        <f t="shared" si="244"/>
        <v>0.81731768445503994</v>
      </c>
      <c r="V229" s="379">
        <f t="shared" si="244"/>
        <v>0.65596164750760344</v>
      </c>
      <c r="W229" s="297">
        <f t="shared" si="244"/>
        <v>0.46452547424719348</v>
      </c>
      <c r="X229" s="297">
        <f t="shared" si="244"/>
        <v>0.33091011200898568</v>
      </c>
      <c r="Y229" s="380">
        <f t="shared" si="244"/>
        <v>0.3652478845016357</v>
      </c>
      <c r="Z229" s="379">
        <f t="shared" ref="Z229" si="245">+Z224/Z$5</f>
        <v>0.55943948465732884</v>
      </c>
      <c r="AA229" s="297">
        <f t="shared" si="244"/>
        <v>0.50578793533365263</v>
      </c>
      <c r="AB229" s="297">
        <f t="shared" si="244"/>
        <v>0.44682283576275506</v>
      </c>
      <c r="AC229" s="380">
        <f t="shared" si="244"/>
        <v>0.35880123069168657</v>
      </c>
      <c r="AD229" s="379">
        <f t="shared" si="244"/>
        <v>0.57987521588514968</v>
      </c>
      <c r="AE229" s="297">
        <f t="shared" si="244"/>
        <v>0.38667687917171351</v>
      </c>
      <c r="AF229" s="297">
        <f t="shared" si="244"/>
        <v>0.28673513007523599</v>
      </c>
      <c r="AG229" s="380">
        <f t="shared" si="244"/>
        <v>0.21535672746648471</v>
      </c>
      <c r="AI229" s="33"/>
      <c r="AJ229" s="34"/>
      <c r="AK229" s="297">
        <f>+AK224/AK$5</f>
        <v>1.2260879941359972</v>
      </c>
      <c r="AL229" s="297">
        <f>+AL224/AL$5</f>
        <v>0.39987193496867596</v>
      </c>
      <c r="AM229" s="297">
        <f>+AM224/AM$5</f>
        <v>0.44975386357217251</v>
      </c>
      <c r="AN229" s="297">
        <f>+AN224/AN$5</f>
        <v>0.34151406460195632</v>
      </c>
      <c r="AO229" s="297">
        <f t="shared" ref="AO229:AU229" si="246">+AO224/AO$5</f>
        <v>0.23634113970629786</v>
      </c>
      <c r="AP229" s="297">
        <f t="shared" si="246"/>
        <v>0.21093570631881062</v>
      </c>
      <c r="AQ229" s="297">
        <f t="shared" si="246"/>
        <v>0.19432649830700888</v>
      </c>
      <c r="AR229" s="297">
        <f t="shared" si="246"/>
        <v>0.18102638777965541</v>
      </c>
      <c r="AS229" s="297">
        <f t="shared" si="246"/>
        <v>0.1712312534491475</v>
      </c>
      <c r="AT229" s="297">
        <f t="shared" si="246"/>
        <v>0.16466732148350083</v>
      </c>
      <c r="AU229" s="380">
        <f t="shared" si="246"/>
        <v>0.1598704576779886</v>
      </c>
    </row>
    <row r="230" spans="9:48" s="105" customFormat="1">
      <c r="I230" s="105" t="s">
        <v>225</v>
      </c>
      <c r="R230" s="110"/>
      <c r="S230" s="111"/>
      <c r="T230" s="111"/>
      <c r="U230" s="111"/>
      <c r="V230" s="202">
        <f t="shared" ref="V230:AG230" si="247">+(V229-R229)*10000</f>
        <v>-28828.138626964785</v>
      </c>
      <c r="W230" s="203">
        <f t="shared" si="247"/>
        <v>-23584.933936773348</v>
      </c>
      <c r="X230" s="203">
        <f t="shared" si="247"/>
        <v>-6467.2815405977353</v>
      </c>
      <c r="Y230" s="204">
        <f t="shared" si="247"/>
        <v>-4520.6979995340425</v>
      </c>
      <c r="Z230" s="202">
        <f t="shared" si="247"/>
        <v>-965.22162850274594</v>
      </c>
      <c r="AA230" s="203">
        <f t="shared" si="247"/>
        <v>412.62461086459143</v>
      </c>
      <c r="AB230" s="203">
        <f t="shared" si="247"/>
        <v>1159.1272375376936</v>
      </c>
      <c r="AC230" s="204">
        <f t="shared" si="247"/>
        <v>-64.466538099491316</v>
      </c>
      <c r="AD230" s="202">
        <f t="shared" si="247"/>
        <v>204.3573122782083</v>
      </c>
      <c r="AE230" s="203">
        <f t="shared" si="247"/>
        <v>-1191.1105616193913</v>
      </c>
      <c r="AF230" s="203">
        <f t="shared" si="247"/>
        <v>-1600.8770568751906</v>
      </c>
      <c r="AG230" s="204">
        <f t="shared" si="247"/>
        <v>-1434.4450322520186</v>
      </c>
      <c r="AI230" s="106"/>
      <c r="AJ230" s="192"/>
      <c r="AK230" s="111"/>
      <c r="AL230" s="203">
        <f t="shared" ref="AL230:AU230" si="248">+(AL229-AK229)*10000</f>
        <v>-8262.1605916732133</v>
      </c>
      <c r="AM230" s="203">
        <f t="shared" si="248"/>
        <v>498.8192860349655</v>
      </c>
      <c r="AN230" s="203">
        <f t="shared" si="248"/>
        <v>-1082.3979897021618</v>
      </c>
      <c r="AO230" s="203">
        <f t="shared" si="248"/>
        <v>-1051.7292489565846</v>
      </c>
      <c r="AP230" s="203">
        <f t="shared" si="248"/>
        <v>-254.05433387487241</v>
      </c>
      <c r="AQ230" s="203">
        <f t="shared" si="248"/>
        <v>-166.09208011801741</v>
      </c>
      <c r="AR230" s="203">
        <f t="shared" si="248"/>
        <v>-133.00110527353471</v>
      </c>
      <c r="AS230" s="203">
        <f t="shared" si="248"/>
        <v>-97.951343305079092</v>
      </c>
      <c r="AT230" s="203">
        <f t="shared" si="248"/>
        <v>-65.639319656466682</v>
      </c>
      <c r="AU230" s="204">
        <f t="shared" si="248"/>
        <v>-47.968638055122248</v>
      </c>
    </row>
    <row r="231" spans="9:48" s="105" customFormat="1">
      <c r="I231" s="105" t="s">
        <v>226</v>
      </c>
      <c r="R231" s="202"/>
      <c r="S231" s="203">
        <f t="shared" ref="S231:AG231" si="249">+(S229-R229)*10000</f>
        <v>-7157.566422795534</v>
      </c>
      <c r="T231" s="203">
        <f t="shared" si="249"/>
        <v>-18453.806018557694</v>
      </c>
      <c r="U231" s="203">
        <f t="shared" si="249"/>
        <v>-1603.2058161371931</v>
      </c>
      <c r="V231" s="202">
        <f t="shared" si="249"/>
        <v>-1613.560369474365</v>
      </c>
      <c r="W231" s="203">
        <f t="shared" si="249"/>
        <v>-1914.3617326040996</v>
      </c>
      <c r="X231" s="203">
        <f t="shared" si="249"/>
        <v>-1336.1536223820781</v>
      </c>
      <c r="Y231" s="204">
        <f t="shared" si="249"/>
        <v>343.37772492650021</v>
      </c>
      <c r="Z231" s="202">
        <f t="shared" si="249"/>
        <v>1941.9160015569314</v>
      </c>
      <c r="AA231" s="203">
        <f t="shared" si="249"/>
        <v>-536.51549323676215</v>
      </c>
      <c r="AB231" s="203">
        <f t="shared" si="249"/>
        <v>-589.65099570897576</v>
      </c>
      <c r="AC231" s="204">
        <f t="shared" si="249"/>
        <v>-880.21605071068484</v>
      </c>
      <c r="AD231" s="202">
        <f t="shared" si="249"/>
        <v>2210.7398519346311</v>
      </c>
      <c r="AE231" s="203">
        <f t="shared" si="249"/>
        <v>-1931.9833671343617</v>
      </c>
      <c r="AF231" s="203">
        <f t="shared" si="249"/>
        <v>-999.4174909647752</v>
      </c>
      <c r="AG231" s="204">
        <f t="shared" si="249"/>
        <v>-713.78402608751276</v>
      </c>
      <c r="AI231" s="106"/>
      <c r="AJ231" s="192"/>
      <c r="AK231" s="111"/>
      <c r="AL231" s="111"/>
      <c r="AM231" s="111"/>
      <c r="AN231" s="111"/>
      <c r="AO231" s="118"/>
      <c r="AP231" s="118"/>
      <c r="AQ231" s="118"/>
      <c r="AR231" s="118"/>
      <c r="AS231" s="118"/>
      <c r="AT231" s="118"/>
      <c r="AU231" s="119"/>
    </row>
    <row r="232" spans="9:48">
      <c r="R232" s="23"/>
      <c r="S232" s="23"/>
      <c r="T232" s="23"/>
      <c r="U232" s="23"/>
      <c r="V232" s="22"/>
      <c r="W232" s="23"/>
      <c r="X232" s="23"/>
      <c r="Y232" s="24"/>
      <c r="Z232" s="22"/>
      <c r="AA232" s="23"/>
      <c r="AB232" s="23"/>
      <c r="AC232" s="24"/>
      <c r="AD232" s="22"/>
      <c r="AE232" s="23"/>
      <c r="AF232" s="23"/>
      <c r="AG232" s="24"/>
      <c r="AI232" s="22"/>
      <c r="AU232" s="24"/>
    </row>
    <row r="233" spans="9:48">
      <c r="I233" s="11" t="s">
        <v>326</v>
      </c>
      <c r="R233" s="11"/>
      <c r="S233" s="11"/>
      <c r="T233" s="11"/>
      <c r="U233" s="11"/>
      <c r="V233" s="211"/>
      <c r="W233" s="212"/>
      <c r="X233" s="212"/>
      <c r="Y233" s="213"/>
      <c r="Z233" s="211"/>
      <c r="AA233" s="212"/>
      <c r="AB233" s="212"/>
      <c r="AC233" s="213"/>
      <c r="AD233" s="211"/>
      <c r="AE233" s="212"/>
      <c r="AF233" s="212"/>
      <c r="AG233" s="213"/>
      <c r="AH233" s="11"/>
      <c r="AI233" s="211"/>
      <c r="AJ233" s="11"/>
      <c r="AK233" s="11"/>
      <c r="AL233" s="11"/>
      <c r="AM233" s="11"/>
      <c r="AN233" s="11"/>
      <c r="AO233" s="11"/>
      <c r="AP233" s="11"/>
      <c r="AQ233" s="11"/>
      <c r="AR233" s="11"/>
      <c r="AS233" s="11"/>
      <c r="AT233" s="11"/>
      <c r="AU233" s="213"/>
    </row>
    <row r="234" spans="9:48">
      <c r="I234" s="1" t="s">
        <v>327</v>
      </c>
      <c r="R234" s="48">
        <f t="shared" ref="R234:AG234" si="250">+R138-R160</f>
        <v>2.6229999999999998</v>
      </c>
      <c r="S234" s="48">
        <f t="shared" si="250"/>
        <v>4.9969999999999999</v>
      </c>
      <c r="T234" s="48">
        <f t="shared" si="250"/>
        <v>7.3439999999999994</v>
      </c>
      <c r="U234" s="48">
        <f t="shared" si="250"/>
        <v>8.718</v>
      </c>
      <c r="V234" s="47">
        <f t="shared" si="250"/>
        <v>13.962</v>
      </c>
      <c r="W234" s="48">
        <f t="shared" si="250"/>
        <v>24.033999999999999</v>
      </c>
      <c r="X234" s="48">
        <f t="shared" si="250"/>
        <v>33.407000000000004</v>
      </c>
      <c r="Y234" s="49">
        <f t="shared" si="250"/>
        <v>49.012</v>
      </c>
      <c r="Z234" s="47">
        <f t="shared" ref="Z234" si="251">+Z138-Z160</f>
        <v>58.790999999999997</v>
      </c>
      <c r="AA234" s="48">
        <f t="shared" si="250"/>
        <v>70.344999999999999</v>
      </c>
      <c r="AB234" s="48">
        <f t="shared" si="250"/>
        <v>73.542999999999992</v>
      </c>
      <c r="AC234" s="49">
        <f t="shared" si="250"/>
        <v>81.09899999999999</v>
      </c>
      <c r="AD234" s="47">
        <f t="shared" si="250"/>
        <v>89.403677085607015</v>
      </c>
      <c r="AE234" s="48">
        <f t="shared" si="250"/>
        <v>84.882242153053653</v>
      </c>
      <c r="AF234" s="48">
        <f t="shared" si="250"/>
        <v>95.490242153053643</v>
      </c>
      <c r="AG234" s="49">
        <f t="shared" si="250"/>
        <v>119.43724215305365</v>
      </c>
      <c r="AI234" s="22"/>
      <c r="AK234" s="3">
        <f t="shared" ref="AK234:AU234" si="252">+AK138-AK160</f>
        <v>23.682000000000002</v>
      </c>
      <c r="AL234" s="3">
        <f t="shared" si="252"/>
        <v>120.41500000000001</v>
      </c>
      <c r="AM234" s="3">
        <f t="shared" si="252"/>
        <v>283.77800000000002</v>
      </c>
      <c r="AN234" s="3">
        <f t="shared" si="252"/>
        <v>389.21340354476786</v>
      </c>
      <c r="AO234" s="3">
        <f t="shared" si="252"/>
        <v>481.84385493517254</v>
      </c>
      <c r="AP234" s="3">
        <f t="shared" si="252"/>
        <v>606.52496332998635</v>
      </c>
      <c r="AQ234" s="3">
        <f t="shared" si="252"/>
        <v>740.78056039638523</v>
      </c>
      <c r="AR234" s="3">
        <f t="shared" si="252"/>
        <v>876.90308841620458</v>
      </c>
      <c r="AS234" s="3">
        <f t="shared" si="252"/>
        <v>1012.8317428370148</v>
      </c>
      <c r="AT234" s="3">
        <f t="shared" si="252"/>
        <v>1148.5568299788656</v>
      </c>
      <c r="AU234" s="49">
        <f t="shared" si="252"/>
        <v>1284.0681714778088</v>
      </c>
      <c r="AV234" s="3"/>
    </row>
    <row r="235" spans="9:48">
      <c r="I235" s="1" t="s">
        <v>86</v>
      </c>
      <c r="R235" s="101"/>
      <c r="S235" s="102"/>
      <c r="T235" s="102"/>
      <c r="U235" s="102"/>
      <c r="V235" s="25">
        <f t="shared" ref="V235:AG235" si="253">+V234-R234</f>
        <v>11.339</v>
      </c>
      <c r="W235" s="26">
        <f t="shared" si="253"/>
        <v>19.036999999999999</v>
      </c>
      <c r="X235" s="26">
        <f t="shared" si="253"/>
        <v>26.063000000000002</v>
      </c>
      <c r="Y235" s="27">
        <f t="shared" si="253"/>
        <v>40.293999999999997</v>
      </c>
      <c r="Z235" s="25">
        <f t="shared" si="253"/>
        <v>44.828999999999994</v>
      </c>
      <c r="AA235" s="26">
        <f t="shared" si="253"/>
        <v>46.311</v>
      </c>
      <c r="AB235" s="26">
        <f t="shared" si="253"/>
        <v>40.135999999999989</v>
      </c>
      <c r="AC235" s="27">
        <f t="shared" si="253"/>
        <v>32.086999999999989</v>
      </c>
      <c r="AD235" s="25">
        <f t="shared" si="253"/>
        <v>30.612677085607018</v>
      </c>
      <c r="AE235" s="26">
        <f t="shared" si="253"/>
        <v>14.537242153053654</v>
      </c>
      <c r="AF235" s="26">
        <f t="shared" si="253"/>
        <v>21.947242153053651</v>
      </c>
      <c r="AG235" s="27">
        <f t="shared" si="253"/>
        <v>38.338242153053656</v>
      </c>
      <c r="AI235" s="22"/>
      <c r="AJ235" s="23"/>
      <c r="AK235" s="37"/>
      <c r="AL235" s="26">
        <f t="shared" ref="AL235:AU235" si="254">+AL234-AK234</f>
        <v>96.733000000000004</v>
      </c>
      <c r="AM235" s="26">
        <f t="shared" si="254"/>
        <v>163.363</v>
      </c>
      <c r="AN235" s="26">
        <f t="shared" si="254"/>
        <v>105.43540354476784</v>
      </c>
      <c r="AO235" s="26">
        <f t="shared" si="254"/>
        <v>92.630451390404687</v>
      </c>
      <c r="AP235" s="26">
        <f t="shared" si="254"/>
        <v>124.6811083948138</v>
      </c>
      <c r="AQ235" s="26">
        <f t="shared" si="254"/>
        <v>134.25559706639888</v>
      </c>
      <c r="AR235" s="26">
        <f t="shared" si="254"/>
        <v>136.12252801981936</v>
      </c>
      <c r="AS235" s="26">
        <f t="shared" si="254"/>
        <v>135.92865442081018</v>
      </c>
      <c r="AT235" s="26">
        <f t="shared" si="254"/>
        <v>135.72508714185085</v>
      </c>
      <c r="AU235" s="27">
        <f t="shared" si="254"/>
        <v>135.51134149894324</v>
      </c>
    </row>
    <row r="236" spans="9:48">
      <c r="I236" s="1" t="s">
        <v>87</v>
      </c>
      <c r="R236" s="101"/>
      <c r="S236" s="26">
        <f t="shared" ref="S236:AG236" si="255">+S234-R234</f>
        <v>2.3740000000000001</v>
      </c>
      <c r="T236" s="26">
        <f t="shared" si="255"/>
        <v>2.3469999999999995</v>
      </c>
      <c r="U236" s="26">
        <f t="shared" si="255"/>
        <v>1.3740000000000006</v>
      </c>
      <c r="V236" s="25">
        <f t="shared" si="255"/>
        <v>5.2439999999999998</v>
      </c>
      <c r="W236" s="26">
        <f t="shared" si="255"/>
        <v>10.071999999999999</v>
      </c>
      <c r="X236" s="26">
        <f t="shared" si="255"/>
        <v>9.3730000000000047</v>
      </c>
      <c r="Y236" s="27">
        <f t="shared" si="255"/>
        <v>15.604999999999997</v>
      </c>
      <c r="Z236" s="25">
        <f t="shared" si="255"/>
        <v>9.7789999999999964</v>
      </c>
      <c r="AA236" s="26">
        <f t="shared" si="255"/>
        <v>11.554000000000002</v>
      </c>
      <c r="AB236" s="26">
        <f t="shared" si="255"/>
        <v>3.1979999999999933</v>
      </c>
      <c r="AC236" s="27">
        <f t="shared" si="255"/>
        <v>7.5559999999999974</v>
      </c>
      <c r="AD236" s="25">
        <f t="shared" si="255"/>
        <v>8.3046770856070253</v>
      </c>
      <c r="AE236" s="26">
        <f t="shared" si="255"/>
        <v>-4.5214349325533618</v>
      </c>
      <c r="AF236" s="26">
        <f t="shared" si="255"/>
        <v>10.60799999999999</v>
      </c>
      <c r="AG236" s="27">
        <f t="shared" si="255"/>
        <v>23.947000000000003</v>
      </c>
      <c r="AI236" s="22"/>
      <c r="AJ236" s="23"/>
      <c r="AK236" s="37"/>
      <c r="AL236" s="37"/>
      <c r="AM236" s="23"/>
      <c r="AN236" s="23"/>
      <c r="AO236" s="23"/>
      <c r="AP236" s="23"/>
      <c r="AQ236" s="23"/>
      <c r="AR236" s="23"/>
      <c r="AS236" s="23"/>
      <c r="AT236" s="23"/>
      <c r="AU236" s="24"/>
    </row>
    <row r="237" spans="9:48" s="105" customFormat="1">
      <c r="I237" s="105" t="s">
        <v>227</v>
      </c>
      <c r="R237" s="110"/>
      <c r="S237" s="111"/>
      <c r="T237" s="111"/>
      <c r="U237" s="111"/>
      <c r="V237" s="110">
        <f t="shared" ref="V237:AG237" si="256">+V234/R234-1</f>
        <v>4.3229126953869619</v>
      </c>
      <c r="W237" s="111">
        <f t="shared" si="256"/>
        <v>3.8096858114868919</v>
      </c>
      <c r="X237" s="111">
        <f t="shared" si="256"/>
        <v>3.5488834422657964</v>
      </c>
      <c r="Y237" s="112">
        <f t="shared" si="256"/>
        <v>4.621931635696261</v>
      </c>
      <c r="Z237" s="110">
        <f t="shared" si="256"/>
        <v>3.2107864202836272</v>
      </c>
      <c r="AA237" s="111">
        <f t="shared" si="256"/>
        <v>1.9268952317550139</v>
      </c>
      <c r="AB237" s="111">
        <f t="shared" si="256"/>
        <v>1.2014248510791146</v>
      </c>
      <c r="AC237" s="112">
        <f t="shared" si="256"/>
        <v>0.65467640577817665</v>
      </c>
      <c r="AD237" s="110">
        <f t="shared" si="256"/>
        <v>0.52070345946840546</v>
      </c>
      <c r="AE237" s="111">
        <f t="shared" si="256"/>
        <v>0.20665636723368608</v>
      </c>
      <c r="AF237" s="111">
        <f t="shared" si="256"/>
        <v>0.29842734390837533</v>
      </c>
      <c r="AG237" s="112">
        <f t="shared" si="256"/>
        <v>0.47273384570776034</v>
      </c>
      <c r="AI237" s="106"/>
      <c r="AJ237" s="192"/>
      <c r="AK237" s="111"/>
      <c r="AL237" s="111">
        <f t="shared" ref="AL237:AU237" si="257">+AL234/AK234-1</f>
        <v>4.0846634574782534</v>
      </c>
      <c r="AM237" s="111">
        <f t="shared" si="257"/>
        <v>1.3566665282564463</v>
      </c>
      <c r="AN237" s="111">
        <f t="shared" si="257"/>
        <v>0.371541851534537</v>
      </c>
      <c r="AO237" s="111">
        <f t="shared" si="257"/>
        <v>0.23799399133424304</v>
      </c>
      <c r="AP237" s="111">
        <f t="shared" si="257"/>
        <v>0.25875832412885802</v>
      </c>
      <c r="AQ237" s="111">
        <f t="shared" si="257"/>
        <v>0.22135213747724292</v>
      </c>
      <c r="AR237" s="111">
        <f t="shared" si="257"/>
        <v>0.1837555347658979</v>
      </c>
      <c r="AS237" s="111">
        <f t="shared" si="257"/>
        <v>0.15500989358620476</v>
      </c>
      <c r="AT237" s="111">
        <f t="shared" si="257"/>
        <v>0.13400556222860383</v>
      </c>
      <c r="AU237" s="112">
        <f t="shared" si="257"/>
        <v>0.11798401085772725</v>
      </c>
    </row>
    <row r="238" spans="9:48" s="105" customFormat="1">
      <c r="I238" s="105" t="s">
        <v>228</v>
      </c>
      <c r="R238" s="110"/>
      <c r="S238" s="111">
        <f t="shared" ref="S238:AG238" si="258">+S234/R234-1</f>
        <v>0.90507052992756387</v>
      </c>
      <c r="T238" s="111">
        <f t="shared" si="258"/>
        <v>0.4696818090854511</v>
      </c>
      <c r="U238" s="111">
        <f t="shared" si="258"/>
        <v>0.18709150326797386</v>
      </c>
      <c r="V238" s="110">
        <f t="shared" si="258"/>
        <v>0.6015141087405369</v>
      </c>
      <c r="W238" s="111">
        <f t="shared" si="258"/>
        <v>0.72138662082796157</v>
      </c>
      <c r="X238" s="111">
        <f t="shared" si="258"/>
        <v>0.38998918199217791</v>
      </c>
      <c r="Y238" s="112">
        <f t="shared" si="258"/>
        <v>0.46711766994941173</v>
      </c>
      <c r="Z238" s="110">
        <f t="shared" si="258"/>
        <v>0.19952256590222794</v>
      </c>
      <c r="AA238" s="111">
        <f t="shared" si="258"/>
        <v>0.19652667925362732</v>
      </c>
      <c r="AB238" s="111">
        <f t="shared" si="258"/>
        <v>4.5461653280261416E-2</v>
      </c>
      <c r="AC238" s="112">
        <f t="shared" si="258"/>
        <v>0.10274261316508704</v>
      </c>
      <c r="AD238" s="110">
        <f t="shared" si="258"/>
        <v>0.10240171994237945</v>
      </c>
      <c r="AE238" s="111">
        <f t="shared" si="258"/>
        <v>-5.0573254702084958E-2</v>
      </c>
      <c r="AF238" s="111">
        <f t="shared" si="258"/>
        <v>0.12497313608743266</v>
      </c>
      <c r="AG238" s="112">
        <f t="shared" si="258"/>
        <v>0.25077955045518974</v>
      </c>
      <c r="AI238" s="106"/>
      <c r="AJ238" s="192"/>
      <c r="AK238" s="111"/>
      <c r="AL238" s="111"/>
      <c r="AM238" s="111"/>
      <c r="AN238" s="111"/>
      <c r="AO238" s="118"/>
      <c r="AP238" s="118"/>
      <c r="AQ238" s="118"/>
      <c r="AR238" s="118"/>
      <c r="AS238" s="118"/>
      <c r="AT238" s="118"/>
      <c r="AU238" s="119"/>
    </row>
    <row r="239" spans="9:48" s="7" customFormat="1">
      <c r="I239" s="7" t="s">
        <v>18</v>
      </c>
      <c r="R239" s="379">
        <f t="shared" ref="R239:AG239" si="259">+R234/R$5</f>
        <v>0.66913265306122449</v>
      </c>
      <c r="S239" s="297">
        <f t="shared" si="259"/>
        <v>0.94283018867924528</v>
      </c>
      <c r="T239" s="297">
        <f t="shared" si="259"/>
        <v>0.43910313901345283</v>
      </c>
      <c r="U239" s="297">
        <f t="shared" si="259"/>
        <v>0.26645883000183385</v>
      </c>
      <c r="V239" s="379">
        <f t="shared" si="259"/>
        <v>0.35986391051085104</v>
      </c>
      <c r="W239" s="297">
        <f t="shared" si="259"/>
        <v>0.33474470040948212</v>
      </c>
      <c r="X239" s="297">
        <f t="shared" si="259"/>
        <v>0.2605768930766591</v>
      </c>
      <c r="Y239" s="380">
        <f t="shared" si="259"/>
        <v>0.29581970280416703</v>
      </c>
      <c r="Z239" s="379">
        <f t="shared" ref="Z239" si="260">+Z234/Z$5</f>
        <v>0.39286191596279268</v>
      </c>
      <c r="AA239" s="297">
        <f t="shared" si="259"/>
        <v>0.38721094726180844</v>
      </c>
      <c r="AB239" s="297">
        <f t="shared" si="259"/>
        <v>0.35367923938500595</v>
      </c>
      <c r="AC239" s="380">
        <f t="shared" si="259"/>
        <v>0.28386764813978638</v>
      </c>
      <c r="AD239" s="379">
        <f t="shared" si="259"/>
        <v>0.35905091199038963</v>
      </c>
      <c r="AE239" s="297">
        <f t="shared" si="259"/>
        <v>0.28773641407814798</v>
      </c>
      <c r="AF239" s="297">
        <f t="shared" si="259"/>
        <v>0.2800300356394535</v>
      </c>
      <c r="AG239" s="380">
        <f t="shared" si="259"/>
        <v>0.27905897699311599</v>
      </c>
      <c r="AI239" s="33"/>
      <c r="AJ239" s="34"/>
      <c r="AK239" s="297">
        <f>+AK234/AK$5</f>
        <v>0.40369568552579993</v>
      </c>
      <c r="AL239" s="297">
        <f>+AL234/AL$5</f>
        <v>0.29770175187029341</v>
      </c>
      <c r="AM239" s="297">
        <f>+AM234/AM$5</f>
        <v>0.34399459845396507</v>
      </c>
      <c r="AN239" s="297">
        <f>+AN234/AN$5</f>
        <v>0.29643061960759165</v>
      </c>
      <c r="AO239" s="297">
        <f t="shared" ref="AO239:AU239" si="261">+AO234/AO$5</f>
        <v>0.24466968080736992</v>
      </c>
      <c r="AP239" s="297">
        <f t="shared" si="261"/>
        <v>0.21623929801583858</v>
      </c>
      <c r="AQ239" s="297">
        <f t="shared" si="261"/>
        <v>0.1942813479241258</v>
      </c>
      <c r="AR239" s="297">
        <f t="shared" si="261"/>
        <v>0.1766539484396133</v>
      </c>
      <c r="AS239" s="297">
        <f t="shared" si="261"/>
        <v>0.1643255626160138</v>
      </c>
      <c r="AT239" s="297">
        <f t="shared" si="261"/>
        <v>0.15614138658589485</v>
      </c>
      <c r="AU239" s="380">
        <f t="shared" si="261"/>
        <v>0.15026023827858825</v>
      </c>
    </row>
    <row r="240" spans="9:48" s="105" customFormat="1">
      <c r="I240" s="105" t="s">
        <v>225</v>
      </c>
      <c r="R240" s="110"/>
      <c r="S240" s="111"/>
      <c r="T240" s="111"/>
      <c r="U240" s="111"/>
      <c r="V240" s="202">
        <f t="shared" ref="V240:AG240" si="262">+(V239-R239)*10000</f>
        <v>-3092.6874255037346</v>
      </c>
      <c r="W240" s="203">
        <f t="shared" si="262"/>
        <v>-6080.8548826976312</v>
      </c>
      <c r="X240" s="203">
        <f t="shared" si="262"/>
        <v>-1785.2624593679373</v>
      </c>
      <c r="Y240" s="204">
        <f t="shared" si="262"/>
        <v>293.60872802333182</v>
      </c>
      <c r="Z240" s="202">
        <f t="shared" si="262"/>
        <v>329.98005451941646</v>
      </c>
      <c r="AA240" s="203">
        <f t="shared" si="262"/>
        <v>524.6624685232631</v>
      </c>
      <c r="AB240" s="203">
        <f t="shared" si="262"/>
        <v>931.02346308346853</v>
      </c>
      <c r="AC240" s="204">
        <f t="shared" si="262"/>
        <v>-119.52054664380651</v>
      </c>
      <c r="AD240" s="202">
        <f t="shared" si="262"/>
        <v>-338.11003972403051</v>
      </c>
      <c r="AE240" s="203">
        <f t="shared" si="262"/>
        <v>-994.74533183660446</v>
      </c>
      <c r="AF240" s="203">
        <f t="shared" si="262"/>
        <v>-736.4920374555245</v>
      </c>
      <c r="AG240" s="204">
        <f t="shared" si="262"/>
        <v>-48.086711466703846</v>
      </c>
      <c r="AI240" s="106"/>
      <c r="AJ240" s="192"/>
      <c r="AK240" s="111"/>
      <c r="AL240" s="203">
        <f t="shared" ref="AL240:AU240" si="263">+(AL239-AK239)*10000</f>
        <v>-1059.9393365550652</v>
      </c>
      <c r="AM240" s="203">
        <f t="shared" si="263"/>
        <v>462.92846583671667</v>
      </c>
      <c r="AN240" s="203">
        <f t="shared" si="263"/>
        <v>-475.63978846373425</v>
      </c>
      <c r="AO240" s="203">
        <f t="shared" si="263"/>
        <v>-517.60938800221732</v>
      </c>
      <c r="AP240" s="203">
        <f t="shared" si="263"/>
        <v>-284.30382791531343</v>
      </c>
      <c r="AQ240" s="203">
        <f t="shared" si="263"/>
        <v>-219.5795009171278</v>
      </c>
      <c r="AR240" s="203">
        <f t="shared" si="263"/>
        <v>-176.273994845125</v>
      </c>
      <c r="AS240" s="203">
        <f t="shared" si="263"/>
        <v>-123.28385823599491</v>
      </c>
      <c r="AT240" s="203">
        <f t="shared" si="263"/>
        <v>-81.84176030118951</v>
      </c>
      <c r="AU240" s="204">
        <f t="shared" si="263"/>
        <v>-58.811483073065993</v>
      </c>
    </row>
    <row r="241" spans="9:47" s="105" customFormat="1">
      <c r="I241" s="105" t="s">
        <v>226</v>
      </c>
      <c r="R241" s="202"/>
      <c r="S241" s="203">
        <f t="shared" ref="S241:AG241" si="264">+(S239-R239)*10000</f>
        <v>2736.9753561802081</v>
      </c>
      <c r="T241" s="203">
        <f t="shared" si="264"/>
        <v>-5037.270496657924</v>
      </c>
      <c r="U241" s="203">
        <f t="shared" si="264"/>
        <v>-1726.4430901161898</v>
      </c>
      <c r="V241" s="202">
        <f t="shared" si="264"/>
        <v>934.05080509017193</v>
      </c>
      <c r="W241" s="203">
        <f t="shared" si="264"/>
        <v>-251.19210101368915</v>
      </c>
      <c r="X241" s="203">
        <f t="shared" si="264"/>
        <v>-741.6780733282302</v>
      </c>
      <c r="Y241" s="204">
        <f t="shared" si="264"/>
        <v>352.42809727507927</v>
      </c>
      <c r="Z241" s="202">
        <f t="shared" si="264"/>
        <v>970.42213158625657</v>
      </c>
      <c r="AA241" s="203">
        <f t="shared" si="264"/>
        <v>-56.509687009842494</v>
      </c>
      <c r="AB241" s="203">
        <f t="shared" si="264"/>
        <v>-335.31707876802488</v>
      </c>
      <c r="AC241" s="204">
        <f t="shared" si="264"/>
        <v>-698.11591245219574</v>
      </c>
      <c r="AD241" s="202">
        <f t="shared" si="264"/>
        <v>751.83263850603259</v>
      </c>
      <c r="AE241" s="203">
        <f t="shared" si="264"/>
        <v>-713.14497912241643</v>
      </c>
      <c r="AF241" s="203">
        <f t="shared" si="264"/>
        <v>-77.063784386944832</v>
      </c>
      <c r="AG241" s="204">
        <f t="shared" si="264"/>
        <v>-9.7105864633750816</v>
      </c>
      <c r="AI241" s="106"/>
      <c r="AJ241" s="192"/>
      <c r="AK241" s="111"/>
      <c r="AL241" s="111"/>
      <c r="AM241" s="111"/>
      <c r="AN241" s="111"/>
      <c r="AO241" s="118"/>
      <c r="AP241" s="118"/>
      <c r="AQ241" s="118"/>
      <c r="AR241" s="118"/>
      <c r="AS241" s="118"/>
      <c r="AT241" s="118"/>
      <c r="AU241" s="119"/>
    </row>
    <row r="242" spans="9:47">
      <c r="V242" s="22"/>
      <c r="W242" s="23"/>
      <c r="X242" s="23"/>
      <c r="Y242" s="24"/>
      <c r="Z242" s="22"/>
      <c r="AA242" s="23"/>
      <c r="AB242" s="23"/>
      <c r="AC242" s="24"/>
      <c r="AD242" s="22"/>
      <c r="AE242" s="23"/>
      <c r="AF242" s="23"/>
      <c r="AG242" s="24"/>
      <c r="AI242" s="22"/>
      <c r="AU242" s="24"/>
    </row>
    <row r="243" spans="9:47">
      <c r="I243" s="11" t="s">
        <v>328</v>
      </c>
      <c r="R243" s="11"/>
      <c r="S243" s="11"/>
      <c r="T243" s="11"/>
      <c r="U243" s="11"/>
      <c r="V243" s="211"/>
      <c r="W243" s="212"/>
      <c r="X243" s="212"/>
      <c r="Y243" s="213"/>
      <c r="Z243" s="211"/>
      <c r="AA243" s="212"/>
      <c r="AB243" s="212"/>
      <c r="AC243" s="213"/>
      <c r="AD243" s="211"/>
      <c r="AE243" s="212"/>
      <c r="AF243" s="212"/>
      <c r="AG243" s="213"/>
      <c r="AH243" s="11"/>
      <c r="AI243" s="211"/>
      <c r="AJ243" s="11"/>
      <c r="AK243" s="11"/>
      <c r="AL243" s="11"/>
      <c r="AM243" s="11"/>
      <c r="AN243" s="11"/>
      <c r="AO243" s="11"/>
      <c r="AP243" s="11"/>
      <c r="AQ243" s="11"/>
      <c r="AR243" s="11"/>
      <c r="AS243" s="11"/>
      <c r="AT243" s="11"/>
      <c r="AU243" s="213"/>
    </row>
    <row r="244" spans="9:47">
      <c r="I244" s="1" t="s">
        <v>329</v>
      </c>
      <c r="R244" s="3">
        <f>+R148-R161</f>
        <v>13.986999999999995</v>
      </c>
      <c r="S244" s="3">
        <f t="shared" ref="S244:AG244" si="265">+S148-S161</f>
        <v>26.655999999999999</v>
      </c>
      <c r="T244" s="3">
        <f t="shared" si="265"/>
        <v>25.123999999999999</v>
      </c>
      <c r="U244" s="3">
        <f t="shared" si="265"/>
        <v>23.64</v>
      </c>
      <c r="V244" s="47">
        <f t="shared" si="265"/>
        <v>22.05</v>
      </c>
      <c r="W244" s="48">
        <f t="shared" si="265"/>
        <v>30.900000000000002</v>
      </c>
      <c r="X244" s="48">
        <f t="shared" si="265"/>
        <v>40.893999999999998</v>
      </c>
      <c r="Y244" s="49">
        <f t="shared" si="265"/>
        <v>65.896999999999991</v>
      </c>
      <c r="Z244" s="47">
        <f t="shared" ref="Z244" si="266">+Z148-Z161</f>
        <v>64.499000000000024</v>
      </c>
      <c r="AA244" s="48">
        <f>+AA148-AA161</f>
        <v>76.088999999999999</v>
      </c>
      <c r="AB244" s="48">
        <f t="shared" si="265"/>
        <v>69.046999999999997</v>
      </c>
      <c r="AC244" s="49">
        <f>+AC148-AC161</f>
        <v>90.778999999999996</v>
      </c>
      <c r="AD244" s="47">
        <f t="shared" si="265"/>
        <v>63.458039245645431</v>
      </c>
      <c r="AE244" s="48">
        <f t="shared" si="265"/>
        <v>105.80595542847163</v>
      </c>
      <c r="AF244" s="48">
        <f t="shared" si="265"/>
        <v>133.101</v>
      </c>
      <c r="AG244" s="49">
        <f t="shared" si="265"/>
        <v>121.11499999999998</v>
      </c>
      <c r="AI244" s="22"/>
      <c r="AK244" s="3">
        <f t="shared" ref="AK244:AU244" si="267">+AK148-AK161</f>
        <v>89.406999999999982</v>
      </c>
      <c r="AL244" s="3">
        <f t="shared" si="267"/>
        <v>159.74099999999999</v>
      </c>
      <c r="AM244" s="3">
        <f t="shared" si="267"/>
        <v>300.41399999999976</v>
      </c>
      <c r="AN244" s="3">
        <f t="shared" si="267"/>
        <v>423.47999467411699</v>
      </c>
      <c r="AO244" s="3">
        <f t="shared" si="267"/>
        <v>468.37535417121404</v>
      </c>
      <c r="AP244" s="3">
        <f t="shared" si="267"/>
        <v>544.69113537346664</v>
      </c>
      <c r="AQ244" s="3">
        <f t="shared" si="267"/>
        <v>620.71217907189941</v>
      </c>
      <c r="AR244" s="3">
        <f t="shared" si="267"/>
        <v>698.02638356834154</v>
      </c>
      <c r="AS244" s="3">
        <f t="shared" si="267"/>
        <v>775.2062982896058</v>
      </c>
      <c r="AT244" s="3">
        <f t="shared" si="267"/>
        <v>852.24520874693326</v>
      </c>
      <c r="AU244" s="49">
        <f t="shared" si="267"/>
        <v>929.13606472712706</v>
      </c>
    </row>
    <row r="245" spans="9:47">
      <c r="I245" s="1" t="s">
        <v>86</v>
      </c>
      <c r="R245" s="101"/>
      <c r="S245" s="102"/>
      <c r="T245" s="102"/>
      <c r="U245" s="102"/>
      <c r="V245" s="25">
        <f t="shared" ref="V245:AG245" si="268">+V244-R244</f>
        <v>8.0630000000000059</v>
      </c>
      <c r="W245" s="26">
        <f t="shared" si="268"/>
        <v>4.2440000000000033</v>
      </c>
      <c r="X245" s="26">
        <f t="shared" si="268"/>
        <v>15.77</v>
      </c>
      <c r="Y245" s="27">
        <f t="shared" si="268"/>
        <v>42.256999999999991</v>
      </c>
      <c r="Z245" s="25">
        <f t="shared" si="268"/>
        <v>42.449000000000026</v>
      </c>
      <c r="AA245" s="26">
        <f t="shared" si="268"/>
        <v>45.188999999999993</v>
      </c>
      <c r="AB245" s="26">
        <f t="shared" si="268"/>
        <v>28.152999999999999</v>
      </c>
      <c r="AC245" s="27">
        <f t="shared" si="268"/>
        <v>24.882000000000005</v>
      </c>
      <c r="AD245" s="25">
        <f t="shared" si="268"/>
        <v>-1.0409607543545931</v>
      </c>
      <c r="AE245" s="26">
        <f t="shared" si="268"/>
        <v>29.716955428471636</v>
      </c>
      <c r="AF245" s="26">
        <f t="shared" si="268"/>
        <v>64.054000000000002</v>
      </c>
      <c r="AG245" s="27">
        <f t="shared" si="268"/>
        <v>30.335999999999984</v>
      </c>
      <c r="AI245" s="22"/>
      <c r="AJ245" s="23"/>
      <c r="AK245" s="37"/>
      <c r="AL245" s="26">
        <f t="shared" ref="AL245:AU245" si="269">+AL244-AK244</f>
        <v>70.334000000000003</v>
      </c>
      <c r="AM245" s="26">
        <f t="shared" si="269"/>
        <v>140.67299999999977</v>
      </c>
      <c r="AN245" s="26">
        <f t="shared" si="269"/>
        <v>123.06599467411723</v>
      </c>
      <c r="AO245" s="26">
        <f t="shared" si="269"/>
        <v>44.895359497097047</v>
      </c>
      <c r="AP245" s="26">
        <f t="shared" si="269"/>
        <v>76.315781202252595</v>
      </c>
      <c r="AQ245" s="26">
        <f t="shared" si="269"/>
        <v>76.021043698432777</v>
      </c>
      <c r="AR245" s="26">
        <f t="shared" si="269"/>
        <v>77.31420449644213</v>
      </c>
      <c r="AS245" s="26">
        <f t="shared" si="269"/>
        <v>77.179914721264254</v>
      </c>
      <c r="AT245" s="26">
        <f t="shared" si="269"/>
        <v>77.038910457327461</v>
      </c>
      <c r="AU245" s="27">
        <f t="shared" si="269"/>
        <v>76.890855980193805</v>
      </c>
    </row>
    <row r="246" spans="9:47">
      <c r="I246" s="1" t="s">
        <v>87</v>
      </c>
      <c r="R246" s="101"/>
      <c r="S246" s="26">
        <f t="shared" ref="S246:AG246" si="270">+S244-R244</f>
        <v>12.669000000000004</v>
      </c>
      <c r="T246" s="26">
        <f t="shared" si="270"/>
        <v>-1.532</v>
      </c>
      <c r="U246" s="26">
        <f t="shared" si="270"/>
        <v>-1.4839999999999982</v>
      </c>
      <c r="V246" s="25">
        <f t="shared" si="270"/>
        <v>-1.5899999999999999</v>
      </c>
      <c r="W246" s="26">
        <f t="shared" si="270"/>
        <v>8.8500000000000014</v>
      </c>
      <c r="X246" s="26">
        <f t="shared" si="270"/>
        <v>9.9939999999999962</v>
      </c>
      <c r="Y246" s="27">
        <f t="shared" si="270"/>
        <v>25.002999999999993</v>
      </c>
      <c r="Z246" s="25">
        <f t="shared" si="270"/>
        <v>-1.3979999999999677</v>
      </c>
      <c r="AA246" s="26">
        <f t="shared" si="270"/>
        <v>11.589999999999975</v>
      </c>
      <c r="AB246" s="26">
        <f t="shared" si="270"/>
        <v>-7.0420000000000016</v>
      </c>
      <c r="AC246" s="27">
        <f t="shared" si="270"/>
        <v>21.731999999999999</v>
      </c>
      <c r="AD246" s="25">
        <f t="shared" si="270"/>
        <v>-27.320960754354566</v>
      </c>
      <c r="AE246" s="26">
        <f t="shared" si="270"/>
        <v>42.347916182826204</v>
      </c>
      <c r="AF246" s="26">
        <f t="shared" si="270"/>
        <v>27.295044571528365</v>
      </c>
      <c r="AG246" s="27">
        <f t="shared" si="270"/>
        <v>-11.986000000000018</v>
      </c>
      <c r="AI246" s="22"/>
      <c r="AJ246" s="23"/>
      <c r="AK246" s="37"/>
      <c r="AL246" s="37"/>
      <c r="AM246" s="23"/>
      <c r="AN246" s="23"/>
      <c r="AO246" s="23"/>
      <c r="AP246" s="23"/>
      <c r="AQ246" s="23"/>
      <c r="AR246" s="23"/>
      <c r="AS246" s="23"/>
      <c r="AT246" s="23"/>
      <c r="AU246" s="24"/>
    </row>
    <row r="247" spans="9:47" s="105" customFormat="1">
      <c r="I247" s="105" t="s">
        <v>227</v>
      </c>
      <c r="R247" s="110"/>
      <c r="S247" s="111"/>
      <c r="T247" s="111"/>
      <c r="U247" s="111"/>
      <c r="V247" s="110">
        <f t="shared" ref="V247:AG247" si="271">+V244/R244-1</f>
        <v>0.5764638592979201</v>
      </c>
      <c r="W247" s="111">
        <f t="shared" si="271"/>
        <v>0.1592136854741899</v>
      </c>
      <c r="X247" s="111">
        <f t="shared" si="271"/>
        <v>0.62768667409648149</v>
      </c>
      <c r="Y247" s="112">
        <f t="shared" si="271"/>
        <v>1.7875211505922159</v>
      </c>
      <c r="Z247" s="110">
        <f t="shared" si="271"/>
        <v>1.925124716553289</v>
      </c>
      <c r="AA247" s="111">
        <f t="shared" si="271"/>
        <v>1.4624271844660193</v>
      </c>
      <c r="AB247" s="111">
        <f t="shared" si="271"/>
        <v>0.68843840172152393</v>
      </c>
      <c r="AC247" s="112">
        <f t="shared" si="271"/>
        <v>0.37758926810021709</v>
      </c>
      <c r="AD247" s="110">
        <f t="shared" si="271"/>
        <v>-1.6139176643895192E-2</v>
      </c>
      <c r="AE247" s="111">
        <f t="shared" si="271"/>
        <v>0.3905552107199679</v>
      </c>
      <c r="AF247" s="111">
        <f t="shared" si="271"/>
        <v>0.92768693788289136</v>
      </c>
      <c r="AG247" s="112">
        <f t="shared" si="271"/>
        <v>0.33417420328490044</v>
      </c>
      <c r="AI247" s="106"/>
      <c r="AJ247" s="192"/>
      <c r="AK247" s="111"/>
      <c r="AL247" s="111">
        <f t="shared" ref="AL247:AU247" si="272">+AL244/AK244-1</f>
        <v>0.78667218450456922</v>
      </c>
      <c r="AM247" s="111">
        <f t="shared" si="272"/>
        <v>0.88063177268202764</v>
      </c>
      <c r="AN247" s="111">
        <f t="shared" si="272"/>
        <v>0.40965465881788909</v>
      </c>
      <c r="AO247" s="111">
        <f t="shared" si="272"/>
        <v>0.10601530193095821</v>
      </c>
      <c r="AP247" s="111">
        <f t="shared" si="272"/>
        <v>0.16293722656968712</v>
      </c>
      <c r="AQ247" s="111">
        <f t="shared" si="272"/>
        <v>0.13956724969703993</v>
      </c>
      <c r="AR247" s="111">
        <f t="shared" si="272"/>
        <v>0.12455725391443706</v>
      </c>
      <c r="AS247" s="111">
        <f t="shared" si="272"/>
        <v>0.11056876435918817</v>
      </c>
      <c r="AT247" s="111">
        <f t="shared" si="272"/>
        <v>9.9378592030668456E-2</v>
      </c>
      <c r="AU247" s="112">
        <f t="shared" si="272"/>
        <v>9.0221517458862976E-2</v>
      </c>
    </row>
    <row r="248" spans="9:47" s="105" customFormat="1">
      <c r="I248" s="105" t="s">
        <v>228</v>
      </c>
      <c r="R248" s="110"/>
      <c r="S248" s="111">
        <f t="shared" ref="S248:AG248" si="273">+S244/R244-1</f>
        <v>0.9057696432401523</v>
      </c>
      <c r="T248" s="111">
        <f t="shared" si="273"/>
        <v>-5.7472989195678226E-2</v>
      </c>
      <c r="U248" s="111">
        <f t="shared" si="273"/>
        <v>-5.9067027543384776E-2</v>
      </c>
      <c r="V248" s="110">
        <f t="shared" si="273"/>
        <v>-6.7258883248730972E-2</v>
      </c>
      <c r="W248" s="111">
        <f t="shared" si="273"/>
        <v>0.40136054421768708</v>
      </c>
      <c r="X248" s="111">
        <f t="shared" si="273"/>
        <v>0.32343042071197403</v>
      </c>
      <c r="Y248" s="112">
        <f t="shared" si="273"/>
        <v>0.61140998679512881</v>
      </c>
      <c r="Z248" s="110">
        <f t="shared" si="273"/>
        <v>-2.1214926324414907E-2</v>
      </c>
      <c r="AA248" s="111">
        <f t="shared" si="273"/>
        <v>0.17969270841408358</v>
      </c>
      <c r="AB248" s="111">
        <f t="shared" si="273"/>
        <v>-9.2549514384470788E-2</v>
      </c>
      <c r="AC248" s="112">
        <f t="shared" si="273"/>
        <v>0.31474213217084013</v>
      </c>
      <c r="AD248" s="110">
        <f t="shared" si="273"/>
        <v>-0.30096124383783218</v>
      </c>
      <c r="AE248" s="111">
        <f t="shared" si="273"/>
        <v>0.66733729384385554</v>
      </c>
      <c r="AF248" s="111">
        <f t="shared" si="273"/>
        <v>0.25797266761586712</v>
      </c>
      <c r="AG248" s="112">
        <f t="shared" si="273"/>
        <v>-9.0051915462693866E-2</v>
      </c>
      <c r="AI248" s="106"/>
      <c r="AJ248" s="192"/>
      <c r="AK248" s="111"/>
      <c r="AL248" s="111"/>
      <c r="AM248" s="111"/>
      <c r="AN248" s="111"/>
      <c r="AO248" s="118"/>
      <c r="AP248" s="118"/>
      <c r="AQ248" s="118"/>
      <c r="AR248" s="118"/>
      <c r="AS248" s="118"/>
      <c r="AT248" s="118"/>
      <c r="AU248" s="119"/>
    </row>
    <row r="249" spans="9:47" s="7" customFormat="1">
      <c r="I249" s="7" t="s">
        <v>18</v>
      </c>
      <c r="R249" s="379">
        <f t="shared" ref="R249:AG249" si="274">+R244/R$5</f>
        <v>3.5681122448979581</v>
      </c>
      <c r="S249" s="297">
        <f t="shared" si="274"/>
        <v>5.0294339622641511</v>
      </c>
      <c r="T249" s="297">
        <f t="shared" si="274"/>
        <v>1.5021823617339309</v>
      </c>
      <c r="U249" s="297">
        <f t="shared" si="274"/>
        <v>0.72253805244819358</v>
      </c>
      <c r="V249" s="379">
        <f t="shared" si="274"/>
        <v>0.5683282643435229</v>
      </c>
      <c r="W249" s="297">
        <f t="shared" si="274"/>
        <v>0.43037410512827656</v>
      </c>
      <c r="X249" s="297">
        <f t="shared" si="274"/>
        <v>0.31897600698886147</v>
      </c>
      <c r="Y249" s="380">
        <f t="shared" si="274"/>
        <v>0.39773179947127629</v>
      </c>
      <c r="Z249" s="379">
        <f t="shared" ref="Z249" si="275">+Z244/Z$5</f>
        <v>0.43100475783171194</v>
      </c>
      <c r="AA249" s="297">
        <f t="shared" si="274"/>
        <v>0.41882854170450984</v>
      </c>
      <c r="AB249" s="297">
        <f t="shared" si="274"/>
        <v>0.33205730581858928</v>
      </c>
      <c r="AC249" s="380">
        <f t="shared" si="274"/>
        <v>0.31775017238784292</v>
      </c>
      <c r="AD249" s="379">
        <f t="shared" si="274"/>
        <v>0.25485156323552383</v>
      </c>
      <c r="AE249" s="297">
        <f t="shared" si="274"/>
        <v>0.35866425568973437</v>
      </c>
      <c r="AF249" s="297">
        <f t="shared" si="274"/>
        <v>0.39032551319648096</v>
      </c>
      <c r="AG249" s="380">
        <f t="shared" si="274"/>
        <v>0.28297897196261679</v>
      </c>
      <c r="AI249" s="33"/>
      <c r="AJ249" s="34"/>
      <c r="AK249" s="297">
        <f>+AK244/AK$5</f>
        <v>1.5240782094335437</v>
      </c>
      <c r="AL249" s="297">
        <f>+AL244/AL$5</f>
        <v>0.39492733916466</v>
      </c>
      <c r="AM249" s="297">
        <f>+AM244/AM$5</f>
        <v>0.36416069357014769</v>
      </c>
      <c r="AN249" s="297">
        <f>+AN244/AN$5</f>
        <v>0.32252855649209217</v>
      </c>
      <c r="AO249" s="297">
        <f t="shared" ref="AO249:AU249" si="276">+AO244/AO$5</f>
        <v>0.23783067321368606</v>
      </c>
      <c r="AP249" s="297">
        <f t="shared" si="276"/>
        <v>0.19419419788089923</v>
      </c>
      <c r="AQ249" s="297">
        <f t="shared" si="276"/>
        <v>0.16279152730260876</v>
      </c>
      <c r="AR249" s="297">
        <f t="shared" si="276"/>
        <v>0.140618864731202</v>
      </c>
      <c r="AS249" s="297">
        <f t="shared" si="276"/>
        <v>0.12577233287840972</v>
      </c>
      <c r="AT249" s="297">
        <f t="shared" si="276"/>
        <v>0.11585908953880861</v>
      </c>
      <c r="AU249" s="380">
        <f t="shared" si="276"/>
        <v>0.10872647541637215</v>
      </c>
    </row>
    <row r="250" spans="9:47" s="105" customFormat="1">
      <c r="I250" s="105" t="s">
        <v>225</v>
      </c>
      <c r="R250" s="110"/>
      <c r="S250" s="111"/>
      <c r="T250" s="111"/>
      <c r="U250" s="111"/>
      <c r="V250" s="202">
        <f t="shared" ref="V250:AG250" si="277">+(V249-R249)*10000</f>
        <v>-29997.839805544354</v>
      </c>
      <c r="W250" s="203">
        <f t="shared" si="277"/>
        <v>-45990.598571358751</v>
      </c>
      <c r="X250" s="203">
        <f t="shared" si="277"/>
        <v>-11832.063547450694</v>
      </c>
      <c r="Y250" s="204">
        <f t="shared" si="277"/>
        <v>-3248.0625297691727</v>
      </c>
      <c r="Z250" s="202">
        <f t="shared" si="277"/>
        <v>-1373.2350651181096</v>
      </c>
      <c r="AA250" s="203">
        <f t="shared" si="277"/>
        <v>-115.45563423766725</v>
      </c>
      <c r="AB250" s="203">
        <f t="shared" si="277"/>
        <v>130.81298829727805</v>
      </c>
      <c r="AC250" s="204">
        <f t="shared" si="277"/>
        <v>-799.81627083433375</v>
      </c>
      <c r="AD250" s="202">
        <f t="shared" si="277"/>
        <v>-1761.5319459618811</v>
      </c>
      <c r="AE250" s="203">
        <f t="shared" si="277"/>
        <v>-601.64286014775473</v>
      </c>
      <c r="AF250" s="203">
        <f t="shared" si="277"/>
        <v>582.68207377891679</v>
      </c>
      <c r="AG250" s="204">
        <f t="shared" si="277"/>
        <v>-347.71200425226135</v>
      </c>
      <c r="AI250" s="106"/>
      <c r="AJ250" s="192"/>
      <c r="AK250" s="111"/>
      <c r="AL250" s="203">
        <f t="shared" ref="AL250:AU250" si="278">+(AL249-AK249)*10000</f>
        <v>-11291.508702688838</v>
      </c>
      <c r="AM250" s="203">
        <f t="shared" si="278"/>
        <v>-307.66645594512312</v>
      </c>
      <c r="AN250" s="203">
        <f t="shared" si="278"/>
        <v>-416.32137078055518</v>
      </c>
      <c r="AO250" s="203">
        <f t="shared" si="278"/>
        <v>-846.97883278406107</v>
      </c>
      <c r="AP250" s="203">
        <f t="shared" si="278"/>
        <v>-436.36475332786836</v>
      </c>
      <c r="AQ250" s="203">
        <f t="shared" si="278"/>
        <v>-314.02670578290463</v>
      </c>
      <c r="AR250" s="203">
        <f t="shared" si="278"/>
        <v>-221.72662571406764</v>
      </c>
      <c r="AS250" s="203">
        <f t="shared" si="278"/>
        <v>-148.46531852792276</v>
      </c>
      <c r="AT250" s="203">
        <f t="shared" si="278"/>
        <v>-99.132433396011137</v>
      </c>
      <c r="AU250" s="204">
        <f t="shared" si="278"/>
        <v>-71.326141224364591</v>
      </c>
    </row>
    <row r="251" spans="9:47" s="105" customFormat="1">
      <c r="I251" s="105" t="s">
        <v>226</v>
      </c>
      <c r="R251" s="202"/>
      <c r="S251" s="203">
        <f t="shared" ref="S251:AG251" si="279">+(S249-R249)*10000</f>
        <v>14613.217173661929</v>
      </c>
      <c r="T251" s="203">
        <f t="shared" si="279"/>
        <v>-35272.516005302197</v>
      </c>
      <c r="U251" s="203">
        <f t="shared" si="279"/>
        <v>-7796.4430928573738</v>
      </c>
      <c r="V251" s="202">
        <f t="shared" si="279"/>
        <v>-1542.0978810467068</v>
      </c>
      <c r="W251" s="203">
        <f t="shared" si="279"/>
        <v>-1379.5415921524634</v>
      </c>
      <c r="X251" s="203">
        <f t="shared" si="279"/>
        <v>-1113.9809813941508</v>
      </c>
      <c r="Y251" s="204">
        <f t="shared" si="279"/>
        <v>787.55792482414824</v>
      </c>
      <c r="Z251" s="202">
        <f t="shared" si="279"/>
        <v>332.72958360435643</v>
      </c>
      <c r="AA251" s="203">
        <f t="shared" si="279"/>
        <v>-121.76216127202099</v>
      </c>
      <c r="AB251" s="203">
        <f t="shared" si="279"/>
        <v>-867.71235885920566</v>
      </c>
      <c r="AC251" s="204">
        <f t="shared" si="279"/>
        <v>-143.07133430746356</v>
      </c>
      <c r="AD251" s="202">
        <f t="shared" si="279"/>
        <v>-628.98609152319091</v>
      </c>
      <c r="AE251" s="203">
        <f t="shared" si="279"/>
        <v>1038.1269245421054</v>
      </c>
      <c r="AF251" s="203">
        <f t="shared" si="279"/>
        <v>316.61257506746585</v>
      </c>
      <c r="AG251" s="204">
        <f t="shared" si="279"/>
        <v>-1073.4654123386417</v>
      </c>
      <c r="AI251" s="106"/>
      <c r="AJ251" s="192"/>
      <c r="AK251" s="111"/>
      <c r="AL251" s="111"/>
      <c r="AM251" s="111"/>
      <c r="AN251" s="111"/>
      <c r="AO251" s="118"/>
      <c r="AP251" s="118"/>
      <c r="AQ251" s="118"/>
      <c r="AR251" s="118"/>
      <c r="AS251" s="118"/>
      <c r="AT251" s="118"/>
      <c r="AU251" s="119"/>
    </row>
    <row r="252" spans="9:47">
      <c r="I252" s="11" t="s">
        <v>376</v>
      </c>
      <c r="J252" s="30"/>
      <c r="K252" s="31"/>
      <c r="L252" s="31"/>
      <c r="M252" s="32"/>
      <c r="N252" s="43"/>
      <c r="O252" s="31"/>
      <c r="P252" s="31"/>
      <c r="Q252" s="31"/>
      <c r="R252" s="43"/>
      <c r="S252" s="31"/>
      <c r="T252" s="31"/>
      <c r="U252" s="31"/>
      <c r="V252" s="43"/>
      <c r="W252" s="31"/>
      <c r="X252" s="59"/>
      <c r="Y252" s="59"/>
      <c r="Z252" s="43"/>
      <c r="AA252" s="59"/>
      <c r="AB252" s="59"/>
      <c r="AC252" s="60"/>
      <c r="AD252" s="30"/>
      <c r="AE252" s="59"/>
      <c r="AF252" s="59"/>
      <c r="AG252" s="60"/>
      <c r="AH252" s="10"/>
      <c r="AI252" s="30"/>
      <c r="AJ252" s="59"/>
      <c r="AK252" s="59"/>
      <c r="AL252" s="59"/>
      <c r="AM252" s="59"/>
      <c r="AN252" s="59"/>
      <c r="AO252" s="59"/>
      <c r="AP252" s="59"/>
      <c r="AQ252" s="59"/>
      <c r="AR252" s="59"/>
      <c r="AS252" s="59"/>
      <c r="AT252" s="59"/>
      <c r="AU252" s="60"/>
    </row>
    <row r="253" spans="9:47">
      <c r="I253" s="1" t="s">
        <v>377</v>
      </c>
      <c r="R253" s="3">
        <f t="shared" ref="R253:AG253" si="280">R214+R224+R234+R244</f>
        <v>51.103999999999992</v>
      </c>
      <c r="S253" s="3">
        <f t="shared" si="280"/>
        <v>87.085000000000008</v>
      </c>
      <c r="T253" s="3">
        <f t="shared" si="280"/>
        <v>104.91799999999998</v>
      </c>
      <c r="U253" s="3">
        <f t="shared" si="280"/>
        <v>123.761</v>
      </c>
      <c r="V253" s="47">
        <f t="shared" si="280"/>
        <v>137.08100000000002</v>
      </c>
      <c r="W253" s="48">
        <f t="shared" si="280"/>
        <v>182.91499999999999</v>
      </c>
      <c r="X253" s="48">
        <f t="shared" si="280"/>
        <v>244.37700000000001</v>
      </c>
      <c r="Y253" s="49">
        <f t="shared" si="280"/>
        <v>328.65199999999999</v>
      </c>
      <c r="Z253" s="47">
        <f t="shared" ref="Z253" si="281">Z214+Z224+Z234+Z244</f>
        <v>350.34099999999995</v>
      </c>
      <c r="AA253" s="48">
        <f t="shared" si="280"/>
        <v>388.24599999999998</v>
      </c>
      <c r="AB253" s="48">
        <f t="shared" si="280"/>
        <v>444.17200000000003</v>
      </c>
      <c r="AC253" s="49">
        <f t="shared" si="280"/>
        <v>463.40100000000001</v>
      </c>
      <c r="AD253" s="47">
        <f t="shared" si="280"/>
        <v>467.64463855421684</v>
      </c>
      <c r="AE253" s="48">
        <f t="shared" si="280"/>
        <v>502.60685873563222</v>
      </c>
      <c r="AF253" s="48">
        <f t="shared" si="280"/>
        <v>561.57308964175309</v>
      </c>
      <c r="AG253" s="49">
        <f t="shared" si="280"/>
        <v>586.82553189171551</v>
      </c>
      <c r="AI253" s="22"/>
      <c r="AK253" s="3">
        <f t="shared" ref="AK253:AU253" si="282">AK214+AK224+AK234+AK244</f>
        <v>366.86799999999999</v>
      </c>
      <c r="AL253" s="3">
        <f t="shared" si="282"/>
        <v>893.02499999999986</v>
      </c>
      <c r="AM253" s="3">
        <f t="shared" si="282"/>
        <v>1646.1599999999999</v>
      </c>
      <c r="AN253" s="3">
        <f t="shared" si="282"/>
        <v>2118.6501188233174</v>
      </c>
      <c r="AO253" s="3">
        <f t="shared" si="282"/>
        <v>2467.279210144251</v>
      </c>
      <c r="AP253" s="3">
        <f t="shared" si="282"/>
        <v>3032.5911764165671</v>
      </c>
      <c r="AQ253" s="3">
        <f t="shared" si="282"/>
        <v>3645.8974540742547</v>
      </c>
      <c r="AR253" s="3">
        <f t="shared" si="282"/>
        <v>4297.0564324667266</v>
      </c>
      <c r="AS253" s="3">
        <f t="shared" si="282"/>
        <v>4962.3035036860447</v>
      </c>
      <c r="AT253" s="3">
        <f t="shared" si="282"/>
        <v>5634.8129368640621</v>
      </c>
      <c r="AU253" s="49">
        <f t="shared" si="282"/>
        <v>6318.5137739296715</v>
      </c>
    </row>
    <row r="254" spans="9:47">
      <c r="I254" s="1" t="s">
        <v>1</v>
      </c>
      <c r="R254" s="22"/>
      <c r="S254" s="23"/>
      <c r="T254" s="23"/>
      <c r="U254" s="23"/>
      <c r="V254" s="42">
        <f t="shared" ref="V254:AG254" si="283">+V253/R253-1</f>
        <v>1.6823927676894184</v>
      </c>
      <c r="W254" s="28">
        <f t="shared" si="283"/>
        <v>1.1004191307343398</v>
      </c>
      <c r="X254" s="28">
        <f t="shared" si="283"/>
        <v>1.329219009130941</v>
      </c>
      <c r="Y254" s="29">
        <f t="shared" si="283"/>
        <v>1.6555376895791083</v>
      </c>
      <c r="Z254" s="42">
        <f t="shared" si="283"/>
        <v>1.5557225290156906</v>
      </c>
      <c r="AA254" s="28">
        <f t="shared" si="283"/>
        <v>1.1225487248175381</v>
      </c>
      <c r="AB254" s="28">
        <f t="shared" si="283"/>
        <v>0.8175687564705354</v>
      </c>
      <c r="AC254" s="29">
        <f t="shared" si="283"/>
        <v>0.41000511178997856</v>
      </c>
      <c r="AD254" s="42">
        <f t="shared" si="283"/>
        <v>0.33482703581429774</v>
      </c>
      <c r="AE254" s="28">
        <f t="shared" si="283"/>
        <v>0.29455772560601323</v>
      </c>
      <c r="AF254" s="28">
        <f t="shared" si="283"/>
        <v>0.2643144764680192</v>
      </c>
      <c r="AG254" s="29">
        <f t="shared" si="283"/>
        <v>0.26634498391612338</v>
      </c>
      <c r="AI254" s="22"/>
      <c r="AJ254" s="23"/>
      <c r="AK254" s="23"/>
      <c r="AL254" s="28">
        <f t="shared" ref="AL254:AU254" si="284">+AL253/AK253-1</f>
        <v>1.4341861377934295</v>
      </c>
      <c r="AM254" s="28">
        <f t="shared" si="284"/>
        <v>0.84335264970185619</v>
      </c>
      <c r="AN254" s="28">
        <f t="shared" si="284"/>
        <v>0.28702563470338083</v>
      </c>
      <c r="AO254" s="28">
        <f t="shared" si="284"/>
        <v>0.16455246112772959</v>
      </c>
      <c r="AP254" s="28">
        <f t="shared" si="284"/>
        <v>0.22912362895452953</v>
      </c>
      <c r="AQ254" s="28">
        <f t="shared" si="284"/>
        <v>0.20223836382139559</v>
      </c>
      <c r="AR254" s="28">
        <f t="shared" si="284"/>
        <v>0.17860046438355193</v>
      </c>
      <c r="AS254" s="28">
        <f t="shared" si="284"/>
        <v>0.15481459963918431</v>
      </c>
      <c r="AT254" s="28">
        <f t="shared" si="284"/>
        <v>0.13552363991409866</v>
      </c>
      <c r="AU254" s="29">
        <f t="shared" si="284"/>
        <v>0.12133514363763576</v>
      </c>
    </row>
    <row r="255" spans="9:47">
      <c r="I255" s="1" t="s">
        <v>23</v>
      </c>
      <c r="R255" s="22"/>
      <c r="S255" s="23"/>
      <c r="T255" s="23"/>
      <c r="U255" s="23"/>
      <c r="V255" s="47">
        <f t="shared" ref="V255:AG255" si="285">+V253-R253</f>
        <v>85.977000000000032</v>
      </c>
      <c r="W255" s="48">
        <f t="shared" si="285"/>
        <v>95.829999999999984</v>
      </c>
      <c r="X255" s="48">
        <f t="shared" si="285"/>
        <v>139.45900000000003</v>
      </c>
      <c r="Y255" s="49">
        <f t="shared" si="285"/>
        <v>204.89099999999999</v>
      </c>
      <c r="Z255" s="47">
        <f t="shared" si="285"/>
        <v>213.25999999999993</v>
      </c>
      <c r="AA255" s="48">
        <f t="shared" si="285"/>
        <v>205.33099999999999</v>
      </c>
      <c r="AB255" s="48">
        <f t="shared" si="285"/>
        <v>199.79500000000002</v>
      </c>
      <c r="AC255" s="49">
        <f t="shared" si="285"/>
        <v>134.74900000000002</v>
      </c>
      <c r="AD255" s="47">
        <f t="shared" si="285"/>
        <v>117.30363855421689</v>
      </c>
      <c r="AE255" s="48">
        <f t="shared" si="285"/>
        <v>114.36085873563223</v>
      </c>
      <c r="AF255" s="48">
        <f t="shared" si="285"/>
        <v>117.40108964175306</v>
      </c>
      <c r="AG255" s="49">
        <f t="shared" si="285"/>
        <v>123.4245318917155</v>
      </c>
      <c r="AI255" s="22"/>
      <c r="AJ255" s="23"/>
      <c r="AK255" s="23"/>
      <c r="AL255" s="48">
        <f t="shared" ref="AL255:AU255" si="286">+AL253-AK253</f>
        <v>526.15699999999993</v>
      </c>
      <c r="AM255" s="48">
        <f t="shared" si="286"/>
        <v>753.13499999999999</v>
      </c>
      <c r="AN255" s="48">
        <f t="shared" si="286"/>
        <v>472.49011882331752</v>
      </c>
      <c r="AO255" s="48">
        <f t="shared" si="286"/>
        <v>348.62909132093364</v>
      </c>
      <c r="AP255" s="48">
        <f t="shared" si="286"/>
        <v>565.31196627231611</v>
      </c>
      <c r="AQ255" s="48">
        <f t="shared" si="286"/>
        <v>613.30627765768759</v>
      </c>
      <c r="AR255" s="48">
        <f t="shared" si="286"/>
        <v>651.15897839247191</v>
      </c>
      <c r="AS255" s="48">
        <f t="shared" si="286"/>
        <v>665.24707121931806</v>
      </c>
      <c r="AT255" s="48">
        <f t="shared" si="286"/>
        <v>672.50943317801739</v>
      </c>
      <c r="AU255" s="49">
        <f t="shared" si="286"/>
        <v>683.70083706560945</v>
      </c>
    </row>
    <row r="256" spans="9:47">
      <c r="I256" s="1" t="s">
        <v>3</v>
      </c>
      <c r="R256" s="22"/>
      <c r="S256" s="28">
        <f t="shared" ref="S256:AG256" si="287">+S253/R253-1</f>
        <v>0.70407404508453397</v>
      </c>
      <c r="T256" s="28">
        <f t="shared" si="287"/>
        <v>0.20477694206809405</v>
      </c>
      <c r="U256" s="28">
        <f t="shared" si="287"/>
        <v>0.17959739987418777</v>
      </c>
      <c r="V256" s="42">
        <f t="shared" si="287"/>
        <v>0.10762679680998066</v>
      </c>
      <c r="W256" s="28">
        <f t="shared" si="287"/>
        <v>0.33435705896513723</v>
      </c>
      <c r="X256" s="28">
        <f t="shared" si="287"/>
        <v>0.33601399557171385</v>
      </c>
      <c r="Y256" s="29">
        <f t="shared" si="287"/>
        <v>0.34485651268327211</v>
      </c>
      <c r="Z256" s="42">
        <f t="shared" si="287"/>
        <v>6.5993817168311653E-2</v>
      </c>
      <c r="AA256" s="28">
        <f t="shared" si="287"/>
        <v>0.10819458755897826</v>
      </c>
      <c r="AB256" s="28">
        <f t="shared" si="287"/>
        <v>0.14404784595333897</v>
      </c>
      <c r="AC256" s="29">
        <f t="shared" si="287"/>
        <v>4.3291787865961773E-2</v>
      </c>
      <c r="AD256" s="42">
        <f t="shared" si="287"/>
        <v>9.1575947272812819E-3</v>
      </c>
      <c r="AE256" s="28">
        <f t="shared" si="287"/>
        <v>7.4762367188695888E-2</v>
      </c>
      <c r="AF256" s="28">
        <f t="shared" si="287"/>
        <v>0.11732078438893079</v>
      </c>
      <c r="AG256" s="29">
        <f t="shared" si="287"/>
        <v>4.4967329659745259E-2</v>
      </c>
      <c r="AI256" s="22"/>
      <c r="AJ256" s="23"/>
      <c r="AK256" s="23"/>
      <c r="AL256" s="23"/>
      <c r="AM256" s="23"/>
      <c r="AN256" s="23"/>
      <c r="AO256" s="23"/>
      <c r="AP256" s="23"/>
      <c r="AQ256" s="23"/>
      <c r="AR256" s="23"/>
      <c r="AS256" s="23"/>
      <c r="AT256" s="23"/>
      <c r="AU256" s="24"/>
    </row>
    <row r="257" spans="9:47">
      <c r="I257" s="1" t="s">
        <v>4</v>
      </c>
      <c r="R257" s="639"/>
      <c r="S257" s="640">
        <f t="shared" ref="S257:AG257" si="288">+S253-R253</f>
        <v>35.981000000000016</v>
      </c>
      <c r="T257" s="640">
        <f t="shared" si="288"/>
        <v>17.83299999999997</v>
      </c>
      <c r="U257" s="640">
        <f t="shared" si="288"/>
        <v>18.843000000000018</v>
      </c>
      <c r="V257" s="641">
        <f t="shared" si="288"/>
        <v>13.320000000000022</v>
      </c>
      <c r="W257" s="640">
        <f t="shared" si="288"/>
        <v>45.833999999999975</v>
      </c>
      <c r="X257" s="640">
        <f t="shared" si="288"/>
        <v>61.462000000000018</v>
      </c>
      <c r="Y257" s="642">
        <f t="shared" si="288"/>
        <v>84.274999999999977</v>
      </c>
      <c r="Z257" s="641">
        <f t="shared" si="288"/>
        <v>21.688999999999965</v>
      </c>
      <c r="AA257" s="640">
        <f t="shared" si="288"/>
        <v>37.90500000000003</v>
      </c>
      <c r="AB257" s="640">
        <f t="shared" si="288"/>
        <v>55.926000000000045</v>
      </c>
      <c r="AC257" s="642">
        <f t="shared" si="288"/>
        <v>19.228999999999985</v>
      </c>
      <c r="AD257" s="641">
        <f t="shared" si="288"/>
        <v>4.2436385542168296</v>
      </c>
      <c r="AE257" s="640">
        <f t="shared" si="288"/>
        <v>34.962220181415375</v>
      </c>
      <c r="AF257" s="640">
        <f t="shared" si="288"/>
        <v>58.96623090612087</v>
      </c>
      <c r="AG257" s="642">
        <f t="shared" si="288"/>
        <v>25.252442249962428</v>
      </c>
      <c r="AI257" s="639"/>
      <c r="AJ257" s="643"/>
      <c r="AK257" s="643"/>
      <c r="AL257" s="643"/>
      <c r="AM257" s="643"/>
      <c r="AN257" s="643"/>
      <c r="AO257" s="643"/>
      <c r="AP257" s="643"/>
      <c r="AQ257" s="643"/>
      <c r="AR257" s="643"/>
      <c r="AS257" s="643"/>
      <c r="AT257" s="643"/>
      <c r="AU257" s="644"/>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U75"/>
  <sheetViews>
    <sheetView showGridLines="0" zoomScale="115" zoomScaleNormal="115" workbookViewId="0">
      <selection activeCell="J5" sqref="J5"/>
    </sheetView>
  </sheetViews>
  <sheetFormatPr defaultRowHeight="11.25" customHeight="1" outlineLevelRow="1"/>
  <cols>
    <col min="1" max="1" width="9.140625" style="1"/>
    <col min="2" max="2" width="16.28515625" style="1" customWidth="1"/>
    <col min="3" max="3" width="9.85546875" style="1" customWidth="1"/>
    <col min="4" max="17" width="9.140625" style="1"/>
    <col min="18" max="18" width="13.28515625" style="1" bestFit="1" customWidth="1"/>
    <col min="19" max="16384" width="9.140625" style="1"/>
  </cols>
  <sheetData>
    <row r="2" spans="2:21" ht="11.25" customHeight="1">
      <c r="B2" s="75" t="s">
        <v>162</v>
      </c>
      <c r="C2" s="75"/>
      <c r="D2" s="75"/>
      <c r="E2" s="75"/>
      <c r="F2" s="75">
        <f>+'Base DCF'!F2</f>
        <v>2014</v>
      </c>
      <c r="G2" s="75">
        <f>+'Base DCF'!G2</f>
        <v>2015</v>
      </c>
      <c r="H2" s="75">
        <f>+'Base DCF'!H2</f>
        <v>2016</v>
      </c>
      <c r="I2" s="76">
        <f>+'Base DCF'!I2</f>
        <v>2017</v>
      </c>
      <c r="J2" s="76">
        <f>+'Base DCF'!J2</f>
        <v>2018</v>
      </c>
      <c r="K2" s="76">
        <f>+'Base DCF'!K2</f>
        <v>2019</v>
      </c>
      <c r="L2" s="76">
        <f>+'Base DCF'!L2</f>
        <v>2020</v>
      </c>
      <c r="M2" s="76">
        <f>+'Base DCF'!M2</f>
        <v>2021</v>
      </c>
      <c r="N2" s="76">
        <f>+'Base DCF'!N2</f>
        <v>2022</v>
      </c>
      <c r="O2" s="76">
        <f>+'Base DCF'!O2</f>
        <v>2023</v>
      </c>
      <c r="P2" s="76">
        <f>+'Base DCF'!P2</f>
        <v>2024</v>
      </c>
      <c r="Q2" s="76">
        <f>+'Base DCF'!Q2</f>
        <v>2025</v>
      </c>
      <c r="R2" s="548" t="str">
        <f>+'Base DCF'!R2</f>
        <v>Terminal Year</v>
      </c>
      <c r="T2" s="582" t="s">
        <v>408</v>
      </c>
    </row>
    <row r="3" spans="2:21" ht="11.25" customHeight="1">
      <c r="B3" s="1" t="s">
        <v>160</v>
      </c>
    </row>
    <row r="4" spans="2:21" ht="11.25" customHeight="1">
      <c r="B4" s="127" t="s">
        <v>150</v>
      </c>
      <c r="F4" s="3">
        <f>+'Base DCF'!F4</f>
        <v>0</v>
      </c>
      <c r="G4" s="3">
        <f>+'Base DCF'!G4</f>
        <v>58.663000000000004</v>
      </c>
      <c r="H4" s="3">
        <f>+'Base DCF'!H4</f>
        <v>404.48199999999997</v>
      </c>
      <c r="I4" s="3">
        <f>+H4*(1+I5)</f>
        <v>794.61284999999998</v>
      </c>
      <c r="J4" s="3">
        <f t="shared" ref="J4:Q4" si="0">+I4*(1+J5)</f>
        <v>1205.1206090926848</v>
      </c>
      <c r="K4" s="3">
        <f t="shared" si="0"/>
        <v>1717.1727685493711</v>
      </c>
      <c r="L4" s="3">
        <f t="shared" si="0"/>
        <v>2316.9047060348644</v>
      </c>
      <c r="M4" s="3">
        <f t="shared" si="0"/>
        <v>2975.8117073478938</v>
      </c>
      <c r="N4" s="3">
        <f t="shared" si="0"/>
        <v>3650.9533982851635</v>
      </c>
      <c r="O4" s="3">
        <f t="shared" si="0"/>
        <v>4259.4341804372352</v>
      </c>
      <c r="P4" s="3">
        <f t="shared" si="0"/>
        <v>4763.9413590902323</v>
      </c>
      <c r="Q4" s="3">
        <f t="shared" si="0"/>
        <v>5177.173381766901</v>
      </c>
      <c r="R4" s="3">
        <f>Q4*(1+E55)</f>
        <v>5332.4885832199079</v>
      </c>
      <c r="T4" s="188">
        <f>+(Q4/H4)^(1/9)-1</f>
        <v>0.32746017615619949</v>
      </c>
      <c r="U4" s="188"/>
    </row>
    <row r="5" spans="2:21" ht="11.25" customHeight="1">
      <c r="B5" s="128" t="s">
        <v>151</v>
      </c>
      <c r="H5" s="5"/>
      <c r="I5" s="382">
        <f>'Base DCF'!I5-0.075</f>
        <v>0.96451968196359794</v>
      </c>
      <c r="J5" s="382">
        <f>'Base DCF'!J5-0.075</f>
        <v>0.51661354217048583</v>
      </c>
      <c r="K5" s="382">
        <f>'Base DCF'!K5-0.075</f>
        <v>0.42489702324666218</v>
      </c>
      <c r="L5" s="382">
        <f>'Base DCF'!L5-0.075</f>
        <v>0.34925544387250745</v>
      </c>
      <c r="M5" s="382">
        <f>'Base DCF'!M5-0.075</f>
        <v>0.28439106692509525</v>
      </c>
      <c r="N5" s="382">
        <f>'Base DCF'!N5-0.075</f>
        <v>0.22687648189238757</v>
      </c>
      <c r="O5" s="382">
        <f>'Base DCF'!O5-0.075</f>
        <v>0.16666353025428154</v>
      </c>
      <c r="P5" s="382">
        <f>'Base DCF'!P5-0.075</f>
        <v>0.11844464717170684</v>
      </c>
      <c r="Q5" s="382">
        <f>'Base DCF'!Q5-0.075</f>
        <v>8.6741626634040572E-2</v>
      </c>
      <c r="R5" s="5">
        <f>+R4/Q4-1</f>
        <v>3.0000000000000027E-2</v>
      </c>
    </row>
    <row r="6" spans="2:21" ht="11.25" customHeight="1">
      <c r="B6" s="128"/>
    </row>
    <row r="7" spans="2:21" ht="11.25" customHeight="1">
      <c r="B7" s="127" t="s">
        <v>152</v>
      </c>
      <c r="G7" s="3">
        <f>+'Base DCF'!G7</f>
        <v>-292.89799999999991</v>
      </c>
      <c r="H7" s="3">
        <f>+'Base DCF'!H7</f>
        <v>-459.428</v>
      </c>
      <c r="I7" s="3">
        <f>+I4*I15</f>
        <v>-717.4155039880518</v>
      </c>
      <c r="J7" s="3">
        <f t="shared" ref="J7:Q7" si="1">+J4*J15</f>
        <v>-716.83420852690472</v>
      </c>
      <c r="K7" s="3">
        <f t="shared" si="1"/>
        <v>-422.4636719028868</v>
      </c>
      <c r="L7" s="3">
        <f t="shared" si="1"/>
        <v>-196.38637980197768</v>
      </c>
      <c r="M7" s="3">
        <f t="shared" si="1"/>
        <v>98.826045987486793</v>
      </c>
      <c r="N7" s="3">
        <f t="shared" si="1"/>
        <v>439.83858429744237</v>
      </c>
      <c r="O7" s="3">
        <f t="shared" si="1"/>
        <v>761.10047434973842</v>
      </c>
      <c r="P7" s="3">
        <f t="shared" si="1"/>
        <v>1029.5962797668053</v>
      </c>
      <c r="Q7" s="3">
        <f t="shared" si="1"/>
        <v>1250.4154877358073</v>
      </c>
      <c r="R7" s="3">
        <f>R4*R15</f>
        <v>1287.9279523678815</v>
      </c>
    </row>
    <row r="8" spans="2:21" ht="11.25" customHeight="1">
      <c r="B8" s="127" t="s">
        <v>218</v>
      </c>
      <c r="G8" s="3">
        <f>+'Base DCF'!G8</f>
        <v>0</v>
      </c>
      <c r="H8" s="3">
        <f>+'Base DCF'!H8</f>
        <v>0</v>
      </c>
      <c r="I8" s="3">
        <f>+'Base DCF'!I8</f>
        <v>0</v>
      </c>
      <c r="J8" s="3">
        <f>+'Base DCF'!J8</f>
        <v>0</v>
      </c>
      <c r="K8" s="3">
        <f>+'Base DCF'!K8</f>
        <v>0</v>
      </c>
      <c r="L8" s="3">
        <f>+'Base DCF'!L8</f>
        <v>0</v>
      </c>
      <c r="M8" s="3">
        <f>+'Base DCF'!M8</f>
        <v>0</v>
      </c>
      <c r="N8" s="3">
        <f>+'Base DCF'!N8</f>
        <v>0</v>
      </c>
      <c r="O8" s="3">
        <f>+'Base DCF'!O8</f>
        <v>0</v>
      </c>
      <c r="P8" s="3">
        <f>+'Base DCF'!P8</f>
        <v>0</v>
      </c>
      <c r="Q8" s="3">
        <f>+'Base DCF'!Q8</f>
        <v>0</v>
      </c>
      <c r="R8" s="3"/>
    </row>
    <row r="9" spans="2:21" ht="11.25" customHeight="1">
      <c r="B9" s="127" t="s">
        <v>153</v>
      </c>
      <c r="G9" s="3">
        <f>+'Base DCF'!G9</f>
        <v>-15.485999999999997</v>
      </c>
      <c r="H9" s="3">
        <f>+'Base DCF'!H9</f>
        <v>-150.49600000000001</v>
      </c>
      <c r="I9" s="3">
        <f>+I12+I11+I10+I8-I7</f>
        <v>0.42410534181192361</v>
      </c>
      <c r="J9" s="3">
        <f t="shared" ref="J9:Q9" si="2">+J12+J11+J10+J8-J7</f>
        <v>-255.60896239615363</v>
      </c>
      <c r="K9" s="3">
        <f t="shared" si="2"/>
        <v>289.38019574073701</v>
      </c>
      <c r="L9" s="3">
        <f t="shared" si="2"/>
        <v>418.33498741171724</v>
      </c>
      <c r="M9" s="3">
        <f t="shared" si="2"/>
        <v>337.86904390643843</v>
      </c>
      <c r="N9" s="3">
        <f t="shared" si="2"/>
        <v>116.31012674595092</v>
      </c>
      <c r="O9" s="3">
        <f t="shared" si="2"/>
        <v>5.0353665766048152</v>
      </c>
      <c r="P9" s="3">
        <f t="shared" si="2"/>
        <v>-36.063399009547766</v>
      </c>
      <c r="Q9" s="3">
        <f t="shared" si="2"/>
        <v>-47.886341471625883</v>
      </c>
    </row>
    <row r="10" spans="2:21" ht="11.25" customHeight="1">
      <c r="B10" s="127" t="s">
        <v>154</v>
      </c>
      <c r="G10" s="3">
        <f>+'Base DCF'!G10</f>
        <v>28.305</v>
      </c>
      <c r="H10" s="3">
        <f>'Base DCF'!H10</f>
        <v>67.013000000000005</v>
      </c>
      <c r="I10" s="3">
        <f t="shared" ref="I10:Q10" si="3">+I69</f>
        <v>81.40998880694444</v>
      </c>
      <c r="J10" s="3">
        <f t="shared" si="3"/>
        <v>90.423512693521033</v>
      </c>
      <c r="K10" s="3">
        <f t="shared" si="3"/>
        <v>97.237278551633537</v>
      </c>
      <c r="L10" s="3">
        <f t="shared" si="3"/>
        <v>102.02917270710759</v>
      </c>
      <c r="M10" s="3">
        <f t="shared" si="3"/>
        <v>104.98503094362508</v>
      </c>
      <c r="N10" s="3">
        <f t="shared" si="3"/>
        <v>107.02734594279111</v>
      </c>
      <c r="O10" s="3">
        <f t="shared" si="3"/>
        <v>106.78218759029599</v>
      </c>
      <c r="P10" s="3">
        <f t="shared" si="3"/>
        <v>105.25274209087962</v>
      </c>
      <c r="Q10" s="3">
        <f t="shared" si="3"/>
        <v>102.69859958207468</v>
      </c>
    </row>
    <row r="11" spans="2:21" ht="11.25" customHeight="1">
      <c r="B11" s="350" t="s">
        <v>155</v>
      </c>
      <c r="C11" s="339"/>
      <c r="D11" s="339"/>
      <c r="E11" s="339"/>
      <c r="F11" s="339"/>
      <c r="G11" s="343">
        <f>+'Base DCF'!G11</f>
        <v>73.524000000000001</v>
      </c>
      <c r="H11" s="343">
        <f>+H72</f>
        <v>31.842000000000002</v>
      </c>
      <c r="I11" s="521">
        <v>75</v>
      </c>
      <c r="J11" s="343">
        <f t="shared" ref="J11:Q11" si="4">+J72</f>
        <v>338.68202951652762</v>
      </c>
      <c r="K11" s="343">
        <f t="shared" si="4"/>
        <v>361.85611828519086</v>
      </c>
      <c r="L11" s="343">
        <f t="shared" si="4"/>
        <v>370.2251915293773</v>
      </c>
      <c r="M11" s="343">
        <f t="shared" si="4"/>
        <v>377.7831527263815</v>
      </c>
      <c r="N11" s="343">
        <f t="shared" si="4"/>
        <v>373.82035498060645</v>
      </c>
      <c r="O11" s="343">
        <f t="shared" si="4"/>
        <v>368.80257220724889</v>
      </c>
      <c r="P11" s="343">
        <f t="shared" si="4"/>
        <v>362.90709159589414</v>
      </c>
      <c r="Q11" s="343">
        <f t="shared" si="4"/>
        <v>356.45236918096197</v>
      </c>
      <c r="R11" s="339"/>
    </row>
    <row r="12" spans="2:21" ht="11.25" customHeight="1">
      <c r="B12" s="129" t="s">
        <v>156</v>
      </c>
      <c r="C12" s="7"/>
      <c r="D12" s="7"/>
      <c r="E12" s="7"/>
      <c r="F12" s="7"/>
      <c r="G12" s="9">
        <f>G7-G8+G9-G10-G11</f>
        <v>-410.21299999999991</v>
      </c>
      <c r="H12" s="9">
        <f t="shared" ref="H12:Q12" si="5">+H17*H7</f>
        <v>-708.779</v>
      </c>
      <c r="I12" s="9">
        <f t="shared" si="5"/>
        <v>-873.40138745318427</v>
      </c>
      <c r="J12" s="9">
        <f t="shared" si="5"/>
        <v>-1401.548713133107</v>
      </c>
      <c r="K12" s="9">
        <f t="shared" si="5"/>
        <v>-592.1768729989742</v>
      </c>
      <c r="L12" s="9">
        <f t="shared" si="5"/>
        <v>-250.30575662674534</v>
      </c>
      <c r="M12" s="9">
        <f t="shared" si="5"/>
        <v>-46.073093776081343</v>
      </c>
      <c r="N12" s="9">
        <f t="shared" si="5"/>
        <v>75.301010119995695</v>
      </c>
      <c r="O12" s="9">
        <f t="shared" si="5"/>
        <v>290.55108112879833</v>
      </c>
      <c r="P12" s="9">
        <f t="shared" si="5"/>
        <v>525.37304707048384</v>
      </c>
      <c r="Q12" s="9">
        <f t="shared" si="5"/>
        <v>743.37817750114482</v>
      </c>
      <c r="R12" s="9">
        <f>R7*R17</f>
        <v>643.96397618394076</v>
      </c>
    </row>
    <row r="13" spans="2:21" ht="11.25" customHeight="1">
      <c r="B13" s="128" t="s">
        <v>157</v>
      </c>
    </row>
    <row r="14" spans="2:21" ht="11.25" customHeight="1">
      <c r="B14" s="128"/>
      <c r="Q14" s="258"/>
    </row>
    <row r="15" spans="2:21" ht="11.25" customHeight="1">
      <c r="B15" s="127" t="s">
        <v>158</v>
      </c>
      <c r="G15" s="5">
        <f>G7/G4</f>
        <v>-4.9928916011796174</v>
      </c>
      <c r="H15" s="5">
        <f>H7/H4</f>
        <v>-1.1358428805237317</v>
      </c>
      <c r="I15" s="382">
        <f>+'Base DCF'!I15-0.03</f>
        <v>-0.90284910946009977</v>
      </c>
      <c r="J15" s="382">
        <f>+'Base DCF'!J15-0.03</f>
        <v>-0.59482362438942704</v>
      </c>
      <c r="K15" s="382">
        <f>+'Base DCF'!K15-0.03</f>
        <v>-0.2460228112397651</v>
      </c>
      <c r="L15" s="382">
        <f>+'Base DCF'!L15-0.03</f>
        <v>-8.4762389791193465E-2</v>
      </c>
      <c r="M15" s="382">
        <f>+'Base DCF'!M15-0.03</f>
        <v>3.320977793839068E-2</v>
      </c>
      <c r="N15" s="382">
        <f>+'Base DCF'!N15-0.03</f>
        <v>0.1204722537691203</v>
      </c>
      <c r="O15" s="382">
        <f>+'Base DCF'!O15-0.03</f>
        <v>0.17868581649772333</v>
      </c>
      <c r="P15" s="382">
        <f>+'Base DCF'!P15-0.03</f>
        <v>0.21612278618883479</v>
      </c>
      <c r="Q15" s="382">
        <f>+'Base DCF'!Q15-0.03</f>
        <v>0.24152474632963847</v>
      </c>
      <c r="R15" s="546">
        <f>Q15</f>
        <v>0.24152474632963847</v>
      </c>
    </row>
    <row r="16" spans="2:21" ht="11.25" customHeight="1">
      <c r="B16" s="127" t="s">
        <v>313</v>
      </c>
      <c r="H16" s="5">
        <f t="shared" ref="H16:Q16" si="6">+(H7-G7)/(H4-G4)</f>
        <v>-0.48155248844048509</v>
      </c>
      <c r="I16" s="5">
        <f t="shared" si="6"/>
        <v>-0.66128455103730399</v>
      </c>
      <c r="J16" s="5">
        <f t="shared" si="6"/>
        <v>1.4160401314505559E-3</v>
      </c>
      <c r="K16" s="5">
        <f t="shared" si="6"/>
        <v>0.57488388865767159</v>
      </c>
      <c r="L16" s="5">
        <f t="shared" si="6"/>
        <v>0.37696390332118612</v>
      </c>
      <c r="M16" s="5">
        <f t="shared" si="6"/>
        <v>0.44803352400442437</v>
      </c>
      <c r="N16" s="5">
        <f t="shared" si="6"/>
        <v>0.50509773413124992</v>
      </c>
      <c r="O16" s="5">
        <f t="shared" si="6"/>
        <v>0.52797376593564493</v>
      </c>
      <c r="P16" s="5">
        <f t="shared" si="6"/>
        <v>0.53219422196119015</v>
      </c>
      <c r="Q16" s="5">
        <f t="shared" si="6"/>
        <v>0.53437099704584334</v>
      </c>
    </row>
    <row r="17" spans="2:18" ht="11.25" customHeight="1">
      <c r="B17" s="127" t="s">
        <v>159</v>
      </c>
      <c r="G17" s="5">
        <f>+'Base DCF'!G17</f>
        <v>1.4005319257898656</v>
      </c>
      <c r="H17" s="5">
        <f>+'Base DCF'!H17</f>
        <v>1.5427422795301984</v>
      </c>
      <c r="I17" s="5">
        <f>+'Base DCF'!I17</f>
        <v>1.2174275334140678</v>
      </c>
      <c r="J17" s="5">
        <f>+'Base DCF'!J17</f>
        <v>1.9551922836011015</v>
      </c>
      <c r="K17" s="5">
        <f>+'Base DCF'!K17</f>
        <v>1.4017225915110163</v>
      </c>
      <c r="L17" s="5">
        <f>+'Base DCF'!L17</f>
        <v>1.274557618909907</v>
      </c>
      <c r="M17" s="382">
        <f>+'Base DCF'!M17-0.02</f>
        <v>-0.46620395783025709</v>
      </c>
      <c r="N17" s="382">
        <f>+'Base DCF'!N17-0.02</f>
        <v>0.17120146528362123</v>
      </c>
      <c r="O17" s="382">
        <f>+'Base DCF'!O17-0.02</f>
        <v>0.38175128109995798</v>
      </c>
      <c r="P17" s="382">
        <f>+'Base DCF'!P17-0.02</f>
        <v>0.510270925988074</v>
      </c>
      <c r="Q17" s="382">
        <f>+'Base DCF'!Q17-0.02</f>
        <v>0.59450493439362184</v>
      </c>
      <c r="R17" s="546">
        <v>0.5</v>
      </c>
    </row>
    <row r="18" spans="2:18" ht="11.25" customHeight="1">
      <c r="B18" s="127"/>
    </row>
    <row r="19" spans="2:18" ht="11.25" customHeight="1" thickBot="1">
      <c r="B19" s="542" t="s">
        <v>198</v>
      </c>
      <c r="C19" s="152"/>
      <c r="D19" s="152"/>
      <c r="E19" s="152"/>
      <c r="F19" s="152"/>
      <c r="G19" s="152"/>
      <c r="H19" s="152"/>
      <c r="I19" s="153">
        <f t="shared" ref="I19:Q19" si="7">I$2</f>
        <v>2017</v>
      </c>
      <c r="J19" s="153">
        <f t="shared" si="7"/>
        <v>2018</v>
      </c>
      <c r="K19" s="153">
        <f t="shared" si="7"/>
        <v>2019</v>
      </c>
      <c r="L19" s="153">
        <f t="shared" si="7"/>
        <v>2020</v>
      </c>
      <c r="M19" s="153">
        <f t="shared" si="7"/>
        <v>2021</v>
      </c>
      <c r="N19" s="153">
        <f t="shared" si="7"/>
        <v>2022</v>
      </c>
      <c r="O19" s="153">
        <f t="shared" si="7"/>
        <v>2023</v>
      </c>
      <c r="P19" s="153">
        <f t="shared" si="7"/>
        <v>2024</v>
      </c>
      <c r="Q19" s="153">
        <f t="shared" si="7"/>
        <v>2025</v>
      </c>
    </row>
    <row r="20" spans="2:18" ht="11.25" hidden="1" customHeight="1" outlineLevel="1">
      <c r="B20" s="545" t="s">
        <v>390</v>
      </c>
      <c r="G20" s="543"/>
      <c r="H20" s="543"/>
      <c r="I20" s="544"/>
      <c r="J20" s="544"/>
      <c r="K20" s="544"/>
      <c r="L20" s="544"/>
      <c r="M20" s="544"/>
      <c r="N20" s="544"/>
      <c r="O20" s="544"/>
      <c r="P20" s="544"/>
      <c r="Q20" s="544"/>
    </row>
    <row r="21" spans="2:18" ht="11.25" hidden="1" customHeight="1" outlineLevel="1">
      <c r="B21" s="127" t="s">
        <v>199</v>
      </c>
      <c r="C21" s="140"/>
      <c r="D21" s="140"/>
      <c r="E21" s="140"/>
      <c r="F21" s="154"/>
      <c r="G21" s="155"/>
      <c r="H21" s="155"/>
      <c r="I21" s="552">
        <v>1</v>
      </c>
      <c r="J21" s="156">
        <f t="shared" ref="J21:Q21" si="8">I21+1</f>
        <v>2</v>
      </c>
      <c r="K21" s="156">
        <f t="shared" si="8"/>
        <v>3</v>
      </c>
      <c r="L21" s="156">
        <f t="shared" si="8"/>
        <v>4</v>
      </c>
      <c r="M21" s="156">
        <f t="shared" si="8"/>
        <v>5</v>
      </c>
      <c r="N21" s="156">
        <f t="shared" si="8"/>
        <v>6</v>
      </c>
      <c r="O21" s="156">
        <f t="shared" si="8"/>
        <v>7</v>
      </c>
      <c r="P21" s="156">
        <f t="shared" si="8"/>
        <v>8</v>
      </c>
      <c r="Q21" s="156">
        <f t="shared" si="8"/>
        <v>9</v>
      </c>
    </row>
    <row r="22" spans="2:18" ht="11.25" hidden="1" customHeight="1" outlineLevel="1">
      <c r="B22" s="127" t="s">
        <v>200</v>
      </c>
      <c r="C22" s="140"/>
      <c r="D22" s="140"/>
      <c r="E22" s="140"/>
      <c r="F22" s="157"/>
      <c r="G22" s="158"/>
      <c r="H22" s="159"/>
      <c r="I22" s="159">
        <f t="shared" ref="I22:Q22" si="9">I12/(1+$E54)^I21</f>
        <v>-807.01083651134775</v>
      </c>
      <c r="J22" s="159">
        <f t="shared" si="9"/>
        <v>-1196.572933588975</v>
      </c>
      <c r="K22" s="159">
        <f t="shared" si="9"/>
        <v>-467.14091733762416</v>
      </c>
      <c r="L22" s="159">
        <f t="shared" si="9"/>
        <v>-182.44534777166271</v>
      </c>
      <c r="M22" s="159">
        <f t="shared" si="9"/>
        <v>-31.02950307648619</v>
      </c>
      <c r="N22" s="159">
        <f t="shared" si="9"/>
        <v>46.859077639613389</v>
      </c>
      <c r="O22" s="159">
        <f t="shared" si="9"/>
        <v>167.06324719487549</v>
      </c>
      <c r="P22" s="159">
        <f t="shared" si="9"/>
        <v>279.12047810080799</v>
      </c>
      <c r="Q22" s="159">
        <f t="shared" si="9"/>
        <v>364.92129595306994</v>
      </c>
    </row>
    <row r="23" spans="2:18" ht="11.25" hidden="1" customHeight="1" outlineLevel="1">
      <c r="B23" s="127"/>
      <c r="C23" s="140"/>
      <c r="D23" s="140"/>
      <c r="E23" s="140"/>
      <c r="F23" s="157"/>
      <c r="G23" s="158"/>
      <c r="H23" s="159"/>
      <c r="I23" s="159"/>
      <c r="J23" s="159"/>
      <c r="K23" s="159"/>
      <c r="L23" s="159"/>
      <c r="M23" s="159"/>
      <c r="N23" s="159"/>
      <c r="O23" s="159"/>
      <c r="P23" s="159"/>
      <c r="Q23" s="159"/>
    </row>
    <row r="24" spans="2:18" ht="11.25" customHeight="1" collapsed="1">
      <c r="B24" s="545" t="s">
        <v>336</v>
      </c>
      <c r="C24" s="140"/>
      <c r="D24" s="140"/>
      <c r="E24" s="140"/>
      <c r="F24" s="157"/>
      <c r="G24" s="158"/>
      <c r="H24" s="159"/>
      <c r="I24" s="159"/>
      <c r="J24" s="159"/>
      <c r="K24" s="159"/>
      <c r="L24" s="159"/>
      <c r="M24" s="159"/>
      <c r="N24" s="159"/>
      <c r="O24" s="159"/>
      <c r="P24" s="159"/>
      <c r="Q24" s="159"/>
    </row>
    <row r="25" spans="2:18" ht="11.25" customHeight="1">
      <c r="B25" s="127" t="s">
        <v>199</v>
      </c>
      <c r="C25" s="140"/>
      <c r="D25" s="140"/>
      <c r="E25" s="140"/>
      <c r="F25" s="157"/>
      <c r="G25" s="158"/>
      <c r="H25" s="155"/>
      <c r="I25" s="552">
        <v>0</v>
      </c>
      <c r="J25" s="552">
        <v>0</v>
      </c>
      <c r="K25" s="156">
        <f t="shared" ref="K25:Q25" si="10">J25+1</f>
        <v>1</v>
      </c>
      <c r="L25" s="156">
        <f t="shared" si="10"/>
        <v>2</v>
      </c>
      <c r="M25" s="156">
        <f t="shared" si="10"/>
        <v>3</v>
      </c>
      <c r="N25" s="156">
        <f t="shared" si="10"/>
        <v>4</v>
      </c>
      <c r="O25" s="156">
        <f t="shared" si="10"/>
        <v>5</v>
      </c>
      <c r="P25" s="156">
        <f t="shared" si="10"/>
        <v>6</v>
      </c>
      <c r="Q25" s="156">
        <f t="shared" si="10"/>
        <v>7</v>
      </c>
    </row>
    <row r="26" spans="2:18" ht="11.25" customHeight="1">
      <c r="B26" s="127" t="s">
        <v>200</v>
      </c>
      <c r="C26" s="140"/>
      <c r="D26" s="140"/>
      <c r="E26" s="140"/>
      <c r="F26" s="157"/>
      <c r="G26" s="158"/>
      <c r="H26" s="159"/>
      <c r="I26" s="159"/>
      <c r="J26" s="159"/>
      <c r="K26" s="159">
        <f t="shared" ref="K26:Q26" si="11">K12/(1+$E54)^K25</f>
        <v>-547.16326365716031</v>
      </c>
      <c r="L26" s="159">
        <f t="shared" si="11"/>
        <v>-213.69866826214832</v>
      </c>
      <c r="M26" s="159">
        <f t="shared" si="11"/>
        <v>-36.344930497105558</v>
      </c>
      <c r="N26" s="159">
        <f t="shared" si="11"/>
        <v>54.886148700873143</v>
      </c>
      <c r="O26" s="159">
        <f t="shared" si="11"/>
        <v>195.68157739914736</v>
      </c>
      <c r="P26" s="159">
        <f t="shared" si="11"/>
        <v>326.93447754824712</v>
      </c>
      <c r="Q26" s="159">
        <f t="shared" si="11"/>
        <v>427.43317885675702</v>
      </c>
    </row>
    <row r="27" spans="2:18" ht="11.25" customHeight="1">
      <c r="B27" s="127"/>
      <c r="C27" s="140"/>
      <c r="D27" s="140"/>
      <c r="E27" s="140"/>
      <c r="F27" s="157"/>
      <c r="G27" s="158"/>
      <c r="H27" s="159"/>
      <c r="I27" s="159"/>
      <c r="J27" s="159"/>
      <c r="K27" s="159"/>
      <c r="L27" s="159"/>
      <c r="M27" s="159"/>
      <c r="N27" s="159"/>
      <c r="O27" s="159"/>
      <c r="P27" s="159"/>
      <c r="Q27" s="159"/>
    </row>
    <row r="28" spans="2:18" ht="11.25" customHeight="1">
      <c r="B28" s="127"/>
    </row>
    <row r="29" spans="2:18" ht="11.25" hidden="1" customHeight="1" outlineLevel="1">
      <c r="B29" s="130" t="s">
        <v>334</v>
      </c>
      <c r="C29" s="164"/>
      <c r="D29" s="164"/>
      <c r="E29" s="165"/>
    </row>
    <row r="30" spans="2:18" ht="11.25" hidden="1" customHeight="1" outlineLevel="1">
      <c r="B30" s="133" t="s">
        <v>190</v>
      </c>
      <c r="C30" s="23"/>
      <c r="D30" s="23"/>
      <c r="E30" s="166">
        <f>SUM(I22:Q22)</f>
        <v>-1826.2354393977289</v>
      </c>
    </row>
    <row r="31" spans="2:18" ht="11.25" hidden="1" customHeight="1" outlineLevel="1">
      <c r="B31" s="169" t="s">
        <v>191</v>
      </c>
      <c r="C31" s="170"/>
      <c r="D31" s="170"/>
      <c r="E31" s="171">
        <f>(R12/(E54-E55))/(1+E54)^Q21</f>
        <v>6048.1344870998473</v>
      </c>
    </row>
    <row r="32" spans="2:18" ht="11.25" hidden="1" customHeight="1" outlineLevel="1">
      <c r="B32" s="151" t="s">
        <v>192</v>
      </c>
      <c r="C32" s="34"/>
      <c r="D32" s="34"/>
      <c r="E32" s="167">
        <f>E31+E30</f>
        <v>4221.899047702118</v>
      </c>
    </row>
    <row r="33" spans="2:13" ht="11.25" hidden="1" customHeight="1" outlineLevel="1">
      <c r="B33" s="133" t="s">
        <v>193</v>
      </c>
      <c r="C33" s="23"/>
      <c r="D33" s="23"/>
      <c r="E33" s="24">
        <v>0</v>
      </c>
      <c r="M33" s="188"/>
    </row>
    <row r="34" spans="2:13" ht="11.25" hidden="1" customHeight="1" outlineLevel="1">
      <c r="B34" s="169" t="s">
        <v>194</v>
      </c>
      <c r="C34" s="170"/>
      <c r="D34" s="170"/>
      <c r="E34" s="171">
        <f>+'Base DCF'!E34</f>
        <v>2043.0390000000002</v>
      </c>
      <c r="G34" s="188"/>
    </row>
    <row r="35" spans="2:13" ht="11.25" hidden="1" customHeight="1" outlineLevel="1">
      <c r="B35" s="151" t="s">
        <v>195</v>
      </c>
      <c r="C35" s="34"/>
      <c r="D35" s="34"/>
      <c r="E35" s="161">
        <f>E32+E33+E34</f>
        <v>6264.9380477021186</v>
      </c>
    </row>
    <row r="36" spans="2:13" ht="11.25" hidden="1" customHeight="1" outlineLevel="1">
      <c r="B36" s="169" t="s">
        <v>196</v>
      </c>
      <c r="C36" s="170"/>
      <c r="D36" s="170"/>
      <c r="E36" s="171">
        <f>'Bull DCF'!E36</f>
        <v>1404.1021930973332</v>
      </c>
    </row>
    <row r="37" spans="2:13" ht="11.25" hidden="1" customHeight="1" outlineLevel="1">
      <c r="B37" s="414" t="s">
        <v>197</v>
      </c>
      <c r="C37" s="415"/>
      <c r="D37" s="415"/>
      <c r="E37" s="416">
        <f>E35/E36</f>
        <v>4.4618818192158676</v>
      </c>
    </row>
    <row r="38" spans="2:13" ht="11.25" hidden="1" customHeight="1" outlineLevel="1"/>
    <row r="39" spans="2:13" ht="11.25" customHeight="1" collapsed="1">
      <c r="B39" s="130" t="s">
        <v>335</v>
      </c>
      <c r="C39" s="164"/>
      <c r="D39" s="164"/>
      <c r="E39" s="165"/>
    </row>
    <row r="40" spans="2:13" ht="11.25" customHeight="1">
      <c r="B40" s="133" t="s">
        <v>190</v>
      </c>
      <c r="C40" s="23"/>
      <c r="D40" s="23"/>
      <c r="E40" s="166">
        <f>SUM(K26:Q26)</f>
        <v>207.72852008861048</v>
      </c>
      <c r="L40" s="188"/>
    </row>
    <row r="41" spans="2:13" ht="11.25" customHeight="1">
      <c r="B41" s="169" t="s">
        <v>191</v>
      </c>
      <c r="C41" s="170"/>
      <c r="D41" s="170"/>
      <c r="E41" s="171">
        <f>(R12/(E54-E55))/(1+E54)^Q25</f>
        <v>7084.1942595389964</v>
      </c>
    </row>
    <row r="42" spans="2:13" ht="11.25" customHeight="1">
      <c r="B42" s="151" t="s">
        <v>192</v>
      </c>
      <c r="C42" s="34"/>
      <c r="D42" s="34"/>
      <c r="E42" s="167">
        <f>E41+E40</f>
        <v>7291.9227796276073</v>
      </c>
      <c r="L42" s="188"/>
    </row>
    <row r="43" spans="2:13" ht="11.25" customHeight="1">
      <c r="B43" s="133" t="s">
        <v>193</v>
      </c>
      <c r="C43" s="23"/>
      <c r="D43" s="23"/>
      <c r="E43" s="166">
        <f>+'Base DCF'!E43</f>
        <v>0</v>
      </c>
      <c r="L43" s="188"/>
    </row>
    <row r="44" spans="2:13" ht="11.25" customHeight="1">
      <c r="B44" s="169" t="s">
        <v>194</v>
      </c>
      <c r="C44" s="170"/>
      <c r="D44" s="170"/>
      <c r="E44" s="171">
        <f>+SUM(Model!AN116:AN117)</f>
        <v>954.24216610161716</v>
      </c>
      <c r="L44" s="188"/>
    </row>
    <row r="45" spans="2:13" ht="11.25" customHeight="1">
      <c r="B45" s="151" t="s">
        <v>195</v>
      </c>
      <c r="C45" s="34"/>
      <c r="D45" s="34"/>
      <c r="E45" s="161">
        <f>E42+E43+E44</f>
        <v>8246.1649457292242</v>
      </c>
    </row>
    <row r="46" spans="2:13" ht="11.25" customHeight="1">
      <c r="B46" s="169" t="s">
        <v>196</v>
      </c>
      <c r="C46" s="170"/>
      <c r="D46" s="170"/>
      <c r="E46" s="171">
        <f>+'Base DCF'!E46</f>
        <v>1460</v>
      </c>
    </row>
    <row r="47" spans="2:13" ht="11.25" customHeight="1">
      <c r="B47" s="414" t="s">
        <v>197</v>
      </c>
      <c r="C47" s="415"/>
      <c r="D47" s="415"/>
      <c r="E47" s="638">
        <f>E45/E46</f>
        <v>5.6480581820063183</v>
      </c>
    </row>
    <row r="49" spans="2:19" ht="11.25" customHeight="1">
      <c r="B49" s="130" t="s">
        <v>163</v>
      </c>
      <c r="C49" s="131"/>
      <c r="D49" s="131"/>
      <c r="E49" s="132"/>
    </row>
    <row r="50" spans="2:19" ht="11.25" hidden="1" customHeight="1" outlineLevel="1">
      <c r="B50" s="133" t="s">
        <v>164</v>
      </c>
      <c r="C50" s="134"/>
      <c r="D50" s="134"/>
      <c r="E50" s="135">
        <f>+E60</f>
        <v>8.3548199999999989E-2</v>
      </c>
    </row>
    <row r="51" spans="2:19" ht="11.25" hidden="1" customHeight="1" outlineLevel="1">
      <c r="B51" s="133" t="s">
        <v>165</v>
      </c>
      <c r="C51" s="134"/>
      <c r="D51" s="134"/>
      <c r="E51" s="551">
        <f>+'Base DCF'!E51</f>
        <v>0.03</v>
      </c>
    </row>
    <row r="52" spans="2:19" ht="11.25" customHeight="1" collapsed="1">
      <c r="B52" s="133" t="s">
        <v>166</v>
      </c>
      <c r="C52" s="134"/>
      <c r="D52" s="134"/>
      <c r="E52" s="551">
        <f>+'Base DCF'!E52</f>
        <v>0.35</v>
      </c>
    </row>
    <row r="53" spans="2:19" ht="11.25" hidden="1" customHeight="1" outlineLevel="1">
      <c r="B53" s="133" t="s">
        <v>167</v>
      </c>
      <c r="C53" s="134"/>
      <c r="D53" s="134"/>
      <c r="E53" s="551">
        <f>+'Base DCF'!E53</f>
        <v>0.02</v>
      </c>
    </row>
    <row r="54" spans="2:19" ht="11.25" customHeight="1" collapsed="1">
      <c r="B54" s="172" t="s">
        <v>168</v>
      </c>
      <c r="C54" s="173"/>
      <c r="D54" s="173"/>
      <c r="E54" s="174">
        <f>+(E50*(1-E53))+((1-E52)*E51*E53)</f>
        <v>8.2267235999999994E-2</v>
      </c>
    </row>
    <row r="55" spans="2:19" ht="11.25" customHeight="1">
      <c r="B55" s="137" t="s">
        <v>169</v>
      </c>
      <c r="C55" s="138"/>
      <c r="D55" s="138"/>
      <c r="E55" s="187">
        <v>0.03</v>
      </c>
      <c r="S55" s="188"/>
    </row>
    <row r="56" spans="2:19" ht="11.25" customHeight="1">
      <c r="B56" s="139"/>
      <c r="C56" s="139"/>
      <c r="D56" s="139"/>
      <c r="E56" s="141"/>
    </row>
    <row r="57" spans="2:19" ht="11.25" customHeight="1">
      <c r="B57" s="142" t="s">
        <v>170</v>
      </c>
      <c r="C57" s="142"/>
      <c r="D57" s="143"/>
      <c r="E57" s="549">
        <f>+'Base DCF'!E57</f>
        <v>2.4899999999999999E-2</v>
      </c>
    </row>
    <row r="58" spans="2:19" ht="11.25" customHeight="1">
      <c r="B58" s="142" t="s">
        <v>171</v>
      </c>
      <c r="C58" s="142"/>
      <c r="D58" s="143"/>
      <c r="E58" s="549">
        <f>+'Base DCF'!E58</f>
        <v>4.3799999999999999E-2</v>
      </c>
    </row>
    <row r="59" spans="2:19" ht="11.25" customHeight="1">
      <c r="B59" s="142" t="s">
        <v>172</v>
      </c>
      <c r="C59" s="142"/>
      <c r="D59" s="143"/>
      <c r="E59" s="142">
        <f>+'Base DCF'!E59</f>
        <v>1.339</v>
      </c>
      <c r="S59" s="188"/>
    </row>
    <row r="60" spans="2:19" ht="11.25" customHeight="1">
      <c r="B60" s="142" t="s">
        <v>173</v>
      </c>
      <c r="C60" s="142"/>
      <c r="D60" s="143"/>
      <c r="E60" s="146">
        <f>+E57+(E59*(E58))</f>
        <v>8.3548199999999989E-2</v>
      </c>
    </row>
    <row r="62" spans="2:19" ht="11.25" customHeight="1">
      <c r="B62" s="563" t="s">
        <v>448</v>
      </c>
      <c r="C62" s="564"/>
      <c r="D62" s="564"/>
      <c r="E62" s="565">
        <f>+E42/K4</f>
        <v>4.2464700775494242</v>
      </c>
    </row>
    <row r="63" spans="2:19" ht="11.25" customHeight="1">
      <c r="B63" s="563" t="s">
        <v>449</v>
      </c>
      <c r="C63" s="564"/>
      <c r="D63" s="564"/>
      <c r="E63" s="565">
        <f>+E42/K7</f>
        <v>-17.260472946189388</v>
      </c>
    </row>
    <row r="64" spans="2:19" ht="11.25" customHeight="1">
      <c r="B64" s="566" t="s">
        <v>397</v>
      </c>
      <c r="C64" s="567"/>
      <c r="D64" s="567"/>
      <c r="E64" s="568">
        <f>+R15</f>
        <v>0.24152474632963847</v>
      </c>
    </row>
    <row r="65" spans="2:17" ht="11.25" customHeight="1">
      <c r="B65" s="566" t="s">
        <v>398</v>
      </c>
      <c r="C65" s="567"/>
      <c r="D65" s="567"/>
      <c r="E65" s="568">
        <f>+R17</f>
        <v>0.5</v>
      </c>
    </row>
    <row r="66" spans="2:17" ht="11.25" customHeight="1">
      <c r="B66" s="569" t="s">
        <v>399</v>
      </c>
      <c r="C66" s="569"/>
      <c r="D66" s="569"/>
      <c r="E66" s="570">
        <f>ROUND(((R12*(1+E55))/(E54-E55))/R7,1)</f>
        <v>9.9</v>
      </c>
    </row>
    <row r="68" spans="2:17" ht="11.25" customHeight="1">
      <c r="B68" s="553" t="s">
        <v>344</v>
      </c>
      <c r="C68" s="183"/>
      <c r="D68" s="183"/>
      <c r="E68" s="183"/>
      <c r="F68" s="184"/>
      <c r="G68" s="185"/>
      <c r="H68" s="185"/>
      <c r="I68" s="185"/>
      <c r="J68" s="185"/>
      <c r="K68" s="185"/>
      <c r="L68" s="185"/>
      <c r="M68" s="185"/>
      <c r="N68" s="185"/>
      <c r="O68" s="185"/>
      <c r="P68" s="185"/>
      <c r="Q68" s="554"/>
    </row>
    <row r="69" spans="2:17" s="7" customFormat="1" ht="11.25" customHeight="1">
      <c r="B69" s="479" t="s">
        <v>342</v>
      </c>
      <c r="C69" s="479"/>
      <c r="D69" s="479"/>
      <c r="E69" s="479"/>
      <c r="F69" s="481"/>
      <c r="G69" s="481"/>
      <c r="H69" s="482">
        <f t="shared" ref="H69:Q69" si="12">+H4*H70</f>
        <v>66.640999999999991</v>
      </c>
      <c r="I69" s="482">
        <f t="shared" si="12"/>
        <v>81.40998880694444</v>
      </c>
      <c r="J69" s="482">
        <f t="shared" si="12"/>
        <v>90.423512693521033</v>
      </c>
      <c r="K69" s="482">
        <f t="shared" si="12"/>
        <v>97.237278551633537</v>
      </c>
      <c r="L69" s="482">
        <f t="shared" si="12"/>
        <v>102.02917270710759</v>
      </c>
      <c r="M69" s="482">
        <f t="shared" si="12"/>
        <v>104.98503094362508</v>
      </c>
      <c r="N69" s="482">
        <f t="shared" si="12"/>
        <v>107.02734594279111</v>
      </c>
      <c r="O69" s="482">
        <f t="shared" si="12"/>
        <v>106.78218759029599</v>
      </c>
      <c r="P69" s="482">
        <f t="shared" si="12"/>
        <v>105.25274209087962</v>
      </c>
      <c r="Q69" s="482">
        <f t="shared" si="12"/>
        <v>102.69859958207468</v>
      </c>
    </row>
    <row r="70" spans="2:17" ht="11.25" customHeight="1">
      <c r="B70" s="139" t="s">
        <v>18</v>
      </c>
      <c r="C70" s="139"/>
      <c r="D70" s="139"/>
      <c r="E70" s="139"/>
      <c r="F70" s="176"/>
      <c r="G70" s="176"/>
      <c r="H70" s="480">
        <f>+Model!AL234</f>
        <v>0.16475640448771514</v>
      </c>
      <c r="I70" s="480">
        <f>+Model!AM234</f>
        <v>0.10245239402678227</v>
      </c>
      <c r="J70" s="480">
        <f>+Model!AN234</f>
        <v>7.5032749428789028E-2</v>
      </c>
      <c r="K70" s="480">
        <f>+Model!AO234</f>
        <v>5.6626380485743089E-2</v>
      </c>
      <c r="L70" s="480">
        <f>+Model!AP234</f>
        <v>4.4036844692555206E-2</v>
      </c>
      <c r="M70" s="480">
        <f>+Model!AQ234</f>
        <v>3.5279460284531897E-2</v>
      </c>
      <c r="N70" s="480">
        <f>+Model!AR234</f>
        <v>2.9314903332664115E-2</v>
      </c>
      <c r="O70" s="480">
        <f>+Model!AS234</f>
        <v>2.5069570996243143E-2</v>
      </c>
      <c r="P70" s="480">
        <f>+Model!AT234</f>
        <v>2.2093626717306969E-2</v>
      </c>
      <c r="Q70" s="480">
        <f>+Model!AU234</f>
        <v>1.9836809009287033E-2</v>
      </c>
    </row>
    <row r="71" spans="2:17" ht="11.25" customHeight="1">
      <c r="B71" s="139"/>
      <c r="C71" s="139"/>
      <c r="D71" s="139"/>
      <c r="E71" s="139"/>
      <c r="F71" s="176"/>
      <c r="G71" s="176"/>
      <c r="H71" s="483"/>
      <c r="I71" s="483"/>
      <c r="J71" s="483"/>
      <c r="K71" s="483"/>
      <c r="L71" s="483"/>
      <c r="M71" s="483"/>
      <c r="N71" s="483"/>
      <c r="O71" s="483"/>
      <c r="P71" s="483"/>
      <c r="Q71" s="483"/>
    </row>
    <row r="72" spans="2:17" s="7" customFormat="1" ht="11.25" customHeight="1">
      <c r="B72" s="479" t="s">
        <v>343</v>
      </c>
      <c r="C72" s="479"/>
      <c r="D72" s="479"/>
      <c r="E72" s="479"/>
      <c r="F72" s="482"/>
      <c r="G72" s="482"/>
      <c r="H72" s="482">
        <f t="shared" ref="H72:Q72" si="13">+H73*H4</f>
        <v>31.842000000000002</v>
      </c>
      <c r="I72" s="482">
        <f t="shared" si="13"/>
        <v>2566.3873355689261</v>
      </c>
      <c r="J72" s="482">
        <f t="shared" si="13"/>
        <v>338.68202951652762</v>
      </c>
      <c r="K72" s="482">
        <f t="shared" si="13"/>
        <v>361.85611828519086</v>
      </c>
      <c r="L72" s="482">
        <f t="shared" si="13"/>
        <v>370.2251915293773</v>
      </c>
      <c r="M72" s="482">
        <f t="shared" si="13"/>
        <v>377.7831527263815</v>
      </c>
      <c r="N72" s="482">
        <f t="shared" si="13"/>
        <v>373.82035498060645</v>
      </c>
      <c r="O72" s="482">
        <f t="shared" si="13"/>
        <v>368.80257220724889</v>
      </c>
      <c r="P72" s="482">
        <f t="shared" si="13"/>
        <v>362.90709159589414</v>
      </c>
      <c r="Q72" s="482">
        <f t="shared" si="13"/>
        <v>356.45236918096197</v>
      </c>
    </row>
    <row r="73" spans="2:17" ht="11.25" customHeight="1">
      <c r="B73" s="139" t="s">
        <v>18</v>
      </c>
      <c r="C73" s="140"/>
      <c r="D73" s="140"/>
      <c r="E73" s="140"/>
      <c r="F73" s="176"/>
      <c r="G73" s="176"/>
      <c r="H73" s="480">
        <f>+'Bull DCF'!H73</f>
        <v>7.872290979573876E-2</v>
      </c>
      <c r="I73" s="480">
        <f>+'Bull DCF'!I73</f>
        <v>3.2297329895545062</v>
      </c>
      <c r="J73" s="480">
        <f>+'Bull DCF'!J73</f>
        <v>0.28103579588728106</v>
      </c>
      <c r="K73" s="480">
        <f>+'Bull DCF'!K73</f>
        <v>0.21072784574313905</v>
      </c>
      <c r="L73" s="480">
        <f>+'Bull DCF'!L73</f>
        <v>0.15979301633124923</v>
      </c>
      <c r="M73" s="480">
        <f>+'Bull DCF'!M73</f>
        <v>0.12695129594172805</v>
      </c>
      <c r="N73" s="480">
        <f>+'Bull DCF'!N73</f>
        <v>0.10238979088481058</v>
      </c>
      <c r="O73" s="480">
        <f>+'Bull DCF'!O73</f>
        <v>8.6584874089870534E-2</v>
      </c>
      <c r="P73" s="480">
        <f>+'Bull DCF'!P73</f>
        <v>7.617790905495074E-2</v>
      </c>
      <c r="Q73" s="480">
        <f>+'Bull DCF'!Q73</f>
        <v>6.885076911588954E-2</v>
      </c>
    </row>
    <row r="74" spans="2:17" ht="11.25" customHeight="1">
      <c r="B74" s="140"/>
      <c r="C74" s="140"/>
      <c r="D74" s="140"/>
      <c r="E74" s="140"/>
      <c r="F74" s="178"/>
      <c r="G74" s="179"/>
      <c r="H74" s="179"/>
      <c r="I74" s="179"/>
      <c r="J74" s="180"/>
      <c r="K74" s="181"/>
      <c r="L74" s="181"/>
      <c r="M74" s="181"/>
      <c r="N74" s="181"/>
      <c r="O74" s="181"/>
      <c r="P74" s="181"/>
      <c r="Q74" s="181"/>
    </row>
    <row r="75" spans="2:17" ht="11.25" customHeight="1">
      <c r="B75" s="182"/>
      <c r="C75" s="182"/>
      <c r="D75" s="182"/>
      <c r="E75" s="182"/>
      <c r="F75" s="182"/>
      <c r="G75" s="176"/>
      <c r="H75" s="176"/>
      <c r="I75" s="176"/>
      <c r="J75" s="176"/>
      <c r="K75" s="176"/>
      <c r="L75" s="176"/>
      <c r="M75" s="176"/>
      <c r="N75" s="176"/>
      <c r="O75" s="176"/>
      <c r="P75" s="176"/>
      <c r="Q75" s="176"/>
    </row>
  </sheetData>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pageSetUpPr fitToPage="1"/>
  </sheetPr>
  <dimension ref="B2:W76"/>
  <sheetViews>
    <sheetView showGridLines="0" zoomScaleNormal="100" workbookViewId="0">
      <selection activeCell="H51" sqref="H51"/>
    </sheetView>
  </sheetViews>
  <sheetFormatPr defaultRowHeight="11.25" customHeight="1" outlineLevelRow="2" outlineLevelCol="1"/>
  <cols>
    <col min="1" max="1" width="9.140625" style="1"/>
    <col min="2" max="2" width="16.28515625" style="1" bestFit="1" customWidth="1"/>
    <col min="3" max="3" width="9.85546875" style="1" bestFit="1" customWidth="1"/>
    <col min="4" max="5" width="9.140625" style="1"/>
    <col min="6" max="7" width="0" style="1" hidden="1" customWidth="1" outlineLevel="1"/>
    <col min="8" max="8" width="9.140625" style="1" collapsed="1"/>
    <col min="9" max="17" width="9.140625" style="1"/>
    <col min="18" max="18" width="13.28515625" style="1" bestFit="1" customWidth="1"/>
    <col min="19" max="16384" width="9.140625" style="1"/>
  </cols>
  <sheetData>
    <row r="2" spans="2:21" ht="11.25" customHeight="1">
      <c r="B2" s="75" t="s">
        <v>162</v>
      </c>
      <c r="C2" s="75"/>
      <c r="D2" s="75"/>
      <c r="E2" s="75"/>
      <c r="F2" s="75">
        <v>2014</v>
      </c>
      <c r="G2" s="75">
        <f>+F2+1</f>
        <v>2015</v>
      </c>
      <c r="H2" s="75">
        <f t="shared" ref="H2:Q2" si="0">+G2+1</f>
        <v>2016</v>
      </c>
      <c r="I2" s="75">
        <f t="shared" si="0"/>
        <v>2017</v>
      </c>
      <c r="J2" s="76">
        <f t="shared" si="0"/>
        <v>2018</v>
      </c>
      <c r="K2" s="76">
        <f t="shared" si="0"/>
        <v>2019</v>
      </c>
      <c r="L2" s="76">
        <f t="shared" si="0"/>
        <v>2020</v>
      </c>
      <c r="M2" s="76">
        <f t="shared" si="0"/>
        <v>2021</v>
      </c>
      <c r="N2" s="76">
        <f t="shared" si="0"/>
        <v>2022</v>
      </c>
      <c r="O2" s="76">
        <f t="shared" si="0"/>
        <v>2023</v>
      </c>
      <c r="P2" s="76">
        <f t="shared" si="0"/>
        <v>2024</v>
      </c>
      <c r="Q2" s="76">
        <f t="shared" si="0"/>
        <v>2025</v>
      </c>
      <c r="R2" s="547" t="s">
        <v>201</v>
      </c>
      <c r="T2" s="582" t="s">
        <v>408</v>
      </c>
    </row>
    <row r="3" spans="2:21" ht="11.25" customHeight="1">
      <c r="B3" s="1" t="s">
        <v>160</v>
      </c>
      <c r="I3" s="3">
        <f>+I4-H4</f>
        <v>420.46699999999998</v>
      </c>
      <c r="J3" s="3">
        <f t="shared" ref="J3:Q3" si="1">+J4-I4</f>
        <v>488.05100000000004</v>
      </c>
      <c r="K3" s="3">
        <f t="shared" si="1"/>
        <v>656.36479152286734</v>
      </c>
      <c r="L3" s="3">
        <f t="shared" si="1"/>
        <v>835.51373377442201</v>
      </c>
      <c r="M3" s="3">
        <f t="shared" si="1"/>
        <v>1008.0482858018804</v>
      </c>
      <c r="N3" s="3">
        <f t="shared" si="1"/>
        <v>1151.0329314477776</v>
      </c>
      <c r="O3" s="3">
        <f t="shared" si="1"/>
        <v>1199.6080354240294</v>
      </c>
      <c r="P3" s="3">
        <f t="shared" si="1"/>
        <v>1192.3091941284965</v>
      </c>
      <c r="Q3" s="3">
        <f t="shared" si="1"/>
        <v>1189.75150678725</v>
      </c>
    </row>
    <row r="4" spans="2:21" ht="11.25" customHeight="1">
      <c r="B4" s="127" t="s">
        <v>150</v>
      </c>
      <c r="F4" s="3">
        <f>'Revenue Model'!AJ4</f>
        <v>0</v>
      </c>
      <c r="G4" s="3">
        <f>'Revenue Model'!AK4</f>
        <v>58.663000000000004</v>
      </c>
      <c r="H4" s="3">
        <f>'Revenue Model'!AL4</f>
        <v>404.48199999999997</v>
      </c>
      <c r="I4" s="3">
        <f>'Revenue Model'!AM4</f>
        <v>824.94899999999996</v>
      </c>
      <c r="J4" s="3">
        <f>'Revenue Model'!AN4</f>
        <v>1313</v>
      </c>
      <c r="K4" s="3">
        <f>'Revenue Model'!AO4</f>
        <v>1969.3647915228673</v>
      </c>
      <c r="L4" s="3">
        <f>'Revenue Model'!AP4</f>
        <v>2804.8785252972893</v>
      </c>
      <c r="M4" s="3">
        <f>'Revenue Model'!AQ4</f>
        <v>3812.9268110991698</v>
      </c>
      <c r="N4" s="3">
        <f>'Revenue Model'!AR4</f>
        <v>4963.9597425469474</v>
      </c>
      <c r="O4" s="3">
        <f>'Revenue Model'!AS4</f>
        <v>6163.5677779709767</v>
      </c>
      <c r="P4" s="3">
        <f>'Revenue Model'!AT4</f>
        <v>7355.8769720994733</v>
      </c>
      <c r="Q4" s="3">
        <f>'Revenue Model'!AU4</f>
        <v>8545.6284788867233</v>
      </c>
      <c r="R4" s="3">
        <f>Q4*(1+E55)</f>
        <v>8844.7254756477578</v>
      </c>
      <c r="T4" s="188">
        <f>+(Q4/H4)^(1/9)-1</f>
        <v>0.40347596209554415</v>
      </c>
      <c r="U4" s="188"/>
    </row>
    <row r="5" spans="2:21" ht="11.25" customHeight="1">
      <c r="B5" s="128" t="s">
        <v>151</v>
      </c>
      <c r="H5" s="5">
        <f>+H4/G4-1</f>
        <v>5.8950104836097701</v>
      </c>
      <c r="I5" s="5">
        <f t="shared" ref="I5:R5" si="2">+I4/H4-1</f>
        <v>1.0395196819635979</v>
      </c>
      <c r="J5" s="5">
        <f t="shared" si="2"/>
        <v>0.59161354217048578</v>
      </c>
      <c r="K5" s="5">
        <f t="shared" si="2"/>
        <v>0.49989702324666219</v>
      </c>
      <c r="L5" s="5">
        <f t="shared" si="2"/>
        <v>0.42425544387250747</v>
      </c>
      <c r="M5" s="5">
        <f t="shared" si="2"/>
        <v>0.35939106692509526</v>
      </c>
      <c r="N5" s="5">
        <f t="shared" si="2"/>
        <v>0.30187648189238758</v>
      </c>
      <c r="O5" s="5">
        <f t="shared" si="2"/>
        <v>0.24166353025428156</v>
      </c>
      <c r="P5" s="5">
        <f t="shared" si="2"/>
        <v>0.19344464717170684</v>
      </c>
      <c r="Q5" s="5">
        <f t="shared" si="2"/>
        <v>0.16174162663404057</v>
      </c>
      <c r="R5" s="5">
        <f t="shared" si="2"/>
        <v>3.499999999999992E-2</v>
      </c>
      <c r="T5" s="188"/>
    </row>
    <row r="6" spans="2:21" ht="11.25" customHeight="1">
      <c r="B6" s="128"/>
      <c r="I6" s="383"/>
      <c r="K6" s="383"/>
      <c r="L6" s="539"/>
      <c r="M6" s="539"/>
      <c r="N6" s="539"/>
      <c r="O6" s="539"/>
      <c r="P6" s="539"/>
      <c r="Q6" s="539"/>
    </row>
    <row r="7" spans="2:21" ht="11.25" customHeight="1">
      <c r="B7" s="127" t="s">
        <v>152</v>
      </c>
      <c r="G7" s="3">
        <f>Model!AK24</f>
        <v>-292.89799999999991</v>
      </c>
      <c r="H7" s="3">
        <f>Model!AL24</f>
        <v>-459.428</v>
      </c>
      <c r="I7" s="3">
        <f>Model!AM24</f>
        <v>-720.05599999999981</v>
      </c>
      <c r="J7" s="3">
        <f>Model!AN24</f>
        <v>-741.61341882331772</v>
      </c>
      <c r="K7" s="3">
        <f>Model!AO24</f>
        <v>-425.42771862138375</v>
      </c>
      <c r="L7" s="3">
        <f>Model!AP24</f>
        <v>-153.60185111927808</v>
      </c>
      <c r="M7" s="3">
        <f>Model!AQ24</f>
        <v>241.01425702491463</v>
      </c>
      <c r="N7" s="3">
        <f>Model!AR24</f>
        <v>746.93821008022132</v>
      </c>
      <c r="O7" s="3">
        <f>Model!AS24</f>
        <v>1286.2491742849315</v>
      </c>
      <c r="P7" s="3">
        <f>Model!AT24</f>
        <v>1810.4489352354121</v>
      </c>
      <c r="Q7" s="3">
        <f>Model!AU24</f>
        <v>2320.3496049570517</v>
      </c>
      <c r="R7" s="3">
        <f>R4*R15</f>
        <v>2666.9036053999807</v>
      </c>
      <c r="T7" s="188">
        <f>+(L4/I4)^(1/3)-1</f>
        <v>0.50370387536530026</v>
      </c>
    </row>
    <row r="8" spans="2:21" ht="11.25" customHeight="1">
      <c r="B8" s="127" t="s">
        <v>218</v>
      </c>
      <c r="G8" s="3">
        <f>+G76</f>
        <v>0</v>
      </c>
      <c r="H8" s="3">
        <f t="shared" ref="H8:M8" si="3">+H76</f>
        <v>0</v>
      </c>
      <c r="I8" s="3">
        <f t="shared" si="3"/>
        <v>0</v>
      </c>
      <c r="J8" s="3">
        <f t="shared" si="3"/>
        <v>0</v>
      </c>
      <c r="K8" s="3">
        <f t="shared" si="3"/>
        <v>0</v>
      </c>
      <c r="L8" s="3">
        <f t="shared" si="3"/>
        <v>0</v>
      </c>
      <c r="M8" s="3">
        <f t="shared" si="3"/>
        <v>0</v>
      </c>
      <c r="N8" s="3">
        <f>-N76</f>
        <v>0</v>
      </c>
      <c r="O8" s="3">
        <f>-O76</f>
        <v>0</v>
      </c>
      <c r="P8" s="3">
        <f>-P76</f>
        <v>0</v>
      </c>
      <c r="Q8" s="3">
        <f>-Q76</f>
        <v>0</v>
      </c>
      <c r="R8" s="3"/>
    </row>
    <row r="9" spans="2:21" ht="11.25" customHeight="1">
      <c r="B9" s="127" t="s">
        <v>153</v>
      </c>
      <c r="G9" s="3">
        <f>Model!AK181</f>
        <v>-15.485999999999997</v>
      </c>
      <c r="H9" s="3">
        <f>Model!AL181</f>
        <v>-150.49600000000001</v>
      </c>
      <c r="I9" s="3">
        <f>Model!AM181</f>
        <v>11.064999999999998</v>
      </c>
      <c r="J9" s="3">
        <f>Model!AN181</f>
        <v>-240.86541507506485</v>
      </c>
      <c r="K9" s="3">
        <f>Model!AO181</f>
        <v>355.61407437479829</v>
      </c>
      <c r="L9" s="208">
        <f>Model!AP181</f>
        <v>529.54544149653702</v>
      </c>
      <c r="M9" s="208">
        <f>Model!AQ181</f>
        <v>270.01822759704976</v>
      </c>
      <c r="N9" s="208">
        <f>Model!AR181</f>
        <v>49.654270163442447</v>
      </c>
      <c r="O9" s="208">
        <f>Model!AS181</f>
        <v>-81.307180702197002</v>
      </c>
      <c r="P9" s="208">
        <f>Model!AT181</f>
        <v>-127.54717489400733</v>
      </c>
      <c r="Q9" s="208">
        <f>Model!AU181</f>
        <v>-136.59222984265236</v>
      </c>
    </row>
    <row r="10" spans="2:21" ht="11.25" customHeight="1">
      <c r="B10" s="127" t="s">
        <v>154</v>
      </c>
      <c r="G10" s="3">
        <f>-Model!AK186-Model!AK187</f>
        <v>28.305</v>
      </c>
      <c r="H10" s="3">
        <f>-Model!AL186-Model!AL187</f>
        <v>67.013000000000005</v>
      </c>
      <c r="I10" s="3">
        <f>-Model!AM186-Model!AM187</f>
        <v>92.625</v>
      </c>
      <c r="J10" s="3">
        <f>-Model!AN186-Model!AN187</f>
        <v>98.518000000000001</v>
      </c>
      <c r="K10" s="3">
        <f>-Model!AO186-Model!AO187</f>
        <v>111.518</v>
      </c>
      <c r="L10" s="3">
        <f>-Model!AP186-Model!AP187</f>
        <v>123.518</v>
      </c>
      <c r="M10" s="3">
        <f>-Model!AQ186-Model!AQ187</f>
        <v>134.518</v>
      </c>
      <c r="N10" s="3">
        <f>-Model!AR186-Model!AR187</f>
        <v>145.518</v>
      </c>
      <c r="O10" s="3">
        <f>-Model!AS186-Model!AS187</f>
        <v>154.518</v>
      </c>
      <c r="P10" s="3">
        <f>-Model!AT186-Model!AT187</f>
        <v>162.518</v>
      </c>
      <c r="Q10" s="208">
        <f>-Model!AU186-Model!AU187</f>
        <v>169.518</v>
      </c>
    </row>
    <row r="11" spans="2:21" s="339" customFormat="1" ht="11.25" customHeight="1">
      <c r="B11" s="350" t="s">
        <v>155</v>
      </c>
      <c r="G11" s="343">
        <f>+'Expense Model'!AK162</f>
        <v>73.524000000000001</v>
      </c>
      <c r="H11" s="343">
        <f>+'Expense Model'!AL162</f>
        <v>31.842000000000002</v>
      </c>
      <c r="I11" s="521">
        <v>75</v>
      </c>
      <c r="J11" s="343">
        <f>+'Expense Model'!AN162</f>
        <v>369</v>
      </c>
      <c r="K11" s="343">
        <f>+'Expense Model'!AO162</f>
        <v>415</v>
      </c>
      <c r="L11" s="343">
        <f>+'Expense Model'!AP162</f>
        <v>448.20000000000005</v>
      </c>
      <c r="M11" s="343">
        <f>+'Expense Model'!AQ162</f>
        <v>484.0560000000001</v>
      </c>
      <c r="N11" s="343">
        <f>+'Expense Model'!AR162</f>
        <v>508.25880000000012</v>
      </c>
      <c r="O11" s="343">
        <f>+'Expense Model'!AS162</f>
        <v>533.67174000000011</v>
      </c>
      <c r="P11" s="343">
        <f>+'Expense Model'!AT162</f>
        <v>560.3553270000001</v>
      </c>
      <c r="Q11" s="418">
        <f>+'Expense Model'!AU162</f>
        <v>588.37309335000009</v>
      </c>
    </row>
    <row r="12" spans="2:21" s="7" customFormat="1" ht="11.25" customHeight="1">
      <c r="B12" s="129" t="s">
        <v>156</v>
      </c>
      <c r="G12" s="9">
        <f>G7-G8+G9-G10-G11</f>
        <v>-410.21299999999991</v>
      </c>
      <c r="H12" s="9">
        <f t="shared" ref="H12:Q12" si="4">H7-H8+H9-H10-H11</f>
        <v>-708.779</v>
      </c>
      <c r="I12" s="9">
        <f t="shared" si="4"/>
        <v>-876.61599999999976</v>
      </c>
      <c r="J12" s="9">
        <f t="shared" si="4"/>
        <v>-1449.9968338983826</v>
      </c>
      <c r="K12" s="9">
        <f t="shared" si="4"/>
        <v>-596.33164424658548</v>
      </c>
      <c r="L12" s="9">
        <f>L7-L8+L9-L10-L11</f>
        <v>-195.7744096227411</v>
      </c>
      <c r="M12" s="9">
        <f t="shared" si="4"/>
        <v>-107.54151537803574</v>
      </c>
      <c r="N12" s="9">
        <f t="shared" si="4"/>
        <v>142.81568024366362</v>
      </c>
      <c r="O12" s="9">
        <f t="shared" si="4"/>
        <v>516.7522535827344</v>
      </c>
      <c r="P12" s="9">
        <f t="shared" si="4"/>
        <v>960.02843334140459</v>
      </c>
      <c r="Q12" s="9">
        <f t="shared" si="4"/>
        <v>1425.8662817643994</v>
      </c>
      <c r="R12" s="9">
        <f>R7*R17</f>
        <v>1333.4518026999904</v>
      </c>
    </row>
    <row r="13" spans="2:21" ht="11.25" customHeight="1">
      <c r="B13" s="128" t="s">
        <v>157</v>
      </c>
      <c r="H13" s="188"/>
      <c r="I13" s="188"/>
      <c r="J13" s="188"/>
      <c r="K13" s="188"/>
      <c r="L13" s="188"/>
      <c r="O13" s="3"/>
      <c r="P13" s="3"/>
      <c r="Q13" s="117"/>
    </row>
    <row r="14" spans="2:21" ht="11.25" customHeight="1">
      <c r="B14" s="128"/>
    </row>
    <row r="15" spans="2:21" ht="11.25" customHeight="1">
      <c r="B15" s="127" t="s">
        <v>158</v>
      </c>
      <c r="G15" s="5">
        <f>G7/G4</f>
        <v>-4.9928916011796174</v>
      </c>
      <c r="H15" s="5">
        <f t="shared" ref="H15:Q15" si="5">H7/H4</f>
        <v>-1.1358428805237317</v>
      </c>
      <c r="I15" s="5">
        <f t="shared" si="5"/>
        <v>-0.87284910946009975</v>
      </c>
      <c r="J15" s="5">
        <f t="shared" si="5"/>
        <v>-0.56482362438942701</v>
      </c>
      <c r="K15" s="5">
        <f t="shared" si="5"/>
        <v>-0.21602281123976511</v>
      </c>
      <c r="L15" s="5">
        <f t="shared" si="5"/>
        <v>-5.4762389791193473E-2</v>
      </c>
      <c r="M15" s="5">
        <f t="shared" si="5"/>
        <v>6.3209777938390679E-2</v>
      </c>
      <c r="N15" s="5">
        <f t="shared" si="5"/>
        <v>0.1504722537691203</v>
      </c>
      <c r="O15" s="5">
        <f t="shared" si="5"/>
        <v>0.20868581649772333</v>
      </c>
      <c r="P15" s="5">
        <f t="shared" si="5"/>
        <v>0.24612278618883479</v>
      </c>
      <c r="Q15" s="5">
        <f t="shared" si="5"/>
        <v>0.27152474632963847</v>
      </c>
      <c r="R15" s="546">
        <f>+Q15+0.03</f>
        <v>0.30152474632963844</v>
      </c>
    </row>
    <row r="16" spans="2:21" ht="11.25" customHeight="1">
      <c r="B16" s="127" t="s">
        <v>313</v>
      </c>
      <c r="G16" s="5"/>
      <c r="H16" s="5">
        <f t="shared" ref="H16:Q16" si="6">+(H7-G7)/(H4-G4)</f>
        <v>-0.48155248844048509</v>
      </c>
      <c r="I16" s="5">
        <f t="shared" si="6"/>
        <v>-0.61985363893004641</v>
      </c>
      <c r="J16" s="5">
        <f t="shared" si="6"/>
        <v>-4.4170422401179181E-2</v>
      </c>
      <c r="K16" s="5">
        <f t="shared" si="6"/>
        <v>0.48172251815691469</v>
      </c>
      <c r="L16" s="5">
        <f t="shared" si="6"/>
        <v>0.32533979576150829</v>
      </c>
      <c r="M16" s="5">
        <f t="shared" si="6"/>
        <v>0.39146548206297899</v>
      </c>
      <c r="N16" s="5">
        <f t="shared" si="6"/>
        <v>0.43953907766909139</v>
      </c>
      <c r="O16" s="5">
        <f t="shared" si="6"/>
        <v>0.4495726506317359</v>
      </c>
      <c r="P16" s="5">
        <f t="shared" si="6"/>
        <v>0.43965085862953346</v>
      </c>
      <c r="Q16" s="5">
        <f t="shared" si="6"/>
        <v>0.42857745236108319</v>
      </c>
    </row>
    <row r="17" spans="2:18" ht="11.25" customHeight="1">
      <c r="B17" s="127" t="s">
        <v>159</v>
      </c>
      <c r="G17" s="5">
        <f t="shared" ref="G17:M17" si="7">G12/G7</f>
        <v>1.4005319257898656</v>
      </c>
      <c r="H17" s="5">
        <f t="shared" si="7"/>
        <v>1.5427422795301984</v>
      </c>
      <c r="I17" s="5">
        <f t="shared" si="7"/>
        <v>1.2174275334140678</v>
      </c>
      <c r="J17" s="5">
        <f t="shared" si="7"/>
        <v>1.9551922836011015</v>
      </c>
      <c r="K17" s="5">
        <f t="shared" si="7"/>
        <v>1.4017225915110163</v>
      </c>
      <c r="L17" s="5">
        <f t="shared" si="7"/>
        <v>1.274557618909907</v>
      </c>
      <c r="M17" s="5">
        <f t="shared" si="7"/>
        <v>-0.44620395783025707</v>
      </c>
      <c r="N17" s="5">
        <f>N12/N7</f>
        <v>0.19120146528362122</v>
      </c>
      <c r="O17" s="5">
        <f>O12/O7</f>
        <v>0.401751281099958</v>
      </c>
      <c r="P17" s="5">
        <f>P12/P7</f>
        <v>0.53027092598807402</v>
      </c>
      <c r="Q17" s="5">
        <f>Q12/Q7</f>
        <v>0.61450493439362186</v>
      </c>
      <c r="R17" s="546">
        <v>0.5</v>
      </c>
    </row>
    <row r="18" spans="2:18" ht="11.25" hidden="1" customHeight="1" outlineLevel="1">
      <c r="B18" s="127"/>
    </row>
    <row r="19" spans="2:18" ht="11.25" hidden="1" customHeight="1" outlineLevel="1" thickBot="1">
      <c r="B19" s="542" t="s">
        <v>198</v>
      </c>
      <c r="C19" s="152"/>
      <c r="D19" s="152"/>
      <c r="E19" s="152"/>
      <c r="F19" s="152"/>
      <c r="G19" s="152"/>
      <c r="H19" s="152"/>
      <c r="I19" s="153">
        <f t="shared" ref="I19:Q19" si="8">I$2</f>
        <v>2017</v>
      </c>
      <c r="J19" s="153">
        <f t="shared" si="8"/>
        <v>2018</v>
      </c>
      <c r="K19" s="153">
        <f t="shared" si="8"/>
        <v>2019</v>
      </c>
      <c r="L19" s="153">
        <f t="shared" si="8"/>
        <v>2020</v>
      </c>
      <c r="M19" s="153">
        <f t="shared" si="8"/>
        <v>2021</v>
      </c>
      <c r="N19" s="153">
        <f t="shared" si="8"/>
        <v>2022</v>
      </c>
      <c r="O19" s="153">
        <f t="shared" si="8"/>
        <v>2023</v>
      </c>
      <c r="P19" s="153">
        <f t="shared" si="8"/>
        <v>2024</v>
      </c>
      <c r="Q19" s="153">
        <f t="shared" si="8"/>
        <v>2025</v>
      </c>
    </row>
    <row r="20" spans="2:18" ht="11.25" hidden="1" customHeight="1" outlineLevel="2">
      <c r="B20" s="545" t="s">
        <v>390</v>
      </c>
      <c r="G20" s="543"/>
      <c r="H20" s="543"/>
      <c r="I20" s="544"/>
      <c r="J20" s="544"/>
      <c r="K20" s="544"/>
      <c r="L20" s="544"/>
      <c r="M20" s="544"/>
      <c r="N20" s="544"/>
      <c r="O20" s="544"/>
      <c r="P20" s="544"/>
      <c r="Q20" s="544"/>
    </row>
    <row r="21" spans="2:18" ht="11.25" hidden="1" customHeight="1" outlineLevel="2">
      <c r="B21" s="127" t="s">
        <v>199</v>
      </c>
      <c r="C21" s="140"/>
      <c r="D21" s="140"/>
      <c r="E21" s="140"/>
      <c r="F21" s="154"/>
      <c r="G21" s="155"/>
      <c r="H21" s="159"/>
      <c r="I21" s="552">
        <v>1</v>
      </c>
      <c r="J21" s="156">
        <f t="shared" ref="J21:Q21" si="9">I21+1</f>
        <v>2</v>
      </c>
      <c r="K21" s="156">
        <f t="shared" si="9"/>
        <v>3</v>
      </c>
      <c r="L21" s="156">
        <f t="shared" si="9"/>
        <v>4</v>
      </c>
      <c r="M21" s="156">
        <f t="shared" si="9"/>
        <v>5</v>
      </c>
      <c r="N21" s="156">
        <f t="shared" si="9"/>
        <v>6</v>
      </c>
      <c r="O21" s="156">
        <f t="shared" si="9"/>
        <v>7</v>
      </c>
      <c r="P21" s="156">
        <f t="shared" si="9"/>
        <v>8</v>
      </c>
      <c r="Q21" s="156">
        <f t="shared" si="9"/>
        <v>9</v>
      </c>
    </row>
    <row r="22" spans="2:18" ht="11.25" hidden="1" customHeight="1" outlineLevel="2">
      <c r="B22" s="127" t="s">
        <v>200</v>
      </c>
      <c r="C22" s="140"/>
      <c r="D22" s="140"/>
      <c r="E22" s="140"/>
      <c r="F22" s="157"/>
      <c r="G22" s="158"/>
      <c r="H22" s="159"/>
      <c r="I22" s="159">
        <f>I12/(1+$E54)^I21</f>
        <v>-809.98109417034937</v>
      </c>
      <c r="J22" s="159">
        <f t="shared" ref="J22:Q22" si="10">J12/(1+$E54)^J21</f>
        <v>-1237.9355415723862</v>
      </c>
      <c r="K22" s="159">
        <f t="shared" si="10"/>
        <v>-470.41842400908189</v>
      </c>
      <c r="L22" s="159">
        <f t="shared" si="10"/>
        <v>-142.6979975601426</v>
      </c>
      <c r="M22" s="159">
        <f t="shared" si="10"/>
        <v>-72.427516990515528</v>
      </c>
      <c r="N22" s="159">
        <f t="shared" si="10"/>
        <v>88.872792516696407</v>
      </c>
      <c r="O22" s="159">
        <f t="shared" si="10"/>
        <v>297.12609962904247</v>
      </c>
      <c r="P22" s="159">
        <f t="shared" si="10"/>
        <v>510.04442804747208</v>
      </c>
      <c r="Q22" s="159">
        <f t="shared" si="10"/>
        <v>699.9519048922424</v>
      </c>
    </row>
    <row r="23" spans="2:18" ht="11.25" hidden="1" customHeight="1" outlineLevel="2">
      <c r="B23" s="127"/>
      <c r="C23" s="140"/>
      <c r="D23" s="140"/>
      <c r="E23" s="140"/>
      <c r="F23" s="157"/>
      <c r="G23" s="158"/>
      <c r="H23" s="159"/>
      <c r="I23" s="159"/>
      <c r="J23" s="159"/>
      <c r="K23" s="159"/>
      <c r="L23" s="159"/>
      <c r="M23" s="159"/>
      <c r="N23" s="159"/>
      <c r="O23" s="159"/>
      <c r="P23" s="159"/>
      <c r="Q23" s="159"/>
    </row>
    <row r="24" spans="2:18" ht="11.25" hidden="1" customHeight="1" outlineLevel="1" collapsed="1">
      <c r="B24" s="545" t="s">
        <v>336</v>
      </c>
      <c r="C24" s="140"/>
      <c r="D24" s="140"/>
      <c r="E24" s="140"/>
      <c r="F24" s="157"/>
      <c r="G24" s="158"/>
      <c r="H24" s="159"/>
      <c r="I24" s="159"/>
      <c r="J24" s="159"/>
      <c r="K24" s="159"/>
      <c r="L24" s="159"/>
      <c r="M24" s="159"/>
      <c r="N24" s="159"/>
      <c r="O24" s="159"/>
      <c r="P24" s="159"/>
      <c r="Q24" s="159"/>
    </row>
    <row r="25" spans="2:18" ht="11.25" hidden="1" customHeight="1" outlineLevel="1">
      <c r="B25" s="127" t="s">
        <v>199</v>
      </c>
      <c r="C25" s="140"/>
      <c r="D25" s="140"/>
      <c r="E25" s="140"/>
      <c r="F25" s="157"/>
      <c r="G25" s="158"/>
      <c r="H25" s="159"/>
      <c r="I25" s="552"/>
      <c r="J25" s="552">
        <v>0</v>
      </c>
      <c r="K25" s="156">
        <f t="shared" ref="K25:Q25" si="11">J25+1</f>
        <v>1</v>
      </c>
      <c r="L25" s="156">
        <f t="shared" si="11"/>
        <v>2</v>
      </c>
      <c r="M25" s="156">
        <f t="shared" si="11"/>
        <v>3</v>
      </c>
      <c r="N25" s="156">
        <f t="shared" si="11"/>
        <v>4</v>
      </c>
      <c r="O25" s="156">
        <f t="shared" si="11"/>
        <v>5</v>
      </c>
      <c r="P25" s="156">
        <f t="shared" si="11"/>
        <v>6</v>
      </c>
      <c r="Q25" s="156">
        <f t="shared" si="11"/>
        <v>7</v>
      </c>
    </row>
    <row r="26" spans="2:18" ht="11.25" hidden="1" customHeight="1" outlineLevel="1">
      <c r="B26" s="127" t="s">
        <v>200</v>
      </c>
      <c r="C26" s="140"/>
      <c r="D26" s="140"/>
      <c r="E26" s="140"/>
      <c r="F26" s="157"/>
      <c r="G26" s="158"/>
      <c r="H26" s="159"/>
      <c r="I26" s="159"/>
      <c r="J26" s="159"/>
      <c r="K26" s="159">
        <f t="shared" ref="K26:Q26" si="12">K12/(1+$E54)^K25</f>
        <v>-551.00221498951987</v>
      </c>
      <c r="L26" s="159">
        <f t="shared" si="12"/>
        <v>-167.1425027534417</v>
      </c>
      <c r="M26" s="159">
        <f t="shared" si="12"/>
        <v>-84.834522312830771</v>
      </c>
      <c r="N26" s="159">
        <f t="shared" si="12"/>
        <v>104.09691251390774</v>
      </c>
      <c r="O26" s="159">
        <f t="shared" si="12"/>
        <v>348.02450471973532</v>
      </c>
      <c r="P26" s="159">
        <f t="shared" si="12"/>
        <v>597.41624743803447</v>
      </c>
      <c r="Q26" s="159">
        <f t="shared" si="12"/>
        <v>819.85532516964838</v>
      </c>
    </row>
    <row r="27" spans="2:18" ht="11.25" hidden="1" customHeight="1" outlineLevel="1">
      <c r="B27" s="127"/>
      <c r="C27" s="140"/>
      <c r="D27" s="140"/>
      <c r="E27" s="140"/>
      <c r="F27" s="157"/>
      <c r="G27" s="158"/>
      <c r="H27" s="159"/>
      <c r="I27" s="159"/>
      <c r="J27" s="159"/>
      <c r="K27" s="159"/>
      <c r="L27" s="159"/>
      <c r="M27" s="159"/>
      <c r="N27" s="159"/>
      <c r="O27" s="159"/>
      <c r="P27" s="159"/>
      <c r="Q27" s="159"/>
    </row>
    <row r="28" spans="2:18" ht="11.25" customHeight="1" collapsed="1">
      <c r="B28" s="127"/>
      <c r="C28" s="140"/>
      <c r="D28" s="140"/>
      <c r="E28" s="140"/>
      <c r="F28" s="157"/>
      <c r="G28" s="158"/>
      <c r="H28" s="159"/>
      <c r="I28" s="159"/>
      <c r="J28" s="159"/>
      <c r="K28" s="159"/>
      <c r="L28" s="159"/>
      <c r="M28" s="159"/>
      <c r="N28" s="159"/>
      <c r="O28" s="159"/>
      <c r="P28" s="159"/>
      <c r="Q28" s="159"/>
    </row>
    <row r="29" spans="2:18" ht="11.25" hidden="1" customHeight="1" outlineLevel="1">
      <c r="B29" s="130" t="s">
        <v>334</v>
      </c>
      <c r="C29" s="164"/>
      <c r="D29" s="164"/>
      <c r="E29" s="165"/>
    </row>
    <row r="30" spans="2:18" ht="11.25" hidden="1" customHeight="1" outlineLevel="1">
      <c r="B30" s="133" t="s">
        <v>190</v>
      </c>
      <c r="C30" s="23"/>
      <c r="D30" s="23"/>
      <c r="E30" s="166">
        <f>SUM(I22:Q22)</f>
        <v>-1137.4653492170219</v>
      </c>
    </row>
    <row r="31" spans="2:18" ht="11.25" hidden="1" customHeight="1" outlineLevel="1">
      <c r="B31" s="169" t="s">
        <v>191</v>
      </c>
      <c r="C31" s="170"/>
      <c r="D31" s="170"/>
      <c r="E31" s="171">
        <f>(R12/(E54-E55))/(1+E54)^Q21</f>
        <v>13848.620563680519</v>
      </c>
      <c r="F31" s="4"/>
    </row>
    <row r="32" spans="2:18" ht="11.25" hidden="1" customHeight="1" outlineLevel="1">
      <c r="B32" s="151" t="s">
        <v>192</v>
      </c>
      <c r="C32" s="34"/>
      <c r="D32" s="34"/>
      <c r="E32" s="167">
        <f>E31+E30</f>
        <v>12711.155214463497</v>
      </c>
    </row>
    <row r="33" spans="2:17" ht="11.25" hidden="1" customHeight="1" outlineLevel="1">
      <c r="B33" s="133" t="s">
        <v>193</v>
      </c>
      <c r="C33" s="23"/>
      <c r="D33" s="23"/>
      <c r="E33" s="24">
        <v>0</v>
      </c>
    </row>
    <row r="34" spans="2:17" ht="11.25" hidden="1" customHeight="1" outlineLevel="1">
      <c r="B34" s="169" t="s">
        <v>194</v>
      </c>
      <c r="C34" s="170"/>
      <c r="D34" s="170"/>
      <c r="E34" s="171">
        <f>+SUM(Model!AM116:AM117)</f>
        <v>2043.0390000000002</v>
      </c>
      <c r="G34" s="188"/>
    </row>
    <row r="35" spans="2:17" ht="11.25" hidden="1" customHeight="1" outlineLevel="1">
      <c r="B35" s="151" t="s">
        <v>195</v>
      </c>
      <c r="C35" s="34"/>
      <c r="D35" s="34"/>
      <c r="E35" s="161">
        <f>E32+E33+E34</f>
        <v>14754.194214463498</v>
      </c>
      <c r="I35"/>
      <c r="J35"/>
      <c r="K35"/>
      <c r="L35"/>
      <c r="M35"/>
      <c r="N35"/>
      <c r="O35"/>
      <c r="P35"/>
    </row>
    <row r="36" spans="2:17" ht="11.25" hidden="1" customHeight="1" outlineLevel="1">
      <c r="B36" s="169" t="s">
        <v>196</v>
      </c>
      <c r="C36" s="170"/>
      <c r="D36" s="170"/>
      <c r="E36" s="496">
        <f>Model!$Z$110</f>
        <v>1404.1021930973332</v>
      </c>
      <c r="I36"/>
      <c r="J36"/>
      <c r="K36"/>
      <c r="L36"/>
      <c r="M36"/>
      <c r="N36"/>
      <c r="O36"/>
      <c r="P36"/>
    </row>
    <row r="37" spans="2:17" ht="11.25" hidden="1" customHeight="1" outlineLevel="1">
      <c r="B37" s="414" t="s">
        <v>197</v>
      </c>
      <c r="C37" s="415"/>
      <c r="D37" s="415"/>
      <c r="E37" s="416">
        <f>ROUND(E35/E36,0)</f>
        <v>11</v>
      </c>
      <c r="I37"/>
      <c r="J37"/>
      <c r="K37"/>
      <c r="L37"/>
      <c r="M37"/>
      <c r="N37"/>
      <c r="O37"/>
      <c r="P37"/>
    </row>
    <row r="38" spans="2:17" ht="11.25" hidden="1" customHeight="1" outlineLevel="1">
      <c r="I38"/>
      <c r="J38"/>
      <c r="K38"/>
      <c r="L38"/>
      <c r="M38"/>
      <c r="N38"/>
      <c r="O38"/>
      <c r="P38"/>
    </row>
    <row r="39" spans="2:17" ht="11.25" customHeight="1" collapsed="1">
      <c r="B39" s="130" t="s">
        <v>335</v>
      </c>
      <c r="C39" s="164"/>
      <c r="D39" s="164"/>
      <c r="E39" s="165"/>
      <c r="I39" s="464" t="s">
        <v>339</v>
      </c>
      <c r="J39" s="465"/>
      <c r="K39" s="465"/>
      <c r="L39" s="465"/>
      <c r="M39" s="465"/>
      <c r="N39" s="466"/>
      <c r="O39"/>
      <c r="P39"/>
    </row>
    <row r="40" spans="2:17" ht="11.25" customHeight="1">
      <c r="B40" s="133" t="s">
        <v>190</v>
      </c>
      <c r="C40" s="23"/>
      <c r="D40" s="23"/>
      <c r="E40" s="166">
        <f>SUM(K26:Q26)</f>
        <v>1066.4137497855336</v>
      </c>
      <c r="I40" s="447">
        <f>+E45</f>
        <v>18241.578005005969</v>
      </c>
      <c r="J40" s="448">
        <f>+K40-0.005</f>
        <v>7.1502051999999983E-2</v>
      </c>
      <c r="K40" s="448">
        <f>+L40-0.005</f>
        <v>7.6502051999999987E-2</v>
      </c>
      <c r="L40" s="449">
        <v>8.1502051999999992E-2</v>
      </c>
      <c r="M40" s="448">
        <f>+L40+0.005</f>
        <v>8.6502051999999996E-2</v>
      </c>
      <c r="N40" s="450">
        <f>+M40+0.005</f>
        <v>9.1502052E-2</v>
      </c>
      <c r="O40"/>
      <c r="P40"/>
    </row>
    <row r="41" spans="2:17" ht="11.25" customHeight="1">
      <c r="B41" s="169" t="s">
        <v>191</v>
      </c>
      <c r="C41" s="170"/>
      <c r="D41" s="170"/>
      <c r="E41" s="171">
        <f>(R12/(E54-E55))/(1+E54)^Q25</f>
        <v>16220.92208911882</v>
      </c>
      <c r="I41" s="445">
        <f>+I42-0.0025</f>
        <v>3.2500000000000001E-2</v>
      </c>
      <c r="J41" s="451">
        <f t="dataTable" ref="J41:N43" dt2D="1" dtr="1" r1="E54" r2="E55"/>
        <v>23159.986880769047</v>
      </c>
      <c r="K41" s="452">
        <v>20121.612737318021</v>
      </c>
      <c r="L41" s="453">
        <v>17714.316228942669</v>
      </c>
      <c r="M41" s="452">
        <v>15762.508224910383</v>
      </c>
      <c r="N41" s="454">
        <v>14150.128636641659</v>
      </c>
      <c r="O41"/>
      <c r="P41"/>
    </row>
    <row r="42" spans="2:17" ht="11.25" customHeight="1">
      <c r="B42" s="151" t="s">
        <v>192</v>
      </c>
      <c r="C42" s="34"/>
      <c r="D42" s="34"/>
      <c r="E42" s="167">
        <f>E41+E40</f>
        <v>17287.335838904353</v>
      </c>
      <c r="I42" s="455">
        <v>3.5000000000000003E-2</v>
      </c>
      <c r="J42" s="456">
        <v>24654.893974634932</v>
      </c>
      <c r="K42" s="457">
        <v>21254.91383540996</v>
      </c>
      <c r="L42" s="458">
        <v>18597.653409429127</v>
      </c>
      <c r="M42" s="457">
        <v>16466.485890188549</v>
      </c>
      <c r="N42" s="459">
        <v>14721.473472285208</v>
      </c>
    </row>
    <row r="43" spans="2:17" ht="11.25" customHeight="1">
      <c r="B43" s="133" t="s">
        <v>193</v>
      </c>
      <c r="C43" s="23"/>
      <c r="D43" s="23"/>
      <c r="E43" s="166">
        <v>0</v>
      </c>
      <c r="I43" s="446">
        <f>+I42+0.0025</f>
        <v>3.7500000000000006E-2</v>
      </c>
      <c r="J43" s="460">
        <v>26369.627079864174</v>
      </c>
      <c r="K43" s="461">
        <v>22533.502301727032</v>
      </c>
      <c r="L43" s="462">
        <v>19581.365133867133</v>
      </c>
      <c r="M43" s="461">
        <v>17242.295002982235</v>
      </c>
      <c r="N43" s="463">
        <v>15345.718597314388</v>
      </c>
    </row>
    <row r="44" spans="2:17" ht="11.25" customHeight="1">
      <c r="B44" s="169" t="s">
        <v>194</v>
      </c>
      <c r="C44" s="170"/>
      <c r="D44" s="170"/>
      <c r="E44" s="171">
        <f>+SUM(Model!AN116:AN117)</f>
        <v>954.24216610161716</v>
      </c>
    </row>
    <row r="45" spans="2:17" ht="11.25" customHeight="1">
      <c r="B45" s="151" t="s">
        <v>195</v>
      </c>
      <c r="C45" s="34"/>
      <c r="D45" s="34"/>
      <c r="E45" s="161">
        <f>E42+E43+E44</f>
        <v>18241.578005005969</v>
      </c>
    </row>
    <row r="46" spans="2:17" ht="11.25" customHeight="1">
      <c r="B46" s="169" t="s">
        <v>196</v>
      </c>
      <c r="C46" s="170"/>
      <c r="D46" s="170"/>
      <c r="E46" s="171">
        <f>Model!$AG$64</f>
        <v>1460</v>
      </c>
      <c r="J46" s="3"/>
      <c r="K46" s="3"/>
      <c r="L46" s="3"/>
      <c r="M46" s="3"/>
      <c r="N46" s="3"/>
      <c r="O46" s="3"/>
      <c r="P46" s="3"/>
      <c r="Q46" s="3"/>
    </row>
    <row r="47" spans="2:17" ht="11.25" customHeight="1">
      <c r="B47" s="414" t="s">
        <v>197</v>
      </c>
      <c r="C47" s="415"/>
      <c r="D47" s="415"/>
      <c r="E47" s="638">
        <f>ROUND(E45/E46,0)</f>
        <v>12</v>
      </c>
      <c r="J47" s="3"/>
      <c r="K47" s="3"/>
      <c r="L47" s="3"/>
      <c r="M47" s="3"/>
      <c r="N47" s="3"/>
      <c r="O47" s="3"/>
      <c r="P47" s="3"/>
      <c r="Q47" s="3"/>
    </row>
    <row r="48" spans="2:17" ht="11.25" customHeight="1">
      <c r="L48" s="188"/>
      <c r="M48" s="188"/>
      <c r="N48" s="188"/>
      <c r="O48" s="188"/>
      <c r="P48" s="188"/>
      <c r="Q48" s="188"/>
    </row>
    <row r="49" spans="2:17" ht="11.25" customHeight="1">
      <c r="B49" s="130" t="s">
        <v>163</v>
      </c>
      <c r="C49" s="131"/>
      <c r="D49" s="131"/>
      <c r="E49" s="132"/>
      <c r="J49" s="3"/>
      <c r="K49" s="3"/>
      <c r="L49" s="3"/>
      <c r="M49" s="3"/>
      <c r="N49" s="3"/>
      <c r="O49" s="3"/>
      <c r="P49" s="3"/>
      <c r="Q49" s="3"/>
    </row>
    <row r="50" spans="2:17" ht="11.25" customHeight="1">
      <c r="B50" s="133" t="s">
        <v>164</v>
      </c>
      <c r="C50" s="134"/>
      <c r="D50" s="134"/>
      <c r="E50" s="135">
        <f>+E60</f>
        <v>8.3548199999999989E-2</v>
      </c>
      <c r="J50" s="3"/>
      <c r="K50" s="3"/>
      <c r="L50" s="3"/>
      <c r="M50" s="3"/>
      <c r="N50" s="3"/>
      <c r="O50" s="3"/>
      <c r="P50" s="3"/>
      <c r="Q50" s="3"/>
    </row>
    <row r="51" spans="2:17" ht="11.25" customHeight="1">
      <c r="B51" s="133" t="s">
        <v>165</v>
      </c>
      <c r="C51" s="134"/>
      <c r="D51" s="134"/>
      <c r="E51" s="136">
        <v>0.03</v>
      </c>
      <c r="J51" s="3"/>
      <c r="K51" s="3"/>
      <c r="L51" s="3"/>
      <c r="M51" s="3"/>
      <c r="N51" s="3"/>
      <c r="O51" s="3"/>
      <c r="P51" s="3"/>
      <c r="Q51" s="3"/>
    </row>
    <row r="52" spans="2:17" ht="11.25" customHeight="1">
      <c r="B52" s="133" t="s">
        <v>166</v>
      </c>
      <c r="C52" s="134"/>
      <c r="D52" s="134"/>
      <c r="E52" s="136">
        <v>0.35</v>
      </c>
      <c r="M52" s="4"/>
    </row>
    <row r="53" spans="2:17" ht="11.25" customHeight="1">
      <c r="B53" s="133" t="s">
        <v>167</v>
      </c>
      <c r="C53" s="134"/>
      <c r="D53" s="134"/>
      <c r="E53" s="136">
        <v>0.02</v>
      </c>
      <c r="M53" s="188"/>
    </row>
    <row r="54" spans="2:17" ht="11.25" customHeight="1">
      <c r="B54" s="172" t="s">
        <v>168</v>
      </c>
      <c r="C54" s="173"/>
      <c r="D54" s="173"/>
      <c r="E54" s="174">
        <f>+(E50*(1-E53))+((1-E52)*E51*E53)</f>
        <v>8.2267235999999994E-2</v>
      </c>
    </row>
    <row r="55" spans="2:17" ht="11.25" customHeight="1">
      <c r="B55" s="137" t="s">
        <v>169</v>
      </c>
      <c r="C55" s="138"/>
      <c r="D55" s="138"/>
      <c r="E55" s="187">
        <v>3.5000000000000003E-2</v>
      </c>
    </row>
    <row r="56" spans="2:17" ht="11.25" customHeight="1">
      <c r="B56" s="139"/>
      <c r="C56" s="139"/>
      <c r="D56" s="139"/>
      <c r="E56" s="141"/>
      <c r="J56" s="188"/>
    </row>
    <row r="57" spans="2:17" ht="11.25" customHeight="1">
      <c r="B57" s="142" t="s">
        <v>170</v>
      </c>
      <c r="C57" s="142"/>
      <c r="D57" s="143"/>
      <c r="E57" s="652">
        <v>2.4899999999999999E-2</v>
      </c>
    </row>
    <row r="58" spans="2:17" ht="11.25" customHeight="1">
      <c r="B58" s="142" t="s">
        <v>171</v>
      </c>
      <c r="C58" s="142"/>
      <c r="D58" s="143"/>
      <c r="E58" s="144">
        <v>4.3799999999999999E-2</v>
      </c>
    </row>
    <row r="59" spans="2:17" ht="11.25" customHeight="1">
      <c r="B59" s="142" t="s">
        <v>172</v>
      </c>
      <c r="C59" s="142"/>
      <c r="D59" s="143"/>
      <c r="E59" s="145">
        <v>1.339</v>
      </c>
      <c r="F59" s="160"/>
    </row>
    <row r="60" spans="2:17" ht="11.25" customHeight="1">
      <c r="B60" s="142" t="s">
        <v>173</v>
      </c>
      <c r="C60" s="142"/>
      <c r="D60" s="143"/>
      <c r="E60" s="146">
        <f>+E57+(E59*(E58))</f>
        <v>8.3548199999999989E-2</v>
      </c>
    </row>
    <row r="62" spans="2:17" ht="11.25" customHeight="1">
      <c r="B62" s="563" t="s">
        <v>448</v>
      </c>
      <c r="C62" s="564"/>
      <c r="D62" s="564"/>
      <c r="E62" s="565">
        <f>+E42/K4</f>
        <v>8.7781278071577731</v>
      </c>
    </row>
    <row r="63" spans="2:17" ht="11.25" customHeight="1">
      <c r="B63" s="563" t="s">
        <v>449</v>
      </c>
      <c r="C63" s="564"/>
      <c r="D63" s="564"/>
      <c r="E63" s="565">
        <f>+E42/K7</f>
        <v>-40.635189204231182</v>
      </c>
    </row>
    <row r="64" spans="2:17" ht="11.25" customHeight="1">
      <c r="B64" s="566" t="s">
        <v>397</v>
      </c>
      <c r="C64" s="567"/>
      <c r="D64" s="567"/>
      <c r="E64" s="568">
        <f>+R15</f>
        <v>0.30152474632963844</v>
      </c>
    </row>
    <row r="65" spans="2:23" ht="11.25" customHeight="1">
      <c r="B65" s="566" t="s">
        <v>398</v>
      </c>
      <c r="C65" s="567"/>
      <c r="D65" s="567"/>
      <c r="E65" s="568">
        <f>+R17</f>
        <v>0.5</v>
      </c>
    </row>
    <row r="66" spans="2:23" ht="11.25" customHeight="1">
      <c r="B66" s="569" t="s">
        <v>399</v>
      </c>
      <c r="C66" s="569"/>
      <c r="D66" s="569"/>
      <c r="E66" s="570">
        <f>ROUND(((R12*(1+E55))/(E54-E55))/R7,1)</f>
        <v>10.9</v>
      </c>
    </row>
    <row r="68" spans="2:23" ht="11.25" customHeight="1">
      <c r="B68" s="183" t="s">
        <v>210</v>
      </c>
      <c r="C68" s="183"/>
      <c r="D68" s="183"/>
      <c r="E68" s="183"/>
      <c r="F68" s="184"/>
      <c r="G68" s="185"/>
      <c r="H68" s="185"/>
      <c r="I68" s="185"/>
      <c r="J68" s="185"/>
      <c r="K68" s="185"/>
      <c r="L68" s="185"/>
      <c r="M68" s="185"/>
      <c r="N68" s="185"/>
      <c r="O68" s="185"/>
      <c r="P68" s="185"/>
      <c r="Q68" s="185"/>
      <c r="R68" s="185"/>
      <c r="S68" s="185"/>
      <c r="T68" s="185"/>
      <c r="U68" s="185"/>
      <c r="V68" s="185"/>
      <c r="W68" s="184"/>
    </row>
    <row r="69" spans="2:23" ht="11.25" customHeight="1">
      <c r="B69" s="139" t="s">
        <v>211</v>
      </c>
      <c r="C69" s="139"/>
      <c r="D69" s="139"/>
      <c r="E69" s="139"/>
      <c r="F69" s="176"/>
      <c r="G69" s="176">
        <f>+Model!AK37</f>
        <v>-380.48199999999997</v>
      </c>
      <c r="H69" s="176">
        <f>+Model!AL37</f>
        <v>-521.72</v>
      </c>
      <c r="I69" s="176">
        <f>+Model!AM37</f>
        <v>-3463.4079999999999</v>
      </c>
      <c r="J69" s="176">
        <f>+Model!AN37</f>
        <v>-1172.4501188233176</v>
      </c>
      <c r="K69" s="176">
        <f>+Model!AO37</f>
        <v>-909.3383986213837</v>
      </c>
      <c r="L69" s="176">
        <f>+Model!AP37</f>
        <v>-675.89163111927803</v>
      </c>
      <c r="M69" s="176">
        <f>+Model!AQ37</f>
        <v>-317.00562297508543</v>
      </c>
      <c r="N69" s="176">
        <f>+Model!AR37</f>
        <v>158.51353008022116</v>
      </c>
      <c r="O69" s="176">
        <f>+Model!AS37</f>
        <v>662.89355428493138</v>
      </c>
      <c r="P69" s="176">
        <f>+Model!AT37</f>
        <v>1160.5377282354118</v>
      </c>
      <c r="Q69" s="176">
        <f>+Model!AU37</f>
        <v>1638.5706316070516</v>
      </c>
      <c r="R69" s="176"/>
      <c r="S69" s="176"/>
      <c r="T69" s="176"/>
      <c r="W69" s="176"/>
    </row>
    <row r="70" spans="2:23" ht="11.25" customHeight="1">
      <c r="B70" s="139" t="s">
        <v>212</v>
      </c>
      <c r="C70" s="139"/>
      <c r="D70" s="139"/>
      <c r="E70" s="139"/>
      <c r="F70" s="177"/>
      <c r="G70" s="177">
        <v>395.5</v>
      </c>
      <c r="H70" s="176">
        <f t="shared" ref="H70:Q70" si="13">G72</f>
        <v>775.98199999999997</v>
      </c>
      <c r="I70" s="176">
        <f t="shared" si="13"/>
        <v>1297.702</v>
      </c>
      <c r="J70" s="176">
        <f t="shared" si="13"/>
        <v>4761.1099999999997</v>
      </c>
      <c r="K70" s="176">
        <f t="shared" si="13"/>
        <v>5933.5601188233177</v>
      </c>
      <c r="L70" s="176">
        <f t="shared" si="13"/>
        <v>6842.8985174447016</v>
      </c>
      <c r="M70" s="176">
        <f t="shared" si="13"/>
        <v>7518.7901485639795</v>
      </c>
      <c r="N70" s="176">
        <f t="shared" si="13"/>
        <v>7835.7957715390648</v>
      </c>
      <c r="O70" s="176">
        <f t="shared" si="13"/>
        <v>7677.2822414588436</v>
      </c>
      <c r="P70" s="176">
        <f t="shared" si="13"/>
        <v>7014.3886871739123</v>
      </c>
      <c r="Q70" s="176">
        <f t="shared" si="13"/>
        <v>5853.8509589385003</v>
      </c>
      <c r="R70" s="176"/>
      <c r="S70" s="176"/>
      <c r="T70" s="176"/>
      <c r="W70" s="176"/>
    </row>
    <row r="71" spans="2:23" ht="11.25" customHeight="1">
      <c r="B71" s="139" t="s">
        <v>213</v>
      </c>
      <c r="C71" s="139"/>
      <c r="D71" s="139"/>
      <c r="E71" s="139"/>
      <c r="F71" s="176"/>
      <c r="G71" s="176">
        <f t="shared" ref="G71:O71" si="14">IF(G70&gt;G69,G69,G70)</f>
        <v>-380.48199999999997</v>
      </c>
      <c r="H71" s="176">
        <f t="shared" si="14"/>
        <v>-521.72</v>
      </c>
      <c r="I71" s="176">
        <f t="shared" si="14"/>
        <v>-3463.4079999999999</v>
      </c>
      <c r="J71" s="176">
        <f t="shared" si="14"/>
        <v>-1172.4501188233176</v>
      </c>
      <c r="K71" s="176">
        <f t="shared" si="14"/>
        <v>-909.3383986213837</v>
      </c>
      <c r="L71" s="176">
        <f t="shared" si="14"/>
        <v>-675.89163111927803</v>
      </c>
      <c r="M71" s="176">
        <f t="shared" si="14"/>
        <v>-317.00562297508543</v>
      </c>
      <c r="N71" s="176">
        <f t="shared" si="14"/>
        <v>158.51353008022116</v>
      </c>
      <c r="O71" s="176">
        <f t="shared" si="14"/>
        <v>662.89355428493138</v>
      </c>
      <c r="P71" s="176">
        <f>IF(P70&gt;P69,P69,P70)</f>
        <v>1160.5377282354118</v>
      </c>
      <c r="Q71" s="176">
        <f>IF(Q70&gt;Q69,Q69,Q70)</f>
        <v>1638.5706316070516</v>
      </c>
      <c r="R71" s="176"/>
      <c r="S71" s="176"/>
      <c r="T71" s="176"/>
      <c r="W71" s="176"/>
    </row>
    <row r="72" spans="2:23" ht="11.25" customHeight="1">
      <c r="B72" s="139" t="s">
        <v>214</v>
      </c>
      <c r="C72" s="139"/>
      <c r="D72" s="139"/>
      <c r="E72" s="139"/>
      <c r="F72" s="176"/>
      <c r="G72" s="176">
        <f t="shared" ref="G72:O72" si="15">G70-G71</f>
        <v>775.98199999999997</v>
      </c>
      <c r="H72" s="176">
        <f t="shared" si="15"/>
        <v>1297.702</v>
      </c>
      <c r="I72" s="176">
        <f t="shared" si="15"/>
        <v>4761.1099999999997</v>
      </c>
      <c r="J72" s="176">
        <f t="shared" si="15"/>
        <v>5933.5601188233177</v>
      </c>
      <c r="K72" s="176">
        <f t="shared" si="15"/>
        <v>6842.8985174447016</v>
      </c>
      <c r="L72" s="176">
        <f t="shared" si="15"/>
        <v>7518.7901485639795</v>
      </c>
      <c r="M72" s="176">
        <f t="shared" si="15"/>
        <v>7835.7957715390648</v>
      </c>
      <c r="N72" s="176">
        <f t="shared" si="15"/>
        <v>7677.2822414588436</v>
      </c>
      <c r="O72" s="176">
        <f t="shared" si="15"/>
        <v>7014.3886871739123</v>
      </c>
      <c r="P72" s="176">
        <f>P70-P71</f>
        <v>5853.8509589385003</v>
      </c>
      <c r="Q72" s="176">
        <f>Q70-Q71</f>
        <v>4215.2803273314485</v>
      </c>
      <c r="R72" s="176"/>
      <c r="S72" s="176"/>
      <c r="T72" s="176"/>
      <c r="W72" s="176"/>
    </row>
    <row r="73" spans="2:23" ht="11.25" customHeight="1">
      <c r="B73" s="139"/>
      <c r="C73" s="139"/>
      <c r="D73" s="139"/>
      <c r="E73" s="139"/>
      <c r="F73" s="176"/>
      <c r="G73" s="176"/>
      <c r="H73" s="176"/>
      <c r="I73" s="176"/>
      <c r="J73" s="176"/>
      <c r="K73" s="176"/>
      <c r="L73" s="176"/>
      <c r="M73" s="176"/>
      <c r="N73" s="176"/>
      <c r="O73" s="176"/>
      <c r="P73" s="176"/>
      <c r="Q73" s="176"/>
      <c r="R73" s="176"/>
      <c r="S73" s="176"/>
      <c r="T73" s="176"/>
      <c r="W73" s="176"/>
    </row>
    <row r="74" spans="2:23" ht="11.25" customHeight="1">
      <c r="B74" s="140" t="s">
        <v>215</v>
      </c>
      <c r="C74" s="140"/>
      <c r="D74" s="140"/>
      <c r="E74" s="140"/>
      <c r="F74" s="176"/>
      <c r="G74" s="176">
        <f t="shared" ref="G74:O74" si="16">G69-G71</f>
        <v>0</v>
      </c>
      <c r="H74" s="176">
        <f t="shared" si="16"/>
        <v>0</v>
      </c>
      <c r="I74" s="176">
        <f>I69-I71</f>
        <v>0</v>
      </c>
      <c r="J74" s="176">
        <f t="shared" si="16"/>
        <v>0</v>
      </c>
      <c r="K74" s="176">
        <f>K69-K71</f>
        <v>0</v>
      </c>
      <c r="L74" s="176">
        <f t="shared" si="16"/>
        <v>0</v>
      </c>
      <c r="M74" s="176">
        <f t="shared" si="16"/>
        <v>0</v>
      </c>
      <c r="N74" s="176">
        <f t="shared" si="16"/>
        <v>0</v>
      </c>
      <c r="O74" s="176">
        <f t="shared" si="16"/>
        <v>0</v>
      </c>
      <c r="P74" s="176">
        <f>P69-P71</f>
        <v>0</v>
      </c>
      <c r="Q74" s="176">
        <f>Q69-Q71</f>
        <v>0</v>
      </c>
      <c r="R74" s="176"/>
      <c r="S74" s="176"/>
      <c r="T74" s="176"/>
      <c r="W74" s="139"/>
    </row>
    <row r="75" spans="2:23" ht="11.25" customHeight="1">
      <c r="B75" s="140" t="s">
        <v>216</v>
      </c>
      <c r="C75" s="140"/>
      <c r="D75" s="140"/>
      <c r="E75" s="140"/>
      <c r="F75" s="178"/>
      <c r="G75" s="179"/>
      <c r="H75" s="179"/>
      <c r="I75" s="179"/>
      <c r="J75" s="180"/>
      <c r="K75" s="181">
        <f>+E52</f>
        <v>0.35</v>
      </c>
      <c r="L75" s="181">
        <f t="shared" ref="L75:Q75" si="17">+K75</f>
        <v>0.35</v>
      </c>
      <c r="M75" s="181">
        <f t="shared" si="17"/>
        <v>0.35</v>
      </c>
      <c r="N75" s="181">
        <f t="shared" si="17"/>
        <v>0.35</v>
      </c>
      <c r="O75" s="181">
        <f t="shared" si="17"/>
        <v>0.35</v>
      </c>
      <c r="P75" s="181">
        <f t="shared" si="17"/>
        <v>0.35</v>
      </c>
      <c r="Q75" s="181">
        <f t="shared" si="17"/>
        <v>0.35</v>
      </c>
      <c r="R75" s="181"/>
      <c r="S75" s="181"/>
      <c r="T75" s="181"/>
      <c r="W75" s="178"/>
    </row>
    <row r="76" spans="2:23" ht="11.25" customHeight="1">
      <c r="B76" s="182" t="s">
        <v>217</v>
      </c>
      <c r="C76" s="182"/>
      <c r="D76" s="182"/>
      <c r="E76" s="182"/>
      <c r="F76" s="182"/>
      <c r="G76" s="176"/>
      <c r="H76" s="176"/>
      <c r="I76" s="176"/>
      <c r="J76" s="176"/>
      <c r="K76" s="176">
        <f t="shared" ref="K76:Q76" si="18">IF(K74&lt;=0,0,K74*K75*-1)</f>
        <v>0</v>
      </c>
      <c r="L76" s="176">
        <f t="shared" si="18"/>
        <v>0</v>
      </c>
      <c r="M76" s="176">
        <f t="shared" si="18"/>
        <v>0</v>
      </c>
      <c r="N76" s="176">
        <f t="shared" si="18"/>
        <v>0</v>
      </c>
      <c r="O76" s="176">
        <f t="shared" si="18"/>
        <v>0</v>
      </c>
      <c r="P76" s="176">
        <f t="shared" si="18"/>
        <v>0</v>
      </c>
      <c r="Q76" s="176">
        <f t="shared" si="18"/>
        <v>0</v>
      </c>
      <c r="R76" s="176"/>
      <c r="S76" s="176"/>
      <c r="T76" s="176"/>
      <c r="W76" s="182"/>
    </row>
  </sheetData>
  <pageMargins left="0" right="0" top="0" bottom="0" header="0" footer="0"/>
  <pageSetup paperSize="5" scale="85" orientation="landscape"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X94"/>
  <sheetViews>
    <sheetView showGridLines="0" zoomScale="115" zoomScaleNormal="115" workbookViewId="0">
      <selection activeCell="B2" sqref="B2"/>
    </sheetView>
  </sheetViews>
  <sheetFormatPr defaultRowHeight="11.25" customHeight="1" outlineLevelRow="1"/>
  <cols>
    <col min="1" max="1" width="9.140625" style="1"/>
    <col min="2" max="2" width="16.28515625" style="1" customWidth="1"/>
    <col min="3" max="3" width="9.85546875" style="1" customWidth="1"/>
    <col min="4" max="17" width="9.140625" style="1"/>
    <col min="18" max="18" width="13.28515625" style="1" bestFit="1" customWidth="1"/>
    <col min="19" max="16384" width="9.140625" style="1"/>
  </cols>
  <sheetData>
    <row r="2" spans="2:20" ht="11.25" customHeight="1">
      <c r="B2" s="75" t="s">
        <v>162</v>
      </c>
      <c r="C2" s="75"/>
      <c r="D2" s="75"/>
      <c r="E2" s="75"/>
      <c r="F2" s="75">
        <f>+'Base DCF'!F2</f>
        <v>2014</v>
      </c>
      <c r="G2" s="75">
        <f>+'Base DCF'!G2</f>
        <v>2015</v>
      </c>
      <c r="H2" s="75">
        <f>+'Base DCF'!H2</f>
        <v>2016</v>
      </c>
      <c r="I2" s="76">
        <f>+'Base DCF'!I2</f>
        <v>2017</v>
      </c>
      <c r="J2" s="76">
        <f>+'Base DCF'!J2</f>
        <v>2018</v>
      </c>
      <c r="K2" s="76">
        <f>+'Base DCF'!K2</f>
        <v>2019</v>
      </c>
      <c r="L2" s="76">
        <f>+'Base DCF'!L2</f>
        <v>2020</v>
      </c>
      <c r="M2" s="76">
        <f>+'Base DCF'!M2</f>
        <v>2021</v>
      </c>
      <c r="N2" s="76">
        <f>+'Base DCF'!N2</f>
        <v>2022</v>
      </c>
      <c r="O2" s="76">
        <f>+'Base DCF'!O2</f>
        <v>2023</v>
      </c>
      <c r="P2" s="76">
        <f>+'Base DCF'!P2</f>
        <v>2024</v>
      </c>
      <c r="Q2" s="76">
        <f>+'Base DCF'!Q2</f>
        <v>2025</v>
      </c>
      <c r="R2" s="548" t="str">
        <f>+'Base DCF'!R2</f>
        <v>Terminal Year</v>
      </c>
      <c r="T2" s="582" t="s">
        <v>408</v>
      </c>
    </row>
    <row r="3" spans="2:20" ht="11.25" customHeight="1">
      <c r="B3" s="1" t="s">
        <v>160</v>
      </c>
      <c r="H3" s="3"/>
      <c r="I3" s="3">
        <f>+I4-H4</f>
        <v>437.25300300000004</v>
      </c>
      <c r="J3" s="3">
        <f t="shared" ref="J3:Q3" si="0">+J4-I4</f>
        <v>532.91382931821431</v>
      </c>
      <c r="K3" s="3">
        <f t="shared" si="0"/>
        <v>744.23078582658127</v>
      </c>
      <c r="L3" s="3">
        <f t="shared" si="0"/>
        <v>986.87971706143799</v>
      </c>
      <c r="M3" s="3">
        <f t="shared" si="0"/>
        <v>1245.0711735034015</v>
      </c>
      <c r="N3" s="3">
        <f t="shared" si="0"/>
        <v>1493.9728733907805</v>
      </c>
      <c r="O3" s="3">
        <f t="shared" si="0"/>
        <v>1655.0351593177174</v>
      </c>
      <c r="P3" s="3">
        <f t="shared" si="0"/>
        <v>1762.0469199582521</v>
      </c>
      <c r="Q3" s="3">
        <f t="shared" si="0"/>
        <v>1882.4006668683087</v>
      </c>
    </row>
    <row r="4" spans="2:20" ht="11.25" customHeight="1">
      <c r="B4" s="127" t="s">
        <v>150</v>
      </c>
      <c r="F4" s="3">
        <f>+'Base DCF'!F4</f>
        <v>0</v>
      </c>
      <c r="G4" s="3">
        <f>+'Base DCF'!G4</f>
        <v>58.663000000000004</v>
      </c>
      <c r="H4" s="3">
        <f>+'Base DCF'!H4</f>
        <v>404.48199999999997</v>
      </c>
      <c r="I4" s="3">
        <f>+H4*(1+I5)</f>
        <v>841.73500300000001</v>
      </c>
      <c r="J4" s="3">
        <f t="shared" ref="J4:Q4" si="1">+I4*(1+J5)</f>
        <v>1374.6488323182143</v>
      </c>
      <c r="K4" s="3">
        <f t="shared" si="1"/>
        <v>2118.8796181447956</v>
      </c>
      <c r="L4" s="3">
        <f t="shared" si="1"/>
        <v>3105.7593352062336</v>
      </c>
      <c r="M4" s="3">
        <f t="shared" si="1"/>
        <v>4350.8305087096351</v>
      </c>
      <c r="N4" s="3">
        <f t="shared" si="1"/>
        <v>5844.8033821004155</v>
      </c>
      <c r="O4" s="3">
        <f t="shared" si="1"/>
        <v>7499.838541418133</v>
      </c>
      <c r="P4" s="3">
        <f t="shared" si="1"/>
        <v>9261.8854613763851</v>
      </c>
      <c r="Q4" s="3">
        <f t="shared" si="1"/>
        <v>11144.286128244694</v>
      </c>
      <c r="R4" s="3">
        <f>Q4*(1+E55)</f>
        <v>11534.336142733257</v>
      </c>
      <c r="T4" s="188">
        <f>+(Q4/H4)^(1/9)-1</f>
        <v>0.44549637216536153</v>
      </c>
    </row>
    <row r="5" spans="2:20" ht="11.25" customHeight="1">
      <c r="B5" s="128" t="s">
        <v>151</v>
      </c>
      <c r="H5" s="5"/>
      <c r="I5" s="382">
        <f>'Base DCF'!I5+0.0415</f>
        <v>1.081019681963598</v>
      </c>
      <c r="J5" s="382">
        <f>'Base DCF'!J5+0.0415</f>
        <v>0.63311354217048577</v>
      </c>
      <c r="K5" s="382">
        <f>'Base DCF'!K5+0.0415</f>
        <v>0.54139702324666217</v>
      </c>
      <c r="L5" s="382">
        <f>'Base DCF'!L5+0.0415</f>
        <v>0.46575544387250745</v>
      </c>
      <c r="M5" s="382">
        <f>'Base DCF'!M5+0.0415</f>
        <v>0.40089106692509524</v>
      </c>
      <c r="N5" s="382">
        <f>'Base DCF'!N5+0.0415</f>
        <v>0.34337648189238756</v>
      </c>
      <c r="O5" s="382">
        <f>'Base DCF'!O5+0.0415</f>
        <v>0.28316353025428154</v>
      </c>
      <c r="P5" s="382">
        <f>'Base DCF'!P5+0.0415</f>
        <v>0.23494464717170685</v>
      </c>
      <c r="Q5" s="382">
        <f>'Base DCF'!Q5+0.0415</f>
        <v>0.20324162663404058</v>
      </c>
      <c r="R5" s="5">
        <f>+R4/Q4-1</f>
        <v>3.499999999999992E-2</v>
      </c>
    </row>
    <row r="6" spans="2:20" ht="11.25" customHeight="1">
      <c r="B6" s="128"/>
    </row>
    <row r="7" spans="2:20" ht="11.25" customHeight="1">
      <c r="B7" s="127" t="s">
        <v>152</v>
      </c>
      <c r="G7" s="3">
        <f>+'Base DCF'!G7</f>
        <v>-292.89799999999991</v>
      </c>
      <c r="H7" s="3">
        <f>+'Base DCF'!H7</f>
        <v>-459.428</v>
      </c>
      <c r="I7" s="3">
        <f>+I4*I15</f>
        <v>-692.62089761994434</v>
      </c>
      <c r="J7" s="3">
        <f t="shared" ref="J7:Q7" si="2">+J4*J15</f>
        <v>-707.7016941167567</v>
      </c>
      <c r="K7" s="3">
        <f t="shared" si="2"/>
        <v>-351.78235088303893</v>
      </c>
      <c r="L7" s="3">
        <f t="shared" si="2"/>
        <v>-14.790836551889987</v>
      </c>
      <c r="M7" s="3">
        <f t="shared" si="2"/>
        <v>492.55655573859315</v>
      </c>
      <c r="N7" s="3">
        <f t="shared" si="2"/>
        <v>1171.7209068470472</v>
      </c>
      <c r="O7" s="3">
        <f t="shared" si="2"/>
        <v>1940.101856687844</v>
      </c>
      <c r="P7" s="3">
        <f t="shared" si="2"/>
        <v>2742.6553281846368</v>
      </c>
      <c r="Q7" s="3">
        <f t="shared" si="2"/>
        <v>3583.1637704087839</v>
      </c>
      <c r="R7" s="3">
        <f>R4*R15</f>
        <v>3708.574502373091</v>
      </c>
    </row>
    <row r="8" spans="2:20" ht="11.25" customHeight="1">
      <c r="B8" s="127" t="s">
        <v>218</v>
      </c>
      <c r="G8" s="3">
        <f>+'Base DCF'!G8</f>
        <v>0</v>
      </c>
      <c r="H8" s="3">
        <f>+'Base DCF'!H8</f>
        <v>0</v>
      </c>
      <c r="I8" s="3">
        <f>+'Base DCF'!I8</f>
        <v>0</v>
      </c>
      <c r="J8" s="3">
        <f>+'Base DCF'!J8</f>
        <v>0</v>
      </c>
      <c r="K8" s="3">
        <f>+'Base DCF'!K8</f>
        <v>0</v>
      </c>
      <c r="L8" s="3">
        <f>+'Base DCF'!L8</f>
        <v>0</v>
      </c>
      <c r="M8" s="3">
        <f>+'Base DCF'!M8</f>
        <v>0</v>
      </c>
      <c r="N8" s="3">
        <f>+'Base DCF'!N8</f>
        <v>0</v>
      </c>
      <c r="O8" s="3">
        <f>+'Base DCF'!O8</f>
        <v>0</v>
      </c>
      <c r="P8" s="3">
        <f>+'Base DCF'!P8</f>
        <v>0</v>
      </c>
      <c r="Q8" s="3">
        <f>+'Base DCF'!Q8</f>
        <v>0</v>
      </c>
      <c r="R8" s="3"/>
    </row>
    <row r="9" spans="2:20" ht="11.25" customHeight="1">
      <c r="B9" s="127" t="s">
        <v>153</v>
      </c>
      <c r="G9" s="3">
        <f>+'Base DCF'!G9</f>
        <v>-15.485999999999997</v>
      </c>
      <c r="H9" s="3">
        <f>+'Base DCF'!H9</f>
        <v>-150.49600000000001</v>
      </c>
      <c r="I9" s="3">
        <f>+I12+I11+I10+I8-I7</f>
        <v>10.642912832948696</v>
      </c>
      <c r="J9" s="3">
        <f t="shared" ref="J9:Q9" si="3">+J12+J11+J10+J8-J7</f>
        <v>-186.52198726777215</v>
      </c>
      <c r="K9" s="3">
        <f t="shared" si="3"/>
        <v>425.17250313667904</v>
      </c>
      <c r="L9" s="3">
        <f t="shared" si="3"/>
        <v>628.98555680309732</v>
      </c>
      <c r="M9" s="3">
        <f t="shared" si="3"/>
        <v>13.203545505397983</v>
      </c>
      <c r="N9" s="3">
        <f t="shared" si="3"/>
        <v>-131.02927407975926</v>
      </c>
      <c r="O9" s="3">
        <f t="shared" si="3"/>
        <v>-245.66906545409188</v>
      </c>
      <c r="P9" s="3">
        <f t="shared" si="3"/>
        <v>-240.99247279660949</v>
      </c>
      <c r="Q9" s="3">
        <f t="shared" si="3"/>
        <v>-177.94237987958195</v>
      </c>
    </row>
    <row r="10" spans="2:20" ht="11.25" customHeight="1">
      <c r="B10" s="127" t="s">
        <v>154</v>
      </c>
      <c r="G10" s="3">
        <f>+'Base DCF'!G10</f>
        <v>28.305</v>
      </c>
      <c r="H10" s="3">
        <f>+'Base DCF'!H10</f>
        <v>67.013000000000005</v>
      </c>
      <c r="I10" s="3">
        <f t="shared" ref="I10:Q10" si="4">+I69</f>
        <v>86.237766193490756</v>
      </c>
      <c r="J10" s="3">
        <f t="shared" si="4"/>
        <v>103.14368138790999</v>
      </c>
      <c r="K10" s="3">
        <f t="shared" si="4"/>
        <v>119.98448346055322</v>
      </c>
      <c r="L10" s="3">
        <f t="shared" si="4"/>
        <v>136.7678414969304</v>
      </c>
      <c r="M10" s="3">
        <f t="shared" si="4"/>
        <v>153.49495213675127</v>
      </c>
      <c r="N10" s="3">
        <f t="shared" si="4"/>
        <v>171.33984614470197</v>
      </c>
      <c r="O10" s="3">
        <f t="shared" si="4"/>
        <v>188.01773477444252</v>
      </c>
      <c r="P10" s="3">
        <f t="shared" si="4"/>
        <v>204.62864008210229</v>
      </c>
      <c r="Q10" s="3">
        <f t="shared" si="4"/>
        <v>221.06707547083684</v>
      </c>
    </row>
    <row r="11" spans="2:20" ht="11.25" customHeight="1">
      <c r="B11" s="350" t="s">
        <v>155</v>
      </c>
      <c r="C11" s="339"/>
      <c r="D11" s="339"/>
      <c r="E11" s="339"/>
      <c r="F11" s="339"/>
      <c r="G11" s="343">
        <f>+'Base DCF'!G11</f>
        <v>73.524000000000001</v>
      </c>
      <c r="H11" s="343">
        <f>+'Base DCF'!H11</f>
        <v>31.842000000000002</v>
      </c>
      <c r="I11" s="521">
        <v>75</v>
      </c>
      <c r="J11" s="343">
        <f t="shared" ref="J11:Q11" si="5">+J72</f>
        <v>386.3255286560709</v>
      </c>
      <c r="K11" s="343">
        <f t="shared" si="5"/>
        <v>446.50693732069783</v>
      </c>
      <c r="L11" s="343">
        <f t="shared" si="5"/>
        <v>496.27865217153942</v>
      </c>
      <c r="M11" s="343">
        <f t="shared" si="5"/>
        <v>552.34357150349604</v>
      </c>
      <c r="N11" s="343">
        <f t="shared" si="5"/>
        <v>598.44819605609518</v>
      </c>
      <c r="O11" s="343">
        <f t="shared" si="5"/>
        <v>649.37257580304731</v>
      </c>
      <c r="P11" s="343">
        <f t="shared" si="5"/>
        <v>705.55106835410072</v>
      </c>
      <c r="Q11" s="343">
        <f t="shared" si="5"/>
        <v>767.29267117718598</v>
      </c>
      <c r="R11" s="339"/>
    </row>
    <row r="12" spans="2:20" ht="11.25" customHeight="1">
      <c r="B12" s="129" t="s">
        <v>156</v>
      </c>
      <c r="C12" s="7"/>
      <c r="D12" s="7"/>
      <c r="E12" s="7"/>
      <c r="F12" s="7"/>
      <c r="G12" s="9">
        <f>G7-G8+G9-G10-G11</f>
        <v>-410.21299999999991</v>
      </c>
      <c r="H12" s="9">
        <f t="shared" ref="H12:Q12" si="6">+H17*H7</f>
        <v>-708.779</v>
      </c>
      <c r="I12" s="9">
        <f t="shared" si="6"/>
        <v>-843.2157509804864</v>
      </c>
      <c r="J12" s="9">
        <f t="shared" si="6"/>
        <v>-1383.6928914285097</v>
      </c>
      <c r="K12" s="9">
        <f t="shared" si="6"/>
        <v>-493.10126852761096</v>
      </c>
      <c r="L12" s="9">
        <f t="shared" si="6"/>
        <v>-18.851773417262521</v>
      </c>
      <c r="M12" s="9">
        <f t="shared" si="6"/>
        <v>-200.07842239625617</v>
      </c>
      <c r="N12" s="9">
        <f t="shared" si="6"/>
        <v>270.90359056649078</v>
      </c>
      <c r="O12" s="9">
        <f t="shared" si="6"/>
        <v>857.04248065626223</v>
      </c>
      <c r="P12" s="9">
        <f t="shared" si="6"/>
        <v>1591.4831469518244</v>
      </c>
      <c r="Q12" s="9">
        <f t="shared" si="6"/>
        <v>2416.8616438811791</v>
      </c>
      <c r="R12" s="9">
        <f>R7*R17</f>
        <v>2225.1447014238547</v>
      </c>
    </row>
    <row r="13" spans="2:20" ht="11.25" customHeight="1">
      <c r="B13" s="128" t="s">
        <v>157</v>
      </c>
    </row>
    <row r="14" spans="2:20" ht="11.25" customHeight="1">
      <c r="B14" s="128"/>
      <c r="Q14" s="258"/>
    </row>
    <row r="15" spans="2:20" ht="11.25" customHeight="1">
      <c r="B15" s="127" t="s">
        <v>158</v>
      </c>
      <c r="G15" s="5">
        <f>G7/G4</f>
        <v>-4.9928916011796174</v>
      </c>
      <c r="H15" s="5">
        <f>H7/H4</f>
        <v>-1.1358428805237317</v>
      </c>
      <c r="I15" s="382">
        <f>+'Base DCF'!I15+0.05</f>
        <v>-0.8228491094600997</v>
      </c>
      <c r="J15" s="382">
        <f>+'Base DCF'!J15+0.05</f>
        <v>-0.51482362438942697</v>
      </c>
      <c r="K15" s="382">
        <f>+'Base DCF'!K15+0.05</f>
        <v>-0.16602281123976509</v>
      </c>
      <c r="L15" s="382">
        <f>+'Base DCF'!L15+0.05</f>
        <v>-4.7623897911934707E-3</v>
      </c>
      <c r="M15" s="382">
        <f>+'Base DCF'!M15+0.05</f>
        <v>0.11320977793839068</v>
      </c>
      <c r="N15" s="382">
        <f>+'Base DCF'!N15+0.05</f>
        <v>0.20047225376912031</v>
      </c>
      <c r="O15" s="382">
        <f>+'Base DCF'!O15+0.05</f>
        <v>0.25868581649772332</v>
      </c>
      <c r="P15" s="382">
        <f>+'Base DCF'!P15+0.05</f>
        <v>0.29612278618883481</v>
      </c>
      <c r="Q15" s="382">
        <f>+'Base DCF'!Q15+0.05</f>
        <v>0.32152474632963846</v>
      </c>
      <c r="R15" s="546">
        <f>Q15</f>
        <v>0.32152474632963846</v>
      </c>
    </row>
    <row r="16" spans="2:20" ht="11.25" customHeight="1">
      <c r="B16" s="127" t="s">
        <v>313</v>
      </c>
      <c r="H16" s="5">
        <f t="shared" ref="H16:Q16" si="7">+(H7-G7)/(H4-G4)</f>
        <v>-0.48155248844048509</v>
      </c>
      <c r="I16" s="5">
        <f t="shared" si="7"/>
        <v>-0.53331342728352704</v>
      </c>
      <c r="J16" s="5">
        <f t="shared" si="7"/>
        <v>-2.8298752381986481E-2</v>
      </c>
      <c r="K16" s="5">
        <f t="shared" si="7"/>
        <v>0.47823786654890299</v>
      </c>
      <c r="L16" s="5">
        <f t="shared" si="7"/>
        <v>0.34147171991191061</v>
      </c>
      <c r="M16" s="5">
        <f t="shared" si="7"/>
        <v>0.40748465074723461</v>
      </c>
      <c r="N16" s="5">
        <f t="shared" si="7"/>
        <v>0.45460286676222944</v>
      </c>
      <c r="O16" s="5">
        <f t="shared" si="7"/>
        <v>0.46426865647830662</v>
      </c>
      <c r="P16" s="5">
        <f t="shared" si="7"/>
        <v>0.45546657265846674</v>
      </c>
      <c r="Q16" s="5">
        <f t="shared" si="7"/>
        <v>0.44650878902549201</v>
      </c>
      <c r="R16" s="5"/>
    </row>
    <row r="17" spans="2:18" ht="11.25" customHeight="1">
      <c r="B17" s="127" t="s">
        <v>159</v>
      </c>
      <c r="G17" s="5">
        <f>+'Base DCF'!G17</f>
        <v>1.4005319257898656</v>
      </c>
      <c r="H17" s="5">
        <f>+'Base DCF'!H17</f>
        <v>1.5427422795301984</v>
      </c>
      <c r="I17" s="5">
        <f>+'Base DCF'!I17</f>
        <v>1.2174275334140678</v>
      </c>
      <c r="J17" s="5">
        <f>+'Base DCF'!J17</f>
        <v>1.9551922836011015</v>
      </c>
      <c r="K17" s="5">
        <f>+'Base DCF'!K17</f>
        <v>1.4017225915110163</v>
      </c>
      <c r="L17" s="5">
        <f>+'Base DCF'!L17</f>
        <v>1.274557618909907</v>
      </c>
      <c r="M17" s="382">
        <f>+'Base DCF'!M17+0.04</f>
        <v>-0.40620395783025709</v>
      </c>
      <c r="N17" s="382">
        <f>+'Base DCF'!N17+0.04</f>
        <v>0.23120146528362123</v>
      </c>
      <c r="O17" s="382">
        <f>+'Base DCF'!O17+0.04</f>
        <v>0.44175128109995798</v>
      </c>
      <c r="P17" s="382">
        <f>+'Base DCF'!P17+0.05</f>
        <v>0.58027092598807406</v>
      </c>
      <c r="Q17" s="382">
        <f>+'Base DCF'!Q17+0.06</f>
        <v>0.6745049343936218</v>
      </c>
      <c r="R17" s="546">
        <v>0.6</v>
      </c>
    </row>
    <row r="18" spans="2:18" ht="11.25" customHeight="1">
      <c r="B18" s="127"/>
    </row>
    <row r="19" spans="2:18" ht="11.25" customHeight="1" thickBot="1">
      <c r="B19" s="542" t="s">
        <v>198</v>
      </c>
      <c r="C19" s="152"/>
      <c r="D19" s="152"/>
      <c r="E19" s="152"/>
      <c r="F19" s="152"/>
      <c r="G19" s="152"/>
      <c r="H19" s="152"/>
      <c r="I19" s="153">
        <f t="shared" ref="I19:Q19" si="8">I$2</f>
        <v>2017</v>
      </c>
      <c r="J19" s="153">
        <f t="shared" si="8"/>
        <v>2018</v>
      </c>
      <c r="K19" s="153">
        <f t="shared" si="8"/>
        <v>2019</v>
      </c>
      <c r="L19" s="153">
        <f t="shared" si="8"/>
        <v>2020</v>
      </c>
      <c r="M19" s="153">
        <f t="shared" si="8"/>
        <v>2021</v>
      </c>
      <c r="N19" s="153">
        <f t="shared" si="8"/>
        <v>2022</v>
      </c>
      <c r="O19" s="153">
        <f t="shared" si="8"/>
        <v>2023</v>
      </c>
      <c r="P19" s="153">
        <f t="shared" si="8"/>
        <v>2024</v>
      </c>
      <c r="Q19" s="153">
        <f t="shared" si="8"/>
        <v>2025</v>
      </c>
    </row>
    <row r="20" spans="2:18" ht="11.25" hidden="1" customHeight="1" outlineLevel="1">
      <c r="B20" s="545" t="s">
        <v>390</v>
      </c>
      <c r="G20" s="543"/>
      <c r="H20" s="543"/>
      <c r="I20" s="544"/>
      <c r="J20" s="544"/>
      <c r="K20" s="544"/>
      <c r="L20" s="544"/>
      <c r="M20" s="544"/>
      <c r="N20" s="544"/>
      <c r="O20" s="544"/>
      <c r="P20" s="544"/>
      <c r="Q20" s="544"/>
    </row>
    <row r="21" spans="2:18" ht="11.25" hidden="1" customHeight="1" outlineLevel="1">
      <c r="B21" s="127" t="s">
        <v>199</v>
      </c>
      <c r="C21" s="140"/>
      <c r="D21" s="140"/>
      <c r="E21" s="140"/>
      <c r="F21" s="154"/>
      <c r="G21" s="155"/>
      <c r="H21" s="158"/>
      <c r="I21" s="552">
        <v>1</v>
      </c>
      <c r="J21" s="156">
        <f t="shared" ref="J21:Q21" si="9">I21+1</f>
        <v>2</v>
      </c>
      <c r="K21" s="156">
        <f t="shared" si="9"/>
        <v>3</v>
      </c>
      <c r="L21" s="156">
        <f t="shared" si="9"/>
        <v>4</v>
      </c>
      <c r="M21" s="156">
        <f t="shared" si="9"/>
        <v>5</v>
      </c>
      <c r="N21" s="156">
        <f t="shared" si="9"/>
        <v>6</v>
      </c>
      <c r="O21" s="156">
        <f t="shared" si="9"/>
        <v>7</v>
      </c>
      <c r="P21" s="156">
        <f t="shared" si="9"/>
        <v>8</v>
      </c>
      <c r="Q21" s="156">
        <f t="shared" si="9"/>
        <v>9</v>
      </c>
    </row>
    <row r="22" spans="2:18" ht="11.25" hidden="1" customHeight="1" outlineLevel="1">
      <c r="B22" s="127" t="s">
        <v>200</v>
      </c>
      <c r="C22" s="140"/>
      <c r="D22" s="140"/>
      <c r="E22" s="140"/>
      <c r="F22" s="157"/>
      <c r="G22" s="158"/>
      <c r="H22" s="159"/>
      <c r="I22" s="159">
        <f t="shared" ref="I22:Q22" si="10">I12/(1+$E54)^I21</f>
        <v>-779.11972471509466</v>
      </c>
      <c r="J22" s="159">
        <f t="shared" si="10"/>
        <v>-1181.3285166389933</v>
      </c>
      <c r="K22" s="159">
        <f t="shared" si="10"/>
        <v>-388.98476016764897</v>
      </c>
      <c r="L22" s="159">
        <f t="shared" si="10"/>
        <v>-13.740867983127892</v>
      </c>
      <c r="M22" s="159">
        <f t="shared" si="10"/>
        <v>-134.74966655063579</v>
      </c>
      <c r="N22" s="159">
        <f t="shared" si="10"/>
        <v>168.58063873215349</v>
      </c>
      <c r="O22" s="159">
        <f t="shared" si="10"/>
        <v>492.78873527548865</v>
      </c>
      <c r="P22" s="159">
        <f t="shared" si="10"/>
        <v>845.52403162580958</v>
      </c>
      <c r="Q22" s="159">
        <f t="shared" si="10"/>
        <v>1186.4274603662664</v>
      </c>
    </row>
    <row r="23" spans="2:18" ht="11.25" hidden="1" customHeight="1" outlineLevel="1">
      <c r="B23" s="127"/>
      <c r="C23" s="140"/>
      <c r="D23" s="140"/>
      <c r="E23" s="140"/>
      <c r="F23" s="157"/>
      <c r="G23" s="158"/>
      <c r="H23" s="159"/>
      <c r="I23" s="159"/>
      <c r="J23" s="159"/>
      <c r="K23" s="159"/>
      <c r="L23" s="159"/>
      <c r="M23" s="159"/>
      <c r="N23" s="159"/>
      <c r="O23" s="159"/>
      <c r="P23" s="159"/>
      <c r="Q23" s="159"/>
    </row>
    <row r="24" spans="2:18" ht="11.25" customHeight="1" collapsed="1">
      <c r="B24" s="545" t="s">
        <v>336</v>
      </c>
      <c r="C24" s="140"/>
      <c r="D24" s="140"/>
      <c r="E24" s="140"/>
      <c r="F24" s="157"/>
      <c r="G24" s="158"/>
      <c r="H24" s="159"/>
      <c r="I24" s="159"/>
      <c r="J24" s="159"/>
      <c r="K24" s="159"/>
      <c r="L24" s="159"/>
      <c r="M24" s="159"/>
      <c r="N24" s="159"/>
      <c r="O24" s="159"/>
      <c r="P24" s="159"/>
      <c r="Q24" s="159"/>
    </row>
    <row r="25" spans="2:18" ht="11.25" customHeight="1">
      <c r="B25" s="127" t="s">
        <v>199</v>
      </c>
      <c r="C25" s="140"/>
      <c r="D25" s="140"/>
      <c r="E25" s="140"/>
      <c r="F25" s="157"/>
      <c r="G25" s="158"/>
      <c r="H25" s="158"/>
      <c r="I25" s="552"/>
      <c r="J25" s="552">
        <v>0</v>
      </c>
      <c r="K25" s="156">
        <f t="shared" ref="K25:Q25" si="11">J25+1</f>
        <v>1</v>
      </c>
      <c r="L25" s="156">
        <f t="shared" si="11"/>
        <v>2</v>
      </c>
      <c r="M25" s="156">
        <f t="shared" si="11"/>
        <v>3</v>
      </c>
      <c r="N25" s="156">
        <f t="shared" si="11"/>
        <v>4</v>
      </c>
      <c r="O25" s="156">
        <f t="shared" si="11"/>
        <v>5</v>
      </c>
      <c r="P25" s="156">
        <f t="shared" si="11"/>
        <v>6</v>
      </c>
      <c r="Q25" s="156">
        <f t="shared" si="11"/>
        <v>7</v>
      </c>
    </row>
    <row r="26" spans="2:18" ht="11.25" customHeight="1">
      <c r="B26" s="127" t="s">
        <v>200</v>
      </c>
      <c r="C26" s="140"/>
      <c r="D26" s="140"/>
      <c r="E26" s="140"/>
      <c r="F26" s="157"/>
      <c r="G26" s="158"/>
      <c r="H26" s="159"/>
      <c r="I26" s="159"/>
      <c r="J26" s="159"/>
      <c r="K26" s="159">
        <f t="shared" ref="K26:Q26" si="12">K12/(1+$E54)^K25</f>
        <v>-455.61877152456913</v>
      </c>
      <c r="L26" s="159">
        <f t="shared" si="12"/>
        <v>-16.094711236131079</v>
      </c>
      <c r="M26" s="159">
        <f t="shared" si="12"/>
        <v>-157.83260380351541</v>
      </c>
      <c r="N26" s="159">
        <f t="shared" si="12"/>
        <v>197.45890170315977</v>
      </c>
      <c r="O26" s="159">
        <f t="shared" si="12"/>
        <v>577.20461359616365</v>
      </c>
      <c r="P26" s="159">
        <f t="shared" si="12"/>
        <v>990.3643022359505</v>
      </c>
      <c r="Q26" s="159">
        <f t="shared" si="12"/>
        <v>1389.6652963013687</v>
      </c>
    </row>
    <row r="27" spans="2:18" ht="11.25" customHeight="1">
      <c r="B27" s="127"/>
      <c r="C27" s="140"/>
      <c r="D27" s="140"/>
      <c r="E27" s="140"/>
      <c r="F27" s="157"/>
      <c r="G27" s="158"/>
      <c r="H27" s="159"/>
      <c r="I27" s="159"/>
      <c r="J27" s="159"/>
      <c r="K27" s="159"/>
      <c r="L27" s="159"/>
      <c r="M27" s="159"/>
      <c r="N27" s="159"/>
      <c r="O27" s="159"/>
      <c r="P27" s="159"/>
      <c r="Q27" s="159"/>
    </row>
    <row r="28" spans="2:18" ht="11.25" customHeight="1">
      <c r="B28" s="127"/>
      <c r="C28" s="140"/>
      <c r="D28" s="334"/>
      <c r="E28" s="140"/>
      <c r="F28" s="157"/>
      <c r="G28" s="158"/>
      <c r="H28" s="159"/>
      <c r="I28" s="159"/>
      <c r="J28" s="159"/>
      <c r="K28" s="159"/>
      <c r="L28" s="159"/>
      <c r="M28" s="159"/>
      <c r="N28" s="159"/>
      <c r="O28" s="159"/>
      <c r="P28" s="159"/>
      <c r="Q28" s="159"/>
    </row>
    <row r="29" spans="2:18" ht="11.25" hidden="1" customHeight="1" outlineLevel="1">
      <c r="B29" s="130" t="s">
        <v>334</v>
      </c>
      <c r="C29" s="164"/>
      <c r="D29" s="164"/>
      <c r="E29" s="165"/>
    </row>
    <row r="30" spans="2:18" ht="11.25" hidden="1" customHeight="1" outlineLevel="1">
      <c r="B30" s="133" t="s">
        <v>190</v>
      </c>
      <c r="C30" s="23"/>
      <c r="D30" s="23"/>
      <c r="E30" s="166">
        <f>SUM(I22:Q22)</f>
        <v>195.39732994421752</v>
      </c>
    </row>
    <row r="31" spans="2:18" ht="11.25" hidden="1" customHeight="1" outlineLevel="1">
      <c r="B31" s="169" t="s">
        <v>191</v>
      </c>
      <c r="C31" s="170"/>
      <c r="D31" s="170"/>
      <c r="E31" s="171">
        <f>(R12/(E54-E55))/(1+E54)^Q21</f>
        <v>23109.335190749422</v>
      </c>
    </row>
    <row r="32" spans="2:18" ht="11.25" hidden="1" customHeight="1" outlineLevel="1">
      <c r="B32" s="151" t="s">
        <v>192</v>
      </c>
      <c r="C32" s="34"/>
      <c r="D32" s="34"/>
      <c r="E32" s="167">
        <f>E31+E30</f>
        <v>23304.73252069364</v>
      </c>
    </row>
    <row r="33" spans="2:17" ht="11.25" hidden="1" customHeight="1" outlineLevel="1">
      <c r="B33" s="133" t="s">
        <v>193</v>
      </c>
      <c r="C33" s="23"/>
      <c r="D33" s="23"/>
      <c r="E33" s="166">
        <f>+'Base DCF'!E33</f>
        <v>0</v>
      </c>
      <c r="M33" s="188"/>
    </row>
    <row r="34" spans="2:17" ht="11.25" hidden="1" customHeight="1" outlineLevel="1">
      <c r="B34" s="169" t="s">
        <v>194</v>
      </c>
      <c r="C34" s="170"/>
      <c r="D34" s="170"/>
      <c r="E34" s="171">
        <f>+'Base DCF'!E34</f>
        <v>2043.0390000000002</v>
      </c>
      <c r="G34" s="188"/>
    </row>
    <row r="35" spans="2:17" ht="11.25" hidden="1" customHeight="1" outlineLevel="1">
      <c r="B35" s="151" t="s">
        <v>195</v>
      </c>
      <c r="C35" s="34"/>
      <c r="D35" s="34"/>
      <c r="E35" s="161">
        <f>E32+E33+E34</f>
        <v>25347.771520693641</v>
      </c>
    </row>
    <row r="36" spans="2:17" ht="11.25" hidden="1" customHeight="1" outlineLevel="1">
      <c r="B36" s="169" t="s">
        <v>196</v>
      </c>
      <c r="C36" s="170"/>
      <c r="D36" s="170"/>
      <c r="E36" s="171">
        <f>'Base DCF'!E36</f>
        <v>1404.1021930973332</v>
      </c>
    </row>
    <row r="37" spans="2:17" ht="11.25" hidden="1" customHeight="1" outlineLevel="1">
      <c r="B37" s="414" t="s">
        <v>197</v>
      </c>
      <c r="C37" s="415"/>
      <c r="D37" s="415"/>
      <c r="E37" s="416">
        <f>E35/E36</f>
        <v>18.05265431911231</v>
      </c>
    </row>
    <row r="38" spans="2:17" ht="11.25" hidden="1" customHeight="1" outlineLevel="1"/>
    <row r="39" spans="2:17" ht="11.25" customHeight="1" collapsed="1">
      <c r="B39" s="130" t="s">
        <v>335</v>
      </c>
      <c r="C39" s="164"/>
      <c r="D39" s="164"/>
      <c r="E39" s="165"/>
    </row>
    <row r="40" spans="2:17" ht="11.25" customHeight="1">
      <c r="B40" s="133" t="s">
        <v>190</v>
      </c>
      <c r="C40" s="23"/>
      <c r="D40" s="23"/>
      <c r="E40" s="166">
        <f>SUM(K26:Q26)</f>
        <v>2525.1470272724273</v>
      </c>
      <c r="L40" s="188"/>
      <c r="M40" s="188"/>
      <c r="N40" s="188"/>
      <c r="O40" s="188"/>
      <c r="P40" s="188"/>
      <c r="Q40" s="188"/>
    </row>
    <row r="41" spans="2:17" ht="11.25" customHeight="1">
      <c r="B41" s="169" t="s">
        <v>191</v>
      </c>
      <c r="C41" s="170"/>
      <c r="D41" s="170"/>
      <c r="E41" s="171">
        <f>(R12/(E54-E55))/(1+E54)^Q25</f>
        <v>27068.019080801059</v>
      </c>
    </row>
    <row r="42" spans="2:17" ht="11.25" customHeight="1">
      <c r="B42" s="151" t="s">
        <v>192</v>
      </c>
      <c r="C42" s="34"/>
      <c r="D42" s="34"/>
      <c r="E42" s="167">
        <f>E41+E40</f>
        <v>29593.166108073485</v>
      </c>
    </row>
    <row r="43" spans="2:17" ht="11.25" customHeight="1">
      <c r="B43" s="133" t="s">
        <v>193</v>
      </c>
      <c r="C43" s="23"/>
      <c r="D43" s="23"/>
      <c r="E43" s="166">
        <f>+'Base DCF'!E43</f>
        <v>0</v>
      </c>
    </row>
    <row r="44" spans="2:17" ht="11.25" customHeight="1">
      <c r="B44" s="169" t="s">
        <v>194</v>
      </c>
      <c r="C44" s="170"/>
      <c r="D44" s="170"/>
      <c r="E44" s="171">
        <f>+'Base DCF'!E44</f>
        <v>954.24216610161716</v>
      </c>
    </row>
    <row r="45" spans="2:17" ht="11.25" customHeight="1">
      <c r="B45" s="151" t="s">
        <v>195</v>
      </c>
      <c r="C45" s="34"/>
      <c r="D45" s="34"/>
      <c r="E45" s="161">
        <f>E42+E43+E44</f>
        <v>30547.408274175101</v>
      </c>
    </row>
    <row r="46" spans="2:17" ht="11.25" customHeight="1">
      <c r="B46" s="169" t="s">
        <v>196</v>
      </c>
      <c r="C46" s="170"/>
      <c r="D46" s="170"/>
      <c r="E46" s="171">
        <f>+'Base DCF'!E46</f>
        <v>1460</v>
      </c>
    </row>
    <row r="47" spans="2:17" ht="11.25" customHeight="1">
      <c r="B47" s="414" t="s">
        <v>197</v>
      </c>
      <c r="C47" s="415"/>
      <c r="D47" s="415"/>
      <c r="E47" s="638">
        <f>E45/E46</f>
        <v>20.922882379571988</v>
      </c>
    </row>
    <row r="49" spans="2:24" ht="11.25" customHeight="1">
      <c r="B49" s="130" t="s">
        <v>163</v>
      </c>
      <c r="C49" s="131"/>
      <c r="D49" s="131"/>
      <c r="E49" s="132"/>
    </row>
    <row r="50" spans="2:24" ht="11.25" hidden="1" customHeight="1" outlineLevel="1">
      <c r="B50" s="133" t="s">
        <v>164</v>
      </c>
      <c r="C50" s="134"/>
      <c r="D50" s="134"/>
      <c r="E50" s="550">
        <f>+E60</f>
        <v>8.3548199999999989E-2</v>
      </c>
    </row>
    <row r="51" spans="2:24" ht="11.25" hidden="1" customHeight="1" outlineLevel="1">
      <c r="B51" s="133" t="s">
        <v>165</v>
      </c>
      <c r="C51" s="134"/>
      <c r="D51" s="134"/>
      <c r="E51" s="551">
        <f>+'Base DCF'!E51</f>
        <v>0.03</v>
      </c>
    </row>
    <row r="52" spans="2:24" ht="11.25" customHeight="1" collapsed="1">
      <c r="B52" s="133" t="s">
        <v>166</v>
      </c>
      <c r="C52" s="134"/>
      <c r="D52" s="134"/>
      <c r="E52" s="551">
        <f>+'Base DCF'!E52</f>
        <v>0.35</v>
      </c>
    </row>
    <row r="53" spans="2:24" ht="11.25" customHeight="1" outlineLevel="1">
      <c r="B53" s="133" t="s">
        <v>167</v>
      </c>
      <c r="C53" s="134"/>
      <c r="D53" s="134"/>
      <c r="E53" s="551">
        <f>+'Base DCF'!E53</f>
        <v>0.02</v>
      </c>
    </row>
    <row r="54" spans="2:24" ht="11.25" customHeight="1">
      <c r="B54" s="172" t="s">
        <v>168</v>
      </c>
      <c r="C54" s="173"/>
      <c r="D54" s="173"/>
      <c r="E54" s="174">
        <f>+(E50*(1-E53))+((1-E52)*E51*E53)</f>
        <v>8.2267235999999994E-2</v>
      </c>
    </row>
    <row r="55" spans="2:24" ht="11.25" customHeight="1">
      <c r="B55" s="137" t="s">
        <v>169</v>
      </c>
      <c r="C55" s="138"/>
      <c r="D55" s="138"/>
      <c r="E55" s="187">
        <v>3.5000000000000003E-2</v>
      </c>
    </row>
    <row r="56" spans="2:24" ht="11.25" customHeight="1">
      <c r="B56" s="139"/>
      <c r="C56" s="139"/>
      <c r="D56" s="139"/>
      <c r="E56" s="141"/>
    </row>
    <row r="57" spans="2:24" ht="11.25" customHeight="1">
      <c r="B57" s="142" t="s">
        <v>170</v>
      </c>
      <c r="C57" s="142"/>
      <c r="D57" s="143"/>
      <c r="E57" s="549">
        <f>+'Base DCF'!E57</f>
        <v>2.4899999999999999E-2</v>
      </c>
      <c r="X57" s="188"/>
    </row>
    <row r="58" spans="2:24" ht="11.25" customHeight="1">
      <c r="B58" s="142" t="s">
        <v>171</v>
      </c>
      <c r="C58" s="142"/>
      <c r="D58" s="143"/>
      <c r="E58" s="549">
        <f>+'Base DCF'!E58</f>
        <v>4.3799999999999999E-2</v>
      </c>
    </row>
    <row r="59" spans="2:24" ht="11.25" customHeight="1">
      <c r="B59" s="142" t="s">
        <v>172</v>
      </c>
      <c r="C59" s="142"/>
      <c r="D59" s="143"/>
      <c r="E59" s="142">
        <f>+'Base DCF'!E59</f>
        <v>1.339</v>
      </c>
    </row>
    <row r="60" spans="2:24" ht="11.25" customHeight="1">
      <c r="B60" s="142" t="s">
        <v>173</v>
      </c>
      <c r="C60" s="142"/>
      <c r="D60" s="143"/>
      <c r="E60" s="146">
        <f>+E57+(E59*(E58))</f>
        <v>8.3548199999999989E-2</v>
      </c>
    </row>
    <row r="62" spans="2:24" ht="11.25" customHeight="1">
      <c r="B62" s="563" t="s">
        <v>448</v>
      </c>
      <c r="C62" s="564"/>
      <c r="D62" s="564"/>
      <c r="E62" s="565">
        <f>+E42/K4</f>
        <v>13.966421619546301</v>
      </c>
    </row>
    <row r="63" spans="2:24" ht="11.25" customHeight="1">
      <c r="B63" s="563" t="s">
        <v>449</v>
      </c>
      <c r="C63" s="564"/>
      <c r="D63" s="564"/>
      <c r="E63" s="565">
        <f>+E42/K7</f>
        <v>-84.123509987892092</v>
      </c>
    </row>
    <row r="64" spans="2:24" ht="11.25" customHeight="1">
      <c r="B64" s="566" t="s">
        <v>397</v>
      </c>
      <c r="C64" s="567"/>
      <c r="D64" s="567"/>
      <c r="E64" s="568">
        <f>+R15</f>
        <v>0.32152474632963846</v>
      </c>
    </row>
    <row r="65" spans="2:17" ht="11.25" customHeight="1">
      <c r="B65" s="566" t="s">
        <v>398</v>
      </c>
      <c r="C65" s="567"/>
      <c r="D65" s="567"/>
      <c r="E65" s="568">
        <f>+R17</f>
        <v>0.6</v>
      </c>
    </row>
    <row r="66" spans="2:17" ht="11.25" customHeight="1">
      <c r="B66" s="569" t="s">
        <v>399</v>
      </c>
      <c r="C66" s="569"/>
      <c r="D66" s="569"/>
      <c r="E66" s="570">
        <f>ROUND(((R12*(1+E55))/(E54-E55))/R7,1)</f>
        <v>13.1</v>
      </c>
    </row>
    <row r="68" spans="2:17" ht="11.25" customHeight="1">
      <c r="B68" s="553" t="s">
        <v>341</v>
      </c>
      <c r="C68" s="183"/>
      <c r="D68" s="183"/>
      <c r="E68" s="183"/>
      <c r="F68" s="184"/>
      <c r="G68" s="185"/>
      <c r="H68" s="185"/>
      <c r="I68" s="185"/>
      <c r="J68" s="185"/>
      <c r="K68" s="185"/>
      <c r="L68" s="185"/>
      <c r="M68" s="185"/>
      <c r="N68" s="185"/>
      <c r="O68" s="185"/>
      <c r="P68" s="185"/>
      <c r="Q68" s="554"/>
    </row>
    <row r="69" spans="2:17" s="7" customFormat="1" ht="11.25" customHeight="1">
      <c r="B69" s="479" t="s">
        <v>342</v>
      </c>
      <c r="C69" s="479"/>
      <c r="D69" s="479"/>
      <c r="E69" s="479"/>
      <c r="F69" s="481"/>
      <c r="G69" s="481"/>
      <c r="H69" s="482">
        <f t="shared" ref="H69:Q69" si="13">+H4*H70</f>
        <v>66.640999999999991</v>
      </c>
      <c r="I69" s="482">
        <f t="shared" si="13"/>
        <v>86.237766193490756</v>
      </c>
      <c r="J69" s="482">
        <f t="shared" si="13"/>
        <v>103.14368138790999</v>
      </c>
      <c r="K69" s="482">
        <f t="shared" si="13"/>
        <v>119.98448346055322</v>
      </c>
      <c r="L69" s="482">
        <f t="shared" si="13"/>
        <v>136.7678414969304</v>
      </c>
      <c r="M69" s="482">
        <f t="shared" si="13"/>
        <v>153.49495213675127</v>
      </c>
      <c r="N69" s="482">
        <f t="shared" si="13"/>
        <v>171.33984614470197</v>
      </c>
      <c r="O69" s="482">
        <f t="shared" si="13"/>
        <v>188.01773477444252</v>
      </c>
      <c r="P69" s="482">
        <f t="shared" si="13"/>
        <v>204.62864008210229</v>
      </c>
      <c r="Q69" s="482">
        <f t="shared" si="13"/>
        <v>221.06707547083684</v>
      </c>
    </row>
    <row r="70" spans="2:17" ht="11.25" customHeight="1">
      <c r="B70" s="139" t="s">
        <v>18</v>
      </c>
      <c r="C70" s="139"/>
      <c r="D70" s="139"/>
      <c r="E70" s="139"/>
      <c r="F70" s="176"/>
      <c r="H70" s="480">
        <f>+Model!AL234</f>
        <v>0.16475640448771514</v>
      </c>
      <c r="I70" s="480">
        <f>+Model!AM234</f>
        <v>0.10245239402678227</v>
      </c>
      <c r="J70" s="480">
        <f>+Model!AN234</f>
        <v>7.5032749428789028E-2</v>
      </c>
      <c r="K70" s="480">
        <f>+Model!AO234</f>
        <v>5.6626380485743089E-2</v>
      </c>
      <c r="L70" s="480">
        <f>+Model!AP234</f>
        <v>4.4036844692555206E-2</v>
      </c>
      <c r="M70" s="480">
        <f>+Model!AQ234</f>
        <v>3.5279460284531897E-2</v>
      </c>
      <c r="N70" s="480">
        <f>+Model!AR234</f>
        <v>2.9314903332664115E-2</v>
      </c>
      <c r="O70" s="480">
        <f>+Model!AS234</f>
        <v>2.5069570996243143E-2</v>
      </c>
      <c r="P70" s="480">
        <f>+Model!AT234</f>
        <v>2.2093626717306969E-2</v>
      </c>
      <c r="Q70" s="480">
        <f>+Model!AU234</f>
        <v>1.9836809009287033E-2</v>
      </c>
    </row>
    <row r="71" spans="2:17" ht="11.25" customHeight="1">
      <c r="B71" s="139"/>
      <c r="C71" s="139"/>
      <c r="D71" s="139"/>
      <c r="E71" s="139"/>
      <c r="F71" s="176"/>
      <c r="G71" s="176"/>
      <c r="H71" s="176"/>
      <c r="I71" s="176"/>
      <c r="J71" s="176"/>
      <c r="K71" s="176"/>
      <c r="L71" s="176"/>
      <c r="M71" s="176"/>
      <c r="N71" s="176"/>
      <c r="O71" s="176"/>
      <c r="P71" s="176"/>
      <c r="Q71" s="176"/>
    </row>
    <row r="72" spans="2:17" ht="11.25" customHeight="1">
      <c r="B72" s="479" t="s">
        <v>343</v>
      </c>
      <c r="C72" s="139"/>
      <c r="D72" s="139"/>
      <c r="E72" s="139"/>
      <c r="F72" s="176"/>
      <c r="G72" s="176"/>
      <c r="H72" s="482">
        <f t="shared" ref="H72:Q72" si="14">+H4*H73</f>
        <v>31.842000000000002</v>
      </c>
      <c r="I72" s="482">
        <f t="shared" si="14"/>
        <v>2718.5793076518612</v>
      </c>
      <c r="J72" s="482">
        <f t="shared" si="14"/>
        <v>386.3255286560709</v>
      </c>
      <c r="K72" s="482">
        <f t="shared" si="14"/>
        <v>446.50693732069783</v>
      </c>
      <c r="L72" s="482">
        <f t="shared" si="14"/>
        <v>496.27865217153942</v>
      </c>
      <c r="M72" s="482">
        <f t="shared" si="14"/>
        <v>552.34357150349604</v>
      </c>
      <c r="N72" s="482">
        <f t="shared" si="14"/>
        <v>598.44819605609518</v>
      </c>
      <c r="O72" s="482">
        <f t="shared" si="14"/>
        <v>649.37257580304731</v>
      </c>
      <c r="P72" s="482">
        <f t="shared" si="14"/>
        <v>705.55106835410072</v>
      </c>
      <c r="Q72" s="482">
        <f t="shared" si="14"/>
        <v>767.29267117718598</v>
      </c>
    </row>
    <row r="73" spans="2:17" ht="11.25" customHeight="1">
      <c r="B73" s="139" t="s">
        <v>18</v>
      </c>
      <c r="C73" s="140"/>
      <c r="D73" s="140"/>
      <c r="E73" s="140"/>
      <c r="F73" s="176"/>
      <c r="G73" s="176"/>
      <c r="H73" s="480">
        <f>+'Expense Model'!AL165</f>
        <v>7.872290979573876E-2</v>
      </c>
      <c r="I73" s="480">
        <f>+'Expense Model'!AM165</f>
        <v>3.2297329895545062</v>
      </c>
      <c r="J73" s="480">
        <f>+'Expense Model'!AN165</f>
        <v>0.28103579588728106</v>
      </c>
      <c r="K73" s="480">
        <f>+'Expense Model'!AO165</f>
        <v>0.21072784574313905</v>
      </c>
      <c r="L73" s="480">
        <f>+'Expense Model'!AP165</f>
        <v>0.15979301633124923</v>
      </c>
      <c r="M73" s="480">
        <f>+'Expense Model'!AQ165</f>
        <v>0.12695129594172805</v>
      </c>
      <c r="N73" s="480">
        <f>+'Expense Model'!AR165</f>
        <v>0.10238979088481058</v>
      </c>
      <c r="O73" s="480">
        <f>+'Expense Model'!AS165</f>
        <v>8.6584874089870534E-2</v>
      </c>
      <c r="P73" s="480">
        <f>+'Expense Model'!AT165</f>
        <v>7.617790905495074E-2</v>
      </c>
      <c r="Q73" s="480">
        <f>+'Expense Model'!AU165</f>
        <v>6.885076911588954E-2</v>
      </c>
    </row>
    <row r="74" spans="2:17" ht="11.25" customHeight="1">
      <c r="B74" s="182"/>
      <c r="C74" s="182"/>
      <c r="D74" s="182"/>
      <c r="E74" s="182"/>
      <c r="F74" s="182"/>
      <c r="G74" s="176"/>
      <c r="H74" s="176"/>
      <c r="I74" s="176"/>
      <c r="J74" s="176"/>
      <c r="K74" s="176"/>
      <c r="L74" s="176"/>
      <c r="M74" s="176"/>
      <c r="N74" s="176"/>
      <c r="O74" s="176"/>
      <c r="P74" s="176"/>
      <c r="Q74" s="176"/>
    </row>
    <row r="75" spans="2:17" ht="11.25" customHeight="1">
      <c r="B75" s="182"/>
      <c r="C75" s="182"/>
      <c r="D75" s="182"/>
      <c r="E75" s="182"/>
      <c r="F75" s="182"/>
      <c r="G75" s="176"/>
      <c r="H75" s="176"/>
      <c r="I75" s="176"/>
      <c r="J75" s="176"/>
      <c r="K75" s="176"/>
      <c r="L75" s="176"/>
      <c r="M75" s="176"/>
      <c r="N75" s="176"/>
      <c r="O75" s="176"/>
      <c r="P75" s="176"/>
      <c r="Q75" s="176"/>
    </row>
    <row r="76" spans="2:17" ht="11.25" customHeight="1">
      <c r="B76" s="553" t="s">
        <v>403</v>
      </c>
      <c r="C76" s="183"/>
      <c r="D76" s="183"/>
      <c r="E76" s="183"/>
      <c r="F76" s="184"/>
      <c r="G76" s="185"/>
      <c r="H76" s="185"/>
      <c r="I76" s="185"/>
      <c r="J76" s="185"/>
      <c r="K76" s="185"/>
      <c r="L76" s="185"/>
      <c r="M76" s="185"/>
      <c r="N76" s="185"/>
      <c r="O76" s="185"/>
      <c r="P76" s="185"/>
      <c r="Q76" s="554"/>
    </row>
    <row r="77" spans="2:17" s="7" customFormat="1" ht="11.25" customHeight="1">
      <c r="B77" s="7" t="s">
        <v>400</v>
      </c>
      <c r="H77" s="581">
        <f>+'Revenue Model'!AL52</f>
        <v>158.30000000000001</v>
      </c>
      <c r="I77" s="581">
        <f>+'Revenue Model'!AM52</f>
        <v>187</v>
      </c>
      <c r="J77" s="581">
        <f>+'Revenue Model'!AN52</f>
        <v>214.99928749999998</v>
      </c>
      <c r="K77" s="581">
        <f>+'Revenue Model'!AO52</f>
        <v>241.59861062499999</v>
      </c>
      <c r="L77" s="581">
        <f>+'Revenue Model'!AP52</f>
        <v>266.24666759374998</v>
      </c>
      <c r="M77" s="581">
        <f>+'Revenue Model'!AQ52</f>
        <v>288.57849886562497</v>
      </c>
      <c r="N77" s="581">
        <f>+'Revenue Model'!AR52</f>
        <v>308.67714701031241</v>
      </c>
      <c r="O77" s="581">
        <f>+'Revenue Model'!AS52</f>
        <v>326.76593034053121</v>
      </c>
      <c r="P77" s="581">
        <f>+'Revenue Model'!AT52</f>
        <v>343.04583533772802</v>
      </c>
      <c r="Q77" s="581">
        <f>+'Revenue Model'!AU52</f>
        <v>359.32574033492494</v>
      </c>
    </row>
    <row r="78" spans="2:17" ht="11.25" customHeight="1">
      <c r="B78" s="1" t="s">
        <v>1</v>
      </c>
      <c r="I78" s="188">
        <f>+I77/H77-1</f>
        <v>0.18130132659507248</v>
      </c>
      <c r="J78" s="188">
        <f t="shared" ref="J78:Q78" si="15">+J77/I77-1</f>
        <v>0.14972881016042772</v>
      </c>
      <c r="K78" s="188">
        <f t="shared" si="15"/>
        <v>0.1237181919730781</v>
      </c>
      <c r="L78" s="188">
        <f t="shared" si="15"/>
        <v>0.1020206900403402</v>
      </c>
      <c r="M78" s="188">
        <f t="shared" si="15"/>
        <v>8.3876472421994031E-2</v>
      </c>
      <c r="N78" s="188">
        <f t="shared" si="15"/>
        <v>6.9647074275087428E-2</v>
      </c>
      <c r="O78" s="188">
        <f t="shared" si="15"/>
        <v>5.8600980038261419E-2</v>
      </c>
      <c r="P78" s="188">
        <f t="shared" si="15"/>
        <v>4.9821304749338768E-2</v>
      </c>
      <c r="Q78" s="188">
        <f t="shared" si="15"/>
        <v>4.7456938170286733E-2</v>
      </c>
    </row>
    <row r="79" spans="2:17" ht="11.25" customHeight="1">
      <c r="B79" s="1" t="s">
        <v>407</v>
      </c>
      <c r="I79" s="159">
        <f>+I77-H77</f>
        <v>28.699999999999989</v>
      </c>
      <c r="J79" s="159">
        <f t="shared" ref="J79:Q79" si="16">+J77-I77</f>
        <v>27.99928749999998</v>
      </c>
      <c r="K79" s="159">
        <f t="shared" si="16"/>
        <v>26.599323125000012</v>
      </c>
      <c r="L79" s="159">
        <f t="shared" si="16"/>
        <v>24.648056968749984</v>
      </c>
      <c r="M79" s="159">
        <f t="shared" si="16"/>
        <v>22.331831271874989</v>
      </c>
      <c r="N79" s="159">
        <f t="shared" si="16"/>
        <v>20.098648144687445</v>
      </c>
      <c r="O79" s="159">
        <f t="shared" si="16"/>
        <v>18.088783330218803</v>
      </c>
      <c r="P79" s="159">
        <f t="shared" si="16"/>
        <v>16.279904997196809</v>
      </c>
      <c r="Q79" s="159">
        <f t="shared" si="16"/>
        <v>16.279904997196923</v>
      </c>
    </row>
    <row r="80" spans="2:17" ht="5.0999999999999996" customHeight="1">
      <c r="L80" s="188"/>
    </row>
    <row r="81" spans="2:17" s="7" customFormat="1" ht="11.25" customHeight="1">
      <c r="B81" s="7" t="s">
        <v>404</v>
      </c>
      <c r="H81" s="12">
        <f>'Revenue Model'!AL16</f>
        <v>2.5551610865445351</v>
      </c>
      <c r="I81" s="12">
        <f>'Revenue Model'!AM16</f>
        <v>4.4114919786096252</v>
      </c>
      <c r="J81" s="12">
        <f>'Revenue Model'!AN16</f>
        <v>6.106996982490001</v>
      </c>
      <c r="K81" s="12">
        <f>'Revenue Model'!AO16</f>
        <v>8.1513912121772876</v>
      </c>
      <c r="L81" s="12">
        <f>'Revenue Model'!AP16</f>
        <v>10.534886880075762</v>
      </c>
      <c r="M81" s="12">
        <f>'Revenue Model'!AQ16</f>
        <v>13.212788984929327</v>
      </c>
      <c r="N81" s="12">
        <f>'Revenue Model'!AR16</f>
        <v>16.08139698913671</v>
      </c>
      <c r="O81" s="12">
        <f>'Revenue Model'!AS16</f>
        <v>18.862332959705327</v>
      </c>
      <c r="P81" s="12">
        <f>'Revenue Model'!AT16</f>
        <v>21.442840035815113</v>
      </c>
      <c r="Q81" s="12">
        <f>'Revenue Model'!AU16</f>
        <v>23.782399977584138</v>
      </c>
    </row>
    <row r="82" spans="2:17" ht="11.25" customHeight="1">
      <c r="B82" s="1" t="s">
        <v>1</v>
      </c>
      <c r="I82" s="188">
        <f t="shared" ref="I82:Q82" si="17">+I81/H81-1</f>
        <v>0.7265024901328212</v>
      </c>
      <c r="J82" s="188">
        <f t="shared" si="17"/>
        <v>0.38433822663659245</v>
      </c>
      <c r="K82" s="188">
        <f t="shared" si="17"/>
        <v>0.33476260681788106</v>
      </c>
      <c r="L82" s="188">
        <f t="shared" si="17"/>
        <v>0.29240354264162804</v>
      </c>
      <c r="M82" s="188">
        <f t="shared" si="17"/>
        <v>0.25419372180618116</v>
      </c>
      <c r="N82" s="188">
        <f t="shared" si="17"/>
        <v>0.2171084399727683</v>
      </c>
      <c r="O82" s="188">
        <f t="shared" si="17"/>
        <v>0.17292875565768284</v>
      </c>
      <c r="P82" s="188">
        <f t="shared" si="17"/>
        <v>0.13680741834121979</v>
      </c>
      <c r="Q82" s="188">
        <f t="shared" si="17"/>
        <v>0.10910681317686244</v>
      </c>
    </row>
    <row r="83" spans="2:17" ht="11.25" customHeight="1">
      <c r="I83" s="188"/>
      <c r="J83" s="188"/>
      <c r="K83" s="188"/>
      <c r="L83" s="188"/>
      <c r="M83" s="188"/>
      <c r="N83" s="188"/>
      <c r="O83" s="188"/>
      <c r="P83" s="188"/>
      <c r="Q83" s="188"/>
    </row>
    <row r="84" spans="2:17" ht="5.0999999999999996" customHeight="1">
      <c r="B84" s="579"/>
      <c r="C84" s="579"/>
      <c r="D84" s="579"/>
      <c r="E84" s="579"/>
      <c r="F84" s="579"/>
      <c r="G84" s="579"/>
      <c r="H84" s="579"/>
      <c r="I84" s="580"/>
      <c r="J84" s="580"/>
      <c r="K84" s="580"/>
      <c r="L84" s="580"/>
      <c r="M84" s="580"/>
      <c r="N84" s="580"/>
      <c r="O84" s="580"/>
      <c r="P84" s="580"/>
      <c r="Q84" s="580"/>
    </row>
    <row r="86" spans="2:17" ht="11.25" customHeight="1">
      <c r="B86" s="7" t="s">
        <v>401</v>
      </c>
      <c r="C86" s="7"/>
      <c r="D86" s="7"/>
      <c r="E86" s="7"/>
      <c r="F86" s="7"/>
      <c r="G86" s="7"/>
      <c r="H86" s="581">
        <f t="shared" ref="H86:Q86" si="18">+H77*(1+H93)</f>
        <v>174.13000000000002</v>
      </c>
      <c r="I86" s="581">
        <f t="shared" si="18"/>
        <v>205.70000000000002</v>
      </c>
      <c r="J86" s="581">
        <f t="shared" si="18"/>
        <v>236.49921624999999</v>
      </c>
      <c r="K86" s="581">
        <f t="shared" si="18"/>
        <v>265.75847168749999</v>
      </c>
      <c r="L86" s="581">
        <f t="shared" si="18"/>
        <v>292.87133435312501</v>
      </c>
      <c r="M86" s="581">
        <f t="shared" si="18"/>
        <v>317.43634875218748</v>
      </c>
      <c r="N86" s="581">
        <f t="shared" si="18"/>
        <v>339.54486171134369</v>
      </c>
      <c r="O86" s="581">
        <f t="shared" si="18"/>
        <v>359.44252337458437</v>
      </c>
      <c r="P86" s="581">
        <f t="shared" si="18"/>
        <v>377.35041887150084</v>
      </c>
      <c r="Q86" s="581">
        <f t="shared" si="18"/>
        <v>395.25831436841747</v>
      </c>
    </row>
    <row r="87" spans="2:17" ht="11.25" customHeight="1">
      <c r="B87" s="1" t="s">
        <v>1</v>
      </c>
      <c r="I87" s="188">
        <f t="shared" ref="I87:Q87" si="19">+I86/H86-1</f>
        <v>0.18130132659507248</v>
      </c>
      <c r="J87" s="188">
        <f t="shared" si="19"/>
        <v>0.14972881016042772</v>
      </c>
      <c r="K87" s="188">
        <f t="shared" si="19"/>
        <v>0.1237181919730781</v>
      </c>
      <c r="L87" s="188">
        <f t="shared" si="19"/>
        <v>0.10202069004034042</v>
      </c>
      <c r="M87" s="188">
        <f t="shared" si="19"/>
        <v>8.3876472421994031E-2</v>
      </c>
      <c r="N87" s="188">
        <f t="shared" si="19"/>
        <v>6.964707427508765E-2</v>
      </c>
      <c r="O87" s="188">
        <f t="shared" si="19"/>
        <v>5.8600980038261419E-2</v>
      </c>
      <c r="P87" s="188">
        <f t="shared" si="19"/>
        <v>4.9821304749338768E-2</v>
      </c>
      <c r="Q87" s="188">
        <f t="shared" si="19"/>
        <v>4.7456938170286733E-2</v>
      </c>
    </row>
    <row r="88" spans="2:17" ht="11.25" customHeight="1">
      <c r="B88" s="1" t="s">
        <v>407</v>
      </c>
      <c r="I88" s="159">
        <f>+I86-H86</f>
        <v>31.569999999999993</v>
      </c>
      <c r="J88" s="159">
        <f t="shared" ref="J88:Q88" si="20">+J86-I86</f>
        <v>30.799216249999972</v>
      </c>
      <c r="K88" s="159">
        <f t="shared" si="20"/>
        <v>29.259255437500002</v>
      </c>
      <c r="L88" s="159">
        <f t="shared" si="20"/>
        <v>27.112862665625016</v>
      </c>
      <c r="M88" s="159">
        <f t="shared" si="20"/>
        <v>24.565014399062477</v>
      </c>
      <c r="N88" s="159">
        <f t="shared" si="20"/>
        <v>22.108512959156201</v>
      </c>
      <c r="O88" s="159">
        <f t="shared" si="20"/>
        <v>19.897661663240683</v>
      </c>
      <c r="P88" s="159">
        <f t="shared" si="20"/>
        <v>17.907895496916467</v>
      </c>
      <c r="Q88" s="159">
        <f t="shared" si="20"/>
        <v>17.907895496916638</v>
      </c>
    </row>
    <row r="89" spans="2:17" ht="5.0999999999999996" customHeight="1">
      <c r="L89" s="188"/>
    </row>
    <row r="90" spans="2:17" ht="11.25" customHeight="1">
      <c r="B90" s="7" t="s">
        <v>405</v>
      </c>
      <c r="C90" s="7"/>
      <c r="D90" s="7"/>
      <c r="E90" s="7"/>
      <c r="F90" s="7"/>
      <c r="G90" s="7"/>
      <c r="H90" s="12">
        <f t="shared" ref="H90:Q90" si="21">+H4/H86</f>
        <v>2.3228737150404863</v>
      </c>
      <c r="I90" s="12">
        <f t="shared" si="21"/>
        <v>4.0920515459406896</v>
      </c>
      <c r="J90" s="12">
        <f t="shared" si="21"/>
        <v>5.8124878979095325</v>
      </c>
      <c r="K90" s="12">
        <f t="shared" si="21"/>
        <v>7.9729523002237279</v>
      </c>
      <c r="L90" s="12">
        <f t="shared" si="21"/>
        <v>10.604517994449784</v>
      </c>
      <c r="M90" s="12">
        <f t="shared" si="21"/>
        <v>13.706150936439201</v>
      </c>
      <c r="N90" s="12">
        <f t="shared" si="21"/>
        <v>17.213641086017205</v>
      </c>
      <c r="O90" s="12">
        <f t="shared" si="21"/>
        <v>20.865195556181749</v>
      </c>
      <c r="P90" s="12">
        <f t="shared" si="21"/>
        <v>24.544521479729259</v>
      </c>
      <c r="Q90" s="12">
        <f t="shared" si="21"/>
        <v>28.194944225403905</v>
      </c>
    </row>
    <row r="91" spans="2:17" ht="11.25" customHeight="1">
      <c r="B91" s="1" t="s">
        <v>1</v>
      </c>
      <c r="I91" s="188">
        <f t="shared" ref="I91:Q91" si="22">+I90/H90-1</f>
        <v>0.76163323879592282</v>
      </c>
      <c r="J91" s="188">
        <f t="shared" si="22"/>
        <v>0.42043369509250539</v>
      </c>
      <c r="K91" s="188">
        <f t="shared" si="22"/>
        <v>0.37169357429392824</v>
      </c>
      <c r="L91" s="188">
        <f t="shared" si="22"/>
        <v>0.33006163778907993</v>
      </c>
      <c r="M91" s="188">
        <f t="shared" si="22"/>
        <v>0.29248221782571893</v>
      </c>
      <c r="N91" s="188">
        <f t="shared" si="22"/>
        <v>0.25590628367100376</v>
      </c>
      <c r="O91" s="188">
        <f t="shared" si="22"/>
        <v>0.21213143993868533</v>
      </c>
      <c r="P91" s="188">
        <f t="shared" si="22"/>
        <v>0.17633795540715314</v>
      </c>
      <c r="Q91" s="188">
        <f t="shared" si="22"/>
        <v>0.14872658033644881</v>
      </c>
    </row>
    <row r="93" spans="2:17" ht="11.25" customHeight="1">
      <c r="B93" s="1" t="s">
        <v>402</v>
      </c>
      <c r="H93" s="578">
        <v>0.1</v>
      </c>
      <c r="I93" s="578">
        <v>0.1</v>
      </c>
      <c r="J93" s="578">
        <v>0.1</v>
      </c>
      <c r="K93" s="578">
        <v>0.1</v>
      </c>
      <c r="L93" s="578">
        <v>0.1</v>
      </c>
      <c r="M93" s="578">
        <v>0.1</v>
      </c>
      <c r="N93" s="578">
        <v>0.1</v>
      </c>
      <c r="O93" s="578">
        <v>0.1</v>
      </c>
      <c r="P93" s="578">
        <v>0.1</v>
      </c>
      <c r="Q93" s="578">
        <v>0.1</v>
      </c>
    </row>
    <row r="94" spans="2:17" ht="11.25" customHeight="1">
      <c r="B94" s="1" t="s">
        <v>406</v>
      </c>
      <c r="H94" s="188">
        <f t="shared" ref="H94:Q94" si="23">+H90/H81-1</f>
        <v>-9.0909090909090939E-2</v>
      </c>
      <c r="I94" s="188">
        <f t="shared" si="23"/>
        <v>-7.2410974386405647E-2</v>
      </c>
      <c r="J94" s="188">
        <f t="shared" si="23"/>
        <v>-4.8224861650478235E-2</v>
      </c>
      <c r="K94" s="188">
        <f t="shared" si="23"/>
        <v>-2.1890608278865464E-2</v>
      </c>
      <c r="L94" s="188">
        <f t="shared" si="23"/>
        <v>6.6095739960638777E-3</v>
      </c>
      <c r="M94" s="188">
        <f t="shared" si="23"/>
        <v>3.7339728355051172E-2</v>
      </c>
      <c r="N94" s="188">
        <f t="shared" si="23"/>
        <v>7.0407073318651703E-2</v>
      </c>
      <c r="O94" s="188">
        <f t="shared" si="23"/>
        <v>0.10618318533317384</v>
      </c>
      <c r="P94" s="188">
        <f t="shared" si="23"/>
        <v>0.14464881698196375</v>
      </c>
      <c r="Q94" s="188">
        <f t="shared" si="23"/>
        <v>0.18553822372757867</v>
      </c>
    </row>
  </sheetData>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P810"/>
  <sheetViews>
    <sheetView topLeftCell="Y291" workbookViewId="0">
      <selection activeCell="AF297" sqref="AF297"/>
    </sheetView>
  </sheetViews>
  <sheetFormatPr defaultRowHeight="15"/>
  <sheetData>
    <row r="1" spans="1:40">
      <c r="A1">
        <f>'Revenue Model'!I2</f>
        <v>0</v>
      </c>
      <c r="B1">
        <f>'Revenue Model'!J2</f>
        <v>2013</v>
      </c>
      <c r="C1">
        <f>'Revenue Model'!K2</f>
        <v>0</v>
      </c>
      <c r="D1">
        <f>'Revenue Model'!L2</f>
        <v>0</v>
      </c>
      <c r="E1">
        <f>'Revenue Model'!M2</f>
        <v>0</v>
      </c>
      <c r="F1">
        <f>'Revenue Model'!N2</f>
        <v>2014</v>
      </c>
      <c r="G1">
        <f>'Revenue Model'!O2</f>
        <v>0</v>
      </c>
      <c r="H1">
        <f>'Revenue Model'!P2</f>
        <v>0</v>
      </c>
      <c r="I1">
        <f>'Revenue Model'!Q2</f>
        <v>0</v>
      </c>
      <c r="J1">
        <f>'Revenue Model'!R2</f>
        <v>2015</v>
      </c>
      <c r="K1">
        <f>'Revenue Model'!S2</f>
        <v>0</v>
      </c>
      <c r="L1">
        <f>'Revenue Model'!T2</f>
        <v>0</v>
      </c>
      <c r="M1">
        <f>'Revenue Model'!U2</f>
        <v>0</v>
      </c>
      <c r="N1">
        <f>'Revenue Model'!V2</f>
        <v>2016</v>
      </c>
      <c r="O1">
        <f>'Revenue Model'!W2</f>
        <v>0</v>
      </c>
      <c r="P1">
        <f>'Revenue Model'!X2</f>
        <v>0</v>
      </c>
      <c r="Q1">
        <f>'Revenue Model'!Y2</f>
        <v>0</v>
      </c>
      <c r="R1">
        <f>'Revenue Model'!Z2</f>
        <v>2017</v>
      </c>
      <c r="S1">
        <f>'Revenue Model'!AA2</f>
        <v>0</v>
      </c>
      <c r="T1">
        <f>'Revenue Model'!AB2</f>
        <v>0</v>
      </c>
      <c r="U1">
        <f>'Revenue Model'!AC2</f>
        <v>0</v>
      </c>
      <c r="V1">
        <f>'Revenue Model'!AD2</f>
        <v>2018</v>
      </c>
      <c r="W1">
        <f>'Revenue Model'!AE2</f>
        <v>0</v>
      </c>
      <c r="X1">
        <f>'Revenue Model'!AF2</f>
        <v>0</v>
      </c>
      <c r="Y1">
        <f>'Revenue Model'!AG2</f>
        <v>0</v>
      </c>
      <c r="Z1">
        <f>'Revenue Model'!AH2</f>
        <v>0</v>
      </c>
      <c r="AA1">
        <f>'Revenue Model'!AI2</f>
        <v>0</v>
      </c>
      <c r="AB1">
        <f>'Revenue Model'!AJ2</f>
        <v>0</v>
      </c>
      <c r="AC1">
        <f>'Revenue Model'!AK2</f>
        <v>0</v>
      </c>
      <c r="AD1">
        <f>'Revenue Model'!AL2</f>
        <v>0</v>
      </c>
      <c r="AE1">
        <f>'Revenue Model'!AM2</f>
        <v>0</v>
      </c>
      <c r="AF1">
        <f>'Revenue Model'!AN2</f>
        <v>0</v>
      </c>
      <c r="AG1">
        <f>'Revenue Model'!AO2</f>
        <v>0</v>
      </c>
      <c r="AH1">
        <f>'Revenue Model'!AP2</f>
        <v>0</v>
      </c>
      <c r="AI1">
        <f>'Revenue Model'!AQ2</f>
        <v>0</v>
      </c>
      <c r="AJ1">
        <f>'Revenue Model'!AR2</f>
        <v>0</v>
      </c>
      <c r="AK1">
        <f>'Revenue Model'!AS2</f>
        <v>0</v>
      </c>
      <c r="AL1">
        <f>'Revenue Model'!AT2</f>
        <v>0</v>
      </c>
      <c r="AM1">
        <f>'Revenue Model'!AU2</f>
        <v>0</v>
      </c>
      <c r="AN1">
        <f>'Revenue Model'!AV2</f>
        <v>0</v>
      </c>
    </row>
    <row r="2" spans="1:40">
      <c r="A2" t="str">
        <f>'Revenue Model'!I3</f>
        <v>Snap, Inc Model (mn, USD)</v>
      </c>
      <c r="B2" t="str">
        <f>'Revenue Model'!J3</f>
        <v>1Q:13A</v>
      </c>
      <c r="C2" t="str">
        <f>'Revenue Model'!K3</f>
        <v>2Q:13A</v>
      </c>
      <c r="D2" t="str">
        <f>'Revenue Model'!L3</f>
        <v>3Q:13A</v>
      </c>
      <c r="E2" t="str">
        <f>'Revenue Model'!M3</f>
        <v>4Q:13A</v>
      </c>
      <c r="F2" t="str">
        <f>'Revenue Model'!N3</f>
        <v>1Q:14A</v>
      </c>
      <c r="G2" t="str">
        <f>'Revenue Model'!O3</f>
        <v>2Q:14A</v>
      </c>
      <c r="H2" t="str">
        <f>'Revenue Model'!P3</f>
        <v>3Q:14A</v>
      </c>
      <c r="I2" t="str">
        <f>'Revenue Model'!Q3</f>
        <v>4Q:14A</v>
      </c>
      <c r="J2" t="str">
        <f>'Revenue Model'!R3</f>
        <v>1Q:15A</v>
      </c>
      <c r="K2" t="str">
        <f>'Revenue Model'!S3</f>
        <v>2Q:15A</v>
      </c>
      <c r="L2" t="str">
        <f>'Revenue Model'!T3</f>
        <v>3Q:15A</v>
      </c>
      <c r="M2" t="str">
        <f>'Revenue Model'!U3</f>
        <v>4Q:15A</v>
      </c>
      <c r="N2" t="str">
        <f>'Revenue Model'!V3</f>
        <v>1Q:16A</v>
      </c>
      <c r="O2" t="str">
        <f>'Revenue Model'!W3</f>
        <v>2Q:16A</v>
      </c>
      <c r="P2" t="str">
        <f>'Revenue Model'!X3</f>
        <v>3Q:16A</v>
      </c>
      <c r="Q2" t="str">
        <f>'Revenue Model'!Y3</f>
        <v>4Q:16A</v>
      </c>
      <c r="R2" t="str">
        <f>'Revenue Model'!Z3</f>
        <v>1Q:17A</v>
      </c>
      <c r="S2" t="str">
        <f>'Revenue Model'!AA3</f>
        <v>2Q:17</v>
      </c>
      <c r="T2" t="str">
        <f>'Revenue Model'!AB3</f>
        <v>3Q:17</v>
      </c>
      <c r="U2" t="str">
        <f>'Revenue Model'!AC3</f>
        <v>4Q:17</v>
      </c>
      <c r="V2" t="str">
        <f>'Revenue Model'!AD3</f>
        <v>1Q:18E</v>
      </c>
      <c r="W2" t="str">
        <f>'Revenue Model'!AE3</f>
        <v>2Q:18E</v>
      </c>
      <c r="X2" t="str">
        <f>'Revenue Model'!AF3</f>
        <v>3Q:18E</v>
      </c>
      <c r="Y2" t="str">
        <f>'Revenue Model'!AG3</f>
        <v>4Q:18E</v>
      </c>
      <c r="Z2">
        <f>'Revenue Model'!AH3</f>
        <v>0</v>
      </c>
      <c r="AA2">
        <f>'Revenue Model'!AI3</f>
        <v>2013</v>
      </c>
      <c r="AB2">
        <f>'Revenue Model'!AJ3</f>
        <v>2014</v>
      </c>
      <c r="AC2">
        <f>'Revenue Model'!AK3</f>
        <v>2015</v>
      </c>
      <c r="AD2">
        <f>'Revenue Model'!AL3</f>
        <v>2016</v>
      </c>
      <c r="AE2">
        <f>'Revenue Model'!AM3</f>
        <v>2017</v>
      </c>
      <c r="AF2">
        <f>'Revenue Model'!AN3</f>
        <v>2018</v>
      </c>
      <c r="AG2">
        <f>'Revenue Model'!AO3</f>
        <v>2019</v>
      </c>
      <c r="AH2">
        <f>'Revenue Model'!AP3</f>
        <v>2020</v>
      </c>
      <c r="AI2">
        <f>'Revenue Model'!AQ3</f>
        <v>2021</v>
      </c>
      <c r="AJ2">
        <f>'Revenue Model'!AR3</f>
        <v>2022</v>
      </c>
      <c r="AK2">
        <f>'Revenue Model'!AS3</f>
        <v>2023</v>
      </c>
      <c r="AL2">
        <f>'Revenue Model'!AT3</f>
        <v>2024</v>
      </c>
      <c r="AM2">
        <f>'Revenue Model'!AU3</f>
        <v>2025</v>
      </c>
      <c r="AN2">
        <f>'Revenue Model'!AV3</f>
        <v>0</v>
      </c>
    </row>
    <row r="3" spans="1:40">
      <c r="A3" t="str">
        <f>'Revenue Model'!I4</f>
        <v xml:space="preserve">Total Revenue </v>
      </c>
      <c r="B3">
        <f>'Revenue Model'!J4</f>
        <v>0</v>
      </c>
      <c r="C3">
        <f>'Revenue Model'!K4</f>
        <v>0</v>
      </c>
      <c r="D3">
        <f>'Revenue Model'!L4</f>
        <v>0</v>
      </c>
      <c r="E3">
        <f>'Revenue Model'!M4</f>
        <v>0</v>
      </c>
      <c r="F3">
        <f>'Revenue Model'!N4</f>
        <v>0</v>
      </c>
      <c r="G3">
        <f>'Revenue Model'!O4</f>
        <v>0</v>
      </c>
      <c r="H3">
        <f>'Revenue Model'!P4</f>
        <v>0</v>
      </c>
      <c r="I3">
        <f>'Revenue Model'!Q4</f>
        <v>0</v>
      </c>
      <c r="J3">
        <f>'Revenue Model'!R4</f>
        <v>3.92</v>
      </c>
      <c r="K3">
        <f>'Revenue Model'!S4</f>
        <v>5.3</v>
      </c>
      <c r="L3">
        <f>'Revenue Model'!T4</f>
        <v>16.725000000000001</v>
      </c>
      <c r="M3">
        <f>'Revenue Model'!U4</f>
        <v>32.718000000000004</v>
      </c>
      <c r="N3">
        <f>'Revenue Model'!V4</f>
        <v>38.798000000000002</v>
      </c>
      <c r="O3">
        <f>'Revenue Model'!W4</f>
        <v>71.798000000000002</v>
      </c>
      <c r="P3">
        <f>'Revenue Model'!X4</f>
        <v>128.20400000000001</v>
      </c>
      <c r="Q3">
        <f>'Revenue Model'!Y4</f>
        <v>165.68199999999999</v>
      </c>
      <c r="R3">
        <f>'Revenue Model'!Z4</f>
        <v>149.648</v>
      </c>
      <c r="S3">
        <f>'Revenue Model'!AA4</f>
        <v>181.67099999999999</v>
      </c>
      <c r="T3">
        <f>'Revenue Model'!AB4</f>
        <v>207.93700000000001</v>
      </c>
      <c r="U3">
        <f>'Revenue Model'!AC4</f>
        <v>285.69299999999998</v>
      </c>
      <c r="V3">
        <f>'Revenue Model'!AD4</f>
        <v>249</v>
      </c>
      <c r="W3">
        <f>'Revenue Model'!AE4</f>
        <v>295</v>
      </c>
      <c r="X3">
        <f>'Revenue Model'!AF4</f>
        <v>341</v>
      </c>
      <c r="Y3">
        <f>'Revenue Model'!AG4</f>
        <v>428</v>
      </c>
      <c r="Z3">
        <f>'Revenue Model'!AH4</f>
        <v>0</v>
      </c>
      <c r="AA3">
        <f>'Revenue Model'!AI4</f>
        <v>0</v>
      </c>
      <c r="AB3">
        <f>'Revenue Model'!AJ4</f>
        <v>0</v>
      </c>
      <c r="AC3">
        <f>'Revenue Model'!AK4</f>
        <v>58.663000000000004</v>
      </c>
      <c r="AD3">
        <f>'Revenue Model'!AL4</f>
        <v>404.48199999999997</v>
      </c>
      <c r="AE3">
        <f>'Revenue Model'!AM4</f>
        <v>824.94899999999996</v>
      </c>
      <c r="AF3">
        <f>'Revenue Model'!AN4</f>
        <v>1313</v>
      </c>
      <c r="AG3">
        <f>'Revenue Model'!AO4</f>
        <v>1969.3647915228673</v>
      </c>
      <c r="AH3">
        <f>'Revenue Model'!AP4</f>
        <v>2804.8785252972893</v>
      </c>
      <c r="AI3">
        <f>'Revenue Model'!AQ4</f>
        <v>3812.9268110991698</v>
      </c>
      <c r="AJ3">
        <f>'Revenue Model'!AR4</f>
        <v>4963.9597425469474</v>
      </c>
      <c r="AK3">
        <f>'Revenue Model'!AS4</f>
        <v>6163.5677779709767</v>
      </c>
      <c r="AL3">
        <f>'Revenue Model'!AT4</f>
        <v>7355.8769720994733</v>
      </c>
      <c r="AM3">
        <f>'Revenue Model'!AU4</f>
        <v>8545.6284788867233</v>
      </c>
      <c r="AN3">
        <f>'Revenue Model'!AV4</f>
        <v>0</v>
      </c>
    </row>
    <row r="4" spans="1:40">
      <c r="A4" t="str">
        <f>'Revenue Model'!I5</f>
        <v>Y/Y % Growth</v>
      </c>
      <c r="B4">
        <f>'Revenue Model'!J5</f>
        <v>0</v>
      </c>
      <c r="C4">
        <f>'Revenue Model'!K5</f>
        <v>0</v>
      </c>
      <c r="D4">
        <f>'Revenue Model'!L5</f>
        <v>0</v>
      </c>
      <c r="E4">
        <f>'Revenue Model'!M5</f>
        <v>0</v>
      </c>
      <c r="F4">
        <f>'Revenue Model'!N5</f>
        <v>0</v>
      </c>
      <c r="G4">
        <f>'Revenue Model'!O5</f>
        <v>0</v>
      </c>
      <c r="H4">
        <f>'Revenue Model'!P5</f>
        <v>0</v>
      </c>
      <c r="I4">
        <f>'Revenue Model'!Q5</f>
        <v>0</v>
      </c>
      <c r="J4">
        <f>'Revenue Model'!R5</f>
        <v>0</v>
      </c>
      <c r="K4">
        <f>'Revenue Model'!S5</f>
        <v>0</v>
      </c>
      <c r="L4">
        <f>'Revenue Model'!T5</f>
        <v>0</v>
      </c>
      <c r="M4">
        <f>'Revenue Model'!U5</f>
        <v>0</v>
      </c>
      <c r="N4">
        <f>'Revenue Model'!V5</f>
        <v>8.8974489795918377</v>
      </c>
      <c r="O4">
        <f>'Revenue Model'!W5</f>
        <v>12.546792452830189</v>
      </c>
      <c r="P4">
        <f>'Revenue Model'!X5</f>
        <v>6.6654110612855009</v>
      </c>
      <c r="Q4">
        <f>'Revenue Model'!Y5</f>
        <v>4.0639403386515056</v>
      </c>
      <c r="R4">
        <f>'Revenue Model'!Z5</f>
        <v>2.8571060363936285</v>
      </c>
      <c r="S4">
        <f>'Revenue Model'!AA5</f>
        <v>1.5303072508983537</v>
      </c>
      <c r="T4">
        <f>'Revenue Model'!AB5</f>
        <v>0.62192287292128179</v>
      </c>
      <c r="U4">
        <f>'Revenue Model'!AC5</f>
        <v>0.7243454328170833</v>
      </c>
      <c r="V4">
        <f>'Revenue Model'!AD5</f>
        <v>0.6639046295306319</v>
      </c>
      <c r="W4">
        <f>'Revenue Model'!AE5</f>
        <v>0.62381447781979515</v>
      </c>
      <c r="X4">
        <f>'Revenue Model'!AF5</f>
        <v>0.63991978339593225</v>
      </c>
      <c r="Y4">
        <f>'Revenue Model'!AG5</f>
        <v>0.49811160931489407</v>
      </c>
      <c r="Z4">
        <f>'Revenue Model'!AH5</f>
        <v>0</v>
      </c>
      <c r="AA4">
        <f>'Revenue Model'!AI5</f>
        <v>0</v>
      </c>
      <c r="AB4">
        <f>'Revenue Model'!AJ5</f>
        <v>0</v>
      </c>
      <c r="AC4">
        <f>'Revenue Model'!AK5</f>
        <v>0</v>
      </c>
      <c r="AD4">
        <f>'Revenue Model'!AL5</f>
        <v>5.8950104836097701</v>
      </c>
      <c r="AE4">
        <f>'Revenue Model'!AM5</f>
        <v>1.0395196819635979</v>
      </c>
      <c r="AF4">
        <f>'Revenue Model'!AN5</f>
        <v>0.59161354217048578</v>
      </c>
      <c r="AG4">
        <f>'Revenue Model'!AO5</f>
        <v>0.49989702324666219</v>
      </c>
      <c r="AH4">
        <f>'Revenue Model'!AP5</f>
        <v>0.42425544387250747</v>
      </c>
      <c r="AI4">
        <f>'Revenue Model'!AQ5</f>
        <v>0.35939106692509526</v>
      </c>
      <c r="AJ4">
        <f>'Revenue Model'!AR5</f>
        <v>0.30187648189238758</v>
      </c>
      <c r="AK4">
        <f>'Revenue Model'!AS5</f>
        <v>0.24166353025428156</v>
      </c>
      <c r="AL4">
        <f>'Revenue Model'!AT5</f>
        <v>0.19344464717170684</v>
      </c>
      <c r="AM4">
        <f>'Revenue Model'!AU5</f>
        <v>0.16174162663404057</v>
      </c>
      <c r="AN4">
        <f>'Revenue Model'!AV5</f>
        <v>0</v>
      </c>
    </row>
    <row r="5" spans="1:40">
      <c r="A5">
        <f>'Revenue Model'!I10</f>
        <v>0</v>
      </c>
      <c r="B5">
        <f>'Revenue Model'!J10</f>
        <v>0</v>
      </c>
      <c r="C5">
        <f>'Revenue Model'!K10</f>
        <v>0</v>
      </c>
      <c r="D5">
        <f>'Revenue Model'!L10</f>
        <v>0</v>
      </c>
      <c r="E5">
        <f>'Revenue Model'!M10</f>
        <v>0</v>
      </c>
      <c r="F5">
        <f>'Revenue Model'!N10</f>
        <v>0</v>
      </c>
      <c r="G5">
        <f>'Revenue Model'!O10</f>
        <v>0</v>
      </c>
      <c r="H5">
        <f>'Revenue Model'!P10</f>
        <v>0</v>
      </c>
      <c r="I5">
        <f>'Revenue Model'!Q10</f>
        <v>0</v>
      </c>
      <c r="J5">
        <f>'Revenue Model'!R10</f>
        <v>0</v>
      </c>
      <c r="K5">
        <f>'Revenue Model'!S10</f>
        <v>0</v>
      </c>
      <c r="L5">
        <f>'Revenue Model'!T10</f>
        <v>0</v>
      </c>
      <c r="M5">
        <f>'Revenue Model'!U10</f>
        <v>0</v>
      </c>
      <c r="N5">
        <f>'Revenue Model'!V10</f>
        <v>0</v>
      </c>
      <c r="O5">
        <f>'Revenue Model'!W10</f>
        <v>0</v>
      </c>
      <c r="P5">
        <f>'Revenue Model'!X10</f>
        <v>0</v>
      </c>
      <c r="Q5">
        <f>'Revenue Model'!Y10</f>
        <v>0</v>
      </c>
      <c r="R5">
        <f>'Revenue Model'!Z10</f>
        <v>0</v>
      </c>
      <c r="S5">
        <f>'Revenue Model'!AA10</f>
        <v>0</v>
      </c>
      <c r="T5">
        <f>'Revenue Model'!AB10</f>
        <v>0</v>
      </c>
      <c r="U5">
        <f>'Revenue Model'!AC10</f>
        <v>0</v>
      </c>
      <c r="V5">
        <f>'Revenue Model'!AD10</f>
        <v>0</v>
      </c>
      <c r="W5">
        <f>'Revenue Model'!AE10</f>
        <v>0</v>
      </c>
      <c r="X5">
        <f>'Revenue Model'!AF10</f>
        <v>0</v>
      </c>
      <c r="Y5">
        <f>'Revenue Model'!AG10</f>
        <v>0</v>
      </c>
      <c r="Z5">
        <f>'Revenue Model'!AH10</f>
        <v>0</v>
      </c>
      <c r="AA5">
        <f>'Revenue Model'!AI10</f>
        <v>0</v>
      </c>
      <c r="AB5">
        <f>'Revenue Model'!AJ10</f>
        <v>0</v>
      </c>
      <c r="AC5">
        <f>'Revenue Model'!AK10</f>
        <v>0</v>
      </c>
      <c r="AD5">
        <f>'Revenue Model'!AL10</f>
        <v>0</v>
      </c>
      <c r="AE5">
        <f>'Revenue Model'!AM10</f>
        <v>0</v>
      </c>
      <c r="AF5">
        <f>'Revenue Model'!AN10</f>
        <v>0</v>
      </c>
      <c r="AG5">
        <f>'Revenue Model'!AO10</f>
        <v>0</v>
      </c>
      <c r="AH5">
        <f>'Revenue Model'!AP10</f>
        <v>0</v>
      </c>
      <c r="AI5">
        <f>'Revenue Model'!AQ10</f>
        <v>0</v>
      </c>
      <c r="AJ5">
        <f>'Revenue Model'!AR10</f>
        <v>0</v>
      </c>
      <c r="AK5">
        <f>'Revenue Model'!AS10</f>
        <v>0</v>
      </c>
      <c r="AL5">
        <f>'Revenue Model'!AT10</f>
        <v>0</v>
      </c>
      <c r="AM5">
        <f>'Revenue Model'!AU10</f>
        <v>0</v>
      </c>
      <c r="AN5">
        <f>'Revenue Model'!AV10</f>
        <v>0</v>
      </c>
    </row>
    <row r="6" spans="1:40">
      <c r="A6" t="str">
        <f>'Revenue Model'!I11</f>
        <v>Daily Active Users</v>
      </c>
      <c r="B6">
        <f>'Revenue Model'!J11</f>
        <v>8.9320388349514559</v>
      </c>
      <c r="C6">
        <f>'Revenue Model'!K11</f>
        <v>20.87912087912088</v>
      </c>
      <c r="D6">
        <f>'Revenue Model'!L11</f>
        <v>27.876106194690269</v>
      </c>
      <c r="E6">
        <f>'Revenue Model'!M11</f>
        <v>36.979166666666671</v>
      </c>
      <c r="F6">
        <f>'Revenue Model'!N11</f>
        <v>46</v>
      </c>
      <c r="G6">
        <f>'Revenue Model'!O11</f>
        <v>57</v>
      </c>
      <c r="H6">
        <f>'Revenue Model'!P11</f>
        <v>63</v>
      </c>
      <c r="I6">
        <f>'Revenue Model'!Q11</f>
        <v>71</v>
      </c>
      <c r="J6">
        <f>'Revenue Model'!R11</f>
        <v>81</v>
      </c>
      <c r="K6">
        <f>'Revenue Model'!S11</f>
        <v>87</v>
      </c>
      <c r="L6">
        <f>'Revenue Model'!T11</f>
        <v>94.7</v>
      </c>
      <c r="M6">
        <f>'Revenue Model'!U11</f>
        <v>106</v>
      </c>
      <c r="N6">
        <f>'Revenue Model'!V11</f>
        <v>122</v>
      </c>
      <c r="O6">
        <f>'Revenue Model'!W11</f>
        <v>143</v>
      </c>
      <c r="P6">
        <f>'Revenue Model'!X11</f>
        <v>153</v>
      </c>
      <c r="Q6">
        <f>'Revenue Model'!Y11</f>
        <v>158.30000000000001</v>
      </c>
      <c r="R6">
        <f>'Revenue Model'!Z11</f>
        <v>166</v>
      </c>
      <c r="S6">
        <f>'Revenue Model'!AA11</f>
        <v>174</v>
      </c>
      <c r="T6">
        <f>'Revenue Model'!AB11</f>
        <v>178</v>
      </c>
      <c r="U6">
        <f>'Revenue Model'!AC11</f>
        <v>187</v>
      </c>
      <c r="V6">
        <f>'Revenue Model'!AD11</f>
        <v>193.92</v>
      </c>
      <c r="W6">
        <f>'Revenue Model'!AE11</f>
        <v>201.30099999999999</v>
      </c>
      <c r="X6">
        <f>'Revenue Model'!AF11</f>
        <v>207.83674999999997</v>
      </c>
      <c r="Y6">
        <f>'Revenue Model'!AG11</f>
        <v>214.99928749999998</v>
      </c>
      <c r="Z6">
        <f>'Revenue Model'!AH11</f>
        <v>0</v>
      </c>
      <c r="AA6">
        <f>'Revenue Model'!AI11</f>
        <v>36.979166666666671</v>
      </c>
      <c r="AB6">
        <f>'Revenue Model'!AJ11</f>
        <v>71</v>
      </c>
      <c r="AC6">
        <f>'Revenue Model'!AK11</f>
        <v>106</v>
      </c>
      <c r="AD6">
        <f>'Revenue Model'!AL11</f>
        <v>158.30000000000001</v>
      </c>
      <c r="AE6">
        <f>'Revenue Model'!AM11</f>
        <v>187</v>
      </c>
      <c r="AF6">
        <f>'Revenue Model'!AN11</f>
        <v>214.99928749999998</v>
      </c>
      <c r="AG6">
        <f>'Revenue Model'!AO11</f>
        <v>241.59861062499999</v>
      </c>
      <c r="AH6">
        <f>'Revenue Model'!AP11</f>
        <v>266.24666759374998</v>
      </c>
      <c r="AI6">
        <f>'Revenue Model'!AQ11</f>
        <v>288.57849886562497</v>
      </c>
      <c r="AJ6">
        <f>'Revenue Model'!AR11</f>
        <v>308.67714701031241</v>
      </c>
      <c r="AK6">
        <f>'Revenue Model'!AS11</f>
        <v>326.76593034053121</v>
      </c>
      <c r="AL6">
        <f>'Revenue Model'!AT11</f>
        <v>343.04583533772802</v>
      </c>
      <c r="AM6">
        <f>'Revenue Model'!AU11</f>
        <v>359.32574033492494</v>
      </c>
      <c r="AN6">
        <f>'Revenue Model'!AV11</f>
        <v>0</v>
      </c>
    </row>
    <row r="7" spans="1:40">
      <c r="A7" t="str">
        <f>'Revenue Model'!I12</f>
        <v>Sequential Net Adds</v>
      </c>
      <c r="B7">
        <f>'Revenue Model'!J12</f>
        <v>0</v>
      </c>
      <c r="C7">
        <f>'Revenue Model'!K12</f>
        <v>11.947082044169424</v>
      </c>
      <c r="D7">
        <f>'Revenue Model'!L12</f>
        <v>6.9969853155693897</v>
      </c>
      <c r="E7">
        <f>'Revenue Model'!M12</f>
        <v>9.1030604719764021</v>
      </c>
      <c r="F7">
        <f>'Revenue Model'!N12</f>
        <v>9.0208333333333286</v>
      </c>
      <c r="G7">
        <f>'Revenue Model'!O12</f>
        <v>11</v>
      </c>
      <c r="H7">
        <f>'Revenue Model'!P12</f>
        <v>6</v>
      </c>
      <c r="I7">
        <f>'Revenue Model'!Q12</f>
        <v>8</v>
      </c>
      <c r="J7">
        <f>'Revenue Model'!R12</f>
        <v>10</v>
      </c>
      <c r="K7">
        <f>'Revenue Model'!S12</f>
        <v>6</v>
      </c>
      <c r="L7">
        <f>'Revenue Model'!T12</f>
        <v>7.7000000000000028</v>
      </c>
      <c r="M7">
        <f>'Revenue Model'!U12</f>
        <v>11.299999999999997</v>
      </c>
      <c r="N7">
        <f>'Revenue Model'!V12</f>
        <v>16</v>
      </c>
      <c r="O7">
        <f>'Revenue Model'!W12</f>
        <v>21</v>
      </c>
      <c r="P7">
        <f>'Revenue Model'!X12</f>
        <v>10</v>
      </c>
      <c r="Q7">
        <f>'Revenue Model'!Y12</f>
        <v>5.3000000000000114</v>
      </c>
      <c r="R7">
        <f>'Revenue Model'!Z12</f>
        <v>7.6999999999999886</v>
      </c>
      <c r="S7">
        <f>'Revenue Model'!AA12</f>
        <v>8</v>
      </c>
      <c r="T7">
        <f>'Revenue Model'!AB12</f>
        <v>4</v>
      </c>
      <c r="U7">
        <f>'Revenue Model'!AC12</f>
        <v>9</v>
      </c>
      <c r="V7">
        <f>'Revenue Model'!AD12</f>
        <v>6.9199999999999875</v>
      </c>
      <c r="W7">
        <f>'Revenue Model'!AE12</f>
        <v>7.3810000000000002</v>
      </c>
      <c r="X7">
        <f>'Revenue Model'!AF12</f>
        <v>6.5357499999999789</v>
      </c>
      <c r="Y7">
        <f>'Revenue Model'!AG12</f>
        <v>7.1625375000000133</v>
      </c>
      <c r="Z7">
        <f>'Revenue Model'!AH12</f>
        <v>0</v>
      </c>
      <c r="AA7">
        <f>'Revenue Model'!AI12</f>
        <v>0</v>
      </c>
      <c r="AB7">
        <f>'Revenue Model'!AJ12</f>
        <v>34.020833333333329</v>
      </c>
      <c r="AC7">
        <f>'Revenue Model'!AK12</f>
        <v>35</v>
      </c>
      <c r="AD7">
        <f>'Revenue Model'!AL12</f>
        <v>52.300000000000011</v>
      </c>
      <c r="AE7">
        <f>'Revenue Model'!AM12</f>
        <v>28.699999999999989</v>
      </c>
      <c r="AF7">
        <f>'Revenue Model'!AN12</f>
        <v>27.99928749999998</v>
      </c>
      <c r="AG7">
        <f>'Revenue Model'!AO12</f>
        <v>26.599323125000012</v>
      </c>
      <c r="AH7">
        <f>'Revenue Model'!AP12</f>
        <v>24.648056968749984</v>
      </c>
      <c r="AI7">
        <f>'Revenue Model'!AQ12</f>
        <v>22.331831271874989</v>
      </c>
      <c r="AJ7">
        <f>'Revenue Model'!AR12</f>
        <v>20.098648144687445</v>
      </c>
      <c r="AK7">
        <f>'Revenue Model'!AS12</f>
        <v>18.088783330218803</v>
      </c>
      <c r="AL7">
        <f>'Revenue Model'!AT12</f>
        <v>16.279904997196809</v>
      </c>
      <c r="AM7">
        <f>'Revenue Model'!AU12</f>
        <v>16.279904997196923</v>
      </c>
      <c r="AN7">
        <f>'Revenue Model'!AV12</f>
        <v>0</v>
      </c>
    </row>
    <row r="8" spans="1:40">
      <c r="A8" t="str">
        <f>'Revenue Model'!I13</f>
        <v>Y/Y % Growth</v>
      </c>
      <c r="B8">
        <f>'Revenue Model'!J13</f>
        <v>0</v>
      </c>
      <c r="C8">
        <f>'Revenue Model'!K13</f>
        <v>0</v>
      </c>
      <c r="D8">
        <f>'Revenue Model'!L13</f>
        <v>0</v>
      </c>
      <c r="E8">
        <f>'Revenue Model'!M13</f>
        <v>0</v>
      </c>
      <c r="F8">
        <f>'Revenue Model'!N13</f>
        <v>4.1500000000000004</v>
      </c>
      <c r="G8">
        <f>'Revenue Model'!O13</f>
        <v>1.73</v>
      </c>
      <c r="H8">
        <f>'Revenue Model'!P13</f>
        <v>1.26</v>
      </c>
      <c r="I8">
        <f>'Revenue Model'!Q13</f>
        <v>0.92</v>
      </c>
      <c r="J8">
        <f>'Revenue Model'!R13</f>
        <v>0.76086956521739135</v>
      </c>
      <c r="K8">
        <f>'Revenue Model'!S13</f>
        <v>0.52631578947368429</v>
      </c>
      <c r="L8">
        <f>'Revenue Model'!T13</f>
        <v>0.50317460317460316</v>
      </c>
      <c r="M8">
        <f>'Revenue Model'!U13</f>
        <v>0.49295774647887325</v>
      </c>
      <c r="N8">
        <f>'Revenue Model'!V13</f>
        <v>0.50617283950617287</v>
      </c>
      <c r="O8">
        <f>'Revenue Model'!W13</f>
        <v>0.64367816091954033</v>
      </c>
      <c r="P8">
        <f>'Revenue Model'!X13</f>
        <v>0.61562829989440337</v>
      </c>
      <c r="Q8">
        <f>'Revenue Model'!Y13</f>
        <v>0.4933962264150944</v>
      </c>
      <c r="R8">
        <f>'Revenue Model'!Z13</f>
        <v>0.36065573770491799</v>
      </c>
      <c r="S8">
        <f>'Revenue Model'!AA13</f>
        <v>0.21678321678321688</v>
      </c>
      <c r="T8">
        <f>'Revenue Model'!AB13</f>
        <v>0.1633986928104576</v>
      </c>
      <c r="U8">
        <f>'Revenue Model'!AC13</f>
        <v>0.18130132659507248</v>
      </c>
      <c r="V8">
        <f>'Revenue Model'!AD13</f>
        <v>0.16819277108433717</v>
      </c>
      <c r="W8">
        <f>'Revenue Model'!AE13</f>
        <v>0.15690229885057461</v>
      </c>
      <c r="X8">
        <f>'Revenue Model'!AF13</f>
        <v>0.16762219101123588</v>
      </c>
      <c r="Y8">
        <f>'Revenue Model'!AG13</f>
        <v>0.14972881016042772</v>
      </c>
      <c r="Z8">
        <f>'Revenue Model'!AH13</f>
        <v>0</v>
      </c>
      <c r="AA8">
        <f>'Revenue Model'!AI13</f>
        <v>0</v>
      </c>
      <c r="AB8">
        <f>'Revenue Model'!AJ13</f>
        <v>0.91999999999999971</v>
      </c>
      <c r="AC8">
        <f>'Revenue Model'!AK13</f>
        <v>0.49295774647887325</v>
      </c>
      <c r="AD8">
        <f>'Revenue Model'!AL13</f>
        <v>0.4933962264150944</v>
      </c>
      <c r="AE8">
        <f>'Revenue Model'!AM13</f>
        <v>0.18130132659507248</v>
      </c>
      <c r="AF8">
        <f>'Revenue Model'!AN13</f>
        <v>0.14972881016042772</v>
      </c>
      <c r="AG8">
        <f>'Revenue Model'!AO13</f>
        <v>0.1237181919730781</v>
      </c>
      <c r="AH8">
        <f>'Revenue Model'!AP13</f>
        <v>0.1020206900403402</v>
      </c>
      <c r="AI8">
        <f>'Revenue Model'!AQ13</f>
        <v>8.3876472421994031E-2</v>
      </c>
      <c r="AJ8">
        <f>'Revenue Model'!AR13</f>
        <v>6.9647074275087428E-2</v>
      </c>
      <c r="AK8">
        <f>'Revenue Model'!AS13</f>
        <v>5.8600980038261419E-2</v>
      </c>
      <c r="AL8">
        <f>'Revenue Model'!AT13</f>
        <v>4.9821304749338768E-2</v>
      </c>
      <c r="AM8">
        <f>'Revenue Model'!AU13</f>
        <v>4.7456938170286733E-2</v>
      </c>
      <c r="AN8">
        <f>'Revenue Model'!AV13</f>
        <v>0</v>
      </c>
    </row>
    <row r="9" spans="1:40">
      <c r="A9" t="str">
        <f>'Revenue Model'!I14</f>
        <v>Q/Q % Growth</v>
      </c>
      <c r="B9">
        <f>'Revenue Model'!J14</f>
        <v>0</v>
      </c>
      <c r="C9">
        <f>'Revenue Model'!K14</f>
        <v>1.337553750597229</v>
      </c>
      <c r="D9">
        <f>'Revenue Model'!L14</f>
        <v>0.33511877037727067</v>
      </c>
      <c r="E9">
        <f>'Revenue Model'!M14</f>
        <v>0.32655423280423279</v>
      </c>
      <c r="F9">
        <f>'Revenue Model'!N14</f>
        <v>0.24394366197183093</v>
      </c>
      <c r="G9">
        <f>'Revenue Model'!O14</f>
        <v>0.23913043478260865</v>
      </c>
      <c r="H9">
        <f>'Revenue Model'!P14</f>
        <v>0.10526315789473695</v>
      </c>
      <c r="I9">
        <f>'Revenue Model'!Q14</f>
        <v>0.12698412698412698</v>
      </c>
      <c r="J9">
        <f>'Revenue Model'!R14</f>
        <v>0.14084507042253525</v>
      </c>
      <c r="K9">
        <f>'Revenue Model'!S14</f>
        <v>7.4074074074074181E-2</v>
      </c>
      <c r="L9">
        <f>'Revenue Model'!T14</f>
        <v>8.8505747126436773E-2</v>
      </c>
      <c r="M9">
        <f>'Revenue Model'!U14</f>
        <v>0.11932418162618785</v>
      </c>
      <c r="N9">
        <f>'Revenue Model'!V14</f>
        <v>0.15094339622641506</v>
      </c>
      <c r="O9">
        <f>'Revenue Model'!W14</f>
        <v>0.17213114754098369</v>
      </c>
      <c r="P9">
        <f>'Revenue Model'!X14</f>
        <v>6.9930069930070005E-2</v>
      </c>
      <c r="Q9">
        <f>'Revenue Model'!Y14</f>
        <v>3.4640522875817092E-2</v>
      </c>
      <c r="R9">
        <f>'Revenue Model'!Z14</f>
        <v>4.864181933038525E-2</v>
      </c>
      <c r="S9">
        <f>'Revenue Model'!AA14</f>
        <v>4.8192771084337283E-2</v>
      </c>
      <c r="T9">
        <f>'Revenue Model'!AB14</f>
        <v>2.2988505747126409E-2</v>
      </c>
      <c r="U9">
        <f>'Revenue Model'!AC14</f>
        <v>5.0561797752809001E-2</v>
      </c>
      <c r="V9">
        <f>'Revenue Model'!AD14</f>
        <v>3.700534759358276E-2</v>
      </c>
      <c r="W9">
        <f>'Revenue Model'!AE14</f>
        <v>3.8062087458745841E-2</v>
      </c>
      <c r="X9">
        <f>'Revenue Model'!AF14</f>
        <v>3.2467548596380347E-2</v>
      </c>
      <c r="Y9">
        <f>'Revenue Model'!AG14</f>
        <v>3.4462324396431487E-2</v>
      </c>
      <c r="Z9">
        <f>'Revenue Model'!AH14</f>
        <v>0</v>
      </c>
      <c r="AA9">
        <f>'Revenue Model'!AI14</f>
        <v>0</v>
      </c>
      <c r="AB9">
        <f>'Revenue Model'!AJ14</f>
        <v>0</v>
      </c>
      <c r="AC9">
        <f>'Revenue Model'!AK14</f>
        <v>0</v>
      </c>
      <c r="AD9">
        <f>'Revenue Model'!AL14</f>
        <v>0</v>
      </c>
      <c r="AE9">
        <f>'Revenue Model'!AM14</f>
        <v>0</v>
      </c>
      <c r="AF9">
        <f>'Revenue Model'!AN14</f>
        <v>0</v>
      </c>
      <c r="AG9">
        <f>'Revenue Model'!AO14</f>
        <v>0</v>
      </c>
      <c r="AH9">
        <f>'Revenue Model'!AP14</f>
        <v>0</v>
      </c>
      <c r="AI9">
        <f>'Revenue Model'!AQ14</f>
        <v>0</v>
      </c>
      <c r="AJ9">
        <f>'Revenue Model'!AR14</f>
        <v>0</v>
      </c>
      <c r="AK9">
        <f>'Revenue Model'!AS14</f>
        <v>0</v>
      </c>
      <c r="AL9">
        <f>'Revenue Model'!AT14</f>
        <v>0</v>
      </c>
      <c r="AM9">
        <f>'Revenue Model'!AU14</f>
        <v>0</v>
      </c>
      <c r="AN9">
        <f>'Revenue Model'!AV14</f>
        <v>0</v>
      </c>
    </row>
    <row r="10" spans="1:40">
      <c r="A10">
        <f>'Revenue Model'!I15</f>
        <v>0</v>
      </c>
      <c r="B10">
        <f>'Revenue Model'!J15</f>
        <v>0</v>
      </c>
      <c r="C10">
        <f>'Revenue Model'!K15</f>
        <v>0</v>
      </c>
      <c r="D10">
        <f>'Revenue Model'!L15</f>
        <v>0</v>
      </c>
      <c r="E10">
        <f>'Revenue Model'!M15</f>
        <v>0</v>
      </c>
      <c r="F10">
        <f>'Revenue Model'!N15</f>
        <v>0</v>
      </c>
      <c r="G10">
        <f>'Revenue Model'!O15</f>
        <v>0</v>
      </c>
      <c r="H10">
        <f>'Revenue Model'!P15</f>
        <v>0</v>
      </c>
      <c r="I10">
        <f>'Revenue Model'!Q15</f>
        <v>0</v>
      </c>
      <c r="J10">
        <f>'Revenue Model'!R15</f>
        <v>0</v>
      </c>
      <c r="K10">
        <f>'Revenue Model'!S15</f>
        <v>0</v>
      </c>
      <c r="L10">
        <f>'Revenue Model'!T15</f>
        <v>0</v>
      </c>
      <c r="M10">
        <f>'Revenue Model'!U15</f>
        <v>0</v>
      </c>
      <c r="N10">
        <f>'Revenue Model'!V15</f>
        <v>0</v>
      </c>
      <c r="O10">
        <f>'Revenue Model'!W15</f>
        <v>0</v>
      </c>
      <c r="P10">
        <f>'Revenue Model'!X15</f>
        <v>0</v>
      </c>
      <c r="Q10">
        <f>'Revenue Model'!Y15</f>
        <v>0</v>
      </c>
      <c r="R10">
        <f>'Revenue Model'!Z15</f>
        <v>0</v>
      </c>
      <c r="S10">
        <f>'Revenue Model'!AA15</f>
        <v>0</v>
      </c>
      <c r="T10">
        <f>'Revenue Model'!AB15</f>
        <v>0</v>
      </c>
      <c r="U10">
        <f>'Revenue Model'!AC15</f>
        <v>0</v>
      </c>
      <c r="V10">
        <f>'Revenue Model'!AD15</f>
        <v>0</v>
      </c>
      <c r="W10">
        <f>'Revenue Model'!AE15</f>
        <v>0</v>
      </c>
      <c r="X10">
        <f>'Revenue Model'!AF15</f>
        <v>0</v>
      </c>
      <c r="Y10">
        <f>'Revenue Model'!AG15</f>
        <v>0</v>
      </c>
      <c r="Z10">
        <f>'Revenue Model'!AH15</f>
        <v>0</v>
      </c>
      <c r="AA10">
        <f>'Revenue Model'!AI15</f>
        <v>0</v>
      </c>
      <c r="AB10">
        <f>'Revenue Model'!AJ15</f>
        <v>0</v>
      </c>
      <c r="AC10">
        <f>'Revenue Model'!AK15</f>
        <v>0</v>
      </c>
      <c r="AD10">
        <f>'Revenue Model'!AL15</f>
        <v>0</v>
      </c>
      <c r="AE10">
        <f>'Revenue Model'!AM15</f>
        <v>0</v>
      </c>
      <c r="AF10">
        <f>'Revenue Model'!AN15</f>
        <v>0</v>
      </c>
      <c r="AG10">
        <f>'Revenue Model'!AO15</f>
        <v>0</v>
      </c>
      <c r="AH10">
        <f>'Revenue Model'!AP15</f>
        <v>0</v>
      </c>
      <c r="AI10">
        <f>'Revenue Model'!AQ15</f>
        <v>0</v>
      </c>
      <c r="AJ10">
        <f>'Revenue Model'!AR15</f>
        <v>0</v>
      </c>
      <c r="AK10">
        <f>'Revenue Model'!AS15</f>
        <v>0</v>
      </c>
      <c r="AL10">
        <f>'Revenue Model'!AT15</f>
        <v>0</v>
      </c>
      <c r="AM10">
        <f>'Revenue Model'!AU15</f>
        <v>0</v>
      </c>
      <c r="AN10">
        <f>'Revenue Model'!AV15</f>
        <v>0</v>
      </c>
    </row>
    <row r="11" spans="1:40">
      <c r="A11" t="str">
        <f>'Revenue Model'!I16</f>
        <v>ARPU</v>
      </c>
      <c r="B11">
        <f>'Revenue Model'!J16</f>
        <v>0</v>
      </c>
      <c r="C11">
        <f>'Revenue Model'!K16</f>
        <v>0</v>
      </c>
      <c r="D11">
        <f>'Revenue Model'!L16</f>
        <v>0</v>
      </c>
      <c r="E11">
        <f>'Revenue Model'!M16</f>
        <v>0</v>
      </c>
      <c r="F11">
        <f>'Revenue Model'!N16</f>
        <v>0</v>
      </c>
      <c r="G11">
        <f>'Revenue Model'!O16</f>
        <v>0</v>
      </c>
      <c r="H11">
        <f>'Revenue Model'!P16</f>
        <v>0</v>
      </c>
      <c r="I11">
        <f>'Revenue Model'!Q16</f>
        <v>0</v>
      </c>
      <c r="J11">
        <f>'Revenue Model'!R16</f>
        <v>4.8395061728395063E-2</v>
      </c>
      <c r="K11">
        <f>'Revenue Model'!S16</f>
        <v>6.0919540229885057E-2</v>
      </c>
      <c r="L11">
        <f>'Revenue Model'!T16</f>
        <v>0.17661034846884902</v>
      </c>
      <c r="M11">
        <f>'Revenue Model'!U16</f>
        <v>0.30866037735849061</v>
      </c>
      <c r="N11">
        <f>'Revenue Model'!V16</f>
        <v>0.31801639344262295</v>
      </c>
      <c r="O11">
        <f>'Revenue Model'!W16</f>
        <v>0.50208391608391612</v>
      </c>
      <c r="P11">
        <f>'Revenue Model'!X16</f>
        <v>0.83793464052287592</v>
      </c>
      <c r="Q11">
        <f>'Revenue Model'!Y16</f>
        <v>1.0466329753632342</v>
      </c>
      <c r="R11">
        <f>'Revenue Model'!Z16</f>
        <v>0.90149397590361446</v>
      </c>
      <c r="S11">
        <f>'Revenue Model'!AA16</f>
        <v>1.0440862068965517</v>
      </c>
      <c r="T11">
        <f>'Revenue Model'!AB16</f>
        <v>1.168185393258427</v>
      </c>
      <c r="U11">
        <f>'Revenue Model'!AC16</f>
        <v>1.5277700534759358</v>
      </c>
      <c r="V11">
        <f>'Revenue Model'!AD16</f>
        <v>1.2840346534653466</v>
      </c>
      <c r="W11">
        <f>'Revenue Model'!AE16</f>
        <v>1.4654671362785083</v>
      </c>
      <c r="X11">
        <f>'Revenue Model'!AF16</f>
        <v>1.6407107982587297</v>
      </c>
      <c r="Y11">
        <f>'Revenue Model'!AG16</f>
        <v>1.9907042715199696</v>
      </c>
      <c r="Z11">
        <f>'Revenue Model'!AH16</f>
        <v>0</v>
      </c>
      <c r="AA11">
        <f>'Revenue Model'!AI16</f>
        <v>0</v>
      </c>
      <c r="AB11">
        <f>'Revenue Model'!AJ16</f>
        <v>0</v>
      </c>
      <c r="AC11">
        <f>'Revenue Model'!AK16</f>
        <v>0.55342452830188682</v>
      </c>
      <c r="AD11">
        <f>'Revenue Model'!AL16</f>
        <v>2.5551610865445351</v>
      </c>
      <c r="AE11">
        <f>'Revenue Model'!AM16</f>
        <v>4.4114919786096252</v>
      </c>
      <c r="AF11">
        <f>'Revenue Model'!AN16</f>
        <v>6.106996982490001</v>
      </c>
      <c r="AG11">
        <f>'Revenue Model'!AO16</f>
        <v>8.1513912121772876</v>
      </c>
      <c r="AH11">
        <f>'Revenue Model'!AP16</f>
        <v>10.534886880075762</v>
      </c>
      <c r="AI11">
        <f>'Revenue Model'!AQ16</f>
        <v>13.212788984929327</v>
      </c>
      <c r="AJ11">
        <f>'Revenue Model'!AR16</f>
        <v>16.08139698913671</v>
      </c>
      <c r="AK11">
        <f>'Revenue Model'!AS16</f>
        <v>18.862332959705327</v>
      </c>
      <c r="AL11">
        <f>'Revenue Model'!AT16</f>
        <v>21.442840035815113</v>
      </c>
      <c r="AM11">
        <f>'Revenue Model'!AU16</f>
        <v>23.782399977584138</v>
      </c>
      <c r="AN11">
        <f>'Revenue Model'!AV16</f>
        <v>0</v>
      </c>
    </row>
    <row r="12" spans="1:40">
      <c r="A12" t="str">
        <f>'Revenue Model'!I17</f>
        <v>Y/Y % Growth</v>
      </c>
      <c r="B12">
        <f>'Revenue Model'!J17</f>
        <v>0</v>
      </c>
      <c r="C12">
        <f>'Revenue Model'!K17</f>
        <v>0</v>
      </c>
      <c r="D12">
        <f>'Revenue Model'!L17</f>
        <v>0</v>
      </c>
      <c r="E12">
        <f>'Revenue Model'!M17</f>
        <v>0</v>
      </c>
      <c r="F12">
        <f>'Revenue Model'!N17</f>
        <v>0</v>
      </c>
      <c r="G12">
        <f>'Revenue Model'!O17</f>
        <v>0</v>
      </c>
      <c r="H12">
        <f>'Revenue Model'!P17</f>
        <v>0</v>
      </c>
      <c r="I12">
        <f>'Revenue Model'!Q17</f>
        <v>0</v>
      </c>
      <c r="J12">
        <f>'Revenue Model'!R17</f>
        <v>0</v>
      </c>
      <c r="K12">
        <f>'Revenue Model'!S17</f>
        <v>0</v>
      </c>
      <c r="L12">
        <f>'Revenue Model'!T17</f>
        <v>0</v>
      </c>
      <c r="M12">
        <f>'Revenue Model'!U17</f>
        <v>0</v>
      </c>
      <c r="N12">
        <f>'Revenue Model'!V17</f>
        <v>5.5712571094011372</v>
      </c>
      <c r="O12">
        <f>'Revenue Model'!W17</f>
        <v>7.2417548489246606</v>
      </c>
      <c r="P12">
        <f>'Revenue Model'!X17</f>
        <v>3.7445387418544893</v>
      </c>
      <c r="Q12">
        <f>'Revenue Model'!Y17</f>
        <v>2.3908886664375211</v>
      </c>
      <c r="R12">
        <f>'Revenue Model'!Z17</f>
        <v>1.8347405809639921</v>
      </c>
      <c r="S12">
        <f>'Revenue Model'!AA17</f>
        <v>1.0795053843589919</v>
      </c>
      <c r="T12">
        <f>'Revenue Model'!AB17</f>
        <v>0.39412471661211268</v>
      </c>
      <c r="U12">
        <f>'Revenue Model'!AC17</f>
        <v>0.45969990382323167</v>
      </c>
      <c r="V12">
        <f>'Revenue Model'!AD17</f>
        <v>0.42434080291916731</v>
      </c>
      <c r="W12">
        <f>'Revenue Model'!AE17</f>
        <v>0.40358825411023469</v>
      </c>
      <c r="X12">
        <f>'Revenue Model'!AF17</f>
        <v>0.40449521773447672</v>
      </c>
      <c r="Y12">
        <f>'Revenue Model'!AG17</f>
        <v>0.30301302017982357</v>
      </c>
      <c r="Z12">
        <f>'Revenue Model'!AH17</f>
        <v>0</v>
      </c>
      <c r="AA12">
        <f>'Revenue Model'!AI17</f>
        <v>0</v>
      </c>
      <c r="AB12">
        <f>'Revenue Model'!AJ17</f>
        <v>0</v>
      </c>
      <c r="AC12">
        <f>'Revenue Model'!AK17</f>
        <v>0</v>
      </c>
      <c r="AD12">
        <f>'Revenue Model'!AL17</f>
        <v>3.6170000711474133</v>
      </c>
      <c r="AE12">
        <f>'Revenue Model'!AM17</f>
        <v>0.7265024901328212</v>
      </c>
      <c r="AF12">
        <f>'Revenue Model'!AN17</f>
        <v>0.38433822663659245</v>
      </c>
      <c r="AG12">
        <f>'Revenue Model'!AO17</f>
        <v>0.33476260681788106</v>
      </c>
      <c r="AH12">
        <f>'Revenue Model'!AP17</f>
        <v>0.29240354264162804</v>
      </c>
      <c r="AI12">
        <f>'Revenue Model'!AQ17</f>
        <v>0.25419372180618116</v>
      </c>
      <c r="AJ12">
        <f>'Revenue Model'!AR17</f>
        <v>0.2171084399727683</v>
      </c>
      <c r="AK12">
        <f>'Revenue Model'!AS17</f>
        <v>0.17292875565768284</v>
      </c>
      <c r="AL12">
        <f>'Revenue Model'!AT17</f>
        <v>0.13680741834121979</v>
      </c>
      <c r="AM12">
        <f>'Revenue Model'!AU17</f>
        <v>0.10910681317686244</v>
      </c>
      <c r="AN12">
        <f>'Revenue Model'!AV17</f>
        <v>0</v>
      </c>
    </row>
    <row r="13" spans="1:40">
      <c r="A13" t="str">
        <f>'Revenue Model'!I18</f>
        <v>Q/Q % Growth</v>
      </c>
      <c r="B13">
        <f>'Revenue Model'!J18</f>
        <v>0</v>
      </c>
      <c r="C13">
        <f>'Revenue Model'!K18</f>
        <v>0</v>
      </c>
      <c r="D13">
        <f>'Revenue Model'!L18</f>
        <v>0</v>
      </c>
      <c r="E13">
        <f>'Revenue Model'!M18</f>
        <v>0</v>
      </c>
      <c r="F13">
        <f>'Revenue Model'!N18</f>
        <v>0</v>
      </c>
      <c r="G13">
        <f>'Revenue Model'!O18</f>
        <v>0</v>
      </c>
      <c r="H13">
        <f>'Revenue Model'!P18</f>
        <v>0</v>
      </c>
      <c r="I13">
        <f>'Revenue Model'!Q18</f>
        <v>0</v>
      </c>
      <c r="J13">
        <f>'Revenue Model'!R18</f>
        <v>0</v>
      </c>
      <c r="K13">
        <f>'Revenue Model'!S18</f>
        <v>0.25879662209711474</v>
      </c>
      <c r="L13">
        <f>'Revenue Model'!T18</f>
        <v>1.8990755314697858</v>
      </c>
      <c r="M13">
        <f>'Revenue Model'!U18</f>
        <v>0.74769134444538454</v>
      </c>
      <c r="N13">
        <f>'Revenue Model'!V18</f>
        <v>3.0311684849869458E-2</v>
      </c>
      <c r="O13">
        <f>'Revenue Model'!W18</f>
        <v>0.5787988494829055</v>
      </c>
      <c r="P13">
        <f>'Revenue Model'!X18</f>
        <v>0.66891352955195482</v>
      </c>
      <c r="Q13">
        <f>'Revenue Model'!Y18</f>
        <v>0.24906278455098763</v>
      </c>
      <c r="R13">
        <f>'Revenue Model'!Z18</f>
        <v>-0.13867229762109223</v>
      </c>
      <c r="S13">
        <f>'Revenue Model'!AA18</f>
        <v>0.15817324885616646</v>
      </c>
      <c r="T13">
        <f>'Revenue Model'!AB18</f>
        <v>0.11885913782038027</v>
      </c>
      <c r="U13">
        <f>'Revenue Model'!AC18</f>
        <v>0.30781472041395497</v>
      </c>
      <c r="V13">
        <f>'Revenue Model'!AD18</f>
        <v>-0.15953670479143756</v>
      </c>
      <c r="W13">
        <f>'Revenue Model'!AE18</f>
        <v>0.14129874324147917</v>
      </c>
      <c r="X13">
        <f>'Revenue Model'!AF18</f>
        <v>0.11958211661112039</v>
      </c>
      <c r="Y13">
        <f>'Revenue Model'!AG18</f>
        <v>0.21331819942471553</v>
      </c>
      <c r="Z13">
        <f>'Revenue Model'!AH18</f>
        <v>0</v>
      </c>
      <c r="AA13">
        <f>'Revenue Model'!AI18</f>
        <v>0</v>
      </c>
      <c r="AB13">
        <f>'Revenue Model'!AJ18</f>
        <v>0</v>
      </c>
      <c r="AC13">
        <f>'Revenue Model'!AK18</f>
        <v>0</v>
      </c>
      <c r="AD13">
        <f>'Revenue Model'!AL18</f>
        <v>0</v>
      </c>
      <c r="AE13">
        <f>'Revenue Model'!AM18</f>
        <v>0</v>
      </c>
      <c r="AF13">
        <f>'Revenue Model'!AN18</f>
        <v>0</v>
      </c>
      <c r="AG13">
        <f>'Revenue Model'!AO18</f>
        <v>0</v>
      </c>
      <c r="AH13">
        <f>'Revenue Model'!AP18</f>
        <v>0</v>
      </c>
      <c r="AI13">
        <f>'Revenue Model'!AQ18</f>
        <v>0</v>
      </c>
      <c r="AJ13">
        <f>'Revenue Model'!AR18</f>
        <v>0</v>
      </c>
      <c r="AK13">
        <f>'Revenue Model'!AS18</f>
        <v>0</v>
      </c>
      <c r="AL13">
        <f>'Revenue Model'!AT18</f>
        <v>0</v>
      </c>
      <c r="AM13">
        <f>'Revenue Model'!AU18</f>
        <v>0</v>
      </c>
      <c r="AN13">
        <f>'Revenue Model'!AV18</f>
        <v>0</v>
      </c>
    </row>
    <row r="14" spans="1:40">
      <c r="A14" t="str">
        <f>'Revenue Model'!I19</f>
        <v>Q/Q Abs Growth</v>
      </c>
      <c r="B14">
        <f>'Revenue Model'!J19</f>
        <v>0</v>
      </c>
      <c r="C14">
        <f>'Revenue Model'!K19</f>
        <v>0</v>
      </c>
      <c r="D14">
        <f>'Revenue Model'!L19</f>
        <v>0</v>
      </c>
      <c r="E14">
        <f>'Revenue Model'!M19</f>
        <v>0</v>
      </c>
      <c r="F14">
        <f>'Revenue Model'!N19</f>
        <v>0</v>
      </c>
      <c r="G14">
        <f>'Revenue Model'!O19</f>
        <v>0</v>
      </c>
      <c r="H14">
        <f>'Revenue Model'!P19</f>
        <v>0</v>
      </c>
      <c r="I14">
        <f>'Revenue Model'!Q19</f>
        <v>0</v>
      </c>
      <c r="J14">
        <f>'Revenue Model'!R19</f>
        <v>0</v>
      </c>
      <c r="K14">
        <f>'Revenue Model'!S19</f>
        <v>1.2524478501489994E-2</v>
      </c>
      <c r="L14">
        <f>'Revenue Model'!T19</f>
        <v>0.11569080823896397</v>
      </c>
      <c r="M14">
        <f>'Revenue Model'!U19</f>
        <v>0.1320500288896416</v>
      </c>
      <c r="N14">
        <f>'Revenue Model'!V19</f>
        <v>9.3560160841323348E-3</v>
      </c>
      <c r="O14">
        <f>'Revenue Model'!W19</f>
        <v>0.18406752264129317</v>
      </c>
      <c r="P14">
        <f>'Revenue Model'!X19</f>
        <v>0.3358507244389598</v>
      </c>
      <c r="Q14">
        <f>'Revenue Model'!Y19</f>
        <v>0.20869833484035827</v>
      </c>
      <c r="R14">
        <f>'Revenue Model'!Z19</f>
        <v>-0.14513899945961972</v>
      </c>
      <c r="S14">
        <f>'Revenue Model'!AA19</f>
        <v>0.14259223099293727</v>
      </c>
      <c r="T14">
        <f>'Revenue Model'!AB19</f>
        <v>0.12409918636187522</v>
      </c>
      <c r="U14">
        <f>'Revenue Model'!AC19</f>
        <v>0.35958466021750879</v>
      </c>
      <c r="V14">
        <f>'Revenue Model'!AD19</f>
        <v>-0.24373540001058913</v>
      </c>
      <c r="W14">
        <f>'Revenue Model'!AE19</f>
        <v>0.18143248281316171</v>
      </c>
      <c r="X14">
        <f>'Revenue Model'!AF19</f>
        <v>0.17524366198022134</v>
      </c>
      <c r="Y14">
        <f>'Revenue Model'!AG19</f>
        <v>0.34999347326123997</v>
      </c>
      <c r="Z14">
        <f>'Revenue Model'!AH19</f>
        <v>0</v>
      </c>
      <c r="AA14">
        <f>'Revenue Model'!AI19</f>
        <v>0</v>
      </c>
      <c r="AB14">
        <f>'Revenue Model'!AJ19</f>
        <v>0</v>
      </c>
      <c r="AC14">
        <f>'Revenue Model'!AK19</f>
        <v>0</v>
      </c>
      <c r="AD14">
        <f>'Revenue Model'!AL19</f>
        <v>0</v>
      </c>
      <c r="AE14">
        <f>'Revenue Model'!AM19</f>
        <v>0</v>
      </c>
      <c r="AF14">
        <f>'Revenue Model'!AN19</f>
        <v>0</v>
      </c>
      <c r="AG14">
        <f>'Revenue Model'!AO19</f>
        <v>0</v>
      </c>
      <c r="AH14">
        <f>'Revenue Model'!AP19</f>
        <v>0</v>
      </c>
      <c r="AI14">
        <f>'Revenue Model'!AQ19</f>
        <v>0</v>
      </c>
      <c r="AJ14">
        <f>'Revenue Model'!AR19</f>
        <v>0</v>
      </c>
      <c r="AK14">
        <f>'Revenue Model'!AS19</f>
        <v>0</v>
      </c>
      <c r="AL14">
        <f>'Revenue Model'!AT19</f>
        <v>0</v>
      </c>
      <c r="AM14">
        <f>'Revenue Model'!AU19</f>
        <v>0</v>
      </c>
      <c r="AN14">
        <f>'Revenue Model'!AV19</f>
        <v>0</v>
      </c>
    </row>
    <row r="15" spans="1:40">
      <c r="A15">
        <f>'Revenue Model'!I20</f>
        <v>0</v>
      </c>
      <c r="B15">
        <f>'Revenue Model'!J20</f>
        <v>0</v>
      </c>
      <c r="C15">
        <f>'Revenue Model'!K20</f>
        <v>0</v>
      </c>
      <c r="D15">
        <f>'Revenue Model'!L20</f>
        <v>0</v>
      </c>
      <c r="E15">
        <f>'Revenue Model'!M20</f>
        <v>0</v>
      </c>
      <c r="F15">
        <f>'Revenue Model'!N20</f>
        <v>0</v>
      </c>
      <c r="G15">
        <f>'Revenue Model'!O20</f>
        <v>0</v>
      </c>
      <c r="H15">
        <f>'Revenue Model'!P20</f>
        <v>0</v>
      </c>
      <c r="I15">
        <f>'Revenue Model'!Q20</f>
        <v>0</v>
      </c>
      <c r="J15">
        <f>'Revenue Model'!R20</f>
        <v>0</v>
      </c>
      <c r="K15">
        <f>'Revenue Model'!S20</f>
        <v>0</v>
      </c>
      <c r="L15">
        <f>'Revenue Model'!T20</f>
        <v>0</v>
      </c>
      <c r="M15">
        <f>'Revenue Model'!U20</f>
        <v>0</v>
      </c>
      <c r="N15">
        <f>'Revenue Model'!V20</f>
        <v>0</v>
      </c>
      <c r="O15">
        <f>'Revenue Model'!W20</f>
        <v>0</v>
      </c>
      <c r="P15">
        <f>'Revenue Model'!X20</f>
        <v>0</v>
      </c>
      <c r="Q15">
        <f>'Revenue Model'!Y20</f>
        <v>0</v>
      </c>
      <c r="R15">
        <f>'Revenue Model'!Z20</f>
        <v>0</v>
      </c>
      <c r="S15">
        <f>'Revenue Model'!AA20</f>
        <v>0</v>
      </c>
      <c r="T15">
        <f>'Revenue Model'!AB20</f>
        <v>0</v>
      </c>
      <c r="U15">
        <f>'Revenue Model'!AC20</f>
        <v>0</v>
      </c>
      <c r="V15">
        <f>'Revenue Model'!AD20</f>
        <v>0</v>
      </c>
      <c r="W15">
        <f>'Revenue Model'!AE20</f>
        <v>0</v>
      </c>
      <c r="X15">
        <f>'Revenue Model'!AF20</f>
        <v>0</v>
      </c>
      <c r="Y15">
        <f>'Revenue Model'!AG20</f>
        <v>0</v>
      </c>
      <c r="Z15">
        <f>'Revenue Model'!AH20</f>
        <v>0</v>
      </c>
      <c r="AA15">
        <f>'Revenue Model'!AI20</f>
        <v>0</v>
      </c>
      <c r="AB15">
        <f>'Revenue Model'!AJ20</f>
        <v>0</v>
      </c>
      <c r="AC15">
        <f>'Revenue Model'!AK20</f>
        <v>0</v>
      </c>
      <c r="AD15">
        <f>'Revenue Model'!AL20</f>
        <v>0</v>
      </c>
      <c r="AE15">
        <f>'Revenue Model'!AM20</f>
        <v>0</v>
      </c>
      <c r="AF15">
        <f>'Revenue Model'!AN20</f>
        <v>0</v>
      </c>
      <c r="AG15">
        <f>'Revenue Model'!AO20</f>
        <v>0</v>
      </c>
      <c r="AH15">
        <f>'Revenue Model'!AP20</f>
        <v>0</v>
      </c>
      <c r="AI15">
        <f>'Revenue Model'!AQ20</f>
        <v>0</v>
      </c>
      <c r="AJ15">
        <f>'Revenue Model'!AR20</f>
        <v>0</v>
      </c>
      <c r="AK15">
        <f>'Revenue Model'!AS20</f>
        <v>0</v>
      </c>
      <c r="AL15">
        <f>'Revenue Model'!AT20</f>
        <v>0</v>
      </c>
      <c r="AM15">
        <f>'Revenue Model'!AU20</f>
        <v>0</v>
      </c>
      <c r="AN15">
        <f>'Revenue Model'!AV20</f>
        <v>0</v>
      </c>
    </row>
    <row r="16" spans="1:40">
      <c r="A16" t="str">
        <f>'Revenue Model'!I21</f>
        <v>Revenue Breakdown</v>
      </c>
      <c r="B16">
        <f>'Revenue Model'!J21</f>
        <v>0</v>
      </c>
      <c r="C16">
        <f>'Revenue Model'!K21</f>
        <v>0</v>
      </c>
      <c r="D16">
        <f>'Revenue Model'!L21</f>
        <v>0</v>
      </c>
      <c r="E16">
        <f>'Revenue Model'!M21</f>
        <v>0</v>
      </c>
      <c r="F16">
        <f>'Revenue Model'!N21</f>
        <v>0</v>
      </c>
      <c r="G16">
        <f>'Revenue Model'!O21</f>
        <v>0</v>
      </c>
      <c r="H16">
        <f>'Revenue Model'!P21</f>
        <v>0</v>
      </c>
      <c r="I16">
        <f>'Revenue Model'!Q21</f>
        <v>0</v>
      </c>
      <c r="J16">
        <f>'Revenue Model'!R21</f>
        <v>0</v>
      </c>
      <c r="K16">
        <f>'Revenue Model'!S21</f>
        <v>0</v>
      </c>
      <c r="L16">
        <f>'Revenue Model'!T21</f>
        <v>0</v>
      </c>
      <c r="M16">
        <f>'Revenue Model'!U21</f>
        <v>0</v>
      </c>
      <c r="N16">
        <f>'Revenue Model'!V21</f>
        <v>0</v>
      </c>
      <c r="O16">
        <f>'Revenue Model'!W21</f>
        <v>0</v>
      </c>
      <c r="P16">
        <f>'Revenue Model'!X21</f>
        <v>0</v>
      </c>
      <c r="Q16">
        <f>'Revenue Model'!Y21</f>
        <v>0</v>
      </c>
      <c r="R16">
        <f>'Revenue Model'!Z21</f>
        <v>0</v>
      </c>
      <c r="S16">
        <f>'Revenue Model'!AA21</f>
        <v>0</v>
      </c>
      <c r="T16">
        <f>'Revenue Model'!AB21</f>
        <v>0</v>
      </c>
      <c r="U16">
        <f>'Revenue Model'!AC21</f>
        <v>0</v>
      </c>
      <c r="V16">
        <f>'Revenue Model'!AD21</f>
        <v>0</v>
      </c>
      <c r="W16">
        <f>'Revenue Model'!AE21</f>
        <v>0</v>
      </c>
      <c r="X16">
        <f>'Revenue Model'!AF21</f>
        <v>0</v>
      </c>
      <c r="Y16">
        <f>'Revenue Model'!AG21</f>
        <v>0</v>
      </c>
      <c r="Z16">
        <f>'Revenue Model'!AH21</f>
        <v>0</v>
      </c>
      <c r="AA16">
        <f>'Revenue Model'!AI21</f>
        <v>0</v>
      </c>
      <c r="AB16">
        <f>'Revenue Model'!AJ21</f>
        <v>0</v>
      </c>
      <c r="AC16">
        <f>'Revenue Model'!AK21</f>
        <v>0</v>
      </c>
      <c r="AD16">
        <f>'Revenue Model'!AL21</f>
        <v>0</v>
      </c>
      <c r="AE16">
        <f>'Revenue Model'!AM21</f>
        <v>0</v>
      </c>
      <c r="AF16">
        <f>'Revenue Model'!AN21</f>
        <v>0</v>
      </c>
      <c r="AG16">
        <f>'Revenue Model'!AO21</f>
        <v>0</v>
      </c>
      <c r="AH16">
        <f>'Revenue Model'!AP21</f>
        <v>0</v>
      </c>
      <c r="AI16">
        <f>'Revenue Model'!AQ21</f>
        <v>0</v>
      </c>
      <c r="AJ16">
        <f>'Revenue Model'!AR21</f>
        <v>0</v>
      </c>
      <c r="AK16">
        <f>'Revenue Model'!AS21</f>
        <v>0</v>
      </c>
      <c r="AL16">
        <f>'Revenue Model'!AT21</f>
        <v>0</v>
      </c>
      <c r="AM16">
        <f>'Revenue Model'!AU21</f>
        <v>0</v>
      </c>
      <c r="AN16">
        <f>'Revenue Model'!AV21</f>
        <v>0</v>
      </c>
    </row>
    <row r="17" spans="1:40">
      <c r="A17" t="str">
        <f>'Revenue Model'!I22</f>
        <v>Hardware Units Sold (000's)</v>
      </c>
      <c r="B17">
        <f>'Revenue Model'!J22</f>
        <v>0</v>
      </c>
      <c r="C17">
        <f>'Revenue Model'!K22</f>
        <v>0</v>
      </c>
      <c r="D17">
        <f>'Revenue Model'!L22</f>
        <v>0</v>
      </c>
      <c r="E17">
        <f>'Revenue Model'!M22</f>
        <v>0</v>
      </c>
      <c r="F17">
        <f>'Revenue Model'!N22</f>
        <v>0</v>
      </c>
      <c r="G17">
        <f>'Revenue Model'!O22</f>
        <v>0</v>
      </c>
      <c r="H17">
        <f>'Revenue Model'!P22</f>
        <v>0</v>
      </c>
      <c r="I17">
        <f>'Revenue Model'!Q22</f>
        <v>0</v>
      </c>
      <c r="J17">
        <f>'Revenue Model'!R22</f>
        <v>0</v>
      </c>
      <c r="K17">
        <f>'Revenue Model'!S22</f>
        <v>0</v>
      </c>
      <c r="L17">
        <f>'Revenue Model'!T22</f>
        <v>0</v>
      </c>
      <c r="M17">
        <f>'Revenue Model'!U22</f>
        <v>0</v>
      </c>
      <c r="N17">
        <f>'Revenue Model'!V22</f>
        <v>0</v>
      </c>
      <c r="O17">
        <f>'Revenue Model'!W22</f>
        <v>0</v>
      </c>
      <c r="P17">
        <f>'Revenue Model'!X22</f>
        <v>0</v>
      </c>
      <c r="Q17">
        <f>'Revenue Model'!Y22</f>
        <v>35.246153846154073</v>
      </c>
      <c r="R17">
        <f>'Revenue Model'!Z22</f>
        <v>64.166988790104384</v>
      </c>
      <c r="S17">
        <f>'Revenue Model'!AA22</f>
        <v>41.956982438283418</v>
      </c>
      <c r="T17">
        <f>'Revenue Model'!AB22</f>
        <v>28.111881030675658</v>
      </c>
      <c r="U17">
        <f>'Revenue Model'!AC22</f>
        <v>37</v>
      </c>
      <c r="V17">
        <f>'Revenue Model'!AD22</f>
        <v>20</v>
      </c>
      <c r="W17">
        <f>'Revenue Model'!AE22</f>
        <v>38.142711307530377</v>
      </c>
      <c r="X17">
        <f>'Revenue Model'!AF22</f>
        <v>25.556255482432416</v>
      </c>
      <c r="Y17">
        <f>'Revenue Model'!AG22</f>
        <v>33.636363636363633</v>
      </c>
      <c r="Z17">
        <f>'Revenue Model'!AH22</f>
        <v>0</v>
      </c>
      <c r="AA17">
        <f>'Revenue Model'!AI22</f>
        <v>0</v>
      </c>
      <c r="AB17">
        <f>'Revenue Model'!AJ22</f>
        <v>0</v>
      </c>
      <c r="AC17">
        <f>'Revenue Model'!AK22</f>
        <v>0</v>
      </c>
      <c r="AD17">
        <f>'Revenue Model'!AL22</f>
        <v>35.246153846154073</v>
      </c>
      <c r="AE17">
        <f>'Revenue Model'!AM22</f>
        <v>171.23585225906345</v>
      </c>
      <c r="AF17">
        <f>'Revenue Model'!AN22</f>
        <v>117.33533042632644</v>
      </c>
      <c r="AG17">
        <f>'Revenue Model'!AO22</f>
        <v>58.044756410315721</v>
      </c>
      <c r="AH17">
        <f>'Revenue Model'!AP22</f>
        <v>58.044756410315721</v>
      </c>
      <c r="AI17">
        <f>'Revenue Model'!AQ22</f>
        <v>58.044756410315721</v>
      </c>
      <c r="AJ17">
        <f>'Revenue Model'!AR22</f>
        <v>58.044756410315721</v>
      </c>
      <c r="AK17">
        <f>'Revenue Model'!AS22</f>
        <v>58.044756410315721</v>
      </c>
      <c r="AL17">
        <f>'Revenue Model'!AT22</f>
        <v>58.044756410315721</v>
      </c>
      <c r="AM17">
        <f>'Revenue Model'!AU22</f>
        <v>58.044756410315721</v>
      </c>
      <c r="AN17">
        <f>'Revenue Model'!AV22</f>
        <v>0</v>
      </c>
    </row>
    <row r="18" spans="1:40">
      <c r="A18" t="str">
        <f>'Revenue Model'!I23</f>
        <v>Y/Y % Growth</v>
      </c>
      <c r="B18">
        <f>'Revenue Model'!J23</f>
        <v>0</v>
      </c>
      <c r="C18">
        <f>'Revenue Model'!K23</f>
        <v>0</v>
      </c>
      <c r="D18">
        <f>'Revenue Model'!L23</f>
        <v>0</v>
      </c>
      <c r="E18">
        <f>'Revenue Model'!M23</f>
        <v>0</v>
      </c>
      <c r="F18">
        <f>'Revenue Model'!N23</f>
        <v>0</v>
      </c>
      <c r="G18">
        <f>'Revenue Model'!O23</f>
        <v>0</v>
      </c>
      <c r="H18">
        <f>'Revenue Model'!P23</f>
        <v>0</v>
      </c>
      <c r="I18">
        <f>'Revenue Model'!Q23</f>
        <v>0</v>
      </c>
      <c r="J18">
        <f>'Revenue Model'!R23</f>
        <v>0</v>
      </c>
      <c r="K18">
        <f>'Revenue Model'!S23</f>
        <v>0</v>
      </c>
      <c r="L18">
        <f>'Revenue Model'!T23</f>
        <v>0</v>
      </c>
      <c r="M18">
        <f>'Revenue Model'!U23</f>
        <v>0</v>
      </c>
      <c r="N18">
        <f>'Revenue Model'!V23</f>
        <v>0</v>
      </c>
      <c r="O18">
        <f>'Revenue Model'!W23</f>
        <v>0</v>
      </c>
      <c r="P18">
        <f>'Revenue Model'!X23</f>
        <v>0</v>
      </c>
      <c r="Q18">
        <f>'Revenue Model'!Y23</f>
        <v>0</v>
      </c>
      <c r="R18">
        <f>'Revenue Model'!Z23</f>
        <v>0</v>
      </c>
      <c r="S18">
        <f>'Revenue Model'!AA23</f>
        <v>0</v>
      </c>
      <c r="T18">
        <f>'Revenue Model'!AB23</f>
        <v>0</v>
      </c>
      <c r="U18">
        <f>'Revenue Model'!AC23</f>
        <v>4.9759930161494825E-2</v>
      </c>
      <c r="V18">
        <f>'Revenue Model'!AD23</f>
        <v>-0.68831325301204827</v>
      </c>
      <c r="W18">
        <f>'Revenue Model'!AE23</f>
        <v>-9.090909090909105E-2</v>
      </c>
      <c r="X18">
        <f>'Revenue Model'!AF23</f>
        <v>-9.0909090909090939E-2</v>
      </c>
      <c r="Y18">
        <f>'Revenue Model'!AG23</f>
        <v>-9.090909090909105E-2</v>
      </c>
      <c r="Z18">
        <f>'Revenue Model'!AH23</f>
        <v>0</v>
      </c>
      <c r="AA18">
        <f>'Revenue Model'!AI23</f>
        <v>0</v>
      </c>
      <c r="AB18">
        <f>'Revenue Model'!AJ23</f>
        <v>0</v>
      </c>
      <c r="AC18">
        <f>'Revenue Model'!AK23</f>
        <v>0</v>
      </c>
      <c r="AD18">
        <f>'Revenue Model'!AL23</f>
        <v>0</v>
      </c>
      <c r="AE18">
        <f>'Revenue Model'!AM23</f>
        <v>3.8582847650977969</v>
      </c>
      <c r="AF18">
        <f>'Revenue Model'!AN23</f>
        <v>-0.31477357762199643</v>
      </c>
      <c r="AG18">
        <f>'Revenue Model'!AO23</f>
        <v>-0.50530879148321506</v>
      </c>
      <c r="AH18">
        <f>'Revenue Model'!AP23</f>
        <v>0</v>
      </c>
      <c r="AI18">
        <f>'Revenue Model'!AQ23</f>
        <v>0</v>
      </c>
      <c r="AJ18">
        <f>'Revenue Model'!AR23</f>
        <v>0</v>
      </c>
      <c r="AK18">
        <f>'Revenue Model'!AS23</f>
        <v>0</v>
      </c>
      <c r="AL18">
        <f>'Revenue Model'!AT23</f>
        <v>0</v>
      </c>
      <c r="AM18">
        <f>'Revenue Model'!AU23</f>
        <v>0</v>
      </c>
      <c r="AN18">
        <f>'Revenue Model'!AV23</f>
        <v>0</v>
      </c>
    </row>
    <row r="19" spans="1:40">
      <c r="A19" t="str">
        <f>'Revenue Model'!I24</f>
        <v>Y/Y Abs Growth</v>
      </c>
      <c r="B19">
        <f>'Revenue Model'!J24</f>
        <v>0</v>
      </c>
      <c r="C19">
        <f>'Revenue Model'!K24</f>
        <v>0</v>
      </c>
      <c r="D19">
        <f>'Revenue Model'!L24</f>
        <v>0</v>
      </c>
      <c r="E19">
        <f>'Revenue Model'!M24</f>
        <v>0</v>
      </c>
      <c r="F19">
        <f>'Revenue Model'!N24</f>
        <v>0</v>
      </c>
      <c r="G19">
        <f>'Revenue Model'!O24</f>
        <v>0</v>
      </c>
      <c r="H19">
        <f>'Revenue Model'!P24</f>
        <v>0</v>
      </c>
      <c r="I19">
        <f>'Revenue Model'!Q24</f>
        <v>0</v>
      </c>
      <c r="J19">
        <f>'Revenue Model'!R24</f>
        <v>0</v>
      </c>
      <c r="K19">
        <f>'Revenue Model'!S24</f>
        <v>0</v>
      </c>
      <c r="L19">
        <f>'Revenue Model'!T24</f>
        <v>0</v>
      </c>
      <c r="M19">
        <f>'Revenue Model'!U24</f>
        <v>0</v>
      </c>
      <c r="N19">
        <f>'Revenue Model'!V24</f>
        <v>0</v>
      </c>
      <c r="O19">
        <f>'Revenue Model'!W24</f>
        <v>0</v>
      </c>
      <c r="P19">
        <f>'Revenue Model'!X24</f>
        <v>0</v>
      </c>
      <c r="Q19">
        <f>'Revenue Model'!Y24</f>
        <v>0</v>
      </c>
      <c r="R19">
        <f>'Revenue Model'!Z24</f>
        <v>0</v>
      </c>
      <c r="S19">
        <f>'Revenue Model'!AA24</f>
        <v>0</v>
      </c>
      <c r="T19">
        <f>'Revenue Model'!AB24</f>
        <v>0</v>
      </c>
      <c r="U19">
        <f>'Revenue Model'!AC24</f>
        <v>1.7538461538459273</v>
      </c>
      <c r="V19">
        <f>'Revenue Model'!AD24</f>
        <v>-44.166988790104384</v>
      </c>
      <c r="W19">
        <f>'Revenue Model'!AE24</f>
        <v>-3.8142711307530419</v>
      </c>
      <c r="X19">
        <f>'Revenue Model'!AF24</f>
        <v>-2.555625548243242</v>
      </c>
      <c r="Y19">
        <f>'Revenue Model'!AG24</f>
        <v>-3.3636363636363669</v>
      </c>
      <c r="Z19">
        <f>'Revenue Model'!AH24</f>
        <v>0</v>
      </c>
      <c r="AA19">
        <f>'Revenue Model'!AI24</f>
        <v>0</v>
      </c>
      <c r="AB19">
        <f>'Revenue Model'!AJ24</f>
        <v>0</v>
      </c>
      <c r="AC19">
        <f>'Revenue Model'!AK24</f>
        <v>0</v>
      </c>
      <c r="AD19">
        <f>'Revenue Model'!AL24</f>
        <v>0</v>
      </c>
      <c r="AE19">
        <f>'Revenue Model'!AM24</f>
        <v>135.98969841290938</v>
      </c>
      <c r="AF19">
        <f>'Revenue Model'!AN24</f>
        <v>-53.900521832737013</v>
      </c>
      <c r="AG19">
        <f>'Revenue Model'!AO24</f>
        <v>-59.290574016010716</v>
      </c>
      <c r="AH19">
        <f>'Revenue Model'!AP24</f>
        <v>0</v>
      </c>
      <c r="AI19">
        <f>'Revenue Model'!AQ24</f>
        <v>0</v>
      </c>
      <c r="AJ19">
        <f>'Revenue Model'!AR24</f>
        <v>0</v>
      </c>
      <c r="AK19">
        <f>'Revenue Model'!AS24</f>
        <v>0</v>
      </c>
      <c r="AL19">
        <f>'Revenue Model'!AT24</f>
        <v>0</v>
      </c>
      <c r="AM19">
        <f>'Revenue Model'!AU24</f>
        <v>0</v>
      </c>
      <c r="AN19">
        <f>'Revenue Model'!AV24</f>
        <v>0</v>
      </c>
    </row>
    <row r="20" spans="1:40">
      <c r="A20" t="str">
        <f>'Revenue Model'!I25</f>
        <v>Q/Q % Growth</v>
      </c>
      <c r="B20">
        <f>'Revenue Model'!J25</f>
        <v>0</v>
      </c>
      <c r="C20">
        <f>'Revenue Model'!K25</f>
        <v>0</v>
      </c>
      <c r="D20">
        <f>'Revenue Model'!L25</f>
        <v>0</v>
      </c>
      <c r="E20">
        <f>'Revenue Model'!M25</f>
        <v>0</v>
      </c>
      <c r="F20">
        <f>'Revenue Model'!N25</f>
        <v>0</v>
      </c>
      <c r="G20">
        <f>'Revenue Model'!O25</f>
        <v>0</v>
      </c>
      <c r="H20">
        <f>'Revenue Model'!P25</f>
        <v>0</v>
      </c>
      <c r="I20">
        <f>'Revenue Model'!Q25</f>
        <v>0</v>
      </c>
      <c r="J20">
        <f>'Revenue Model'!R25</f>
        <v>0</v>
      </c>
      <c r="K20">
        <f>'Revenue Model'!S25</f>
        <v>0</v>
      </c>
      <c r="L20">
        <f>'Revenue Model'!T25</f>
        <v>0</v>
      </c>
      <c r="M20">
        <f>'Revenue Model'!U25</f>
        <v>0</v>
      </c>
      <c r="N20">
        <f>'Revenue Model'!V25</f>
        <v>0</v>
      </c>
      <c r="O20">
        <f>'Revenue Model'!W25</f>
        <v>0</v>
      </c>
      <c r="P20">
        <f>'Revenue Model'!X25</f>
        <v>0</v>
      </c>
      <c r="Q20">
        <f>'Revenue Model'!Y25</f>
        <v>0</v>
      </c>
      <c r="R20">
        <f>'Revenue Model'!Z25</f>
        <v>0.82053874786414593</v>
      </c>
      <c r="S20">
        <f>'Revenue Model'!AA25</f>
        <v>-0.34612823151904115</v>
      </c>
      <c r="T20">
        <f>'Revenue Model'!AB25</f>
        <v>-0.32998324958123948</v>
      </c>
      <c r="U20">
        <f>'Revenue Model'!AC25</f>
        <v>0.31616948576388881</v>
      </c>
      <c r="V20">
        <f>'Revenue Model'!AD25</f>
        <v>-0.45945945945945943</v>
      </c>
      <c r="W20">
        <f>'Revenue Model'!AE25</f>
        <v>0.90713556537651874</v>
      </c>
      <c r="X20">
        <f>'Revenue Model'!AF25</f>
        <v>-0.32998324958123948</v>
      </c>
      <c r="Y20">
        <f>'Revenue Model'!AG25</f>
        <v>0.31616948576388859</v>
      </c>
      <c r="Z20">
        <f>'Revenue Model'!AH25</f>
        <v>0</v>
      </c>
      <c r="AA20">
        <f>'Revenue Model'!AI25</f>
        <v>0</v>
      </c>
      <c r="AB20">
        <f>'Revenue Model'!AJ25</f>
        <v>0</v>
      </c>
      <c r="AC20">
        <f>'Revenue Model'!AK25</f>
        <v>0</v>
      </c>
      <c r="AD20">
        <f>'Revenue Model'!AL25</f>
        <v>0</v>
      </c>
      <c r="AE20">
        <f>'Revenue Model'!AM25</f>
        <v>0</v>
      </c>
      <c r="AF20">
        <f>'Revenue Model'!AN25</f>
        <v>0</v>
      </c>
      <c r="AG20">
        <f>'Revenue Model'!AO25</f>
        <v>0</v>
      </c>
      <c r="AH20">
        <f>'Revenue Model'!AP25</f>
        <v>0</v>
      </c>
      <c r="AI20">
        <f>'Revenue Model'!AQ25</f>
        <v>0</v>
      </c>
      <c r="AJ20">
        <f>'Revenue Model'!AR25</f>
        <v>0</v>
      </c>
      <c r="AK20">
        <f>'Revenue Model'!AS25</f>
        <v>0</v>
      </c>
      <c r="AL20">
        <f>'Revenue Model'!AT25</f>
        <v>0</v>
      </c>
      <c r="AM20">
        <f>'Revenue Model'!AU25</f>
        <v>0</v>
      </c>
      <c r="AN20">
        <f>'Revenue Model'!AV25</f>
        <v>0</v>
      </c>
    </row>
    <row r="21" spans="1:40">
      <c r="A21" t="str">
        <f>'Revenue Model'!I26</f>
        <v>Q/Q Abs Growth</v>
      </c>
      <c r="B21">
        <f>'Revenue Model'!J26</f>
        <v>0</v>
      </c>
      <c r="C21">
        <f>'Revenue Model'!K26</f>
        <v>0</v>
      </c>
      <c r="D21">
        <f>'Revenue Model'!L26</f>
        <v>0</v>
      </c>
      <c r="E21">
        <f>'Revenue Model'!M26</f>
        <v>0</v>
      </c>
      <c r="F21">
        <f>'Revenue Model'!N26</f>
        <v>0</v>
      </c>
      <c r="G21">
        <f>'Revenue Model'!O26</f>
        <v>0</v>
      </c>
      <c r="H21">
        <f>'Revenue Model'!P26</f>
        <v>0</v>
      </c>
      <c r="I21">
        <f>'Revenue Model'!Q26</f>
        <v>0</v>
      </c>
      <c r="J21">
        <f>'Revenue Model'!R26</f>
        <v>0</v>
      </c>
      <c r="K21">
        <f>'Revenue Model'!S26</f>
        <v>0</v>
      </c>
      <c r="L21">
        <f>'Revenue Model'!T26</f>
        <v>0</v>
      </c>
      <c r="M21">
        <f>'Revenue Model'!U26</f>
        <v>0</v>
      </c>
      <c r="N21">
        <f>'Revenue Model'!V26</f>
        <v>0</v>
      </c>
      <c r="O21">
        <f>'Revenue Model'!W26</f>
        <v>0</v>
      </c>
      <c r="P21">
        <f>'Revenue Model'!X26</f>
        <v>0</v>
      </c>
      <c r="Q21">
        <f>'Revenue Model'!Y26</f>
        <v>0</v>
      </c>
      <c r="R21">
        <f>'Revenue Model'!Z26</f>
        <v>28.920834943950311</v>
      </c>
      <c r="S21">
        <f>'Revenue Model'!AA26</f>
        <v>-22.210006351820965</v>
      </c>
      <c r="T21">
        <f>'Revenue Model'!AB26</f>
        <v>-13.845101407607761</v>
      </c>
      <c r="U21">
        <f>'Revenue Model'!AC26</f>
        <v>8.8881189693243421</v>
      </c>
      <c r="V21">
        <f>'Revenue Model'!AD26</f>
        <v>-17</v>
      </c>
      <c r="W21">
        <f>'Revenue Model'!AE26</f>
        <v>18.142711307530377</v>
      </c>
      <c r="X21">
        <f>'Revenue Model'!AF26</f>
        <v>-12.586455825097961</v>
      </c>
      <c r="Y21">
        <f>'Revenue Model'!AG26</f>
        <v>8.0801081539312172</v>
      </c>
      <c r="Z21">
        <f>'Revenue Model'!AH26</f>
        <v>0</v>
      </c>
      <c r="AA21">
        <f>'Revenue Model'!AI26</f>
        <v>0</v>
      </c>
      <c r="AB21">
        <f>'Revenue Model'!AJ26</f>
        <v>0</v>
      </c>
      <c r="AC21">
        <f>'Revenue Model'!AK26</f>
        <v>0</v>
      </c>
      <c r="AD21">
        <f>'Revenue Model'!AL26</f>
        <v>0</v>
      </c>
      <c r="AE21">
        <f>'Revenue Model'!AM26</f>
        <v>0</v>
      </c>
      <c r="AF21">
        <f>'Revenue Model'!AN26</f>
        <v>0</v>
      </c>
      <c r="AG21">
        <f>'Revenue Model'!AO26</f>
        <v>0</v>
      </c>
      <c r="AH21">
        <f>'Revenue Model'!AP26</f>
        <v>0</v>
      </c>
      <c r="AI21">
        <f>'Revenue Model'!AQ26</f>
        <v>0</v>
      </c>
      <c r="AJ21">
        <f>'Revenue Model'!AR26</f>
        <v>0</v>
      </c>
      <c r="AK21">
        <f>'Revenue Model'!AS26</f>
        <v>0</v>
      </c>
      <c r="AL21">
        <f>'Revenue Model'!AT26</f>
        <v>0</v>
      </c>
      <c r="AM21">
        <f>'Revenue Model'!AU26</f>
        <v>0</v>
      </c>
      <c r="AN21">
        <f>'Revenue Model'!AV26</f>
        <v>0</v>
      </c>
    </row>
    <row r="22" spans="1:40">
      <c r="A22">
        <f>'Revenue Model'!I27</f>
        <v>0</v>
      </c>
      <c r="B22">
        <f>'Revenue Model'!J27</f>
        <v>0</v>
      </c>
      <c r="C22">
        <f>'Revenue Model'!K27</f>
        <v>0</v>
      </c>
      <c r="D22">
        <f>'Revenue Model'!L27</f>
        <v>0</v>
      </c>
      <c r="E22">
        <f>'Revenue Model'!M27</f>
        <v>0</v>
      </c>
      <c r="F22">
        <f>'Revenue Model'!N27</f>
        <v>0</v>
      </c>
      <c r="G22">
        <f>'Revenue Model'!O27</f>
        <v>0</v>
      </c>
      <c r="H22">
        <f>'Revenue Model'!P27</f>
        <v>0</v>
      </c>
      <c r="I22">
        <f>'Revenue Model'!Q27</f>
        <v>0</v>
      </c>
      <c r="J22">
        <f>'Revenue Model'!R27</f>
        <v>0</v>
      </c>
      <c r="K22">
        <f>'Revenue Model'!S27</f>
        <v>0</v>
      </c>
      <c r="L22">
        <f>'Revenue Model'!T27</f>
        <v>0</v>
      </c>
      <c r="M22">
        <f>'Revenue Model'!U27</f>
        <v>0</v>
      </c>
      <c r="N22">
        <f>'Revenue Model'!V27</f>
        <v>0</v>
      </c>
      <c r="O22">
        <f>'Revenue Model'!W27</f>
        <v>0</v>
      </c>
      <c r="P22">
        <f>'Revenue Model'!X27</f>
        <v>0</v>
      </c>
      <c r="Q22">
        <f>'Revenue Model'!Y27</f>
        <v>0</v>
      </c>
      <c r="R22">
        <f>'Revenue Model'!Z27</f>
        <v>0</v>
      </c>
      <c r="S22">
        <f>'Revenue Model'!AA27</f>
        <v>0</v>
      </c>
      <c r="T22">
        <f>'Revenue Model'!AB27</f>
        <v>0</v>
      </c>
      <c r="U22">
        <f>'Revenue Model'!AC27</f>
        <v>0</v>
      </c>
      <c r="V22">
        <f>'Revenue Model'!AD27</f>
        <v>0</v>
      </c>
      <c r="W22">
        <f>'Revenue Model'!AE27</f>
        <v>0</v>
      </c>
      <c r="X22">
        <f>'Revenue Model'!AF27</f>
        <v>0</v>
      </c>
      <c r="Y22">
        <f>'Revenue Model'!AG27</f>
        <v>0</v>
      </c>
      <c r="Z22">
        <f>'Revenue Model'!AH27</f>
        <v>0</v>
      </c>
      <c r="AA22">
        <f>'Revenue Model'!AI27</f>
        <v>0</v>
      </c>
      <c r="AB22">
        <f>'Revenue Model'!AJ27</f>
        <v>0</v>
      </c>
      <c r="AC22">
        <f>'Revenue Model'!AK27</f>
        <v>0</v>
      </c>
      <c r="AD22">
        <f>'Revenue Model'!AL27</f>
        <v>0</v>
      </c>
      <c r="AE22">
        <f>'Revenue Model'!AM27</f>
        <v>0</v>
      </c>
      <c r="AF22">
        <f>'Revenue Model'!AN27</f>
        <v>0</v>
      </c>
      <c r="AG22">
        <f>'Revenue Model'!AO27</f>
        <v>0</v>
      </c>
      <c r="AH22">
        <f>'Revenue Model'!AP27</f>
        <v>0</v>
      </c>
      <c r="AI22">
        <f>'Revenue Model'!AQ27</f>
        <v>0</v>
      </c>
      <c r="AJ22">
        <f>'Revenue Model'!AR27</f>
        <v>0</v>
      </c>
      <c r="AK22">
        <f>'Revenue Model'!AS27</f>
        <v>0</v>
      </c>
      <c r="AL22">
        <f>'Revenue Model'!AT27</f>
        <v>0</v>
      </c>
      <c r="AM22">
        <f>'Revenue Model'!AU27</f>
        <v>0</v>
      </c>
      <c r="AN22">
        <f>'Revenue Model'!AV27</f>
        <v>0</v>
      </c>
    </row>
    <row r="23" spans="1:40">
      <c r="A23" t="str">
        <f>'Revenue Model'!I28</f>
        <v>Avg. Revenue per Unit</v>
      </c>
      <c r="B23">
        <f>'Revenue Model'!J28</f>
        <v>0</v>
      </c>
      <c r="C23">
        <f>'Revenue Model'!K28</f>
        <v>0</v>
      </c>
      <c r="D23">
        <f>'Revenue Model'!L28</f>
        <v>0</v>
      </c>
      <c r="E23">
        <f>'Revenue Model'!M28</f>
        <v>0</v>
      </c>
      <c r="F23">
        <f>'Revenue Model'!N28</f>
        <v>0</v>
      </c>
      <c r="G23">
        <f>'Revenue Model'!O28</f>
        <v>0</v>
      </c>
      <c r="H23">
        <f>'Revenue Model'!P28</f>
        <v>0</v>
      </c>
      <c r="I23">
        <f>'Revenue Model'!Q28</f>
        <v>0</v>
      </c>
      <c r="J23">
        <f>'Revenue Model'!R28</f>
        <v>0</v>
      </c>
      <c r="K23">
        <f>'Revenue Model'!S28</f>
        <v>0</v>
      </c>
      <c r="L23">
        <f>'Revenue Model'!T28</f>
        <v>0</v>
      </c>
      <c r="M23">
        <f>'Revenue Model'!U28</f>
        <v>0</v>
      </c>
      <c r="N23">
        <f>'Revenue Model'!V28</f>
        <v>0</v>
      </c>
      <c r="O23">
        <f>'Revenue Model'!W28</f>
        <v>0</v>
      </c>
      <c r="P23">
        <f>'Revenue Model'!X28</f>
        <v>0</v>
      </c>
      <c r="Q23">
        <f>'Revenue Model'!Y28</f>
        <v>130</v>
      </c>
      <c r="R23">
        <f>'Revenue Model'!Z28</f>
        <v>129.35</v>
      </c>
      <c r="S23">
        <f>'Revenue Model'!AA28</f>
        <v>128.70325</v>
      </c>
      <c r="T23">
        <f>'Revenue Model'!AB28</f>
        <v>128.05973374999999</v>
      </c>
      <c r="U23">
        <f>'Revenue Model'!AC28</f>
        <v>127.41943508124999</v>
      </c>
      <c r="V23">
        <f>'Revenue Model'!AD28</f>
        <v>126.14524073043748</v>
      </c>
      <c r="W23">
        <f>'Revenue Model'!AE28</f>
        <v>124.8837883231331</v>
      </c>
      <c r="X23">
        <f>'Revenue Model'!AF28</f>
        <v>123.63495043990177</v>
      </c>
      <c r="Y23">
        <f>'Revenue Model'!AG28</f>
        <v>122.39860093550276</v>
      </c>
      <c r="Z23">
        <f>'Revenue Model'!AH28</f>
        <v>0</v>
      </c>
      <c r="AA23">
        <f>'Revenue Model'!AI28</f>
        <v>0</v>
      </c>
      <c r="AB23">
        <f>'Revenue Model'!AJ28</f>
        <v>0</v>
      </c>
      <c r="AC23">
        <f>'Revenue Model'!AK28</f>
        <v>0</v>
      </c>
      <c r="AD23">
        <f>'Revenue Model'!AL28</f>
        <v>130</v>
      </c>
      <c r="AE23">
        <f>'Revenue Model'!AM28</f>
        <v>130.22973697273534</v>
      </c>
      <c r="AF23">
        <f>'Revenue Model'!AN28</f>
        <v>124.11437609068162</v>
      </c>
      <c r="AG23">
        <f>'Revenue Model'!AO28</f>
        <v>124.11437609068162</v>
      </c>
      <c r="AH23">
        <f>'Revenue Model'!AP28</f>
        <v>124.11437609068162</v>
      </c>
      <c r="AI23">
        <f>'Revenue Model'!AQ28</f>
        <v>124.11437609068162</v>
      </c>
      <c r="AJ23">
        <f>'Revenue Model'!AR28</f>
        <v>124.11437609068162</v>
      </c>
      <c r="AK23">
        <f>'Revenue Model'!AS28</f>
        <v>124.11437609068162</v>
      </c>
      <c r="AL23">
        <f>'Revenue Model'!AT28</f>
        <v>124.11437609068162</v>
      </c>
      <c r="AM23">
        <f>'Revenue Model'!AU28</f>
        <v>124.11437609068162</v>
      </c>
      <c r="AN23">
        <f>'Revenue Model'!AV28</f>
        <v>0</v>
      </c>
    </row>
    <row r="24" spans="1:40">
      <c r="A24" t="str">
        <f>'Revenue Model'!I29</f>
        <v>Y/Y % Change</v>
      </c>
      <c r="B24">
        <f>'Revenue Model'!J29</f>
        <v>0</v>
      </c>
      <c r="C24">
        <f>'Revenue Model'!K29</f>
        <v>0</v>
      </c>
      <c r="D24">
        <f>'Revenue Model'!L29</f>
        <v>0</v>
      </c>
      <c r="E24">
        <f>'Revenue Model'!M29</f>
        <v>0</v>
      </c>
      <c r="F24">
        <f>'Revenue Model'!N29</f>
        <v>0</v>
      </c>
      <c r="G24">
        <f>'Revenue Model'!O29</f>
        <v>0</v>
      </c>
      <c r="H24">
        <f>'Revenue Model'!P29</f>
        <v>0</v>
      </c>
      <c r="I24">
        <f>'Revenue Model'!Q29</f>
        <v>0</v>
      </c>
      <c r="J24">
        <f>'Revenue Model'!R29</f>
        <v>0</v>
      </c>
      <c r="K24">
        <f>'Revenue Model'!S29</f>
        <v>0</v>
      </c>
      <c r="L24">
        <f>'Revenue Model'!T29</f>
        <v>0</v>
      </c>
      <c r="M24">
        <f>'Revenue Model'!U29</f>
        <v>0</v>
      </c>
      <c r="N24">
        <f>'Revenue Model'!V29</f>
        <v>0</v>
      </c>
      <c r="O24">
        <f>'Revenue Model'!W29</f>
        <v>0</v>
      </c>
      <c r="P24">
        <f>'Revenue Model'!X29</f>
        <v>0</v>
      </c>
      <c r="Q24">
        <f>'Revenue Model'!Y29</f>
        <v>0</v>
      </c>
      <c r="R24">
        <f>'Revenue Model'!Z29</f>
        <v>0</v>
      </c>
      <c r="S24">
        <f>'Revenue Model'!AA29</f>
        <v>0</v>
      </c>
      <c r="T24">
        <f>'Revenue Model'!AB29</f>
        <v>0</v>
      </c>
      <c r="U24">
        <f>'Revenue Model'!AC29</f>
        <v>-1.9850499375000052E-2</v>
      </c>
      <c r="V24">
        <f>'Revenue Model'!AD29</f>
        <v>-2.4775873750000121E-2</v>
      </c>
      <c r="W24">
        <f>'Revenue Model'!AE29</f>
        <v>-2.9676497500000121E-2</v>
      </c>
      <c r="X24">
        <f>'Revenue Model'!AF29</f>
        <v>-3.4552495000000127E-2</v>
      </c>
      <c r="Y24">
        <f>'Revenue Model'!AG29</f>
        <v>-3.9403990000000055E-2</v>
      </c>
      <c r="Z24">
        <f>'Revenue Model'!AH29</f>
        <v>0</v>
      </c>
      <c r="AA24">
        <f>'Revenue Model'!AI29</f>
        <v>0</v>
      </c>
      <c r="AB24">
        <f>'Revenue Model'!AJ29</f>
        <v>0</v>
      </c>
      <c r="AC24">
        <f>'Revenue Model'!AK29</f>
        <v>0</v>
      </c>
      <c r="AD24">
        <f>'Revenue Model'!AL29</f>
        <v>0</v>
      </c>
      <c r="AE24">
        <f>'Revenue Model'!AM29</f>
        <v>1.7672074825796358E-3</v>
      </c>
      <c r="AF24">
        <f>'Revenue Model'!AN29</f>
        <v>-4.6958252578933046E-2</v>
      </c>
      <c r="AG24">
        <f>'Revenue Model'!AO29</f>
        <v>0</v>
      </c>
      <c r="AH24">
        <f>'Revenue Model'!AP29</f>
        <v>0</v>
      </c>
      <c r="AI24">
        <f>'Revenue Model'!AQ29</f>
        <v>0</v>
      </c>
      <c r="AJ24">
        <f>'Revenue Model'!AR29</f>
        <v>0</v>
      </c>
      <c r="AK24">
        <f>'Revenue Model'!AS29</f>
        <v>0</v>
      </c>
      <c r="AL24">
        <f>'Revenue Model'!AT29</f>
        <v>0</v>
      </c>
      <c r="AM24">
        <f>'Revenue Model'!AU29</f>
        <v>0</v>
      </c>
      <c r="AN24">
        <f>'Revenue Model'!AV29</f>
        <v>0</v>
      </c>
    </row>
    <row r="25" spans="1:40">
      <c r="A25">
        <f>'Revenue Model'!I30</f>
        <v>0</v>
      </c>
      <c r="B25">
        <f>'Revenue Model'!J30</f>
        <v>0</v>
      </c>
      <c r="C25">
        <f>'Revenue Model'!K30</f>
        <v>0</v>
      </c>
      <c r="D25">
        <f>'Revenue Model'!L30</f>
        <v>0</v>
      </c>
      <c r="E25">
        <f>'Revenue Model'!M30</f>
        <v>0</v>
      </c>
      <c r="F25">
        <f>'Revenue Model'!N30</f>
        <v>0</v>
      </c>
      <c r="G25">
        <f>'Revenue Model'!O30</f>
        <v>0</v>
      </c>
      <c r="H25">
        <f>'Revenue Model'!P30</f>
        <v>0</v>
      </c>
      <c r="I25">
        <f>'Revenue Model'!Q30</f>
        <v>0</v>
      </c>
      <c r="J25">
        <f>'Revenue Model'!R30</f>
        <v>0</v>
      </c>
      <c r="K25">
        <f>'Revenue Model'!S30</f>
        <v>0</v>
      </c>
      <c r="L25">
        <f>'Revenue Model'!T30</f>
        <v>0</v>
      </c>
      <c r="M25">
        <f>'Revenue Model'!U30</f>
        <v>0</v>
      </c>
      <c r="N25">
        <f>'Revenue Model'!V30</f>
        <v>0</v>
      </c>
      <c r="O25">
        <f>'Revenue Model'!W30</f>
        <v>0</v>
      </c>
      <c r="P25">
        <f>'Revenue Model'!X30</f>
        <v>0</v>
      </c>
      <c r="Q25">
        <f>'Revenue Model'!Y30</f>
        <v>0</v>
      </c>
      <c r="R25">
        <f>'Revenue Model'!Z30</f>
        <v>0</v>
      </c>
      <c r="S25">
        <f>'Revenue Model'!AA30</f>
        <v>0</v>
      </c>
      <c r="T25">
        <f>'Revenue Model'!AB30</f>
        <v>0</v>
      </c>
      <c r="U25">
        <f>'Revenue Model'!AC30</f>
        <v>0</v>
      </c>
      <c r="V25">
        <f>'Revenue Model'!AD30</f>
        <v>0</v>
      </c>
      <c r="W25">
        <f>'Revenue Model'!AE30</f>
        <v>0</v>
      </c>
      <c r="X25">
        <f>'Revenue Model'!AF30</f>
        <v>0</v>
      </c>
      <c r="Y25">
        <f>'Revenue Model'!AG30</f>
        <v>0</v>
      </c>
      <c r="Z25">
        <f>'Revenue Model'!AH30</f>
        <v>0</v>
      </c>
      <c r="AA25">
        <f>'Revenue Model'!AI30</f>
        <v>0</v>
      </c>
      <c r="AB25">
        <f>'Revenue Model'!AJ30</f>
        <v>0</v>
      </c>
      <c r="AC25">
        <f>'Revenue Model'!AK30</f>
        <v>0</v>
      </c>
      <c r="AD25">
        <f>'Revenue Model'!AL30</f>
        <v>0</v>
      </c>
      <c r="AE25">
        <f>'Revenue Model'!AM30</f>
        <v>0</v>
      </c>
      <c r="AF25">
        <f>'Revenue Model'!AN30</f>
        <v>0</v>
      </c>
      <c r="AG25">
        <f>'Revenue Model'!AO30</f>
        <v>0</v>
      </c>
      <c r="AH25">
        <f>'Revenue Model'!AP30</f>
        <v>0</v>
      </c>
      <c r="AI25">
        <f>'Revenue Model'!AQ30</f>
        <v>0</v>
      </c>
      <c r="AJ25">
        <f>'Revenue Model'!AR30</f>
        <v>0</v>
      </c>
      <c r="AK25">
        <f>'Revenue Model'!AS30</f>
        <v>0</v>
      </c>
      <c r="AL25">
        <f>'Revenue Model'!AT30</f>
        <v>0</v>
      </c>
      <c r="AM25">
        <f>'Revenue Model'!AU30</f>
        <v>0</v>
      </c>
      <c r="AN25">
        <f>'Revenue Model'!AV30</f>
        <v>0</v>
      </c>
    </row>
    <row r="26" spans="1:40">
      <c r="A26" t="str">
        <f>'Revenue Model'!I31</f>
        <v>Total Hardware Revenue</v>
      </c>
      <c r="B26">
        <f>'Revenue Model'!J31</f>
        <v>0</v>
      </c>
      <c r="C26">
        <f>'Revenue Model'!K31</f>
        <v>0</v>
      </c>
      <c r="D26">
        <f>'Revenue Model'!L31</f>
        <v>0</v>
      </c>
      <c r="E26">
        <f>'Revenue Model'!M31</f>
        <v>0</v>
      </c>
      <c r="F26">
        <f>'Revenue Model'!N31</f>
        <v>0</v>
      </c>
      <c r="G26">
        <f>'Revenue Model'!O31</f>
        <v>0</v>
      </c>
      <c r="H26">
        <f>'Revenue Model'!P31</f>
        <v>0</v>
      </c>
      <c r="I26">
        <f>'Revenue Model'!Q31</f>
        <v>0</v>
      </c>
      <c r="J26">
        <f>'Revenue Model'!R31</f>
        <v>0</v>
      </c>
      <c r="K26">
        <f>'Revenue Model'!S31</f>
        <v>0</v>
      </c>
      <c r="L26">
        <f>'Revenue Model'!T31</f>
        <v>0</v>
      </c>
      <c r="M26">
        <f>'Revenue Model'!U31</f>
        <v>0</v>
      </c>
      <c r="N26">
        <f>'Revenue Model'!V31</f>
        <v>0</v>
      </c>
      <c r="O26">
        <f>'Revenue Model'!W31</f>
        <v>0</v>
      </c>
      <c r="P26">
        <f>'Revenue Model'!X31</f>
        <v>0</v>
      </c>
      <c r="Q26">
        <f>'Revenue Model'!Y31</f>
        <v>4.5820000000000292</v>
      </c>
      <c r="R26">
        <f>'Revenue Model'!Z31</f>
        <v>8.3000000000000007</v>
      </c>
      <c r="S26">
        <f>'Revenue Model'!AA31</f>
        <v>5.4</v>
      </c>
      <c r="T26">
        <f>'Revenue Model'!AB31</f>
        <v>3.6</v>
      </c>
      <c r="U26">
        <f>'Revenue Model'!AC31</f>
        <v>5</v>
      </c>
      <c r="V26">
        <f>'Revenue Model'!AD31</f>
        <v>2.5229048146087498</v>
      </c>
      <c r="W26">
        <f>'Revenue Model'!AE31</f>
        <v>4.7634062849999985</v>
      </c>
      <c r="X26">
        <f>'Revenue Model'!AF31</f>
        <v>3.1596463799999999</v>
      </c>
      <c r="Y26">
        <f>'Revenue Model'!AG31</f>
        <v>4.1170438496487289</v>
      </c>
      <c r="Z26">
        <f>'Revenue Model'!AH31</f>
        <v>0</v>
      </c>
      <c r="AA26">
        <f>'Revenue Model'!AI31</f>
        <v>0</v>
      </c>
      <c r="AB26">
        <f>'Revenue Model'!AJ31</f>
        <v>0</v>
      </c>
      <c r="AC26">
        <f>'Revenue Model'!AK31</f>
        <v>0</v>
      </c>
      <c r="AD26">
        <f>'Revenue Model'!AL31</f>
        <v>4.5820000000000292</v>
      </c>
      <c r="AE26">
        <f>'Revenue Model'!AM31</f>
        <v>22.3</v>
      </c>
      <c r="AF26">
        <f>'Revenue Model'!AN31</f>
        <v>14.563001329257476</v>
      </c>
      <c r="AG26">
        <f>'Revenue Model'!AO31</f>
        <v>7.2041887272019274</v>
      </c>
      <c r="AH26">
        <f>'Revenue Model'!AP31</f>
        <v>7.2041887272019274</v>
      </c>
      <c r="AI26">
        <f>'Revenue Model'!AQ31</f>
        <v>7.2041887272019274</v>
      </c>
      <c r="AJ26">
        <f>'Revenue Model'!AR31</f>
        <v>7.2041887272019274</v>
      </c>
      <c r="AK26">
        <f>'Revenue Model'!AS31</f>
        <v>7.2041887272019274</v>
      </c>
      <c r="AL26">
        <f>'Revenue Model'!AT31</f>
        <v>7.2041887272019274</v>
      </c>
      <c r="AM26">
        <f>'Revenue Model'!AU31</f>
        <v>7.2041887272019274</v>
      </c>
      <c r="AN26">
        <f>'Revenue Model'!AV31</f>
        <v>0</v>
      </c>
    </row>
    <row r="27" spans="1:40">
      <c r="A27" t="str">
        <f>'Revenue Model'!I32</f>
        <v>Y/Y % Growth</v>
      </c>
      <c r="B27">
        <f>'Revenue Model'!J32</f>
        <v>0</v>
      </c>
      <c r="C27">
        <f>'Revenue Model'!K32</f>
        <v>0</v>
      </c>
      <c r="D27">
        <f>'Revenue Model'!L32</f>
        <v>0</v>
      </c>
      <c r="E27">
        <f>'Revenue Model'!M32</f>
        <v>0</v>
      </c>
      <c r="F27">
        <f>'Revenue Model'!N32</f>
        <v>0</v>
      </c>
      <c r="G27">
        <f>'Revenue Model'!O32</f>
        <v>0</v>
      </c>
      <c r="H27">
        <f>'Revenue Model'!P32</f>
        <v>0</v>
      </c>
      <c r="I27">
        <f>'Revenue Model'!Q32</f>
        <v>0</v>
      </c>
      <c r="J27">
        <f>'Revenue Model'!R32</f>
        <v>0</v>
      </c>
      <c r="K27">
        <f>'Revenue Model'!S32</f>
        <v>0</v>
      </c>
      <c r="L27">
        <f>'Revenue Model'!T32</f>
        <v>0</v>
      </c>
      <c r="M27">
        <f>'Revenue Model'!U32</f>
        <v>0</v>
      </c>
      <c r="N27">
        <f>'Revenue Model'!V32</f>
        <v>0</v>
      </c>
      <c r="O27">
        <f>'Revenue Model'!W32</f>
        <v>0</v>
      </c>
      <c r="P27">
        <f>'Revenue Model'!X32</f>
        <v>0</v>
      </c>
      <c r="Q27">
        <f>'Revenue Model'!Y32</f>
        <v>0</v>
      </c>
      <c r="R27">
        <f>'Revenue Model'!Z32</f>
        <v>0</v>
      </c>
      <c r="S27">
        <f>'Revenue Model'!AA32</f>
        <v>0</v>
      </c>
      <c r="T27">
        <f>'Revenue Model'!AB32</f>
        <v>0</v>
      </c>
      <c r="U27">
        <f>'Revenue Model'!AC32</f>
        <v>9.1226538629412435E-2</v>
      </c>
      <c r="V27">
        <f>'Revenue Model'!AD32</f>
        <v>-0.69603556450496995</v>
      </c>
      <c r="W27">
        <f>'Revenue Model'!AE32</f>
        <v>-0.11788772500000033</v>
      </c>
      <c r="X27">
        <f>'Revenue Model'!AF32</f>
        <v>-0.12232045000000002</v>
      </c>
      <c r="Y27">
        <f>'Revenue Model'!AG32</f>
        <v>-0.17659123007025423</v>
      </c>
      <c r="Z27">
        <f>'Revenue Model'!AH32</f>
        <v>0</v>
      </c>
      <c r="AA27">
        <f>'Revenue Model'!AI32</f>
        <v>0</v>
      </c>
      <c r="AB27">
        <f>'Revenue Model'!AJ32</f>
        <v>0</v>
      </c>
      <c r="AC27">
        <f>'Revenue Model'!AK32</f>
        <v>0</v>
      </c>
      <c r="AD27">
        <f>'Revenue Model'!AL32</f>
        <v>0</v>
      </c>
      <c r="AE27">
        <f>'Revenue Model'!AM32</f>
        <v>3.8668703622871803</v>
      </c>
      <c r="AF27">
        <f>'Revenue Model'!AN32</f>
        <v>-0.34695061303778141</v>
      </c>
      <c r="AG27">
        <f>'Revenue Model'!AO32</f>
        <v>-0.50530879148321506</v>
      </c>
      <c r="AH27">
        <f>'Revenue Model'!AP32</f>
        <v>0</v>
      </c>
      <c r="AI27">
        <f>'Revenue Model'!AQ32</f>
        <v>0</v>
      </c>
      <c r="AJ27">
        <f>'Revenue Model'!AR32</f>
        <v>0</v>
      </c>
      <c r="AK27">
        <f>'Revenue Model'!AS32</f>
        <v>0</v>
      </c>
      <c r="AL27">
        <f>'Revenue Model'!AT32</f>
        <v>0</v>
      </c>
      <c r="AM27">
        <f>'Revenue Model'!AU32</f>
        <v>0</v>
      </c>
      <c r="AN27">
        <f>'Revenue Model'!AV32</f>
        <v>0</v>
      </c>
    </row>
    <row r="28" spans="1:40">
      <c r="A28">
        <f>'Revenue Model'!I33</f>
        <v>0</v>
      </c>
      <c r="B28">
        <f>'Revenue Model'!J33</f>
        <v>0</v>
      </c>
      <c r="C28">
        <f>'Revenue Model'!K33</f>
        <v>0</v>
      </c>
      <c r="D28">
        <f>'Revenue Model'!L33</f>
        <v>0</v>
      </c>
      <c r="E28">
        <f>'Revenue Model'!M33</f>
        <v>0</v>
      </c>
      <c r="F28">
        <f>'Revenue Model'!N33</f>
        <v>0</v>
      </c>
      <c r="G28">
        <f>'Revenue Model'!O33</f>
        <v>0</v>
      </c>
      <c r="H28">
        <f>'Revenue Model'!P33</f>
        <v>0</v>
      </c>
      <c r="I28">
        <f>'Revenue Model'!Q33</f>
        <v>0</v>
      </c>
      <c r="J28">
        <f>'Revenue Model'!R33</f>
        <v>0</v>
      </c>
      <c r="K28">
        <f>'Revenue Model'!S33</f>
        <v>0</v>
      </c>
      <c r="L28">
        <f>'Revenue Model'!T33</f>
        <v>0</v>
      </c>
      <c r="M28">
        <f>'Revenue Model'!U33</f>
        <v>0</v>
      </c>
      <c r="N28">
        <f>'Revenue Model'!V33</f>
        <v>0</v>
      </c>
      <c r="O28">
        <f>'Revenue Model'!W33</f>
        <v>0</v>
      </c>
      <c r="P28">
        <f>'Revenue Model'!X33</f>
        <v>0</v>
      </c>
      <c r="Q28">
        <f>'Revenue Model'!Y33</f>
        <v>0</v>
      </c>
      <c r="R28">
        <f>'Revenue Model'!Z33</f>
        <v>0</v>
      </c>
      <c r="S28">
        <f>'Revenue Model'!AA33</f>
        <v>0</v>
      </c>
      <c r="T28">
        <f>'Revenue Model'!AB33</f>
        <v>0</v>
      </c>
      <c r="U28">
        <f>'Revenue Model'!AC33</f>
        <v>0</v>
      </c>
      <c r="V28">
        <f>'Revenue Model'!AD33</f>
        <v>0</v>
      </c>
      <c r="W28">
        <f>'Revenue Model'!AE33</f>
        <v>0</v>
      </c>
      <c r="X28">
        <f>'Revenue Model'!AF33</f>
        <v>0</v>
      </c>
      <c r="Y28">
        <f>'Revenue Model'!AG33</f>
        <v>0</v>
      </c>
      <c r="Z28">
        <f>'Revenue Model'!AH33</f>
        <v>0</v>
      </c>
      <c r="AA28">
        <f>'Revenue Model'!AI33</f>
        <v>0</v>
      </c>
      <c r="AB28">
        <f>'Revenue Model'!AJ33</f>
        <v>0</v>
      </c>
      <c r="AC28">
        <f>'Revenue Model'!AK33</f>
        <v>0</v>
      </c>
      <c r="AD28">
        <f>'Revenue Model'!AL33</f>
        <v>0</v>
      </c>
      <c r="AE28">
        <f>'Revenue Model'!AM33</f>
        <v>0</v>
      </c>
      <c r="AF28">
        <f>'Revenue Model'!AN33</f>
        <v>0</v>
      </c>
      <c r="AG28">
        <f>'Revenue Model'!AO33</f>
        <v>0</v>
      </c>
      <c r="AH28">
        <f>'Revenue Model'!AP33</f>
        <v>0</v>
      </c>
      <c r="AI28">
        <f>'Revenue Model'!AQ33</f>
        <v>0</v>
      </c>
      <c r="AJ28">
        <f>'Revenue Model'!AR33</f>
        <v>0</v>
      </c>
      <c r="AK28">
        <f>'Revenue Model'!AS33</f>
        <v>0</v>
      </c>
      <c r="AL28">
        <f>'Revenue Model'!AT33</f>
        <v>0</v>
      </c>
      <c r="AM28">
        <f>'Revenue Model'!AU33</f>
        <v>0</v>
      </c>
      <c r="AN28">
        <f>'Revenue Model'!AV33</f>
        <v>0</v>
      </c>
    </row>
    <row r="29" spans="1:40">
      <c r="A29" t="str">
        <f>'Revenue Model'!I34</f>
        <v xml:space="preserve">Advertising Revenue </v>
      </c>
      <c r="B29">
        <f>'Revenue Model'!J34</f>
        <v>0</v>
      </c>
      <c r="C29">
        <f>'Revenue Model'!K34</f>
        <v>0</v>
      </c>
      <c r="D29">
        <f>'Revenue Model'!L34</f>
        <v>0</v>
      </c>
      <c r="E29">
        <f>'Revenue Model'!M34</f>
        <v>0</v>
      </c>
      <c r="F29">
        <f>'Revenue Model'!N34</f>
        <v>0</v>
      </c>
      <c r="G29">
        <f>'Revenue Model'!O34</f>
        <v>0</v>
      </c>
      <c r="H29">
        <f>'Revenue Model'!P34</f>
        <v>0</v>
      </c>
      <c r="I29">
        <f>'Revenue Model'!Q34</f>
        <v>0</v>
      </c>
      <c r="J29">
        <f>'Revenue Model'!R34</f>
        <v>3.92</v>
      </c>
      <c r="K29">
        <f>'Revenue Model'!S34</f>
        <v>5.3</v>
      </c>
      <c r="L29">
        <f>'Revenue Model'!T34</f>
        <v>16.725000000000001</v>
      </c>
      <c r="M29">
        <f>'Revenue Model'!U34</f>
        <v>32.718000000000004</v>
      </c>
      <c r="N29">
        <f>'Revenue Model'!V34</f>
        <v>38.798000000000002</v>
      </c>
      <c r="O29">
        <f>'Revenue Model'!W34</f>
        <v>71.798000000000002</v>
      </c>
      <c r="P29">
        <f>'Revenue Model'!X34</f>
        <v>128.20400000000001</v>
      </c>
      <c r="Q29">
        <f>'Revenue Model'!Y34</f>
        <v>161.09999999999997</v>
      </c>
      <c r="R29">
        <f>'Revenue Model'!Z34</f>
        <v>141.34799999999998</v>
      </c>
      <c r="S29">
        <f>'Revenue Model'!AA34</f>
        <v>176.27099999999999</v>
      </c>
      <c r="T29">
        <f>'Revenue Model'!AB34</f>
        <v>204.33700000000002</v>
      </c>
      <c r="U29">
        <f>'Revenue Model'!AC34</f>
        <v>280.69299999999998</v>
      </c>
      <c r="V29">
        <f>'Revenue Model'!AD34</f>
        <v>246.47709518539125</v>
      </c>
      <c r="W29">
        <f>'Revenue Model'!AE34</f>
        <v>290.23659371500003</v>
      </c>
      <c r="X29">
        <f>'Revenue Model'!AF34</f>
        <v>337.84035361999997</v>
      </c>
      <c r="Y29">
        <f>'Revenue Model'!AG34</f>
        <v>423.88295615035128</v>
      </c>
      <c r="Z29">
        <f>'Revenue Model'!AH34</f>
        <v>0</v>
      </c>
      <c r="AA29">
        <f>'Revenue Model'!AI34</f>
        <v>0</v>
      </c>
      <c r="AB29">
        <f>'Revenue Model'!AJ34</f>
        <v>0</v>
      </c>
      <c r="AC29">
        <f>'Revenue Model'!AK34</f>
        <v>58.663000000000004</v>
      </c>
      <c r="AD29">
        <f>'Revenue Model'!AL34</f>
        <v>399.89999999999992</v>
      </c>
      <c r="AE29">
        <f>'Revenue Model'!AM34</f>
        <v>802.649</v>
      </c>
      <c r="AF29">
        <f>'Revenue Model'!AN34</f>
        <v>1298.4369986707425</v>
      </c>
      <c r="AG29">
        <f>'Revenue Model'!AO34</f>
        <v>1962.1606027956655</v>
      </c>
      <c r="AH29">
        <f>'Revenue Model'!AP34</f>
        <v>2797.6743365700872</v>
      </c>
      <c r="AI29">
        <f>'Revenue Model'!AQ34</f>
        <v>3805.7226223719676</v>
      </c>
      <c r="AJ29">
        <f>'Revenue Model'!AR34</f>
        <v>4956.7555538197457</v>
      </c>
      <c r="AK29">
        <f>'Revenue Model'!AS34</f>
        <v>6156.3635892437751</v>
      </c>
      <c r="AL29">
        <f>'Revenue Model'!AT34</f>
        <v>7348.6727833722716</v>
      </c>
      <c r="AM29">
        <f>'Revenue Model'!AU34</f>
        <v>8538.4242901595208</v>
      </c>
      <c r="AN29">
        <f>'Revenue Model'!AV34</f>
        <v>0</v>
      </c>
    </row>
    <row r="30" spans="1:40">
      <c r="A30" t="str">
        <f>'Revenue Model'!I35</f>
        <v>Y/Y % Growth</v>
      </c>
      <c r="B30">
        <f>'Revenue Model'!J35</f>
        <v>0</v>
      </c>
      <c r="C30">
        <f>'Revenue Model'!K35</f>
        <v>0</v>
      </c>
      <c r="D30">
        <f>'Revenue Model'!L35</f>
        <v>0</v>
      </c>
      <c r="E30">
        <f>'Revenue Model'!M35</f>
        <v>0</v>
      </c>
      <c r="F30">
        <f>'Revenue Model'!N35</f>
        <v>0</v>
      </c>
      <c r="G30">
        <f>'Revenue Model'!O35</f>
        <v>0</v>
      </c>
      <c r="H30">
        <f>'Revenue Model'!P35</f>
        <v>0</v>
      </c>
      <c r="I30">
        <f>'Revenue Model'!Q35</f>
        <v>0</v>
      </c>
      <c r="J30">
        <f>'Revenue Model'!R35</f>
        <v>0</v>
      </c>
      <c r="K30">
        <f>'Revenue Model'!S35</f>
        <v>0</v>
      </c>
      <c r="L30">
        <f>'Revenue Model'!T35</f>
        <v>0</v>
      </c>
      <c r="M30">
        <f>'Revenue Model'!U35</f>
        <v>0</v>
      </c>
      <c r="N30">
        <f>'Revenue Model'!V35</f>
        <v>8.8974489795918377</v>
      </c>
      <c r="O30">
        <f>'Revenue Model'!W35</f>
        <v>12.546792452830189</v>
      </c>
      <c r="P30">
        <f>'Revenue Model'!X35</f>
        <v>6.6654110612855009</v>
      </c>
      <c r="Q30">
        <f>'Revenue Model'!Y35</f>
        <v>3.923895103612689</v>
      </c>
      <c r="R30">
        <f>'Revenue Model'!Z35</f>
        <v>2.6431774833754313</v>
      </c>
      <c r="S30">
        <f>'Revenue Model'!AA35</f>
        <v>1.4550962422351597</v>
      </c>
      <c r="T30">
        <f>'Revenue Model'!AB35</f>
        <v>0.59384262581510727</v>
      </c>
      <c r="U30">
        <f>'Revenue Model'!AC35</f>
        <v>0.74235257603972715</v>
      </c>
      <c r="V30">
        <f>'Revenue Model'!AD35</f>
        <v>0.74376075491263594</v>
      </c>
      <c r="W30">
        <f>'Revenue Model'!AE35</f>
        <v>0.64653626356575988</v>
      </c>
      <c r="X30">
        <f>'Revenue Model'!AF35</f>
        <v>0.65334889726285472</v>
      </c>
      <c r="Y30">
        <f>'Revenue Model'!AG35</f>
        <v>0.51013012846900807</v>
      </c>
      <c r="Z30">
        <f>'Revenue Model'!AH35</f>
        <v>0</v>
      </c>
      <c r="AA30">
        <f>'Revenue Model'!AI35</f>
        <v>0</v>
      </c>
      <c r="AB30">
        <f>'Revenue Model'!AJ35</f>
        <v>0</v>
      </c>
      <c r="AC30">
        <f>'Revenue Model'!AK35</f>
        <v>0</v>
      </c>
      <c r="AD30">
        <f>'Revenue Model'!AL35</f>
        <v>0</v>
      </c>
      <c r="AE30">
        <f>'Revenue Model'!AM35</f>
        <v>1.0071242810702681</v>
      </c>
      <c r="AF30">
        <f>'Revenue Model'!AN35</f>
        <v>0.61768967340735803</v>
      </c>
      <c r="AG30">
        <f>'Revenue Model'!AO35</f>
        <v>0.51117120415114559</v>
      </c>
      <c r="AH30">
        <f>'Revenue Model'!AP35</f>
        <v>0.42581312283204076</v>
      </c>
      <c r="AI30">
        <f>'Revenue Model'!AQ35</f>
        <v>0.36031652169985406</v>
      </c>
      <c r="AJ30">
        <f>'Revenue Model'!AR35</f>
        <v>0.30244793056683195</v>
      </c>
      <c r="AK30">
        <f>'Revenue Model'!AS35</f>
        <v>0.24201476598933636</v>
      </c>
      <c r="AL30">
        <f>'Revenue Model'!AT35</f>
        <v>0.19367101647662022</v>
      </c>
      <c r="AM30">
        <f>'Revenue Model'!AU35</f>
        <v>0.16190018821892327</v>
      </c>
      <c r="AN30">
        <f>'Revenue Model'!AV35</f>
        <v>0</v>
      </c>
    </row>
    <row r="31" spans="1:40">
      <c r="A31" t="str">
        <f>'Revenue Model'!I36</f>
        <v>Q/Q % Growth</v>
      </c>
      <c r="B31">
        <f>'Revenue Model'!J36</f>
        <v>0</v>
      </c>
      <c r="C31">
        <f>'Revenue Model'!K36</f>
        <v>0</v>
      </c>
      <c r="D31">
        <f>'Revenue Model'!L36</f>
        <v>0</v>
      </c>
      <c r="E31">
        <f>'Revenue Model'!M36</f>
        <v>0</v>
      </c>
      <c r="F31">
        <f>'Revenue Model'!N36</f>
        <v>0</v>
      </c>
      <c r="G31">
        <f>'Revenue Model'!O36</f>
        <v>0</v>
      </c>
      <c r="H31">
        <f>'Revenue Model'!P36</f>
        <v>0</v>
      </c>
      <c r="I31">
        <f>'Revenue Model'!Q36</f>
        <v>0</v>
      </c>
      <c r="J31">
        <f>'Revenue Model'!R36</f>
        <v>0</v>
      </c>
      <c r="K31">
        <f>'Revenue Model'!S36</f>
        <v>0.3520408163265305</v>
      </c>
      <c r="L31">
        <f>'Revenue Model'!T36</f>
        <v>2.1556603773584908</v>
      </c>
      <c r="M31">
        <f>'Revenue Model'!U36</f>
        <v>0.95623318385650236</v>
      </c>
      <c r="N31">
        <f>'Revenue Model'!V36</f>
        <v>0.18583042973286878</v>
      </c>
      <c r="O31">
        <f>'Revenue Model'!W36</f>
        <v>0.85055930718078243</v>
      </c>
      <c r="P31">
        <f>'Revenue Model'!X36</f>
        <v>0.78562076938076286</v>
      </c>
      <c r="Q31">
        <f>'Revenue Model'!Y36</f>
        <v>0.25659105800130999</v>
      </c>
      <c r="R31">
        <f>'Revenue Model'!Z36</f>
        <v>-0.12260707635009305</v>
      </c>
      <c r="S31">
        <f>'Revenue Model'!AA36</f>
        <v>0.2470710586637237</v>
      </c>
      <c r="T31">
        <f>'Revenue Model'!AB36</f>
        <v>0.15922074532963459</v>
      </c>
      <c r="U31">
        <f>'Revenue Model'!AC36</f>
        <v>0.37367681819738952</v>
      </c>
      <c r="V31">
        <f>'Revenue Model'!AD36</f>
        <v>-0.12189796259475205</v>
      </c>
      <c r="W31">
        <f>'Revenue Model'!AE36</f>
        <v>0.17753981763171311</v>
      </c>
      <c r="X31">
        <f>'Revenue Model'!AF36</f>
        <v>0.1640170844609099</v>
      </c>
      <c r="Y31">
        <f>'Revenue Model'!AG36</f>
        <v>0.25468420692908489</v>
      </c>
      <c r="Z31">
        <f>'Revenue Model'!AH36</f>
        <v>0</v>
      </c>
      <c r="AA31">
        <f>'Revenue Model'!AI36</f>
        <v>0</v>
      </c>
      <c r="AB31">
        <f>'Revenue Model'!AJ36</f>
        <v>0</v>
      </c>
      <c r="AC31">
        <f>'Revenue Model'!AK36</f>
        <v>0</v>
      </c>
      <c r="AD31">
        <f>'Revenue Model'!AL36</f>
        <v>0</v>
      </c>
      <c r="AE31">
        <f>'Revenue Model'!AM36</f>
        <v>0</v>
      </c>
      <c r="AF31">
        <f>'Revenue Model'!AN36</f>
        <v>0</v>
      </c>
      <c r="AG31">
        <f>'Revenue Model'!AO36</f>
        <v>0</v>
      </c>
      <c r="AH31">
        <f>'Revenue Model'!AP36</f>
        <v>0</v>
      </c>
      <c r="AI31">
        <f>'Revenue Model'!AQ36</f>
        <v>0</v>
      </c>
      <c r="AJ31">
        <f>'Revenue Model'!AR36</f>
        <v>0</v>
      </c>
      <c r="AK31">
        <f>'Revenue Model'!AS36</f>
        <v>0</v>
      </c>
      <c r="AL31">
        <f>'Revenue Model'!AT36</f>
        <v>0</v>
      </c>
      <c r="AM31">
        <f>'Revenue Model'!AU36</f>
        <v>0</v>
      </c>
      <c r="AN31">
        <f>'Revenue Model'!AV36</f>
        <v>0</v>
      </c>
    </row>
    <row r="32" spans="1:40">
      <c r="A32" t="str">
        <f>'Revenue Model'!I38</f>
        <v>Advertising ARPU</v>
      </c>
      <c r="B32">
        <f>'Revenue Model'!J38</f>
        <v>0</v>
      </c>
      <c r="C32">
        <f>'Revenue Model'!K38</f>
        <v>0</v>
      </c>
      <c r="D32">
        <f>'Revenue Model'!L38</f>
        <v>0</v>
      </c>
      <c r="E32">
        <f>'Revenue Model'!M38</f>
        <v>0</v>
      </c>
      <c r="F32">
        <f>'Revenue Model'!N38</f>
        <v>0</v>
      </c>
      <c r="G32">
        <f>'Revenue Model'!O38</f>
        <v>0</v>
      </c>
      <c r="H32">
        <f>'Revenue Model'!P38</f>
        <v>0</v>
      </c>
      <c r="I32">
        <f>'Revenue Model'!Q38</f>
        <v>0</v>
      </c>
      <c r="J32">
        <f>'Revenue Model'!R38</f>
        <v>5.1578947368421051E-2</v>
      </c>
      <c r="K32">
        <f>'Revenue Model'!S38</f>
        <v>6.3095238095238093E-2</v>
      </c>
      <c r="L32">
        <f>'Revenue Model'!T38</f>
        <v>0.18409466152999451</v>
      </c>
      <c r="M32">
        <f>'Revenue Model'!U38</f>
        <v>0.32603886397608378</v>
      </c>
      <c r="N32">
        <f>'Revenue Model'!V38</f>
        <v>0.34033333333333338</v>
      </c>
      <c r="O32">
        <f>'Revenue Model'!W38</f>
        <v>0.54187169811320757</v>
      </c>
      <c r="P32">
        <f>'Revenue Model'!X38</f>
        <v>0.86624324324324331</v>
      </c>
      <c r="Q32">
        <f>'Revenue Model'!Y38</f>
        <v>1.0350144555091549</v>
      </c>
      <c r="R32">
        <f>'Revenue Model'!Z38</f>
        <v>0.87171137835337642</v>
      </c>
      <c r="S32">
        <f>'Revenue Model'!AA38</f>
        <v>1.0368882352941176</v>
      </c>
      <c r="T32">
        <f>'Revenue Model'!AB38</f>
        <v>1.161005681818182</v>
      </c>
      <c r="U32">
        <f>'Revenue Model'!AC38</f>
        <v>1.5380438356164383</v>
      </c>
      <c r="V32">
        <f>'Revenue Model'!AD38</f>
        <v>1.2941147494770098</v>
      </c>
      <c r="W32">
        <f>'Revenue Model'!AE38</f>
        <v>1.4687306277500438</v>
      </c>
      <c r="X32">
        <f>'Revenue Model'!AF38</f>
        <v>1.6514748571599662</v>
      </c>
      <c r="Y32">
        <f>'Revenue Model'!AG38</f>
        <v>2.0049518894205005</v>
      </c>
      <c r="Z32">
        <f>'Revenue Model'!AH38</f>
        <v>0</v>
      </c>
      <c r="AA32">
        <f>'Revenue Model'!AI38</f>
        <v>0</v>
      </c>
      <c r="AB32">
        <f>'Revenue Model'!AJ38</f>
        <v>0</v>
      </c>
      <c r="AC32">
        <f>'Revenue Model'!AK38</f>
        <v>0.66285875706214692</v>
      </c>
      <c r="AD32">
        <f>'Revenue Model'!AL38</f>
        <v>3.0261066969353001</v>
      </c>
      <c r="AE32">
        <f>'Revenue Model'!AM38</f>
        <v>4.6489950767448596</v>
      </c>
      <c r="AF32">
        <f>'Revenue Model'!AN38</f>
        <v>6.4598970149704185</v>
      </c>
      <c r="AG32">
        <f>'Revenue Model'!AO38</f>
        <v>8.5946983586792456</v>
      </c>
      <c r="AH32">
        <f>'Revenue Model'!AP38</f>
        <v>11.017821594729932</v>
      </c>
      <c r="AI32">
        <f>'Revenue Model'!AQ38</f>
        <v>13.718637338166339</v>
      </c>
      <c r="AJ32">
        <f>'Revenue Model'!AR38</f>
        <v>16.598438501322661</v>
      </c>
      <c r="AK32">
        <f>'Revenue Model'!AS38</f>
        <v>19.37660133118327</v>
      </c>
      <c r="AL32">
        <f>'Revenue Model'!AT38</f>
        <v>21.942501341196714</v>
      </c>
      <c r="AM32">
        <f>'Revenue Model'!AU38</f>
        <v>24.313125946141465</v>
      </c>
      <c r="AN32">
        <f>'Revenue Model'!AV38</f>
        <v>0</v>
      </c>
    </row>
    <row r="33" spans="1:40">
      <c r="A33" t="str">
        <f>'Revenue Model'!I39</f>
        <v>Y/Y % Growth</v>
      </c>
      <c r="B33">
        <f>'Revenue Model'!J39</f>
        <v>0</v>
      </c>
      <c r="C33">
        <f>'Revenue Model'!K39</f>
        <v>0</v>
      </c>
      <c r="D33">
        <f>'Revenue Model'!L39</f>
        <v>0</v>
      </c>
      <c r="E33">
        <f>'Revenue Model'!M39</f>
        <v>0</v>
      </c>
      <c r="F33">
        <f>'Revenue Model'!N39</f>
        <v>0</v>
      </c>
      <c r="G33">
        <f>'Revenue Model'!O39</f>
        <v>0</v>
      </c>
      <c r="H33">
        <f>'Revenue Model'!P39</f>
        <v>0</v>
      </c>
      <c r="I33">
        <f>'Revenue Model'!Q39</f>
        <v>0</v>
      </c>
      <c r="J33">
        <f>'Revenue Model'!R39</f>
        <v>0</v>
      </c>
      <c r="K33">
        <f>'Revenue Model'!S39</f>
        <v>0</v>
      </c>
      <c r="L33">
        <f>'Revenue Model'!T39</f>
        <v>0</v>
      </c>
      <c r="M33">
        <f>'Revenue Model'!U39</f>
        <v>0</v>
      </c>
      <c r="N33">
        <f>'Revenue Model'!V39</f>
        <v>5.5982993197278921</v>
      </c>
      <c r="O33">
        <f>'Revenue Model'!W39</f>
        <v>7.588155215379139</v>
      </c>
      <c r="P33">
        <f>'Revenue Model'!X39</f>
        <v>3.705422938633701</v>
      </c>
      <c r="Q33">
        <f>'Revenue Model'!Y39</f>
        <v>2.1745125194187809</v>
      </c>
      <c r="R33">
        <f>'Revenue Model'!Z39</f>
        <v>1.5613458717533093</v>
      </c>
      <c r="S33">
        <f>'Revenue Model'!AA39</f>
        <v>0.91353089468328608</v>
      </c>
      <c r="T33">
        <f>'Revenue Model'!AB39</f>
        <v>0.34027675352634024</v>
      </c>
      <c r="U33">
        <f>'Revenue Model'!AC39</f>
        <v>0.48601193677032084</v>
      </c>
      <c r="V33">
        <f>'Revenue Model'!AD39</f>
        <v>0.48456792192105413</v>
      </c>
      <c r="W33">
        <f>'Revenue Model'!AE39</f>
        <v>0.41647920938502336</v>
      </c>
      <c r="X33">
        <f>'Revenue Model'!AF39</f>
        <v>0.42245200262387139</v>
      </c>
      <c r="Y33">
        <f>'Revenue Model'!AG39</f>
        <v>0.3035726570282884</v>
      </c>
      <c r="Z33">
        <f>'Revenue Model'!AH39</f>
        <v>0</v>
      </c>
      <c r="AA33">
        <f>'Revenue Model'!AI39</f>
        <v>0</v>
      </c>
      <c r="AB33">
        <f>'Revenue Model'!AJ39</f>
        <v>0</v>
      </c>
      <c r="AC33">
        <f>'Revenue Model'!AK39</f>
        <v>0</v>
      </c>
      <c r="AD33">
        <f>'Revenue Model'!AL39</f>
        <v>0</v>
      </c>
      <c r="AE33">
        <f>'Revenue Model'!AM39</f>
        <v>0.53629582243519214</v>
      </c>
      <c r="AF33">
        <f>'Revenue Model'!AN39</f>
        <v>0.38952545836927821</v>
      </c>
      <c r="AG33">
        <f>'Revenue Model'!AO39</f>
        <v>0.33046987262514471</v>
      </c>
      <c r="AH33">
        <f>'Revenue Model'!AP39</f>
        <v>0.28193231861403567</v>
      </c>
      <c r="AI33">
        <f>'Revenue Model'!AQ39</f>
        <v>0.24513155529113551</v>
      </c>
      <c r="AJ33">
        <f>'Revenue Model'!AR39</f>
        <v>0.20991889297521471</v>
      </c>
      <c r="AK33">
        <f>'Revenue Model'!AS39</f>
        <v>0.16737495094127253</v>
      </c>
      <c r="AL33">
        <f>'Revenue Model'!AT39</f>
        <v>0.13242260426156749</v>
      </c>
      <c r="AM33">
        <f>'Revenue Model'!AU39</f>
        <v>0.10803802939703777</v>
      </c>
      <c r="AN33">
        <f>'Revenue Model'!AV39</f>
        <v>0</v>
      </c>
    </row>
    <row r="34" spans="1:40">
      <c r="A34" t="str">
        <f>'Revenue Model'!I49</f>
        <v>Y/Y % Growth</v>
      </c>
      <c r="B34">
        <f>'Revenue Model'!J49</f>
        <v>0</v>
      </c>
      <c r="C34">
        <f>'Revenue Model'!K49</f>
        <v>0</v>
      </c>
      <c r="D34">
        <f>'Revenue Model'!L49</f>
        <v>0</v>
      </c>
      <c r="E34">
        <f>'Revenue Model'!M49</f>
        <v>0</v>
      </c>
      <c r="F34">
        <f>'Revenue Model'!N49</f>
        <v>0</v>
      </c>
      <c r="G34">
        <f>'Revenue Model'!O49</f>
        <v>0</v>
      </c>
      <c r="H34">
        <f>'Revenue Model'!P49</f>
        <v>0</v>
      </c>
      <c r="I34">
        <f>'Revenue Model'!Q49</f>
        <v>0</v>
      </c>
      <c r="J34">
        <f>'Revenue Model'!R49</f>
        <v>0</v>
      </c>
      <c r="K34">
        <f>'Revenue Model'!S49</f>
        <v>0</v>
      </c>
      <c r="L34">
        <f>'Revenue Model'!T49</f>
        <v>0</v>
      </c>
      <c r="M34">
        <f>'Revenue Model'!U49</f>
        <v>0</v>
      </c>
      <c r="N34">
        <f>'Revenue Model'!V49</f>
        <v>9.291461412151067</v>
      </c>
      <c r="O34">
        <f>'Revenue Model'!W49</f>
        <v>12.727607894166125</v>
      </c>
      <c r="P34">
        <f>'Revenue Model'!X49</f>
        <v>7.1441850076456532</v>
      </c>
      <c r="Q34">
        <f>'Revenue Model'!Y49</f>
        <v>4.2209461397889454</v>
      </c>
      <c r="R34">
        <f>'Revenue Model'!Z49</f>
        <v>2.676868311584705</v>
      </c>
      <c r="S34">
        <f>'Revenue Model'!AA49</f>
        <v>1.603099624000758</v>
      </c>
      <c r="T34">
        <f>'Revenue Model'!AB49</f>
        <v>0.61882299331668134</v>
      </c>
      <c r="U34">
        <f>'Revenue Model'!AC49</f>
        <v>0.81289855503038533</v>
      </c>
      <c r="V34">
        <f>'Revenue Model'!AD49</f>
        <v>0.71893174087773559</v>
      </c>
      <c r="W34">
        <f>'Revenue Model'!AE49</f>
        <v>0.55007982271880396</v>
      </c>
      <c r="X34">
        <f>'Revenue Model'!AF49</f>
        <v>0.54975062780172723</v>
      </c>
      <c r="Y34">
        <f>'Revenue Model'!AG49</f>
        <v>0.38931289046873774</v>
      </c>
      <c r="Z34">
        <f>'Revenue Model'!AH49</f>
        <v>0</v>
      </c>
      <c r="AA34">
        <f>'Revenue Model'!AI49</f>
        <v>0</v>
      </c>
      <c r="AB34">
        <f>'Revenue Model'!AJ49</f>
        <v>0</v>
      </c>
      <c r="AC34">
        <f>'Revenue Model'!AK49</f>
        <v>0</v>
      </c>
      <c r="AD34">
        <f>'Revenue Model'!AL49</f>
        <v>6.1654815549118522</v>
      </c>
      <c r="AE34">
        <f>'Revenue Model'!AM49</f>
        <v>1.066161643835617</v>
      </c>
      <c r="AF34">
        <f>'Revenue Model'!AN49</f>
        <v>0.52165434248929743</v>
      </c>
      <c r="AG34">
        <f>'Revenue Model'!AO49</f>
        <v>0.48552325515849226</v>
      </c>
      <c r="AH34">
        <f>'Revenue Model'!AP49</f>
        <v>0.401196084949621</v>
      </c>
      <c r="AI34">
        <f>'Revenue Model'!AQ49</f>
        <v>0.33641768005559491</v>
      </c>
      <c r="AJ34">
        <f>'Revenue Model'!AR49</f>
        <v>0.27915656192733973</v>
      </c>
      <c r="AK34">
        <f>'Revenue Model'!AS49</f>
        <v>0.21939968928069375</v>
      </c>
      <c r="AL34">
        <f>'Revenue Model'!AT49</f>
        <v>0.17153310563425683</v>
      </c>
      <c r="AM34">
        <f>'Revenue Model'!AU49</f>
        <v>0.1399443060924932</v>
      </c>
      <c r="AN34">
        <f>'Revenue Model'!AV49</f>
        <v>0</v>
      </c>
    </row>
    <row r="35" spans="1:40">
      <c r="A35" t="str">
        <f>'Revenue Model'!I51</f>
        <v>Ad Revenue Breakdown</v>
      </c>
      <c r="B35">
        <f>'Revenue Model'!J51</f>
        <v>0</v>
      </c>
      <c r="C35">
        <f>'Revenue Model'!K51</f>
        <v>0</v>
      </c>
      <c r="D35">
        <f>'Revenue Model'!L51</f>
        <v>0</v>
      </c>
      <c r="E35">
        <f>'Revenue Model'!M51</f>
        <v>0</v>
      </c>
      <c r="F35">
        <f>'Revenue Model'!N51</f>
        <v>0</v>
      </c>
      <c r="G35">
        <f>'Revenue Model'!O51</f>
        <v>0</v>
      </c>
      <c r="H35">
        <f>'Revenue Model'!P51</f>
        <v>0</v>
      </c>
      <c r="I35">
        <f>'Revenue Model'!Q51</f>
        <v>0</v>
      </c>
      <c r="J35">
        <f>'Revenue Model'!R51</f>
        <v>0</v>
      </c>
      <c r="K35">
        <f>'Revenue Model'!S51</f>
        <v>0</v>
      </c>
      <c r="L35">
        <f>'Revenue Model'!T51</f>
        <v>0</v>
      </c>
      <c r="M35">
        <f>'Revenue Model'!U51</f>
        <v>0</v>
      </c>
      <c r="N35">
        <f>'Revenue Model'!V51</f>
        <v>0</v>
      </c>
      <c r="O35">
        <f>'Revenue Model'!W51</f>
        <v>0</v>
      </c>
      <c r="P35">
        <f>'Revenue Model'!X51</f>
        <v>0</v>
      </c>
      <c r="Q35">
        <f>'Revenue Model'!Y51</f>
        <v>0</v>
      </c>
      <c r="R35">
        <f>'Revenue Model'!Z51</f>
        <v>0</v>
      </c>
      <c r="S35">
        <f>'Revenue Model'!AA51</f>
        <v>0</v>
      </c>
      <c r="T35">
        <f>'Revenue Model'!AB51</f>
        <v>0</v>
      </c>
      <c r="U35">
        <f>'Revenue Model'!AC51</f>
        <v>0</v>
      </c>
      <c r="V35">
        <f>'Revenue Model'!AD51</f>
        <v>0</v>
      </c>
      <c r="W35">
        <f>'Revenue Model'!AE51</f>
        <v>0</v>
      </c>
      <c r="X35">
        <f>'Revenue Model'!AF51</f>
        <v>0</v>
      </c>
      <c r="Y35">
        <f>'Revenue Model'!AG51</f>
        <v>0</v>
      </c>
      <c r="Z35">
        <f>'Revenue Model'!AH51</f>
        <v>0</v>
      </c>
      <c r="AA35">
        <f>'Revenue Model'!AI51</f>
        <v>0</v>
      </c>
      <c r="AB35">
        <f>'Revenue Model'!AJ51</f>
        <v>0</v>
      </c>
      <c r="AC35">
        <f>'Revenue Model'!AK51</f>
        <v>0</v>
      </c>
      <c r="AD35">
        <f>'Revenue Model'!AL51</f>
        <v>0</v>
      </c>
      <c r="AE35">
        <f>'Revenue Model'!AM51</f>
        <v>0</v>
      </c>
      <c r="AF35">
        <f>'Revenue Model'!AN51</f>
        <v>0</v>
      </c>
      <c r="AG35">
        <f>'Revenue Model'!AO51</f>
        <v>0</v>
      </c>
      <c r="AH35">
        <f>'Revenue Model'!AP51</f>
        <v>0</v>
      </c>
      <c r="AI35">
        <f>'Revenue Model'!AQ51</f>
        <v>0</v>
      </c>
      <c r="AJ35">
        <f>'Revenue Model'!AR51</f>
        <v>0</v>
      </c>
      <c r="AK35">
        <f>'Revenue Model'!AS51</f>
        <v>0</v>
      </c>
      <c r="AL35">
        <f>'Revenue Model'!AT51</f>
        <v>0</v>
      </c>
      <c r="AM35">
        <f>'Revenue Model'!AU51</f>
        <v>0</v>
      </c>
      <c r="AN35">
        <f>'Revenue Model'!AV51</f>
        <v>0</v>
      </c>
    </row>
    <row r="36" spans="1:40">
      <c r="A36" t="str">
        <f>'Revenue Model'!I52</f>
        <v>Total DAUs</v>
      </c>
      <c r="B36">
        <f>'Revenue Model'!J52</f>
        <v>8.9320388349514559</v>
      </c>
      <c r="C36">
        <f>'Revenue Model'!K52</f>
        <v>20.87912087912088</v>
      </c>
      <c r="D36">
        <f>'Revenue Model'!L52</f>
        <v>27.876106194690269</v>
      </c>
      <c r="E36">
        <f>'Revenue Model'!M52</f>
        <v>36.979166666666671</v>
      </c>
      <c r="F36">
        <f>'Revenue Model'!N52</f>
        <v>46</v>
      </c>
      <c r="G36">
        <f>'Revenue Model'!O52</f>
        <v>57</v>
      </c>
      <c r="H36">
        <f>'Revenue Model'!P52</f>
        <v>63</v>
      </c>
      <c r="I36">
        <f>'Revenue Model'!Q52</f>
        <v>71</v>
      </c>
      <c r="J36">
        <f>'Revenue Model'!R52</f>
        <v>81</v>
      </c>
      <c r="K36">
        <f>'Revenue Model'!S52</f>
        <v>87</v>
      </c>
      <c r="L36">
        <f>'Revenue Model'!T52</f>
        <v>94.7</v>
      </c>
      <c r="M36">
        <f>'Revenue Model'!U52</f>
        <v>106</v>
      </c>
      <c r="N36">
        <f>'Revenue Model'!V52</f>
        <v>122</v>
      </c>
      <c r="O36">
        <f>'Revenue Model'!W52</f>
        <v>143</v>
      </c>
      <c r="P36">
        <f>'Revenue Model'!X52</f>
        <v>153</v>
      </c>
      <c r="Q36">
        <f>'Revenue Model'!Y52</f>
        <v>158.30000000000001</v>
      </c>
      <c r="R36">
        <f>'Revenue Model'!Z52</f>
        <v>166</v>
      </c>
      <c r="S36">
        <f>'Revenue Model'!AA52</f>
        <v>174</v>
      </c>
      <c r="T36">
        <f>'Revenue Model'!AB52</f>
        <v>178</v>
      </c>
      <c r="U36">
        <f>'Revenue Model'!AC52</f>
        <v>187</v>
      </c>
      <c r="V36">
        <f>'Revenue Model'!AD52</f>
        <v>193.92</v>
      </c>
      <c r="W36">
        <f>'Revenue Model'!AE52</f>
        <v>201.30099999999999</v>
      </c>
      <c r="X36">
        <f>'Revenue Model'!AF52</f>
        <v>207.83674999999997</v>
      </c>
      <c r="Y36">
        <f>'Revenue Model'!AG52</f>
        <v>214.99928749999998</v>
      </c>
      <c r="Z36">
        <f>'Revenue Model'!AH52</f>
        <v>0</v>
      </c>
      <c r="AA36">
        <f>'Revenue Model'!AI52</f>
        <v>36.979166666666671</v>
      </c>
      <c r="AB36">
        <f>'Revenue Model'!AJ52</f>
        <v>71</v>
      </c>
      <c r="AC36">
        <f>'Revenue Model'!AK52</f>
        <v>106</v>
      </c>
      <c r="AD36">
        <f>'Revenue Model'!AL52</f>
        <v>158.30000000000001</v>
      </c>
      <c r="AE36">
        <f>'Revenue Model'!AM52</f>
        <v>187</v>
      </c>
      <c r="AF36">
        <f>'Revenue Model'!AN52</f>
        <v>214.99928749999998</v>
      </c>
      <c r="AG36">
        <f>'Revenue Model'!AO52</f>
        <v>241.59861062499999</v>
      </c>
      <c r="AH36">
        <f>'Revenue Model'!AP52</f>
        <v>266.24666759374998</v>
      </c>
      <c r="AI36">
        <f>'Revenue Model'!AQ52</f>
        <v>288.57849886562497</v>
      </c>
      <c r="AJ36">
        <f>'Revenue Model'!AR52</f>
        <v>308.67714701031241</v>
      </c>
      <c r="AK36">
        <f>'Revenue Model'!AS52</f>
        <v>326.76593034053121</v>
      </c>
      <c r="AL36">
        <f>'Revenue Model'!AT52</f>
        <v>343.04583533772802</v>
      </c>
      <c r="AM36">
        <f>'Revenue Model'!AU52</f>
        <v>359.32574033492494</v>
      </c>
      <c r="AN36">
        <f>'Revenue Model'!AV52</f>
        <v>0</v>
      </c>
    </row>
    <row r="37" spans="1:40">
      <c r="A37">
        <f>'Revenue Model'!I56</f>
        <v>0</v>
      </c>
      <c r="B37">
        <f>'Revenue Model'!J56</f>
        <v>0</v>
      </c>
      <c r="C37">
        <f>'Revenue Model'!K56</f>
        <v>0</v>
      </c>
      <c r="D37">
        <f>'Revenue Model'!L56</f>
        <v>0</v>
      </c>
      <c r="E37">
        <f>'Revenue Model'!M56</f>
        <v>0</v>
      </c>
      <c r="F37">
        <f>'Revenue Model'!N56</f>
        <v>0</v>
      </c>
      <c r="G37">
        <f>'Revenue Model'!O56</f>
        <v>0</v>
      </c>
      <c r="H37">
        <f>'Revenue Model'!P56</f>
        <v>0</v>
      </c>
      <c r="I37">
        <f>'Revenue Model'!Q56</f>
        <v>0</v>
      </c>
      <c r="J37">
        <f>'Revenue Model'!R56</f>
        <v>0</v>
      </c>
      <c r="K37">
        <f>'Revenue Model'!S56</f>
        <v>0</v>
      </c>
      <c r="L37">
        <f>'Revenue Model'!T56</f>
        <v>0</v>
      </c>
      <c r="M37">
        <f>'Revenue Model'!U56</f>
        <v>0</v>
      </c>
      <c r="N37">
        <f>'Revenue Model'!V56</f>
        <v>0</v>
      </c>
      <c r="O37">
        <f>'Revenue Model'!W56</f>
        <v>0</v>
      </c>
      <c r="P37">
        <f>'Revenue Model'!X56</f>
        <v>0</v>
      </c>
      <c r="Q37">
        <f>'Revenue Model'!Y56</f>
        <v>0</v>
      </c>
      <c r="R37">
        <f>'Revenue Model'!Z56</f>
        <v>0</v>
      </c>
      <c r="S37">
        <f>'Revenue Model'!AA56</f>
        <v>0</v>
      </c>
      <c r="T37">
        <f>'Revenue Model'!AB56</f>
        <v>0</v>
      </c>
      <c r="U37">
        <f>'Revenue Model'!AC56</f>
        <v>0</v>
      </c>
      <c r="V37">
        <f>'Revenue Model'!AD56</f>
        <v>0</v>
      </c>
      <c r="W37">
        <f>'Revenue Model'!AE56</f>
        <v>0</v>
      </c>
      <c r="X37">
        <f>'Revenue Model'!AF56</f>
        <v>0</v>
      </c>
      <c r="Y37">
        <f>'Revenue Model'!AG56</f>
        <v>0</v>
      </c>
      <c r="Z37">
        <f>'Revenue Model'!AH56</f>
        <v>0</v>
      </c>
      <c r="AA37">
        <f>'Revenue Model'!AI56</f>
        <v>0</v>
      </c>
      <c r="AB37">
        <f>'Revenue Model'!AJ56</f>
        <v>0</v>
      </c>
      <c r="AC37">
        <f>'Revenue Model'!AK56</f>
        <v>0</v>
      </c>
      <c r="AD37">
        <f>'Revenue Model'!AL56</f>
        <v>0</v>
      </c>
      <c r="AE37">
        <f>'Revenue Model'!AM56</f>
        <v>0</v>
      </c>
      <c r="AF37">
        <f>'Revenue Model'!AN56</f>
        <v>0</v>
      </c>
      <c r="AG37">
        <f>'Revenue Model'!AO56</f>
        <v>0</v>
      </c>
      <c r="AH37">
        <f>'Revenue Model'!AP56</f>
        <v>0</v>
      </c>
      <c r="AI37">
        <f>'Revenue Model'!AQ56</f>
        <v>0</v>
      </c>
      <c r="AJ37">
        <f>'Revenue Model'!AR56</f>
        <v>0</v>
      </c>
      <c r="AK37">
        <f>'Revenue Model'!AS56</f>
        <v>0</v>
      </c>
      <c r="AL37">
        <f>'Revenue Model'!AT56</f>
        <v>0</v>
      </c>
      <c r="AM37">
        <f>'Revenue Model'!AU56</f>
        <v>0</v>
      </c>
      <c r="AN37">
        <f>'Revenue Model'!AV56</f>
        <v>0</v>
      </c>
    </row>
    <row r="38" spans="1:40">
      <c r="A38" t="str">
        <f>'Revenue Model'!I65</f>
        <v>Avg. CPM</v>
      </c>
      <c r="B38">
        <f>'Revenue Model'!J65</f>
        <v>40</v>
      </c>
      <c r="C38">
        <f>'Revenue Model'!K65</f>
        <v>40</v>
      </c>
      <c r="D38">
        <f>'Revenue Model'!L65</f>
        <v>40</v>
      </c>
      <c r="E38">
        <f>'Revenue Model'!M65</f>
        <v>40</v>
      </c>
      <c r="F38">
        <f>'Revenue Model'!N65</f>
        <v>35</v>
      </c>
      <c r="G38">
        <f>'Revenue Model'!O65</f>
        <v>35</v>
      </c>
      <c r="H38">
        <f>'Revenue Model'!P65</f>
        <v>35</v>
      </c>
      <c r="I38">
        <f>'Revenue Model'!Q65</f>
        <v>35</v>
      </c>
      <c r="J38">
        <f>'Revenue Model'!R65</f>
        <v>26</v>
      </c>
      <c r="K38">
        <f>'Revenue Model'!S65</f>
        <v>26</v>
      </c>
      <c r="L38">
        <f>'Revenue Model'!T65</f>
        <v>26</v>
      </c>
      <c r="M38">
        <f>'Revenue Model'!U65</f>
        <v>26</v>
      </c>
      <c r="N38">
        <f>'Revenue Model'!V65</f>
        <v>24</v>
      </c>
      <c r="O38">
        <f>'Revenue Model'!W65</f>
        <v>24</v>
      </c>
      <c r="P38">
        <f>'Revenue Model'!X65</f>
        <v>23</v>
      </c>
      <c r="Q38">
        <f>'Revenue Model'!Y65</f>
        <v>24</v>
      </c>
      <c r="R38">
        <f>'Revenue Model'!Z65</f>
        <v>16.799999999999997</v>
      </c>
      <c r="S38">
        <f>'Revenue Model'!AA65</f>
        <v>9.164595098436866</v>
      </c>
      <c r="T38">
        <f>'Revenue Model'!AB65</f>
        <v>7.331676078749493</v>
      </c>
      <c r="U38">
        <f>'Revenue Model'!AC65</f>
        <v>6.1950313814745863</v>
      </c>
      <c r="V38">
        <f>'Revenue Model'!AD65</f>
        <v>6.7199999999999989</v>
      </c>
      <c r="W38">
        <f>'Revenue Model'!AE65</f>
        <v>3.6658380393747465</v>
      </c>
      <c r="X38">
        <f>'Revenue Model'!AF65</f>
        <v>6.5985084708745436</v>
      </c>
      <c r="Y38">
        <f>'Revenue Model'!AG65</f>
        <v>5.5755282433271276</v>
      </c>
      <c r="Z38">
        <f>'Revenue Model'!AH65</f>
        <v>0</v>
      </c>
      <c r="AA38">
        <f>'Revenue Model'!AI65</f>
        <v>0</v>
      </c>
      <c r="AB38">
        <f>'Revenue Model'!AJ65</f>
        <v>0</v>
      </c>
      <c r="AC38">
        <f>'Revenue Model'!AK65</f>
        <v>26</v>
      </c>
      <c r="AD38">
        <f>'Revenue Model'!AL65</f>
        <v>23.670069947106462</v>
      </c>
      <c r="AE38">
        <f>'Revenue Model'!AM65</f>
        <v>7.9606323647242121</v>
      </c>
      <c r="AF38">
        <f>'Revenue Model'!AN65</f>
        <v>5.3416786770368558</v>
      </c>
      <c r="AG38">
        <f>'Revenue Model'!AO65</f>
        <v>4.5404268754813275</v>
      </c>
      <c r="AH38">
        <f>'Revenue Model'!AP65</f>
        <v>4.086384187933195</v>
      </c>
      <c r="AI38">
        <f>'Revenue Model'!AQ65</f>
        <v>3.8820649785365351</v>
      </c>
      <c r="AJ38">
        <f>'Revenue Model'!AR65</f>
        <v>3.8820649785365351</v>
      </c>
      <c r="AK38">
        <f>'Revenue Model'!AS65</f>
        <v>3.8820649785365351</v>
      </c>
      <c r="AL38">
        <f>'Revenue Model'!AT65</f>
        <v>3.8820649785365351</v>
      </c>
      <c r="AM38">
        <f>'Revenue Model'!AU65</f>
        <v>3.8820649785365351</v>
      </c>
      <c r="AN38">
        <f>'Revenue Model'!AV65</f>
        <v>0</v>
      </c>
    </row>
    <row r="39" spans="1:40">
      <c r="A39" t="str">
        <f>'Revenue Model'!I66</f>
        <v>Y/Y % Growth</v>
      </c>
      <c r="B39">
        <f>'Revenue Model'!J66</f>
        <v>0</v>
      </c>
      <c r="C39">
        <f>'Revenue Model'!K66</f>
        <v>0</v>
      </c>
      <c r="D39">
        <f>'Revenue Model'!L66</f>
        <v>0</v>
      </c>
      <c r="E39">
        <f>'Revenue Model'!M66</f>
        <v>0</v>
      </c>
      <c r="F39">
        <f>'Revenue Model'!N66</f>
        <v>-0.125</v>
      </c>
      <c r="G39">
        <f>'Revenue Model'!O66</f>
        <v>-0.125</v>
      </c>
      <c r="H39">
        <f>'Revenue Model'!P66</f>
        <v>-0.125</v>
      </c>
      <c r="I39">
        <f>'Revenue Model'!Q66</f>
        <v>-0.125</v>
      </c>
      <c r="J39">
        <f>'Revenue Model'!R66</f>
        <v>-0.25714285714285712</v>
      </c>
      <c r="K39">
        <f>'Revenue Model'!S66</f>
        <v>-0.25714285714285712</v>
      </c>
      <c r="L39">
        <f>'Revenue Model'!T66</f>
        <v>-0.25714285714285712</v>
      </c>
      <c r="M39">
        <f>'Revenue Model'!U66</f>
        <v>-0.25714285714285712</v>
      </c>
      <c r="N39">
        <f>'Revenue Model'!V66</f>
        <v>-7.6923076923076872E-2</v>
      </c>
      <c r="O39">
        <f>'Revenue Model'!W66</f>
        <v>-7.6923076923076872E-2</v>
      </c>
      <c r="P39">
        <f>'Revenue Model'!X66</f>
        <v>-0.11538461538461542</v>
      </c>
      <c r="Q39">
        <f>'Revenue Model'!Y66</f>
        <v>-7.6923076923076872E-2</v>
      </c>
      <c r="R39">
        <f>'Revenue Model'!Z66</f>
        <v>-0.3</v>
      </c>
      <c r="S39">
        <f>'Revenue Model'!AA66</f>
        <v>-0.61814187089846384</v>
      </c>
      <c r="T39">
        <f>'Revenue Model'!AB66</f>
        <v>-0.68123147483697855</v>
      </c>
      <c r="U39">
        <f>'Revenue Model'!AC66</f>
        <v>-0.74187369243855894</v>
      </c>
      <c r="V39">
        <f>'Revenue Model'!AD66</f>
        <v>-0.6</v>
      </c>
      <c r="W39">
        <f>'Revenue Model'!AE66</f>
        <v>-0.6</v>
      </c>
      <c r="X39">
        <f>'Revenue Model'!AF66</f>
        <v>-0.1</v>
      </c>
      <c r="Y39">
        <f>'Revenue Model'!AG66</f>
        <v>-0.1</v>
      </c>
      <c r="Z39">
        <f>'Revenue Model'!AH66</f>
        <v>0</v>
      </c>
      <c r="AA39">
        <f>'Revenue Model'!AI66</f>
        <v>0</v>
      </c>
      <c r="AB39">
        <f>'Revenue Model'!AJ66</f>
        <v>0</v>
      </c>
      <c r="AC39">
        <f>'Revenue Model'!AK66</f>
        <v>0</v>
      </c>
      <c r="AD39">
        <f>'Revenue Model'!AL66</f>
        <v>-8.9612694342059096E-2</v>
      </c>
      <c r="AE39">
        <f>'Revenue Model'!AM66</f>
        <v>-0.66368361468668335</v>
      </c>
      <c r="AF39">
        <f>'Revenue Model'!AN66</f>
        <v>-0.32898814663175158</v>
      </c>
      <c r="AG39">
        <f>'Revenue Model'!AO66</f>
        <v>-0.15</v>
      </c>
      <c r="AH39">
        <f>'Revenue Model'!AP66</f>
        <v>-0.1</v>
      </c>
      <c r="AI39">
        <f>'Revenue Model'!AQ66</f>
        <v>-0.05</v>
      </c>
      <c r="AJ39">
        <f>'Revenue Model'!AR66</f>
        <v>0</v>
      </c>
      <c r="AK39">
        <f>'Revenue Model'!AS66</f>
        <v>0</v>
      </c>
      <c r="AL39">
        <f>'Revenue Model'!AT66</f>
        <v>0</v>
      </c>
      <c r="AM39">
        <f>'Revenue Model'!AU66</f>
        <v>0</v>
      </c>
      <c r="AN39">
        <f>'Revenue Model'!AV66</f>
        <v>0</v>
      </c>
    </row>
    <row r="40" spans="1:40">
      <c r="A40">
        <f>'Revenue Model'!I67</f>
        <v>0</v>
      </c>
      <c r="B40">
        <f>'Revenue Model'!J67</f>
        <v>0</v>
      </c>
      <c r="C40">
        <f>'Revenue Model'!K67</f>
        <v>0</v>
      </c>
      <c r="D40">
        <f>'Revenue Model'!L67</f>
        <v>0</v>
      </c>
      <c r="E40">
        <f>'Revenue Model'!M67</f>
        <v>0</v>
      </c>
      <c r="F40">
        <f>'Revenue Model'!N67</f>
        <v>0</v>
      </c>
      <c r="G40">
        <f>'Revenue Model'!O67</f>
        <v>0</v>
      </c>
      <c r="H40">
        <f>'Revenue Model'!P67</f>
        <v>0</v>
      </c>
      <c r="I40">
        <f>'Revenue Model'!Q67</f>
        <v>0</v>
      </c>
      <c r="J40">
        <f>'Revenue Model'!R67</f>
        <v>0</v>
      </c>
      <c r="K40">
        <f>'Revenue Model'!S67</f>
        <v>0</v>
      </c>
      <c r="L40">
        <f>'Revenue Model'!T67</f>
        <v>0</v>
      </c>
      <c r="M40">
        <f>'Revenue Model'!U67</f>
        <v>0</v>
      </c>
      <c r="N40">
        <f>'Revenue Model'!V67</f>
        <v>0</v>
      </c>
      <c r="O40">
        <f>'Revenue Model'!W67</f>
        <v>0</v>
      </c>
      <c r="P40">
        <f>'Revenue Model'!X67</f>
        <v>0</v>
      </c>
      <c r="Q40">
        <f>'Revenue Model'!Y67</f>
        <v>0</v>
      </c>
      <c r="R40">
        <f>'Revenue Model'!Z67</f>
        <v>0</v>
      </c>
      <c r="S40">
        <f>'Revenue Model'!AA67</f>
        <v>0</v>
      </c>
      <c r="T40">
        <f>'Revenue Model'!AB67</f>
        <v>0</v>
      </c>
      <c r="U40">
        <f>'Revenue Model'!AC67</f>
        <v>0</v>
      </c>
      <c r="V40">
        <f>'Revenue Model'!AD67</f>
        <v>0</v>
      </c>
      <c r="W40">
        <f>'Revenue Model'!AE67</f>
        <v>0</v>
      </c>
      <c r="X40">
        <f>'Revenue Model'!AF67</f>
        <v>0</v>
      </c>
      <c r="Y40">
        <f>'Revenue Model'!AG67</f>
        <v>0</v>
      </c>
      <c r="Z40">
        <f>'Revenue Model'!AH67</f>
        <v>0</v>
      </c>
      <c r="AA40">
        <f>'Revenue Model'!AI67</f>
        <v>0</v>
      </c>
      <c r="AB40">
        <f>'Revenue Model'!AJ67</f>
        <v>0</v>
      </c>
      <c r="AC40">
        <f>'Revenue Model'!AK67</f>
        <v>0</v>
      </c>
      <c r="AD40">
        <f>'Revenue Model'!AL67</f>
        <v>0</v>
      </c>
      <c r="AE40">
        <f>'Revenue Model'!AM67</f>
        <v>0</v>
      </c>
      <c r="AF40">
        <f>'Revenue Model'!AN67</f>
        <v>0</v>
      </c>
      <c r="AG40">
        <f>'Revenue Model'!AO67</f>
        <v>0</v>
      </c>
      <c r="AH40">
        <f>'Revenue Model'!AP67</f>
        <v>0</v>
      </c>
      <c r="AI40">
        <f>'Revenue Model'!AQ67</f>
        <v>0</v>
      </c>
      <c r="AJ40">
        <f>'Revenue Model'!AR67</f>
        <v>0</v>
      </c>
      <c r="AK40">
        <f>'Revenue Model'!AS67</f>
        <v>0</v>
      </c>
      <c r="AL40">
        <f>'Revenue Model'!AT67</f>
        <v>0</v>
      </c>
      <c r="AM40">
        <f>'Revenue Model'!AU67</f>
        <v>0</v>
      </c>
      <c r="AN40">
        <f>'Revenue Model'!AV67</f>
        <v>0</v>
      </c>
    </row>
    <row r="41" spans="1:40">
      <c r="A41" t="str">
        <f>'Revenue Model'!I68</f>
        <v>Ad Impressions</v>
      </c>
      <c r="B41">
        <f>'Revenue Model'!J68</f>
        <v>0</v>
      </c>
      <c r="C41">
        <f>'Revenue Model'!K68</f>
        <v>0</v>
      </c>
      <c r="D41">
        <f>'Revenue Model'!L68</f>
        <v>0</v>
      </c>
      <c r="E41">
        <f>'Revenue Model'!M68</f>
        <v>0</v>
      </c>
      <c r="F41">
        <f>'Revenue Model'!N68</f>
        <v>0</v>
      </c>
      <c r="G41">
        <f>'Revenue Model'!O68</f>
        <v>0</v>
      </c>
      <c r="H41">
        <f>'Revenue Model'!P68</f>
        <v>0</v>
      </c>
      <c r="I41">
        <f>'Revenue Model'!Q68</f>
        <v>0</v>
      </c>
      <c r="J41">
        <f>'Revenue Model'!R68</f>
        <v>150.76923076923077</v>
      </c>
      <c r="K41">
        <f>'Revenue Model'!S68</f>
        <v>203.84615384615384</v>
      </c>
      <c r="L41">
        <f>'Revenue Model'!T68</f>
        <v>643.26923076923083</v>
      </c>
      <c r="M41">
        <f>'Revenue Model'!U68</f>
        <v>1258.3846153846155</v>
      </c>
      <c r="N41">
        <f>'Revenue Model'!V68</f>
        <v>1616.5833333333335</v>
      </c>
      <c r="O41">
        <f>'Revenue Model'!W68</f>
        <v>2991.5833333333335</v>
      </c>
      <c r="P41">
        <f>'Revenue Model'!X68</f>
        <v>5574.0869565217399</v>
      </c>
      <c r="Q41">
        <f>'Revenue Model'!Y68</f>
        <v>6712.4999999999982</v>
      </c>
      <c r="R41">
        <f>'Revenue Model'!Z68</f>
        <v>8413.5714285714294</v>
      </c>
      <c r="S41">
        <f>'Revenue Model'!AA68</f>
        <v>19233.910293545337</v>
      </c>
      <c r="T41">
        <f>'Revenue Model'!AB68</f>
        <v>27870.4347826087</v>
      </c>
      <c r="U41">
        <f>'Revenue Model'!AC68</f>
        <v>45309.374999999985</v>
      </c>
      <c r="V41">
        <f>'Revenue Model'!AD68</f>
        <v>36678.13916449275</v>
      </c>
      <c r="W41">
        <f>'Revenue Model'!AE68</f>
        <v>79173.326971232877</v>
      </c>
      <c r="X41">
        <f>'Revenue Model'!AF68</f>
        <v>51199.502904513778</v>
      </c>
      <c r="Y41">
        <f>'Revenue Model'!AG68</f>
        <v>76025.613655111607</v>
      </c>
      <c r="Z41">
        <f>'Revenue Model'!AH68</f>
        <v>0</v>
      </c>
      <c r="AA41">
        <f>'Revenue Model'!AI68</f>
        <v>0</v>
      </c>
      <c r="AB41">
        <f>'Revenue Model'!AJ68</f>
        <v>0</v>
      </c>
      <c r="AC41">
        <f>'Revenue Model'!AK68</f>
        <v>2256.2692307692309</v>
      </c>
      <c r="AD41">
        <f>'Revenue Model'!AL68</f>
        <v>16894.753623188408</v>
      </c>
      <c r="AE41">
        <f>'Revenue Model'!AM68</f>
        <v>100827.29150472545</v>
      </c>
      <c r="AF41">
        <f>'Revenue Model'!AN68</f>
        <v>243076.58269535101</v>
      </c>
      <c r="AG41">
        <f>'Revenue Model'!AO68</f>
        <v>432153.33196785778</v>
      </c>
      <c r="AH41">
        <f>'Revenue Model'!AP68</f>
        <v>684633.21310595865</v>
      </c>
      <c r="AI41">
        <f>'Revenue Model'!AQ68</f>
        <v>980334.60114999232</v>
      </c>
      <c r="AJ41">
        <f>'Revenue Model'!AR68</f>
        <v>1276834.772530868</v>
      </c>
      <c r="AK41">
        <f>'Revenue Model'!AS68</f>
        <v>1585847.6412119737</v>
      </c>
      <c r="AL41">
        <f>'Revenue Model'!AT68</f>
        <v>1892980.3658625472</v>
      </c>
      <c r="AM41">
        <f>'Revenue Model'!AU68</f>
        <v>2199454.24339042</v>
      </c>
      <c r="AN41">
        <f>'Revenue Model'!AV68</f>
        <v>0</v>
      </c>
    </row>
    <row r="42" spans="1:40">
      <c r="A42" t="str">
        <f>'Revenue Model'!I69</f>
        <v>Y/Y % Growth</v>
      </c>
      <c r="B42">
        <f>'Revenue Model'!J69</f>
        <v>0</v>
      </c>
      <c r="C42">
        <f>'Revenue Model'!K69</f>
        <v>0</v>
      </c>
      <c r="D42">
        <f>'Revenue Model'!L69</f>
        <v>0</v>
      </c>
      <c r="E42">
        <f>'Revenue Model'!M69</f>
        <v>0</v>
      </c>
      <c r="F42">
        <f>'Revenue Model'!N69</f>
        <v>0</v>
      </c>
      <c r="G42">
        <f>'Revenue Model'!O69</f>
        <v>0</v>
      </c>
      <c r="H42">
        <f>'Revenue Model'!P69</f>
        <v>0</v>
      </c>
      <c r="I42">
        <f>'Revenue Model'!Q69</f>
        <v>0</v>
      </c>
      <c r="J42">
        <f>'Revenue Model'!R69</f>
        <v>0</v>
      </c>
      <c r="K42">
        <f>'Revenue Model'!S69</f>
        <v>0</v>
      </c>
      <c r="L42">
        <f>'Revenue Model'!T69</f>
        <v>0</v>
      </c>
      <c r="M42">
        <f>'Revenue Model'!U69</f>
        <v>0</v>
      </c>
      <c r="N42">
        <f>'Revenue Model'!V69</f>
        <v>9.7222363945578234</v>
      </c>
      <c r="O42">
        <f>'Revenue Model'!W69</f>
        <v>13.675691823899372</v>
      </c>
      <c r="P42">
        <f>'Revenue Model'!X69</f>
        <v>7.6652472866705672</v>
      </c>
      <c r="Q42">
        <f>'Revenue Model'!Y69</f>
        <v>4.3342196955804129</v>
      </c>
      <c r="R42">
        <f>'Revenue Model'!Z69</f>
        <v>4.2045392619649027</v>
      </c>
      <c r="S42">
        <f>'Revenue Model'!AA69</f>
        <v>5.4293413053997055</v>
      </c>
      <c r="T42">
        <f>'Revenue Model'!AB69</f>
        <v>4</v>
      </c>
      <c r="U42">
        <f>'Revenue Model'!AC69</f>
        <v>5.75</v>
      </c>
      <c r="V42">
        <f>'Revenue Model'!AD69</f>
        <v>3.3594018872815896</v>
      </c>
      <c r="W42">
        <f>'Revenue Model'!AE69</f>
        <v>3.1163406589144005</v>
      </c>
      <c r="X42">
        <f>'Revenue Model'!AF69</f>
        <v>0.83705433029206056</v>
      </c>
      <c r="Y42">
        <f>'Revenue Model'!AG69</f>
        <v>0.67792236496556457</v>
      </c>
      <c r="Z42">
        <f>'Revenue Model'!AH69</f>
        <v>0</v>
      </c>
      <c r="AA42">
        <f>'Revenue Model'!AI69</f>
        <v>0</v>
      </c>
      <c r="AB42">
        <f>'Revenue Model'!AJ69</f>
        <v>0</v>
      </c>
      <c r="AC42">
        <f>'Revenue Model'!AK69</f>
        <v>0</v>
      </c>
      <c r="AD42">
        <f>'Revenue Model'!AL69</f>
        <v>6.4879156231849473</v>
      </c>
      <c r="AE42">
        <f>'Revenue Model'!AM69</f>
        <v>4.9679645973847082</v>
      </c>
      <c r="AF42">
        <f>'Revenue Model'!AN69</f>
        <v>1.4108213070858775</v>
      </c>
      <c r="AG42">
        <f>'Revenue Model'!AO69</f>
        <v>0.77784847547193614</v>
      </c>
      <c r="AH42">
        <f>'Revenue Model'!AP69</f>
        <v>0.58423680314671178</v>
      </c>
      <c r="AI42">
        <f>'Revenue Model'!AQ69</f>
        <v>0.4319121281051097</v>
      </c>
      <c r="AJ42">
        <f>'Revenue Model'!AR69</f>
        <v>0.30244793056683172</v>
      </c>
      <c r="AK42">
        <f>'Revenue Model'!AS69</f>
        <v>0.24201476598933658</v>
      </c>
      <c r="AL42">
        <f>'Revenue Model'!AT69</f>
        <v>0.19367101647662022</v>
      </c>
      <c r="AM42">
        <f>'Revenue Model'!AU69</f>
        <v>0.16190018821892327</v>
      </c>
      <c r="AN42">
        <f>'Revenue Model'!AV69</f>
        <v>0</v>
      </c>
    </row>
    <row r="43" spans="1:40">
      <c r="A43">
        <f>'Revenue Model'!I71</f>
        <v>0</v>
      </c>
      <c r="B43">
        <f>'Revenue Model'!J71</f>
        <v>0</v>
      </c>
      <c r="C43">
        <f>'Revenue Model'!K71</f>
        <v>0</v>
      </c>
      <c r="D43">
        <f>'Revenue Model'!L71</f>
        <v>0</v>
      </c>
      <c r="E43">
        <f>'Revenue Model'!M71</f>
        <v>0</v>
      </c>
      <c r="F43">
        <f>'Revenue Model'!N71</f>
        <v>0</v>
      </c>
      <c r="G43">
        <f>'Revenue Model'!O71</f>
        <v>0</v>
      </c>
      <c r="H43">
        <f>'Revenue Model'!P71</f>
        <v>0</v>
      </c>
      <c r="I43">
        <f>'Revenue Model'!Q71</f>
        <v>0</v>
      </c>
      <c r="J43">
        <f>'Revenue Model'!R71</f>
        <v>0</v>
      </c>
      <c r="K43">
        <f>'Revenue Model'!S71</f>
        <v>0</v>
      </c>
      <c r="L43">
        <f>'Revenue Model'!T71</f>
        <v>0</v>
      </c>
      <c r="M43">
        <f>'Revenue Model'!U71</f>
        <v>0</v>
      </c>
      <c r="N43">
        <f>'Revenue Model'!V71</f>
        <v>0</v>
      </c>
      <c r="O43">
        <f>'Revenue Model'!W71</f>
        <v>0</v>
      </c>
      <c r="P43">
        <f>'Revenue Model'!X71</f>
        <v>0</v>
      </c>
      <c r="Q43">
        <f>'Revenue Model'!Y71</f>
        <v>0</v>
      </c>
      <c r="R43">
        <f>'Revenue Model'!Z71</f>
        <v>0</v>
      </c>
      <c r="S43">
        <f>'Revenue Model'!AA71</f>
        <v>0</v>
      </c>
      <c r="T43">
        <f>'Revenue Model'!AB71</f>
        <v>0</v>
      </c>
      <c r="U43">
        <f>'Revenue Model'!AC71</f>
        <v>0</v>
      </c>
      <c r="V43">
        <f>'Revenue Model'!AD71</f>
        <v>0</v>
      </c>
      <c r="W43">
        <f>'Revenue Model'!AE71</f>
        <v>0</v>
      </c>
      <c r="X43">
        <f>'Revenue Model'!AF71</f>
        <v>0</v>
      </c>
      <c r="Y43">
        <f>'Revenue Model'!AG71</f>
        <v>0</v>
      </c>
      <c r="Z43">
        <f>'Revenue Model'!AH71</f>
        <v>0</v>
      </c>
      <c r="AA43">
        <f>'Revenue Model'!AI71</f>
        <v>0</v>
      </c>
      <c r="AB43">
        <f>'Revenue Model'!AJ71</f>
        <v>0</v>
      </c>
      <c r="AC43">
        <f>'Revenue Model'!AK71</f>
        <v>0</v>
      </c>
      <c r="AD43">
        <f>'Revenue Model'!AL71</f>
        <v>0</v>
      </c>
      <c r="AE43">
        <f>'Revenue Model'!AM71</f>
        <v>0</v>
      </c>
      <c r="AF43">
        <f>'Revenue Model'!AN71</f>
        <v>0</v>
      </c>
      <c r="AG43">
        <f>'Revenue Model'!AO71</f>
        <v>0</v>
      </c>
      <c r="AH43">
        <f>'Revenue Model'!AP71</f>
        <v>0</v>
      </c>
      <c r="AI43">
        <f>'Revenue Model'!AQ71</f>
        <v>0</v>
      </c>
      <c r="AJ43">
        <f>'Revenue Model'!AR71</f>
        <v>0</v>
      </c>
      <c r="AK43">
        <f>'Revenue Model'!AS71</f>
        <v>0</v>
      </c>
      <c r="AL43">
        <f>'Revenue Model'!AT71</f>
        <v>0</v>
      </c>
      <c r="AM43">
        <f>'Revenue Model'!AU71</f>
        <v>0</v>
      </c>
      <c r="AN43">
        <f>'Revenue Model'!AV71</f>
        <v>0</v>
      </c>
    </row>
    <row r="44" spans="1:40">
      <c r="A44" t="str">
        <f>'Revenue Model'!I72</f>
        <v>Ad Impressions per DAU/Day</v>
      </c>
      <c r="B44">
        <f>'Revenue Model'!J72</f>
        <v>0</v>
      </c>
      <c r="C44">
        <f>'Revenue Model'!K72</f>
        <v>0</v>
      </c>
      <c r="D44">
        <f>'Revenue Model'!L72</f>
        <v>0</v>
      </c>
      <c r="E44">
        <f>'Revenue Model'!M72</f>
        <v>0</v>
      </c>
      <c r="F44">
        <f>'Revenue Model'!N72</f>
        <v>0</v>
      </c>
      <c r="G44">
        <f>'Revenue Model'!O72</f>
        <v>0</v>
      </c>
      <c r="H44">
        <f>'Revenue Model'!P72</f>
        <v>0</v>
      </c>
      <c r="I44">
        <f>'Revenue Model'!Q72</f>
        <v>0</v>
      </c>
      <c r="J44">
        <f>'Revenue Model'!R72</f>
        <v>2.0398340033043229E-2</v>
      </c>
      <c r="K44">
        <f>'Revenue Model'!S72</f>
        <v>2.5677361529983164E-2</v>
      </c>
      <c r="L44">
        <f>'Revenue Model'!T72</f>
        <v>7.4440610524277764E-2</v>
      </c>
      <c r="M44">
        <f>'Revenue Model'!U72</f>
        <v>0.13009921068851024</v>
      </c>
      <c r="N44">
        <f>'Revenue Model'!V72</f>
        <v>0.14521296504229358</v>
      </c>
      <c r="O44">
        <f>'Revenue Model'!W72</f>
        <v>0.22926206213877448</v>
      </c>
      <c r="P44">
        <f>'Revenue Model'!X72</f>
        <v>0.39925414676492005</v>
      </c>
      <c r="Q44">
        <f>'Revenue Model'!Y72</f>
        <v>0.46469768689587121</v>
      </c>
      <c r="R44">
        <f>'Revenue Model'!Z72</f>
        <v>0.55544290665597817</v>
      </c>
      <c r="S44">
        <f>'Revenue Model'!AA72</f>
        <v>1.2113941296517297</v>
      </c>
      <c r="T44">
        <f>'Revenue Model'!AB72</f>
        <v>1.7158956307593474</v>
      </c>
      <c r="U44">
        <f>'Revenue Model'!AC72</f>
        <v>2.6552999780235873</v>
      </c>
      <c r="V44">
        <f>'Revenue Model'!AD72</f>
        <v>2.07277336026113</v>
      </c>
      <c r="W44">
        <f>'Revenue Model'!AE72</f>
        <v>4.3102264683974791</v>
      </c>
      <c r="X44">
        <f>'Revenue Model'!AF72</f>
        <v>2.6996690565513179</v>
      </c>
      <c r="Y44">
        <f>'Revenue Model'!AG72</f>
        <v>3.8751635859213316</v>
      </c>
      <c r="Z44">
        <f>'Revenue Model'!AH72</f>
        <v>0</v>
      </c>
      <c r="AA44">
        <f>'Revenue Model'!AI72</f>
        <v>0</v>
      </c>
      <c r="AB44">
        <f>'Revenue Model'!AJ72</f>
        <v>0</v>
      </c>
      <c r="AC44">
        <f>'Revenue Model'!AK72</f>
        <v>5.8316599399566578E-2</v>
      </c>
      <c r="AD44">
        <f>'Revenue Model'!AL72</f>
        <v>0.29240048154083031</v>
      </c>
      <c r="AE44">
        <f>'Revenue Model'!AM72</f>
        <v>1.4772147315907327</v>
      </c>
      <c r="AF44">
        <f>'Revenue Model'!AN72</f>
        <v>3.0975137080918733</v>
      </c>
      <c r="AG44">
        <f>'Revenue Model'!AO72</f>
        <v>4.9006148187520786</v>
      </c>
      <c r="AH44">
        <f>'Revenue Model'!AP72</f>
        <v>7.0449987228724336</v>
      </c>
      <c r="AI44">
        <f>'Revenue Model'!AQ72</f>
        <v>9.3071667947770322</v>
      </c>
      <c r="AJ44">
        <f>'Revenue Model'!AR72</f>
        <v>11.332803522613258</v>
      </c>
      <c r="AK44">
        <f>'Revenue Model'!AS72</f>
        <v>13.296331271706265</v>
      </c>
      <c r="AL44">
        <f>'Revenue Model'!AT72</f>
        <v>15.118235067916673</v>
      </c>
      <c r="AM44">
        <f>'Revenue Model'!AU72</f>
        <v>16.770026080150512</v>
      </c>
      <c r="AN44">
        <f>'Revenue Model'!AV72</f>
        <v>0</v>
      </c>
    </row>
    <row r="45" spans="1:40">
      <c r="A45" t="str">
        <f>'Revenue Model'!I73</f>
        <v>Y/Y % Growth</v>
      </c>
      <c r="B45">
        <f>'Revenue Model'!J73</f>
        <v>0</v>
      </c>
      <c r="C45">
        <f>'Revenue Model'!K73</f>
        <v>0</v>
      </c>
      <c r="D45">
        <f>'Revenue Model'!L73</f>
        <v>0</v>
      </c>
      <c r="E45">
        <f>'Revenue Model'!M73</f>
        <v>0</v>
      </c>
      <c r="F45">
        <f>'Revenue Model'!N73</f>
        <v>0</v>
      </c>
      <c r="G45">
        <f>'Revenue Model'!O73</f>
        <v>0</v>
      </c>
      <c r="H45">
        <f>'Revenue Model'!P73</f>
        <v>0</v>
      </c>
      <c r="I45">
        <f>'Revenue Model'!Q73</f>
        <v>0</v>
      </c>
      <c r="J45">
        <f>'Revenue Model'!R73</f>
        <v>0</v>
      </c>
      <c r="K45">
        <f>'Revenue Model'!S73</f>
        <v>0</v>
      </c>
      <c r="L45">
        <f>'Revenue Model'!T73</f>
        <v>0</v>
      </c>
      <c r="M45">
        <f>'Revenue Model'!U73</f>
        <v>0</v>
      </c>
      <c r="N45">
        <f>'Revenue Model'!V73</f>
        <v>6.1188618685178993</v>
      </c>
      <c r="O45">
        <f>'Revenue Model'!W73</f>
        <v>7.9285677530017153</v>
      </c>
      <c r="P45">
        <f>'Revenue Model'!X73</f>
        <v>4.3633916212268149</v>
      </c>
      <c r="Q45">
        <f>'Revenue Model'!Y73</f>
        <v>2.5718716849748815</v>
      </c>
      <c r="R45">
        <f>'Revenue Model'!Z73</f>
        <v>2.8250228310826397</v>
      </c>
      <c r="S45">
        <f>'Revenue Model'!AA73</f>
        <v>4.283883946391712</v>
      </c>
      <c r="T45">
        <f>'Revenue Model'!AB73</f>
        <v>3.297752808988764</v>
      </c>
      <c r="U45">
        <f>'Revenue Model'!AC73</f>
        <v>4.7140374331550809</v>
      </c>
      <c r="V45">
        <f>'Revenue Model'!AD73</f>
        <v>2.731748727767862</v>
      </c>
      <c r="W45">
        <f>'Revenue Model'!AE73</f>
        <v>2.5580711206159221</v>
      </c>
      <c r="X45">
        <f>'Revenue Model'!AF73</f>
        <v>0.5733294077779163</v>
      </c>
      <c r="Y45">
        <f>'Revenue Model'!AG73</f>
        <v>0.45940707942374259</v>
      </c>
      <c r="Z45">
        <f>'Revenue Model'!AH73</f>
        <v>0</v>
      </c>
      <c r="AA45">
        <f>'Revenue Model'!AI73</f>
        <v>0</v>
      </c>
      <c r="AB45">
        <f>'Revenue Model'!AJ73</f>
        <v>0</v>
      </c>
      <c r="AC45">
        <f>'Revenue Model'!AK73</f>
        <v>0</v>
      </c>
      <c r="AD45">
        <f>'Revenue Model'!AL73</f>
        <v>4.0140180420568816</v>
      </c>
      <c r="AE45">
        <f>'Revenue Model'!AM73</f>
        <v>4.0520256458074844</v>
      </c>
      <c r="AF45">
        <f>'Revenue Model'!AN73</f>
        <v>1.0968608299460487</v>
      </c>
      <c r="AG45">
        <f>'Revenue Model'!AO73</f>
        <v>0.58211239096370271</v>
      </c>
      <c r="AH45">
        <f>'Revenue Model'!AP73</f>
        <v>0.4375744643131152</v>
      </c>
      <c r="AI45">
        <f>'Revenue Model'!AQ73</f>
        <v>0.32110269439229255</v>
      </c>
      <c r="AJ45">
        <f>'Revenue Model'!AR73</f>
        <v>0.21764268036680789</v>
      </c>
      <c r="AK45">
        <f>'Revenue Model'!AS73</f>
        <v>0.17326054803429902</v>
      </c>
      <c r="AL45">
        <f>'Revenue Model'!AT73</f>
        <v>0.13702304485202643</v>
      </c>
      <c r="AM45">
        <f>'Revenue Model'!AU73</f>
        <v>0.10925819084128441</v>
      </c>
      <c r="AN45">
        <f>'Revenue Model'!AV73</f>
        <v>0</v>
      </c>
    </row>
    <row r="46" spans="1:40">
      <c r="A46" t="str">
        <f>'Revenue Model'!I74</f>
        <v>Q/Q % Growth</v>
      </c>
      <c r="B46">
        <f>'Revenue Model'!J74</f>
        <v>0</v>
      </c>
      <c r="C46">
        <f>'Revenue Model'!K74</f>
        <v>0</v>
      </c>
      <c r="D46">
        <f>'Revenue Model'!L74</f>
        <v>0</v>
      </c>
      <c r="E46">
        <f>'Revenue Model'!M74</f>
        <v>0</v>
      </c>
      <c r="F46">
        <f>'Revenue Model'!N74</f>
        <v>0</v>
      </c>
      <c r="G46">
        <f>'Revenue Model'!O74</f>
        <v>0</v>
      </c>
      <c r="H46">
        <f>'Revenue Model'!P74</f>
        <v>0</v>
      </c>
      <c r="I46">
        <f>'Revenue Model'!Q74</f>
        <v>0</v>
      </c>
      <c r="J46">
        <f>'Revenue Model'!R74</f>
        <v>0</v>
      </c>
      <c r="K46">
        <f>'Revenue Model'!S74</f>
        <v>0.25879662209711474</v>
      </c>
      <c r="L46">
        <f>'Revenue Model'!T74</f>
        <v>1.8990755314697854</v>
      </c>
      <c r="M46">
        <f>'Revenue Model'!U74</f>
        <v>0.74769134444538454</v>
      </c>
      <c r="N46">
        <f>'Revenue Model'!V74</f>
        <v>0.11617099192069213</v>
      </c>
      <c r="O46">
        <f>'Revenue Model'!W74</f>
        <v>0.5787988494829055</v>
      </c>
      <c r="P46">
        <f>'Revenue Model'!X74</f>
        <v>0.74147498735856154</v>
      </c>
      <c r="Q46">
        <f>'Revenue Model'!Y74</f>
        <v>0.16391449071030983</v>
      </c>
      <c r="R46">
        <f>'Revenue Model'!Z74</f>
        <v>0.19527796741635384</v>
      </c>
      <c r="S46">
        <f>'Revenue Model'!AA74</f>
        <v>1.1809516606213943</v>
      </c>
      <c r="T46">
        <f>'Revenue Model'!AB74</f>
        <v>0.41646355117525591</v>
      </c>
      <c r="U46">
        <f>'Revenue Model'!AC74</f>
        <v>0.54747172871377892</v>
      </c>
      <c r="V46">
        <f>'Revenue Model'!AD74</f>
        <v>-0.21938260180909874</v>
      </c>
      <c r="W46">
        <f>'Revenue Model'!AE74</f>
        <v>1.079448988988585</v>
      </c>
      <c r="X46">
        <f>'Revenue Model'!AF74</f>
        <v>-0.37365957999069099</v>
      </c>
      <c r="Y46">
        <f>'Revenue Model'!AG74</f>
        <v>0.43542171456809764</v>
      </c>
      <c r="Z46">
        <f>'Revenue Model'!AH74</f>
        <v>0</v>
      </c>
      <c r="AA46">
        <f>'Revenue Model'!AI74</f>
        <v>0</v>
      </c>
      <c r="AB46">
        <f>'Revenue Model'!AJ74</f>
        <v>0</v>
      </c>
      <c r="AC46">
        <f>'Revenue Model'!AK74</f>
        <v>0</v>
      </c>
      <c r="AD46">
        <f>'Revenue Model'!AL74</f>
        <v>0</v>
      </c>
      <c r="AE46">
        <f>'Revenue Model'!AM74</f>
        <v>0</v>
      </c>
      <c r="AF46">
        <f>'Revenue Model'!AN74</f>
        <v>0</v>
      </c>
      <c r="AG46">
        <f>'Revenue Model'!AO74</f>
        <v>0</v>
      </c>
      <c r="AH46">
        <f>'Revenue Model'!AP74</f>
        <v>0</v>
      </c>
      <c r="AI46">
        <f>'Revenue Model'!AQ74</f>
        <v>0</v>
      </c>
      <c r="AJ46">
        <f>'Revenue Model'!AR74</f>
        <v>0</v>
      </c>
      <c r="AK46">
        <f>'Revenue Model'!AS74</f>
        <v>0</v>
      </c>
      <c r="AL46">
        <f>'Revenue Model'!AT74</f>
        <v>0</v>
      </c>
      <c r="AM46">
        <f>'Revenue Model'!AU74</f>
        <v>0</v>
      </c>
      <c r="AN46">
        <f>'Revenue Model'!AV74</f>
        <v>0</v>
      </c>
    </row>
    <row r="47" spans="1:40">
      <c r="A47">
        <f>'Revenue Model'!I88</f>
        <v>0</v>
      </c>
      <c r="B47">
        <f>'Revenue Model'!J88</f>
        <v>0</v>
      </c>
      <c r="C47">
        <f>'Revenue Model'!K88</f>
        <v>0</v>
      </c>
      <c r="D47">
        <f>'Revenue Model'!L88</f>
        <v>0</v>
      </c>
      <c r="E47">
        <f>'Revenue Model'!M88</f>
        <v>0</v>
      </c>
      <c r="F47">
        <f>'Revenue Model'!N88</f>
        <v>0</v>
      </c>
      <c r="G47">
        <f>'Revenue Model'!O88</f>
        <v>0</v>
      </c>
      <c r="H47">
        <f>'Revenue Model'!P88</f>
        <v>0</v>
      </c>
      <c r="I47">
        <f>'Revenue Model'!Q88</f>
        <v>0</v>
      </c>
      <c r="J47">
        <f>'Revenue Model'!R88</f>
        <v>0</v>
      </c>
      <c r="K47">
        <f>'Revenue Model'!S88</f>
        <v>0</v>
      </c>
      <c r="L47">
        <f>'Revenue Model'!T88</f>
        <v>0</v>
      </c>
      <c r="M47">
        <f>'Revenue Model'!U88</f>
        <v>0</v>
      </c>
      <c r="N47">
        <f>'Revenue Model'!V88</f>
        <v>0</v>
      </c>
      <c r="O47">
        <f>'Revenue Model'!W88</f>
        <v>0</v>
      </c>
      <c r="P47">
        <f>'Revenue Model'!X88</f>
        <v>0</v>
      </c>
      <c r="Q47">
        <f>'Revenue Model'!Y88</f>
        <v>0</v>
      </c>
      <c r="R47">
        <f>'Revenue Model'!Z88</f>
        <v>0</v>
      </c>
      <c r="S47">
        <f>'Revenue Model'!AA88</f>
        <v>0</v>
      </c>
      <c r="T47">
        <f>'Revenue Model'!AB88</f>
        <v>0</v>
      </c>
      <c r="U47">
        <f>'Revenue Model'!AC88</f>
        <v>0</v>
      </c>
      <c r="V47">
        <f>'Revenue Model'!AD88</f>
        <v>0</v>
      </c>
      <c r="W47">
        <f>'Revenue Model'!AE88</f>
        <v>0</v>
      </c>
      <c r="X47">
        <f>'Revenue Model'!AF88</f>
        <v>0</v>
      </c>
      <c r="Y47">
        <f>'Revenue Model'!AG88</f>
        <v>0</v>
      </c>
      <c r="Z47">
        <f>'Revenue Model'!AH88</f>
        <v>0</v>
      </c>
      <c r="AA47">
        <f>'Revenue Model'!AI88</f>
        <v>0</v>
      </c>
      <c r="AB47">
        <f>'Revenue Model'!AJ88</f>
        <v>0</v>
      </c>
      <c r="AC47">
        <f>'Revenue Model'!AK88</f>
        <v>0</v>
      </c>
      <c r="AD47">
        <f>'Revenue Model'!AL88</f>
        <v>0</v>
      </c>
      <c r="AE47">
        <f>'Revenue Model'!AM88</f>
        <v>0</v>
      </c>
      <c r="AF47">
        <f>'Revenue Model'!AN88</f>
        <v>0</v>
      </c>
      <c r="AG47">
        <f>'Revenue Model'!AO88</f>
        <v>0</v>
      </c>
      <c r="AH47">
        <f>'Revenue Model'!AP88</f>
        <v>0</v>
      </c>
      <c r="AI47">
        <f>'Revenue Model'!AQ88</f>
        <v>0</v>
      </c>
      <c r="AJ47">
        <f>'Revenue Model'!AR88</f>
        <v>0</v>
      </c>
      <c r="AK47">
        <f>'Revenue Model'!AS88</f>
        <v>0</v>
      </c>
      <c r="AL47">
        <f>'Revenue Model'!AT88</f>
        <v>0</v>
      </c>
      <c r="AM47">
        <f>'Revenue Model'!AU88</f>
        <v>0</v>
      </c>
      <c r="AN47">
        <f>'Revenue Model'!AV88</f>
        <v>0</v>
      </c>
    </row>
    <row r="48" spans="1:40">
      <c r="A48" t="str">
        <f>'Revenue Model'!I89</f>
        <v>North America Revenue Build</v>
      </c>
      <c r="B48">
        <f>'Revenue Model'!J89</f>
        <v>0</v>
      </c>
      <c r="C48">
        <f>'Revenue Model'!K89</f>
        <v>0</v>
      </c>
      <c r="D48">
        <f>'Revenue Model'!L89</f>
        <v>0</v>
      </c>
      <c r="E48">
        <f>'Revenue Model'!M89</f>
        <v>0</v>
      </c>
      <c r="F48">
        <f>'Revenue Model'!N89</f>
        <v>0</v>
      </c>
      <c r="G48">
        <f>'Revenue Model'!O89</f>
        <v>0</v>
      </c>
      <c r="H48">
        <f>'Revenue Model'!P89</f>
        <v>0</v>
      </c>
      <c r="I48">
        <f>'Revenue Model'!Q89</f>
        <v>0</v>
      </c>
      <c r="J48">
        <f>'Revenue Model'!R89</f>
        <v>0</v>
      </c>
      <c r="K48">
        <f>'Revenue Model'!S89</f>
        <v>0</v>
      </c>
      <c r="L48">
        <f>'Revenue Model'!T89</f>
        <v>0</v>
      </c>
      <c r="M48">
        <f>'Revenue Model'!U89</f>
        <v>0</v>
      </c>
      <c r="N48">
        <f>'Revenue Model'!V89</f>
        <v>0</v>
      </c>
      <c r="O48">
        <f>'Revenue Model'!W89</f>
        <v>0</v>
      </c>
      <c r="P48">
        <f>'Revenue Model'!X89</f>
        <v>0</v>
      </c>
      <c r="Q48">
        <f>'Revenue Model'!Y89</f>
        <v>0</v>
      </c>
      <c r="R48">
        <f>'Revenue Model'!Z89</f>
        <v>0</v>
      </c>
      <c r="S48">
        <f>'Revenue Model'!AA89</f>
        <v>0</v>
      </c>
      <c r="T48">
        <f>'Revenue Model'!AB89</f>
        <v>0</v>
      </c>
      <c r="U48">
        <f>'Revenue Model'!AC89</f>
        <v>0</v>
      </c>
      <c r="V48">
        <f>'Revenue Model'!AD89</f>
        <v>0</v>
      </c>
      <c r="W48">
        <f>'Revenue Model'!AE89</f>
        <v>0</v>
      </c>
      <c r="X48">
        <f>'Revenue Model'!AF89</f>
        <v>0</v>
      </c>
      <c r="Y48">
        <f>'Revenue Model'!AG89</f>
        <v>0</v>
      </c>
      <c r="Z48">
        <f>'Revenue Model'!AH89</f>
        <v>0</v>
      </c>
      <c r="AA48">
        <f>'Revenue Model'!AI89</f>
        <v>0</v>
      </c>
      <c r="AB48">
        <f>'Revenue Model'!AJ89</f>
        <v>0</v>
      </c>
      <c r="AC48">
        <f>'Revenue Model'!AK89</f>
        <v>0</v>
      </c>
      <c r="AD48">
        <f>'Revenue Model'!AL89</f>
        <v>0</v>
      </c>
      <c r="AE48">
        <f>'Revenue Model'!AM89</f>
        <v>0</v>
      </c>
      <c r="AF48">
        <f>'Revenue Model'!AN89</f>
        <v>0</v>
      </c>
      <c r="AG48">
        <f>'Revenue Model'!AO89</f>
        <v>0</v>
      </c>
      <c r="AH48">
        <f>'Revenue Model'!AP89</f>
        <v>0</v>
      </c>
      <c r="AI48">
        <f>'Revenue Model'!AQ89</f>
        <v>0</v>
      </c>
      <c r="AJ48">
        <f>'Revenue Model'!AR89</f>
        <v>0</v>
      </c>
      <c r="AK48">
        <f>'Revenue Model'!AS89</f>
        <v>0</v>
      </c>
      <c r="AL48">
        <f>'Revenue Model'!AT89</f>
        <v>0</v>
      </c>
      <c r="AM48">
        <f>'Revenue Model'!AU89</f>
        <v>0</v>
      </c>
      <c r="AN48">
        <f>'Revenue Model'!AV89</f>
        <v>0</v>
      </c>
    </row>
    <row r="49" spans="1:40">
      <c r="A49">
        <f>'Revenue Model'!I90</f>
        <v>0</v>
      </c>
      <c r="B49">
        <f>'Revenue Model'!J90</f>
        <v>0</v>
      </c>
      <c r="C49">
        <f>'Revenue Model'!K90</f>
        <v>0</v>
      </c>
      <c r="D49">
        <f>'Revenue Model'!L90</f>
        <v>0</v>
      </c>
      <c r="E49">
        <f>'Revenue Model'!M90</f>
        <v>0</v>
      </c>
      <c r="F49">
        <f>'Revenue Model'!N90</f>
        <v>0</v>
      </c>
      <c r="G49">
        <f>'Revenue Model'!O90</f>
        <v>0</v>
      </c>
      <c r="H49">
        <f>'Revenue Model'!P90</f>
        <v>0</v>
      </c>
      <c r="I49">
        <f>'Revenue Model'!Q90</f>
        <v>0</v>
      </c>
      <c r="J49">
        <f>'Revenue Model'!R90</f>
        <v>0</v>
      </c>
      <c r="K49">
        <f>'Revenue Model'!S90</f>
        <v>0</v>
      </c>
      <c r="L49">
        <f>'Revenue Model'!T90</f>
        <v>0</v>
      </c>
      <c r="M49">
        <f>'Revenue Model'!U90</f>
        <v>0</v>
      </c>
      <c r="N49">
        <f>'Revenue Model'!V90</f>
        <v>0</v>
      </c>
      <c r="O49">
        <f>'Revenue Model'!W90</f>
        <v>0</v>
      </c>
      <c r="P49">
        <f>'Revenue Model'!X90</f>
        <v>0</v>
      </c>
      <c r="Q49">
        <f>'Revenue Model'!Y90</f>
        <v>0</v>
      </c>
      <c r="R49">
        <f>'Revenue Model'!Z90</f>
        <v>0</v>
      </c>
      <c r="S49">
        <f>'Revenue Model'!AA90</f>
        <v>0</v>
      </c>
      <c r="T49">
        <f>'Revenue Model'!AB90</f>
        <v>0</v>
      </c>
      <c r="U49">
        <f>'Revenue Model'!AC90</f>
        <v>0</v>
      </c>
      <c r="V49">
        <f>'Revenue Model'!AD90</f>
        <v>0</v>
      </c>
      <c r="W49">
        <f>'Revenue Model'!AE90</f>
        <v>0</v>
      </c>
      <c r="X49">
        <f>'Revenue Model'!AF90</f>
        <v>0</v>
      </c>
      <c r="Y49">
        <f>'Revenue Model'!AG90</f>
        <v>0</v>
      </c>
      <c r="Z49">
        <f>'Revenue Model'!AH90</f>
        <v>0</v>
      </c>
      <c r="AA49">
        <f>'Revenue Model'!AI90</f>
        <v>0</v>
      </c>
      <c r="AB49">
        <f>'Revenue Model'!AJ90</f>
        <v>0</v>
      </c>
      <c r="AC49">
        <f>'Revenue Model'!AK90</f>
        <v>0</v>
      </c>
      <c r="AD49">
        <f>'Revenue Model'!AL90</f>
        <v>0</v>
      </c>
      <c r="AE49">
        <f>'Revenue Model'!AM90</f>
        <v>0</v>
      </c>
      <c r="AF49">
        <f>'Revenue Model'!AN90</f>
        <v>0</v>
      </c>
      <c r="AG49">
        <f>'Revenue Model'!AO90</f>
        <v>0</v>
      </c>
      <c r="AH49">
        <f>'Revenue Model'!AP90</f>
        <v>0</v>
      </c>
      <c r="AI49">
        <f>'Revenue Model'!AQ90</f>
        <v>0</v>
      </c>
      <c r="AJ49">
        <f>'Revenue Model'!AR90</f>
        <v>0</v>
      </c>
      <c r="AK49">
        <f>'Revenue Model'!AS90</f>
        <v>0</v>
      </c>
      <c r="AL49">
        <f>'Revenue Model'!AT90</f>
        <v>0</v>
      </c>
      <c r="AM49">
        <f>'Revenue Model'!AU90</f>
        <v>0</v>
      </c>
      <c r="AN49">
        <f>'Revenue Model'!AV90</f>
        <v>0</v>
      </c>
    </row>
    <row r="50" spans="1:40">
      <c r="A50" t="str">
        <f>'Revenue Model'!I91</f>
        <v>North America DAUs</v>
      </c>
      <c r="B50">
        <f>'Revenue Model'!J91</f>
        <v>6.5989847715736039</v>
      </c>
      <c r="C50">
        <f>'Revenue Model'!K91</f>
        <v>11.904761904761905</v>
      </c>
      <c r="D50">
        <f>'Revenue Model'!L91</f>
        <v>17.486338797814206</v>
      </c>
      <c r="E50">
        <f>'Revenue Model'!M91</f>
        <v>18.918918918918919</v>
      </c>
      <c r="F50">
        <f>'Revenue Model'!N91</f>
        <v>26</v>
      </c>
      <c r="G50">
        <f>'Revenue Model'!O91</f>
        <v>30</v>
      </c>
      <c r="H50">
        <f>'Revenue Model'!P91</f>
        <v>32</v>
      </c>
      <c r="I50">
        <f>'Revenue Model'!Q91</f>
        <v>35</v>
      </c>
      <c r="J50">
        <f>'Revenue Model'!R91</f>
        <v>38</v>
      </c>
      <c r="K50">
        <f>'Revenue Model'!S91</f>
        <v>40</v>
      </c>
      <c r="L50">
        <f>'Revenue Model'!T91</f>
        <v>44.3</v>
      </c>
      <c r="M50">
        <f>'Revenue Model'!U91</f>
        <v>48</v>
      </c>
      <c r="N50">
        <f>'Revenue Model'!V91</f>
        <v>54</v>
      </c>
      <c r="O50">
        <f>'Revenue Model'!W91</f>
        <v>61</v>
      </c>
      <c r="P50">
        <f>'Revenue Model'!X91</f>
        <v>65</v>
      </c>
      <c r="Q50">
        <f>'Revenue Model'!Y91</f>
        <v>67.599999999999994</v>
      </c>
      <c r="R50">
        <f>'Revenue Model'!Z91</f>
        <v>71</v>
      </c>
      <c r="S50">
        <f>'Revenue Model'!AA91</f>
        <v>75</v>
      </c>
      <c r="T50">
        <f>'Revenue Model'!AB91</f>
        <v>77</v>
      </c>
      <c r="U50">
        <f>'Revenue Model'!AC91</f>
        <v>80</v>
      </c>
      <c r="V50">
        <f>'Revenue Model'!AD91</f>
        <v>82.94</v>
      </c>
      <c r="W50">
        <f>'Revenue Model'!AE91</f>
        <v>86.320999999999998</v>
      </c>
      <c r="X50">
        <f>'Revenue Model'!AF91</f>
        <v>88.856749999999991</v>
      </c>
      <c r="Y50">
        <f>'Revenue Model'!AG91</f>
        <v>91.51928749999999</v>
      </c>
      <c r="Z50">
        <f>'Revenue Model'!AH91</f>
        <v>0</v>
      </c>
      <c r="AA50">
        <f>'Revenue Model'!AI91</f>
        <v>18.918918918918919</v>
      </c>
      <c r="AB50">
        <f>'Revenue Model'!AJ91</f>
        <v>35</v>
      </c>
      <c r="AC50">
        <f>'Revenue Model'!AK91</f>
        <v>48</v>
      </c>
      <c r="AD50">
        <f>'Revenue Model'!AL91</f>
        <v>67.599999999999994</v>
      </c>
      <c r="AE50">
        <f>'Revenue Model'!AM91</f>
        <v>80</v>
      </c>
      <c r="AF50">
        <f>'Revenue Model'!AN91</f>
        <v>91.51928749999999</v>
      </c>
      <c r="AG50">
        <f>'Revenue Model'!AO91</f>
        <v>102.46261062499998</v>
      </c>
      <c r="AH50">
        <f>'Revenue Model'!AP91</f>
        <v>112.85876759374997</v>
      </c>
      <c r="AI50">
        <f>'Revenue Model'!AQ91</f>
        <v>122.21530886562496</v>
      </c>
      <c r="AJ50">
        <f>'Revenue Model'!AR91</f>
        <v>130.63619601031246</v>
      </c>
      <c r="AK50">
        <f>'Revenue Model'!AS91</f>
        <v>138.2149944405312</v>
      </c>
      <c r="AL50">
        <f>'Revenue Model'!AT91</f>
        <v>145.03591302772807</v>
      </c>
      <c r="AM50">
        <f>'Revenue Model'!AU91</f>
        <v>151.85683161492494</v>
      </c>
      <c r="AN50">
        <f>'Revenue Model'!AV91</f>
        <v>0</v>
      </c>
    </row>
    <row r="51" spans="1:40">
      <c r="A51" t="str">
        <f>'Revenue Model'!I92</f>
        <v>Sequential Net Adds</v>
      </c>
      <c r="B51">
        <f>'Revenue Model'!J92</f>
        <v>0</v>
      </c>
      <c r="C51">
        <f>'Revenue Model'!K92</f>
        <v>5.3057771331883012</v>
      </c>
      <c r="D51">
        <f>'Revenue Model'!L92</f>
        <v>5.5815768930523006</v>
      </c>
      <c r="E51">
        <f>'Revenue Model'!M92</f>
        <v>1.4325801211047136</v>
      </c>
      <c r="F51">
        <f>'Revenue Model'!N92</f>
        <v>7.0810810810810807</v>
      </c>
      <c r="G51">
        <f>'Revenue Model'!O92</f>
        <v>4</v>
      </c>
      <c r="H51">
        <f>'Revenue Model'!P92</f>
        <v>2</v>
      </c>
      <c r="I51">
        <f>'Revenue Model'!Q92</f>
        <v>3</v>
      </c>
      <c r="J51">
        <f>'Revenue Model'!R92</f>
        <v>3</v>
      </c>
      <c r="K51">
        <f>'Revenue Model'!S92</f>
        <v>2</v>
      </c>
      <c r="L51">
        <f>'Revenue Model'!T92</f>
        <v>4.2999999999999972</v>
      </c>
      <c r="M51">
        <f>'Revenue Model'!U92</f>
        <v>3.7000000000000028</v>
      </c>
      <c r="N51">
        <f>'Revenue Model'!V92</f>
        <v>6</v>
      </c>
      <c r="O51">
        <f>'Revenue Model'!W92</f>
        <v>7</v>
      </c>
      <c r="P51">
        <f>'Revenue Model'!X92</f>
        <v>4</v>
      </c>
      <c r="Q51">
        <f>'Revenue Model'!Y92</f>
        <v>2.5999999999999943</v>
      </c>
      <c r="R51">
        <f>'Revenue Model'!Z92</f>
        <v>3.4000000000000057</v>
      </c>
      <c r="S51">
        <f>'Revenue Model'!AA92</f>
        <v>4</v>
      </c>
      <c r="T51">
        <f>'Revenue Model'!AB92</f>
        <v>2</v>
      </c>
      <c r="U51">
        <f>'Revenue Model'!AC92</f>
        <v>3</v>
      </c>
      <c r="V51">
        <f>'Revenue Model'!AD92</f>
        <v>2.94</v>
      </c>
      <c r="W51">
        <f>'Revenue Model'!AE92</f>
        <v>3.3809999999999998</v>
      </c>
      <c r="X51">
        <f>'Revenue Model'!AF92</f>
        <v>2.5357499999999997</v>
      </c>
      <c r="Y51">
        <f>'Revenue Model'!AG92</f>
        <v>2.6625375</v>
      </c>
      <c r="Z51">
        <f>'Revenue Model'!AH92</f>
        <v>0</v>
      </c>
      <c r="AA51">
        <f>'Revenue Model'!AI92</f>
        <v>0</v>
      </c>
      <c r="AB51">
        <f>'Revenue Model'!AJ92</f>
        <v>16.081081081081081</v>
      </c>
      <c r="AC51">
        <f>'Revenue Model'!AK92</f>
        <v>13</v>
      </c>
      <c r="AD51">
        <f>'Revenue Model'!AL92</f>
        <v>19.599999999999994</v>
      </c>
      <c r="AE51">
        <f>'Revenue Model'!AM92</f>
        <v>12.400000000000006</v>
      </c>
      <c r="AF51">
        <f>'Revenue Model'!AN92</f>
        <v>11.51928749999999</v>
      </c>
      <c r="AG51">
        <f>'Revenue Model'!AO92</f>
        <v>10.94332312499999</v>
      </c>
      <c r="AH51">
        <f>'Revenue Model'!AP92</f>
        <v>10.39615696874999</v>
      </c>
      <c r="AI51">
        <f>'Revenue Model'!AQ92</f>
        <v>9.3565412718749918</v>
      </c>
      <c r="AJ51">
        <f>'Revenue Model'!AR92</f>
        <v>8.4208871446874927</v>
      </c>
      <c r="AK51">
        <f>'Revenue Model'!AS92</f>
        <v>7.5787984302187432</v>
      </c>
      <c r="AL51">
        <f>'Revenue Model'!AT92</f>
        <v>6.8209185871968687</v>
      </c>
      <c r="AM51">
        <f>'Revenue Model'!AU92</f>
        <v>6.8209185871968687</v>
      </c>
      <c r="AN51">
        <f>'Revenue Model'!AV92</f>
        <v>0</v>
      </c>
    </row>
    <row r="52" spans="1:40">
      <c r="A52" t="str">
        <f>'Revenue Model'!I93</f>
        <v>Y/Y % Growth</v>
      </c>
      <c r="B52">
        <f>'Revenue Model'!J93</f>
        <v>0</v>
      </c>
      <c r="C52">
        <f>'Revenue Model'!K93</f>
        <v>0</v>
      </c>
      <c r="D52">
        <f>'Revenue Model'!L93</f>
        <v>0</v>
      </c>
      <c r="E52">
        <f>'Revenue Model'!M93</f>
        <v>0</v>
      </c>
      <c r="F52">
        <f>'Revenue Model'!N93</f>
        <v>2.94</v>
      </c>
      <c r="G52">
        <f>'Revenue Model'!O93</f>
        <v>1.52</v>
      </c>
      <c r="H52">
        <f>'Revenue Model'!P93</f>
        <v>0.83</v>
      </c>
      <c r="I52">
        <f>'Revenue Model'!Q93</f>
        <v>0.85</v>
      </c>
      <c r="J52">
        <f>'Revenue Model'!R93</f>
        <v>0.46153846153846145</v>
      </c>
      <c r="K52">
        <f>'Revenue Model'!S93</f>
        <v>0.33333333333333326</v>
      </c>
      <c r="L52">
        <f>'Revenue Model'!T93</f>
        <v>0.38437499999999991</v>
      </c>
      <c r="M52">
        <f>'Revenue Model'!U93</f>
        <v>0.37142857142857144</v>
      </c>
      <c r="N52">
        <f>'Revenue Model'!V93</f>
        <v>0.42105263157894735</v>
      </c>
      <c r="O52">
        <f>'Revenue Model'!W93</f>
        <v>0.52499999999999991</v>
      </c>
      <c r="P52">
        <f>'Revenue Model'!X93</f>
        <v>0.46726862302483085</v>
      </c>
      <c r="Q52">
        <f>'Revenue Model'!Y93</f>
        <v>0.40833333333333321</v>
      </c>
      <c r="R52">
        <f>'Revenue Model'!Z93</f>
        <v>0.31481481481481488</v>
      </c>
      <c r="S52">
        <f>'Revenue Model'!AA93</f>
        <v>0.22950819672131151</v>
      </c>
      <c r="T52">
        <f>'Revenue Model'!AB93</f>
        <v>0.18461538461538463</v>
      </c>
      <c r="U52">
        <f>'Revenue Model'!AC93</f>
        <v>0.18343195266272194</v>
      </c>
      <c r="V52">
        <f>'Revenue Model'!AD93</f>
        <v>0.16816901408450691</v>
      </c>
      <c r="W52">
        <f>'Revenue Model'!AE93</f>
        <v>0.15094666666666656</v>
      </c>
      <c r="X52">
        <f>'Revenue Model'!AF93</f>
        <v>0.15398376623376619</v>
      </c>
      <c r="Y52">
        <f>'Revenue Model'!AG93</f>
        <v>0.14399109374999997</v>
      </c>
      <c r="Z52">
        <f>'Revenue Model'!AH93</f>
        <v>0</v>
      </c>
      <c r="AA52">
        <f>'Revenue Model'!AI93</f>
        <v>0</v>
      </c>
      <c r="AB52">
        <f>'Revenue Model'!AJ93</f>
        <v>0.84999999999999987</v>
      </c>
      <c r="AC52">
        <f>'Revenue Model'!AK93</f>
        <v>0.37142857142857144</v>
      </c>
      <c r="AD52">
        <f>'Revenue Model'!AL93</f>
        <v>0.40833333333333321</v>
      </c>
      <c r="AE52">
        <f>'Revenue Model'!AM93</f>
        <v>0.18343195266272194</v>
      </c>
      <c r="AF52">
        <f>'Revenue Model'!AN93</f>
        <v>0.14399109374999997</v>
      </c>
      <c r="AG52">
        <f>'Revenue Model'!AO93</f>
        <v>0.11957395456121733</v>
      </c>
      <c r="AH52">
        <f>'Revenue Model'!AP93</f>
        <v>0.10146293272575879</v>
      </c>
      <c r="AI52">
        <f>'Revenue Model'!AQ93</f>
        <v>8.2904868371016516E-2</v>
      </c>
      <c r="AJ52">
        <f>'Revenue Model'!AR93</f>
        <v>6.8902064911902539E-2</v>
      </c>
      <c r="AK52">
        <f>'Revenue Model'!AS93</f>
        <v>5.8014537024795754E-2</v>
      </c>
      <c r="AL52">
        <f>'Revenue Model'!AT93</f>
        <v>4.9350062305516751E-2</v>
      </c>
      <c r="AM52">
        <f>'Revenue Model'!AU93</f>
        <v>4.7029169843560314E-2</v>
      </c>
      <c r="AN52">
        <f>'Revenue Model'!AV93</f>
        <v>0</v>
      </c>
    </row>
    <row r="53" spans="1:40">
      <c r="A53" t="str">
        <f>'Revenue Model'!I94</f>
        <v>Q/Q % Growth</v>
      </c>
      <c r="B53">
        <f>'Revenue Model'!J94</f>
        <v>0</v>
      </c>
      <c r="C53">
        <f>'Revenue Model'!K94</f>
        <v>0.80402930402930406</v>
      </c>
      <c r="D53">
        <f>'Revenue Model'!L94</f>
        <v>0.46885245901639316</v>
      </c>
      <c r="E53">
        <f>'Revenue Model'!M94</f>
        <v>8.192567567567588E-2</v>
      </c>
      <c r="F53">
        <f>'Revenue Model'!N94</f>
        <v>0.37428571428571433</v>
      </c>
      <c r="G53">
        <f>'Revenue Model'!O94</f>
        <v>0.15384615384615374</v>
      </c>
      <c r="H53">
        <f>'Revenue Model'!P94</f>
        <v>6.6666666666666652E-2</v>
      </c>
      <c r="I53">
        <f>'Revenue Model'!Q94</f>
        <v>9.375E-2</v>
      </c>
      <c r="J53">
        <f>'Revenue Model'!R94</f>
        <v>8.5714285714285632E-2</v>
      </c>
      <c r="K53">
        <f>'Revenue Model'!S94</f>
        <v>5.2631578947368363E-2</v>
      </c>
      <c r="L53">
        <f>'Revenue Model'!T94</f>
        <v>0.10749999999999993</v>
      </c>
      <c r="M53">
        <f>'Revenue Model'!U94</f>
        <v>8.3521444695259683E-2</v>
      </c>
      <c r="N53">
        <f>'Revenue Model'!V94</f>
        <v>0.125</v>
      </c>
      <c r="O53">
        <f>'Revenue Model'!W94</f>
        <v>0.12962962962962954</v>
      </c>
      <c r="P53">
        <f>'Revenue Model'!X94</f>
        <v>6.5573770491803351E-2</v>
      </c>
      <c r="Q53">
        <f>'Revenue Model'!Y94</f>
        <v>3.9999999999999813E-2</v>
      </c>
      <c r="R53">
        <f>'Revenue Model'!Z94</f>
        <v>5.0295857988165826E-2</v>
      </c>
      <c r="S53">
        <f>'Revenue Model'!AA94</f>
        <v>5.6338028169014009E-2</v>
      </c>
      <c r="T53">
        <f>'Revenue Model'!AB94</f>
        <v>2.6666666666666616E-2</v>
      </c>
      <c r="U53">
        <f>'Revenue Model'!AC94</f>
        <v>3.8961038961038863E-2</v>
      </c>
      <c r="V53">
        <f>'Revenue Model'!AD94</f>
        <v>3.675000000000006E-2</v>
      </c>
      <c r="W53">
        <f>'Revenue Model'!AE94</f>
        <v>4.07644080057874E-2</v>
      </c>
      <c r="X53">
        <f>'Revenue Model'!AF94</f>
        <v>2.9375818167074019E-2</v>
      </c>
      <c r="Y53">
        <f>'Revenue Model'!AG94</f>
        <v>2.9964380871458918E-2</v>
      </c>
      <c r="Z53">
        <f>'Revenue Model'!AH94</f>
        <v>0</v>
      </c>
      <c r="AA53">
        <f>'Revenue Model'!AI94</f>
        <v>0</v>
      </c>
      <c r="AB53">
        <f>'Revenue Model'!AJ94</f>
        <v>0</v>
      </c>
      <c r="AC53">
        <f>'Revenue Model'!AK94</f>
        <v>0</v>
      </c>
      <c r="AD53">
        <f>'Revenue Model'!AL94</f>
        <v>0</v>
      </c>
      <c r="AE53">
        <f>'Revenue Model'!AM94</f>
        <v>0</v>
      </c>
      <c r="AF53">
        <f>'Revenue Model'!AN94</f>
        <v>0</v>
      </c>
      <c r="AG53">
        <f>'Revenue Model'!AO94</f>
        <v>0</v>
      </c>
      <c r="AH53">
        <f>'Revenue Model'!AP94</f>
        <v>0</v>
      </c>
      <c r="AI53">
        <f>'Revenue Model'!AQ94</f>
        <v>0</v>
      </c>
      <c r="AJ53">
        <f>'Revenue Model'!AR94</f>
        <v>0</v>
      </c>
      <c r="AK53">
        <f>'Revenue Model'!AS94</f>
        <v>0</v>
      </c>
      <c r="AL53">
        <f>'Revenue Model'!AT94</f>
        <v>0</v>
      </c>
      <c r="AM53">
        <f>'Revenue Model'!AU94</f>
        <v>0</v>
      </c>
      <c r="AN53">
        <f>'Revenue Model'!AV94</f>
        <v>0</v>
      </c>
    </row>
    <row r="54" spans="1:40">
      <c r="A54">
        <f>'Revenue Model'!I97</f>
        <v>0</v>
      </c>
      <c r="B54">
        <f>'Revenue Model'!J97</f>
        <v>0</v>
      </c>
      <c r="C54">
        <f>'Revenue Model'!K97</f>
        <v>0</v>
      </c>
      <c r="D54">
        <f>'Revenue Model'!L97</f>
        <v>0</v>
      </c>
      <c r="E54">
        <f>'Revenue Model'!M97</f>
        <v>0</v>
      </c>
      <c r="F54">
        <f>'Revenue Model'!N97</f>
        <v>0</v>
      </c>
      <c r="G54">
        <f>'Revenue Model'!O97</f>
        <v>0</v>
      </c>
      <c r="H54">
        <f>'Revenue Model'!P97</f>
        <v>0</v>
      </c>
      <c r="I54">
        <f>'Revenue Model'!Q97</f>
        <v>0</v>
      </c>
      <c r="J54">
        <f>'Revenue Model'!R97</f>
        <v>0</v>
      </c>
      <c r="K54">
        <f>'Revenue Model'!S97</f>
        <v>0</v>
      </c>
      <c r="L54">
        <f>'Revenue Model'!T97</f>
        <v>0</v>
      </c>
      <c r="M54">
        <f>'Revenue Model'!U97</f>
        <v>0</v>
      </c>
      <c r="N54">
        <f>'Revenue Model'!V97</f>
        <v>0</v>
      </c>
      <c r="O54">
        <f>'Revenue Model'!W97</f>
        <v>0</v>
      </c>
      <c r="P54">
        <f>'Revenue Model'!X97</f>
        <v>0</v>
      </c>
      <c r="Q54">
        <f>'Revenue Model'!Y97</f>
        <v>0</v>
      </c>
      <c r="R54">
        <f>'Revenue Model'!Z97</f>
        <v>0</v>
      </c>
      <c r="S54">
        <f>'Revenue Model'!AA97</f>
        <v>0</v>
      </c>
      <c r="T54">
        <f>'Revenue Model'!AB97</f>
        <v>0</v>
      </c>
      <c r="U54">
        <f>'Revenue Model'!AC97</f>
        <v>0</v>
      </c>
      <c r="V54">
        <f>'Revenue Model'!AD97</f>
        <v>0</v>
      </c>
      <c r="W54">
        <f>'Revenue Model'!AE97</f>
        <v>0</v>
      </c>
      <c r="X54">
        <f>'Revenue Model'!AF97</f>
        <v>0</v>
      </c>
      <c r="Y54">
        <f>'Revenue Model'!AG97</f>
        <v>0</v>
      </c>
      <c r="Z54">
        <f>'Revenue Model'!AH97</f>
        <v>0</v>
      </c>
      <c r="AA54">
        <f>'Revenue Model'!AI97</f>
        <v>0</v>
      </c>
      <c r="AB54">
        <f>'Revenue Model'!AJ97</f>
        <v>0</v>
      </c>
      <c r="AC54">
        <f>'Revenue Model'!AK97</f>
        <v>0</v>
      </c>
      <c r="AD54">
        <f>'Revenue Model'!AL97</f>
        <v>0</v>
      </c>
      <c r="AE54">
        <f>'Revenue Model'!AM97</f>
        <v>0</v>
      </c>
      <c r="AF54">
        <f>'Revenue Model'!AN97</f>
        <v>0</v>
      </c>
      <c r="AG54">
        <f>'Revenue Model'!AO97</f>
        <v>0</v>
      </c>
      <c r="AH54">
        <f>'Revenue Model'!AP97</f>
        <v>0</v>
      </c>
      <c r="AI54">
        <f>'Revenue Model'!AQ97</f>
        <v>0</v>
      </c>
      <c r="AJ54">
        <f>'Revenue Model'!AR97</f>
        <v>0</v>
      </c>
      <c r="AK54">
        <f>'Revenue Model'!AS97</f>
        <v>0</v>
      </c>
      <c r="AL54">
        <f>'Revenue Model'!AT97</f>
        <v>0</v>
      </c>
      <c r="AM54">
        <f>'Revenue Model'!AU97</f>
        <v>0</v>
      </c>
      <c r="AN54">
        <f>'Revenue Model'!AV97</f>
        <v>0</v>
      </c>
    </row>
    <row r="55" spans="1:40">
      <c r="A55" t="str">
        <f>'Revenue Model'!I98</f>
        <v xml:space="preserve">North America Revenue </v>
      </c>
      <c r="B55">
        <f>'Revenue Model'!J98</f>
        <v>0</v>
      </c>
      <c r="C55">
        <f>'Revenue Model'!K98</f>
        <v>0</v>
      </c>
      <c r="D55">
        <f>'Revenue Model'!L98</f>
        <v>0</v>
      </c>
      <c r="E55">
        <f>'Revenue Model'!M98</f>
        <v>0</v>
      </c>
      <c r="F55">
        <f>'Revenue Model'!N98</f>
        <v>0</v>
      </c>
      <c r="G55">
        <f>'Revenue Model'!O98</f>
        <v>0</v>
      </c>
      <c r="H55">
        <f>'Revenue Model'!P98</f>
        <v>0</v>
      </c>
      <c r="I55">
        <f>'Revenue Model'!Q98</f>
        <v>0</v>
      </c>
      <c r="J55">
        <f>'Revenue Model'!R98</f>
        <v>3.911</v>
      </c>
      <c r="K55">
        <f>'Revenue Model'!S98</f>
        <v>5.2160000000000002</v>
      </c>
      <c r="L55">
        <f>'Revenue Model'!T98</f>
        <v>15.859</v>
      </c>
      <c r="M55">
        <f>'Revenue Model'!U98</f>
        <v>31.364000000000001</v>
      </c>
      <c r="N55">
        <f>'Revenue Model'!V98</f>
        <v>35.898000000000003</v>
      </c>
      <c r="O55">
        <f>'Revenue Model'!W98</f>
        <v>65.218999999999994</v>
      </c>
      <c r="P55">
        <f>'Revenue Model'!X98</f>
        <v>114.755</v>
      </c>
      <c r="Q55">
        <f>'Revenue Model'!Y98</f>
        <v>145.35599999999999</v>
      </c>
      <c r="R55">
        <f>'Revenue Model'!Z98</f>
        <v>129</v>
      </c>
      <c r="S55">
        <f>'Revenue Model'!AA98</f>
        <v>148</v>
      </c>
      <c r="T55">
        <f>'Revenue Model'!AB98</f>
        <v>167</v>
      </c>
      <c r="U55">
        <f>'Revenue Model'!AC98</f>
        <v>219</v>
      </c>
      <c r="V55">
        <f>'Revenue Model'!AD98</f>
        <v>194</v>
      </c>
      <c r="W55">
        <f>'Revenue Model'!AE98</f>
        <v>222</v>
      </c>
      <c r="X55">
        <f>'Revenue Model'!AF98</f>
        <v>250</v>
      </c>
      <c r="Y55">
        <f>'Revenue Model'!AG98</f>
        <v>310</v>
      </c>
      <c r="Z55">
        <f>'Revenue Model'!AH98</f>
        <v>0</v>
      </c>
      <c r="AA55">
        <f>'Revenue Model'!AI98</f>
        <v>0</v>
      </c>
      <c r="AB55">
        <f>'Revenue Model'!AJ98</f>
        <v>0</v>
      </c>
      <c r="AC55">
        <f>'Revenue Model'!AK98</f>
        <v>56.35</v>
      </c>
      <c r="AD55">
        <f>'Revenue Model'!AL98</f>
        <v>361.22799999999995</v>
      </c>
      <c r="AE55">
        <f>'Revenue Model'!AM98</f>
        <v>663</v>
      </c>
      <c r="AF55">
        <f>'Revenue Model'!AN98</f>
        <v>976</v>
      </c>
      <c r="AG55">
        <f>'Revenue Model'!AO98</f>
        <v>1367.6512820512821</v>
      </c>
      <c r="AH55">
        <f>'Revenue Model'!AP98</f>
        <v>1834.1431071663383</v>
      </c>
      <c r="AI55">
        <f>'Revenue Model'!AQ98</f>
        <v>2365.9093989770608</v>
      </c>
      <c r="AJ55">
        <f>'Revenue Model'!AR98</f>
        <v>2948.9578173353229</v>
      </c>
      <c r="AK55">
        <f>'Revenue Model'!AS98</f>
        <v>3515.8098065610634</v>
      </c>
      <c r="AL55">
        <f>'Revenue Model'!AT98</f>
        <v>4042.9438812775593</v>
      </c>
      <c r="AM55">
        <f>'Revenue Model'!AU98</f>
        <v>4515.7553834380196</v>
      </c>
      <c r="AN55">
        <f>'Revenue Model'!AV98</f>
        <v>0</v>
      </c>
    </row>
    <row r="56" spans="1:40">
      <c r="A56" t="str">
        <f>'Revenue Model'!I99</f>
        <v>Y/Y % Growth</v>
      </c>
      <c r="B56">
        <f>'Revenue Model'!J99</f>
        <v>0</v>
      </c>
      <c r="C56">
        <f>'Revenue Model'!K99</f>
        <v>0</v>
      </c>
      <c r="D56">
        <f>'Revenue Model'!L99</f>
        <v>0</v>
      </c>
      <c r="E56">
        <f>'Revenue Model'!M99</f>
        <v>0</v>
      </c>
      <c r="F56">
        <f>'Revenue Model'!N99</f>
        <v>0</v>
      </c>
      <c r="G56">
        <f>'Revenue Model'!O99</f>
        <v>0</v>
      </c>
      <c r="H56">
        <f>'Revenue Model'!P99</f>
        <v>0</v>
      </c>
      <c r="I56">
        <f>'Revenue Model'!Q99</f>
        <v>0</v>
      </c>
      <c r="J56">
        <f>'Revenue Model'!R99</f>
        <v>0</v>
      </c>
      <c r="K56">
        <f>'Revenue Model'!S99</f>
        <v>0</v>
      </c>
      <c r="L56">
        <f>'Revenue Model'!T99</f>
        <v>0</v>
      </c>
      <c r="M56">
        <f>'Revenue Model'!U99</f>
        <v>0</v>
      </c>
      <c r="N56">
        <f>'Revenue Model'!V99</f>
        <v>8.1787266683712616</v>
      </c>
      <c r="O56">
        <f>'Revenue Model'!W99</f>
        <v>11.503642638036808</v>
      </c>
      <c r="P56">
        <f>'Revenue Model'!X99</f>
        <v>6.2359543476890087</v>
      </c>
      <c r="Q56">
        <f>'Revenue Model'!Y99</f>
        <v>3.6344853972707556</v>
      </c>
      <c r="R56">
        <f>'Revenue Model'!Z99</f>
        <v>2.5935149590506432</v>
      </c>
      <c r="S56">
        <f>'Revenue Model'!AA99</f>
        <v>1.2692773578251737</v>
      </c>
      <c r="T56">
        <f>'Revenue Model'!AB99</f>
        <v>0.45527427998780023</v>
      </c>
      <c r="U56">
        <f>'Revenue Model'!AC99</f>
        <v>0.50664575249731691</v>
      </c>
      <c r="V56">
        <f>'Revenue Model'!AD99</f>
        <v>0.50387596899224807</v>
      </c>
      <c r="W56">
        <f>'Revenue Model'!AE99</f>
        <v>0.5</v>
      </c>
      <c r="X56">
        <f>'Revenue Model'!AF99</f>
        <v>0.49700598802395213</v>
      </c>
      <c r="Y56">
        <f>'Revenue Model'!AG99</f>
        <v>0.41552511415525117</v>
      </c>
      <c r="Z56">
        <f>'Revenue Model'!AH99</f>
        <v>0</v>
      </c>
      <c r="AA56">
        <f>'Revenue Model'!AI99</f>
        <v>0</v>
      </c>
      <c r="AB56">
        <f>'Revenue Model'!AJ99</f>
        <v>0</v>
      </c>
      <c r="AC56">
        <f>'Revenue Model'!AK99</f>
        <v>0</v>
      </c>
      <c r="AD56">
        <f>'Revenue Model'!AL99</f>
        <v>5.4104347826086947</v>
      </c>
      <c r="AE56">
        <f>'Revenue Model'!AM99</f>
        <v>0.83540589323086833</v>
      </c>
      <c r="AF56">
        <f>'Revenue Model'!AN99</f>
        <v>0.47209653092006043</v>
      </c>
      <c r="AG56">
        <f>'Revenue Model'!AO99</f>
        <v>0.40128205128205136</v>
      </c>
      <c r="AH56">
        <f>'Revenue Model'!AP99</f>
        <v>0.34108974358974364</v>
      </c>
      <c r="AI56">
        <f>'Revenue Model'!AQ99</f>
        <v>0.28992628205128207</v>
      </c>
      <c r="AJ56">
        <f>'Revenue Model'!AR99</f>
        <v>0.24643733974358975</v>
      </c>
      <c r="AK56">
        <f>'Revenue Model'!AS99</f>
        <v>0.19222112500000002</v>
      </c>
      <c r="AL56">
        <f>'Revenue Model'!AT99</f>
        <v>0.14993247750000002</v>
      </c>
      <c r="AM56">
        <f>'Revenue Model'!AU99</f>
        <v>0.11694733245000002</v>
      </c>
      <c r="AN56">
        <f>'Revenue Model'!AV99</f>
        <v>0</v>
      </c>
    </row>
    <row r="57" spans="1:40">
      <c r="A57" t="str">
        <f>'Revenue Model'!I100</f>
        <v>Y/Y Abs Growth</v>
      </c>
      <c r="B57">
        <f>'Revenue Model'!J100</f>
        <v>0</v>
      </c>
      <c r="C57">
        <f>'Revenue Model'!K100</f>
        <v>0</v>
      </c>
      <c r="D57">
        <f>'Revenue Model'!L100</f>
        <v>0</v>
      </c>
      <c r="E57">
        <f>'Revenue Model'!M100</f>
        <v>0</v>
      </c>
      <c r="F57">
        <f>'Revenue Model'!N100</f>
        <v>0</v>
      </c>
      <c r="G57">
        <f>'Revenue Model'!O100</f>
        <v>0</v>
      </c>
      <c r="H57">
        <f>'Revenue Model'!P100</f>
        <v>0</v>
      </c>
      <c r="I57">
        <f>'Revenue Model'!Q100</f>
        <v>0</v>
      </c>
      <c r="J57">
        <f>'Revenue Model'!R100</f>
        <v>0</v>
      </c>
      <c r="K57">
        <f>'Revenue Model'!S100</f>
        <v>0</v>
      </c>
      <c r="L57">
        <f>'Revenue Model'!T100</f>
        <v>0</v>
      </c>
      <c r="M57">
        <f>'Revenue Model'!U100</f>
        <v>0</v>
      </c>
      <c r="N57">
        <f>'Revenue Model'!V100</f>
        <v>31.987000000000002</v>
      </c>
      <c r="O57">
        <f>'Revenue Model'!W100</f>
        <v>60.002999999999993</v>
      </c>
      <c r="P57">
        <f>'Revenue Model'!X100</f>
        <v>98.896000000000001</v>
      </c>
      <c r="Q57">
        <f>'Revenue Model'!Y100</f>
        <v>113.99199999999999</v>
      </c>
      <c r="R57">
        <f>'Revenue Model'!Z100</f>
        <v>93.102000000000004</v>
      </c>
      <c r="S57">
        <f>'Revenue Model'!AA100</f>
        <v>82.781000000000006</v>
      </c>
      <c r="T57">
        <f>'Revenue Model'!AB100</f>
        <v>52.245000000000005</v>
      </c>
      <c r="U57">
        <f>'Revenue Model'!AC100</f>
        <v>73.644000000000005</v>
      </c>
      <c r="V57">
        <f>'Revenue Model'!AD100</f>
        <v>65</v>
      </c>
      <c r="W57">
        <f>'Revenue Model'!AE100</f>
        <v>74</v>
      </c>
      <c r="X57">
        <f>'Revenue Model'!AF100</f>
        <v>83</v>
      </c>
      <c r="Y57">
        <f>'Revenue Model'!AG100</f>
        <v>91</v>
      </c>
      <c r="Z57">
        <f>'Revenue Model'!AH100</f>
        <v>0</v>
      </c>
      <c r="AA57">
        <f>'Revenue Model'!AI100</f>
        <v>0</v>
      </c>
      <c r="AB57">
        <f>'Revenue Model'!AJ100</f>
        <v>0</v>
      </c>
      <c r="AC57">
        <f>'Revenue Model'!AK100</f>
        <v>56.35</v>
      </c>
      <c r="AD57">
        <f>'Revenue Model'!AL100</f>
        <v>304.87799999999993</v>
      </c>
      <c r="AE57">
        <f>'Revenue Model'!AM100</f>
        <v>301.77200000000005</v>
      </c>
      <c r="AF57">
        <f>'Revenue Model'!AN100</f>
        <v>313</v>
      </c>
      <c r="AG57">
        <f>'Revenue Model'!AO100</f>
        <v>391.65128205128212</v>
      </c>
      <c r="AH57">
        <f>'Revenue Model'!AP100</f>
        <v>466.49182511505614</v>
      </c>
      <c r="AI57">
        <f>'Revenue Model'!AQ100</f>
        <v>531.76629181072258</v>
      </c>
      <c r="AJ57">
        <f>'Revenue Model'!AR100</f>
        <v>583.0484183582621</v>
      </c>
      <c r="AK57">
        <f>'Revenue Model'!AS100</f>
        <v>566.85198922574045</v>
      </c>
      <c r="AL57">
        <f>'Revenue Model'!AT100</f>
        <v>527.13407471649589</v>
      </c>
      <c r="AM57">
        <f>'Revenue Model'!AU100</f>
        <v>472.81150216046035</v>
      </c>
      <c r="AN57">
        <f>'Revenue Model'!AV100</f>
        <v>0</v>
      </c>
    </row>
    <row r="58" spans="1:40">
      <c r="A58" t="str">
        <f>'Revenue Model'!I101</f>
        <v>Q/Q % Growth</v>
      </c>
      <c r="B58">
        <f>'Revenue Model'!J101</f>
        <v>0</v>
      </c>
      <c r="C58">
        <f>'Revenue Model'!K101</f>
        <v>0</v>
      </c>
      <c r="D58">
        <f>'Revenue Model'!L101</f>
        <v>0</v>
      </c>
      <c r="E58">
        <f>'Revenue Model'!M101</f>
        <v>0</v>
      </c>
      <c r="F58">
        <f>'Revenue Model'!N101</f>
        <v>0</v>
      </c>
      <c r="G58">
        <f>'Revenue Model'!O101</f>
        <v>0</v>
      </c>
      <c r="H58">
        <f>'Revenue Model'!P101</f>
        <v>0</v>
      </c>
      <c r="I58">
        <f>'Revenue Model'!Q101</f>
        <v>0</v>
      </c>
      <c r="J58">
        <f>'Revenue Model'!R101</f>
        <v>0</v>
      </c>
      <c r="K58">
        <f>'Revenue Model'!S101</f>
        <v>0.33367425210943491</v>
      </c>
      <c r="L58">
        <f>'Revenue Model'!T101</f>
        <v>2.0404524539877298</v>
      </c>
      <c r="M58">
        <f>'Revenue Model'!U101</f>
        <v>0.97767828993000827</v>
      </c>
      <c r="N58">
        <f>'Revenue Model'!V101</f>
        <v>0.14456064277515623</v>
      </c>
      <c r="O58">
        <f>'Revenue Model'!W101</f>
        <v>0.81678645049863463</v>
      </c>
      <c r="P58">
        <f>'Revenue Model'!X101</f>
        <v>0.75953326484613393</v>
      </c>
      <c r="Q58">
        <f>'Revenue Model'!Y101</f>
        <v>0.2666637619275849</v>
      </c>
      <c r="R58">
        <f>'Revenue Model'!Z101</f>
        <v>-0.1125237348303475</v>
      </c>
      <c r="S58">
        <f>'Revenue Model'!AA101</f>
        <v>0.1472868217054264</v>
      </c>
      <c r="T58">
        <f>'Revenue Model'!AB101</f>
        <v>0.12837837837837829</v>
      </c>
      <c r="U58">
        <f>'Revenue Model'!AC101</f>
        <v>0.31137724550898205</v>
      </c>
      <c r="V58">
        <f>'Revenue Model'!AD101</f>
        <v>-0.11415525114155256</v>
      </c>
      <c r="W58">
        <f>'Revenue Model'!AE101</f>
        <v>0.14432989690721643</v>
      </c>
      <c r="X58">
        <f>'Revenue Model'!AF101</f>
        <v>0.12612612612612617</v>
      </c>
      <c r="Y58">
        <f>'Revenue Model'!AG101</f>
        <v>0.24</v>
      </c>
      <c r="Z58">
        <f>'Revenue Model'!AH101</f>
        <v>0</v>
      </c>
      <c r="AA58">
        <f>'Revenue Model'!AI101</f>
        <v>0</v>
      </c>
      <c r="AB58">
        <f>'Revenue Model'!AJ101</f>
        <v>0</v>
      </c>
      <c r="AC58">
        <f>'Revenue Model'!AK101</f>
        <v>0</v>
      </c>
      <c r="AD58">
        <f>'Revenue Model'!AL101</f>
        <v>0</v>
      </c>
      <c r="AE58">
        <f>'Revenue Model'!AM101</f>
        <v>0</v>
      </c>
      <c r="AF58">
        <f>'Revenue Model'!AN101</f>
        <v>0</v>
      </c>
      <c r="AG58">
        <f>'Revenue Model'!AO101</f>
        <v>0</v>
      </c>
      <c r="AH58">
        <f>'Revenue Model'!AP101</f>
        <v>0</v>
      </c>
      <c r="AI58">
        <f>'Revenue Model'!AQ101</f>
        <v>0</v>
      </c>
      <c r="AJ58">
        <f>'Revenue Model'!AR101</f>
        <v>0</v>
      </c>
      <c r="AK58">
        <f>'Revenue Model'!AS101</f>
        <v>0</v>
      </c>
      <c r="AL58">
        <f>'Revenue Model'!AT101</f>
        <v>0</v>
      </c>
      <c r="AM58">
        <f>'Revenue Model'!AU101</f>
        <v>0</v>
      </c>
      <c r="AN58">
        <f>'Revenue Model'!AV101</f>
        <v>0</v>
      </c>
    </row>
    <row r="59" spans="1:40">
      <c r="A59" t="str">
        <f>'Revenue Model'!I102</f>
        <v>Q/Q Abs Growth</v>
      </c>
      <c r="B59">
        <f>'Revenue Model'!J102</f>
        <v>0</v>
      </c>
      <c r="C59">
        <f>'Revenue Model'!K102</f>
        <v>0</v>
      </c>
      <c r="D59">
        <f>'Revenue Model'!L102</f>
        <v>0</v>
      </c>
      <c r="E59">
        <f>'Revenue Model'!M102</f>
        <v>0</v>
      </c>
      <c r="F59">
        <f>'Revenue Model'!N102</f>
        <v>0</v>
      </c>
      <c r="G59">
        <f>'Revenue Model'!O102</f>
        <v>0</v>
      </c>
      <c r="H59">
        <f>'Revenue Model'!P102</f>
        <v>0</v>
      </c>
      <c r="I59">
        <f>'Revenue Model'!Q102</f>
        <v>0</v>
      </c>
      <c r="J59">
        <f>'Revenue Model'!R102</f>
        <v>0</v>
      </c>
      <c r="K59">
        <f>'Revenue Model'!S102</f>
        <v>1.3050000000000002</v>
      </c>
      <c r="L59">
        <f>'Revenue Model'!T102</f>
        <v>10.643000000000001</v>
      </c>
      <c r="M59">
        <f>'Revenue Model'!U102</f>
        <v>15.505000000000001</v>
      </c>
      <c r="N59">
        <f>'Revenue Model'!V102</f>
        <v>4.5340000000000025</v>
      </c>
      <c r="O59">
        <f>'Revenue Model'!W102</f>
        <v>29.320999999999991</v>
      </c>
      <c r="P59">
        <f>'Revenue Model'!X102</f>
        <v>49.536000000000001</v>
      </c>
      <c r="Q59">
        <f>'Revenue Model'!Y102</f>
        <v>30.600999999999999</v>
      </c>
      <c r="R59">
        <f>'Revenue Model'!Z102</f>
        <v>-16.355999999999995</v>
      </c>
      <c r="S59">
        <f>'Revenue Model'!AA102</f>
        <v>19</v>
      </c>
      <c r="T59">
        <f>'Revenue Model'!AB102</f>
        <v>19</v>
      </c>
      <c r="U59">
        <f>'Revenue Model'!AC102</f>
        <v>52</v>
      </c>
      <c r="V59">
        <f>'Revenue Model'!AD102</f>
        <v>-25</v>
      </c>
      <c r="W59">
        <f>'Revenue Model'!AE102</f>
        <v>28</v>
      </c>
      <c r="X59">
        <f>'Revenue Model'!AF102</f>
        <v>28</v>
      </c>
      <c r="Y59">
        <f>'Revenue Model'!AG102</f>
        <v>60</v>
      </c>
      <c r="Z59">
        <f>'Revenue Model'!AH102</f>
        <v>0</v>
      </c>
      <c r="AA59">
        <f>'Revenue Model'!AI102</f>
        <v>0</v>
      </c>
      <c r="AB59">
        <f>'Revenue Model'!AJ102</f>
        <v>0</v>
      </c>
      <c r="AC59">
        <f>'Revenue Model'!AK102</f>
        <v>0</v>
      </c>
      <c r="AD59">
        <f>'Revenue Model'!AL102</f>
        <v>0</v>
      </c>
      <c r="AE59">
        <f>'Revenue Model'!AM102</f>
        <v>0</v>
      </c>
      <c r="AF59">
        <f>'Revenue Model'!AN102</f>
        <v>0</v>
      </c>
      <c r="AG59">
        <f>'Revenue Model'!AO102</f>
        <v>0</v>
      </c>
      <c r="AH59">
        <f>'Revenue Model'!AP102</f>
        <v>0</v>
      </c>
      <c r="AI59">
        <f>'Revenue Model'!AQ102</f>
        <v>0</v>
      </c>
      <c r="AJ59">
        <f>'Revenue Model'!AR102</f>
        <v>0</v>
      </c>
      <c r="AK59">
        <f>'Revenue Model'!AS102</f>
        <v>0</v>
      </c>
      <c r="AL59">
        <f>'Revenue Model'!AT102</f>
        <v>0</v>
      </c>
      <c r="AM59">
        <f>'Revenue Model'!AU102</f>
        <v>0</v>
      </c>
      <c r="AN59">
        <f>'Revenue Model'!AV102</f>
        <v>0</v>
      </c>
    </row>
    <row r="61" spans="1:40">
      <c r="A61" t="str">
        <f>'Revenue Model'!I106</f>
        <v>North America ARPU</v>
      </c>
      <c r="B61">
        <f>'Revenue Model'!J106</f>
        <v>0</v>
      </c>
      <c r="C61">
        <f>'Revenue Model'!K106</f>
        <v>0</v>
      </c>
      <c r="D61">
        <f>'Revenue Model'!L106</f>
        <v>0</v>
      </c>
      <c r="E61">
        <f>'Revenue Model'!M106</f>
        <v>0</v>
      </c>
      <c r="F61">
        <f>'Revenue Model'!N106</f>
        <v>0</v>
      </c>
      <c r="G61">
        <f>'Revenue Model'!O106</f>
        <v>0</v>
      </c>
      <c r="H61">
        <f>'Revenue Model'!P106</f>
        <v>0</v>
      </c>
      <c r="I61">
        <f>'Revenue Model'!Q106</f>
        <v>0</v>
      </c>
      <c r="J61">
        <f>'Revenue Model'!R106</f>
        <v>0.10292105263157895</v>
      </c>
      <c r="K61">
        <f>'Revenue Model'!S106</f>
        <v>0.13040000000000002</v>
      </c>
      <c r="L61">
        <f>'Revenue Model'!T106</f>
        <v>0.35799097065462754</v>
      </c>
      <c r="M61">
        <f>'Revenue Model'!U106</f>
        <v>0.65341666666666665</v>
      </c>
      <c r="N61">
        <f>'Revenue Model'!V106</f>
        <v>0.6647777777777778</v>
      </c>
      <c r="O61">
        <f>'Revenue Model'!W106</f>
        <v>1.0691639344262294</v>
      </c>
      <c r="P61">
        <f>'Revenue Model'!X106</f>
        <v>1.7654615384615384</v>
      </c>
      <c r="Q61">
        <f>'Revenue Model'!Y106</f>
        <v>2.1502366863905324</v>
      </c>
      <c r="R61">
        <f>'Revenue Model'!Z106</f>
        <v>1.8169014084507042</v>
      </c>
      <c r="S61">
        <f>'Revenue Model'!AA106</f>
        <v>1.9733333333333334</v>
      </c>
      <c r="T61">
        <f>'Revenue Model'!AB106</f>
        <v>2.168831168831169</v>
      </c>
      <c r="U61">
        <f>'Revenue Model'!AC106</f>
        <v>2.7374999999999998</v>
      </c>
      <c r="V61">
        <f>'Revenue Model'!AD106</f>
        <v>2.339040270074753</v>
      </c>
      <c r="W61">
        <f>'Revenue Model'!AE106</f>
        <v>2.5717959708529792</v>
      </c>
      <c r="X61">
        <f>'Revenue Model'!AF106</f>
        <v>2.8135172623351634</v>
      </c>
      <c r="Y61">
        <f>'Revenue Model'!AG106</f>
        <v>3.3872641327108237</v>
      </c>
      <c r="Z61">
        <f>'Revenue Model'!AH106</f>
        <v>0</v>
      </c>
      <c r="AA61">
        <f>'Revenue Model'!AI106</f>
        <v>0</v>
      </c>
      <c r="AB61">
        <f>'Revenue Model'!AJ106</f>
        <v>0</v>
      </c>
      <c r="AC61">
        <f>'Revenue Model'!AK106</f>
        <v>1.3578313253012049</v>
      </c>
      <c r="AD61">
        <f>'Revenue Model'!AL106</f>
        <v>6.2496193771626292</v>
      </c>
      <c r="AE61">
        <f>'Revenue Model'!AM106</f>
        <v>8.9837398373983746</v>
      </c>
      <c r="AF61">
        <f>'Revenue Model'!AN106</f>
        <v>11.380644290514558</v>
      </c>
      <c r="AG61">
        <f>'Revenue Model'!AO106</f>
        <v>14.100813480750471</v>
      </c>
      <c r="AH61">
        <f>'Revenue Model'!AP106</f>
        <v>17.036330738167486</v>
      </c>
      <c r="AI61">
        <f>'Revenue Model'!AQ106</f>
        <v>20.129054080413948</v>
      </c>
      <c r="AJ61">
        <f>'Revenue Model'!AR106</f>
        <v>23.325610174099939</v>
      </c>
      <c r="AK61">
        <f>'Revenue Model'!AS106</f>
        <v>26.154318310179761</v>
      </c>
      <c r="AL61">
        <f>'Revenue Model'!AT106</f>
        <v>28.546732064613821</v>
      </c>
      <c r="AM61">
        <f>'Revenue Model'!AU106</f>
        <v>30.42011275063853</v>
      </c>
      <c r="AN61">
        <f>'Revenue Model'!AV106</f>
        <v>0</v>
      </c>
    </row>
    <row r="62" spans="1:40">
      <c r="A62" t="str">
        <f>'Revenue Model'!I107</f>
        <v>Y/Y % Growth</v>
      </c>
      <c r="B62">
        <f>'Revenue Model'!J107</f>
        <v>0</v>
      </c>
      <c r="C62">
        <f>'Revenue Model'!K107</f>
        <v>0</v>
      </c>
      <c r="D62">
        <f>'Revenue Model'!L107</f>
        <v>0</v>
      </c>
      <c r="E62">
        <f>'Revenue Model'!M107</f>
        <v>0</v>
      </c>
      <c r="F62">
        <f>'Revenue Model'!N107</f>
        <v>0</v>
      </c>
      <c r="G62">
        <f>'Revenue Model'!O107</f>
        <v>0</v>
      </c>
      <c r="H62">
        <f>'Revenue Model'!P107</f>
        <v>0</v>
      </c>
      <c r="I62">
        <f>'Revenue Model'!Q107</f>
        <v>0</v>
      </c>
      <c r="J62">
        <f>'Revenue Model'!R107</f>
        <v>0</v>
      </c>
      <c r="K62">
        <f>'Revenue Model'!S107</f>
        <v>0</v>
      </c>
      <c r="L62">
        <f>'Revenue Model'!T107</f>
        <v>0</v>
      </c>
      <c r="M62">
        <f>'Revenue Model'!U107</f>
        <v>0</v>
      </c>
      <c r="N62">
        <f>'Revenue Model'!V107</f>
        <v>5.4591039518168127</v>
      </c>
      <c r="O62">
        <f>'Revenue Model'!W107</f>
        <v>7.1991099265815119</v>
      </c>
      <c r="P62">
        <f>'Revenue Model'!X107</f>
        <v>3.9315811938865091</v>
      </c>
      <c r="Q62">
        <f>'Revenue Model'!Y107</f>
        <v>2.2907588619674009</v>
      </c>
      <c r="R62">
        <f>'Revenue Model'!Z107</f>
        <v>1.7330958843483768</v>
      </c>
      <c r="S62">
        <f>'Revenue Model'!AA107</f>
        <v>0.84567891769780812</v>
      </c>
      <c r="T62">
        <f>'Revenue Model'!AB107</f>
        <v>0.22847828830138983</v>
      </c>
      <c r="U62">
        <f>'Revenue Model'!AC107</f>
        <v>0.27311566086023276</v>
      </c>
      <c r="V62">
        <f>'Revenue Model'!AD107</f>
        <v>0.28737875329695717</v>
      </c>
      <c r="W62">
        <f>'Revenue Model'!AE107</f>
        <v>0.30327498522955021</v>
      </c>
      <c r="X62">
        <f>'Revenue Model'!AF107</f>
        <v>0.29725047425034479</v>
      </c>
      <c r="Y62">
        <f>'Revenue Model'!AG107</f>
        <v>0.23735676080760681</v>
      </c>
      <c r="Z62">
        <f>'Revenue Model'!AH107</f>
        <v>0</v>
      </c>
      <c r="AA62">
        <f>'Revenue Model'!AI107</f>
        <v>0</v>
      </c>
      <c r="AB62">
        <f>'Revenue Model'!AJ107</f>
        <v>0</v>
      </c>
      <c r="AC62">
        <f>'Revenue Model'!AK107</f>
        <v>0</v>
      </c>
      <c r="AD62">
        <f>'Revenue Model'!AL107</f>
        <v>3.6026478110425746</v>
      </c>
      <c r="AE62">
        <f>'Revenue Model'!AM107</f>
        <v>0.43748591637864753</v>
      </c>
      <c r="AF62">
        <f>'Revenue Model'!AN107</f>
        <v>0.26680474907990104</v>
      </c>
      <c r="AG62">
        <f>'Revenue Model'!AO107</f>
        <v>0.23901715235077647</v>
      </c>
      <c r="AH62">
        <f>'Revenue Model'!AP107</f>
        <v>0.20818070258318033</v>
      </c>
      <c r="AI62">
        <f>'Revenue Model'!AQ107</f>
        <v>0.18153693948413752</v>
      </c>
      <c r="AJ62">
        <f>'Revenue Model'!AR107</f>
        <v>0.15880309531267622</v>
      </c>
      <c r="AK62">
        <f>'Revenue Model'!AS107</f>
        <v>0.12127048831591702</v>
      </c>
      <c r="AL62">
        <f>'Revenue Model'!AT107</f>
        <v>9.1472992186643509E-2</v>
      </c>
      <c r="AM62">
        <f>'Revenue Model'!AU107</f>
        <v>6.5625048842173017E-2</v>
      </c>
      <c r="AN62">
        <f>'Revenue Model'!AV107</f>
        <v>0</v>
      </c>
    </row>
    <row r="63" spans="1:40">
      <c r="A63" t="str">
        <f>'Revenue Model'!I109</f>
        <v>Q/Q % Growth</v>
      </c>
      <c r="B63">
        <f>'Revenue Model'!J109</f>
        <v>0</v>
      </c>
      <c r="C63">
        <f>'Revenue Model'!K109</f>
        <v>0</v>
      </c>
      <c r="D63">
        <f>'Revenue Model'!L109</f>
        <v>0</v>
      </c>
      <c r="E63">
        <f>'Revenue Model'!M109</f>
        <v>0</v>
      </c>
      <c r="F63">
        <f>'Revenue Model'!N109</f>
        <v>0</v>
      </c>
      <c r="G63">
        <f>'Revenue Model'!O109</f>
        <v>0</v>
      </c>
      <c r="H63">
        <f>'Revenue Model'!P109</f>
        <v>0</v>
      </c>
      <c r="I63">
        <f>'Revenue Model'!Q109</f>
        <v>0</v>
      </c>
      <c r="J63">
        <f>'Revenue Model'!R109</f>
        <v>0</v>
      </c>
      <c r="K63">
        <f>'Revenue Model'!S109</f>
        <v>0.26699053950396334</v>
      </c>
      <c r="L63">
        <f>'Revenue Model'!T109</f>
        <v>1.7453295295600268</v>
      </c>
      <c r="M63">
        <f>'Revenue Model'!U109</f>
        <v>0.82523225508123677</v>
      </c>
      <c r="N63">
        <f>'Revenue Model'!V109</f>
        <v>1.7387238022361196E-2</v>
      </c>
      <c r="O63">
        <f>'Revenue Model'!W109</f>
        <v>0.60830275945780787</v>
      </c>
      <c r="P63">
        <f>'Revenue Model'!X109</f>
        <v>0.65125429470175655</v>
      </c>
      <c r="Q63">
        <f>'Revenue Model'!Y109</f>
        <v>0.21794592493037013</v>
      </c>
      <c r="R63">
        <f>'Revenue Model'!Z109</f>
        <v>-0.15502259823283793</v>
      </c>
      <c r="S63">
        <f>'Revenue Model'!AA109</f>
        <v>8.6098191214470265E-2</v>
      </c>
      <c r="T63">
        <f>'Revenue Model'!AB109</f>
        <v>9.906984906984917E-2</v>
      </c>
      <c r="U63">
        <f>'Revenue Model'!AC109</f>
        <v>0.26220059880239499</v>
      </c>
      <c r="V63">
        <f>'Revenue Model'!AD109</f>
        <v>-0.14555606572611757</v>
      </c>
      <c r="W63">
        <f>'Revenue Model'!AE109</f>
        <v>9.9509060940959237E-2</v>
      </c>
      <c r="X63">
        <f>'Revenue Model'!AF109</f>
        <v>9.3989295504655956E-2</v>
      </c>
      <c r="Y63">
        <f>'Revenue Model'!AG109</f>
        <v>0.20392512889700987</v>
      </c>
      <c r="Z63">
        <f>'Revenue Model'!AH109</f>
        <v>0</v>
      </c>
      <c r="AA63">
        <f>'Revenue Model'!AI109</f>
        <v>0</v>
      </c>
      <c r="AB63">
        <f>'Revenue Model'!AJ109</f>
        <v>0</v>
      </c>
      <c r="AC63">
        <f>'Revenue Model'!AK109</f>
        <v>0</v>
      </c>
      <c r="AD63">
        <f>'Revenue Model'!AL109</f>
        <v>0</v>
      </c>
      <c r="AE63">
        <f>'Revenue Model'!AM109</f>
        <v>0</v>
      </c>
      <c r="AF63">
        <f>'Revenue Model'!AN109</f>
        <v>0</v>
      </c>
      <c r="AG63">
        <f>'Revenue Model'!AO109</f>
        <v>0</v>
      </c>
      <c r="AH63">
        <f>'Revenue Model'!AP109</f>
        <v>0</v>
      </c>
      <c r="AI63">
        <f>'Revenue Model'!AQ109</f>
        <v>0</v>
      </c>
      <c r="AJ63">
        <f>'Revenue Model'!AR109</f>
        <v>0</v>
      </c>
      <c r="AK63">
        <f>'Revenue Model'!AS109</f>
        <v>0</v>
      </c>
      <c r="AL63">
        <f>'Revenue Model'!AT109</f>
        <v>0</v>
      </c>
      <c r="AM63">
        <f>'Revenue Model'!AU109</f>
        <v>0</v>
      </c>
      <c r="AN63">
        <f>'Revenue Model'!AV109</f>
        <v>0</v>
      </c>
    </row>
    <row r="64" spans="1:40">
      <c r="A64" t="str">
        <f>'Revenue Model'!I110</f>
        <v>Q/Q Abs Growth</v>
      </c>
      <c r="B64">
        <f>'Revenue Model'!J110</f>
        <v>0</v>
      </c>
      <c r="C64">
        <f>'Revenue Model'!K110</f>
        <v>0</v>
      </c>
      <c r="D64">
        <f>'Revenue Model'!L110</f>
        <v>0</v>
      </c>
      <c r="E64">
        <f>'Revenue Model'!M110</f>
        <v>0</v>
      </c>
      <c r="F64">
        <f>'Revenue Model'!N110</f>
        <v>0</v>
      </c>
      <c r="G64">
        <f>'Revenue Model'!O110</f>
        <v>0</v>
      </c>
      <c r="H64">
        <f>'Revenue Model'!P110</f>
        <v>0</v>
      </c>
      <c r="I64">
        <f>'Revenue Model'!Q110</f>
        <v>0</v>
      </c>
      <c r="J64">
        <f>'Revenue Model'!R110</f>
        <v>0</v>
      </c>
      <c r="K64">
        <f>'Revenue Model'!S110</f>
        <v>2.7478947368421061E-2</v>
      </c>
      <c r="L64">
        <f>'Revenue Model'!T110</f>
        <v>0.22759097065462752</v>
      </c>
      <c r="M64">
        <f>'Revenue Model'!U110</f>
        <v>0.29542569601203911</v>
      </c>
      <c r="N64">
        <f>'Revenue Model'!V110</f>
        <v>1.1361111111111155E-2</v>
      </c>
      <c r="O64">
        <f>'Revenue Model'!W110</f>
        <v>0.40438615664845157</v>
      </c>
      <c r="P64">
        <f>'Revenue Model'!X110</f>
        <v>0.69629760403530905</v>
      </c>
      <c r="Q64">
        <f>'Revenue Model'!Y110</f>
        <v>0.38477514792899403</v>
      </c>
      <c r="R64">
        <f>'Revenue Model'!Z110</f>
        <v>-0.3333352779398282</v>
      </c>
      <c r="S64">
        <f>'Revenue Model'!AA110</f>
        <v>0.15643192488262914</v>
      </c>
      <c r="T64">
        <f>'Revenue Model'!AB110</f>
        <v>0.19549783549783561</v>
      </c>
      <c r="U64">
        <f>'Revenue Model'!AC110</f>
        <v>0.56866883116883082</v>
      </c>
      <c r="V64">
        <f>'Revenue Model'!AD110</f>
        <v>-0.39845972992524681</v>
      </c>
      <c r="W64">
        <f>'Revenue Model'!AE110</f>
        <v>0.23275570077822616</v>
      </c>
      <c r="X64">
        <f>'Revenue Model'!AF110</f>
        <v>0.24172129148218424</v>
      </c>
      <c r="Y64">
        <f>'Revenue Model'!AG110</f>
        <v>0.5737468703756603</v>
      </c>
      <c r="Z64">
        <f>'Revenue Model'!AH110</f>
        <v>0</v>
      </c>
      <c r="AA64">
        <f>'Revenue Model'!AI110</f>
        <v>0</v>
      </c>
      <c r="AB64">
        <f>'Revenue Model'!AJ110</f>
        <v>0</v>
      </c>
      <c r="AC64">
        <f>'Revenue Model'!AK110</f>
        <v>0</v>
      </c>
      <c r="AD64">
        <f>'Revenue Model'!AL110</f>
        <v>0</v>
      </c>
      <c r="AE64">
        <f>'Revenue Model'!AM110</f>
        <v>0</v>
      </c>
      <c r="AF64">
        <f>'Revenue Model'!AN110</f>
        <v>0</v>
      </c>
      <c r="AG64">
        <f>'Revenue Model'!AO110</f>
        <v>0</v>
      </c>
      <c r="AH64">
        <f>'Revenue Model'!AP110</f>
        <v>0</v>
      </c>
      <c r="AI64">
        <f>'Revenue Model'!AQ110</f>
        <v>0</v>
      </c>
      <c r="AJ64">
        <f>'Revenue Model'!AR110</f>
        <v>0</v>
      </c>
      <c r="AK64">
        <f>'Revenue Model'!AS110</f>
        <v>0</v>
      </c>
      <c r="AL64">
        <f>'Revenue Model'!AT110</f>
        <v>0</v>
      </c>
      <c r="AM64">
        <f>'Revenue Model'!AU110</f>
        <v>0</v>
      </c>
      <c r="AN64">
        <f>'Revenue Model'!AV110</f>
        <v>0</v>
      </c>
    </row>
    <row r="65" spans="1:40">
      <c r="A65">
        <f>'Revenue Model'!I111</f>
        <v>0</v>
      </c>
      <c r="B65">
        <f>'Revenue Model'!J111</f>
        <v>0</v>
      </c>
      <c r="C65">
        <f>'Revenue Model'!K111</f>
        <v>0</v>
      </c>
      <c r="D65">
        <f>'Revenue Model'!L111</f>
        <v>0</v>
      </c>
      <c r="E65">
        <f>'Revenue Model'!M111</f>
        <v>0</v>
      </c>
      <c r="F65">
        <f>'Revenue Model'!N111</f>
        <v>0</v>
      </c>
      <c r="G65">
        <f>'Revenue Model'!O111</f>
        <v>0</v>
      </c>
      <c r="H65">
        <f>'Revenue Model'!P111</f>
        <v>0</v>
      </c>
      <c r="I65">
        <f>'Revenue Model'!Q111</f>
        <v>0</v>
      </c>
      <c r="J65">
        <f>'Revenue Model'!R111</f>
        <v>0</v>
      </c>
      <c r="K65">
        <f>'Revenue Model'!S111</f>
        <v>0</v>
      </c>
      <c r="L65">
        <f>'Revenue Model'!T111</f>
        <v>0</v>
      </c>
      <c r="M65">
        <f>'Revenue Model'!U111</f>
        <v>0</v>
      </c>
      <c r="N65">
        <f>'Revenue Model'!V111</f>
        <v>0</v>
      </c>
      <c r="O65">
        <f>'Revenue Model'!W111</f>
        <v>0</v>
      </c>
      <c r="P65">
        <f>'Revenue Model'!X111</f>
        <v>0</v>
      </c>
      <c r="Q65">
        <f>'Revenue Model'!Y111</f>
        <v>0</v>
      </c>
      <c r="R65">
        <f>'Revenue Model'!Z111</f>
        <v>0</v>
      </c>
      <c r="S65">
        <f>'Revenue Model'!AA111</f>
        <v>0</v>
      </c>
      <c r="T65">
        <f>'Revenue Model'!AB111</f>
        <v>0</v>
      </c>
      <c r="U65">
        <f>'Revenue Model'!AC111</f>
        <v>0</v>
      </c>
      <c r="V65">
        <f>'Revenue Model'!AD111</f>
        <v>0</v>
      </c>
      <c r="W65">
        <f>'Revenue Model'!AE111</f>
        <v>0</v>
      </c>
      <c r="X65">
        <f>'Revenue Model'!AF111</f>
        <v>0</v>
      </c>
      <c r="Y65">
        <f>'Revenue Model'!AG111</f>
        <v>0</v>
      </c>
      <c r="Z65">
        <f>'Revenue Model'!AH111</f>
        <v>0</v>
      </c>
      <c r="AA65">
        <f>'Revenue Model'!AI111</f>
        <v>0</v>
      </c>
      <c r="AB65">
        <f>'Revenue Model'!AJ111</f>
        <v>0</v>
      </c>
      <c r="AC65">
        <f>'Revenue Model'!AK111</f>
        <v>0</v>
      </c>
      <c r="AD65">
        <f>'Revenue Model'!AL111</f>
        <v>0</v>
      </c>
      <c r="AE65">
        <f>'Revenue Model'!AM111</f>
        <v>0</v>
      </c>
      <c r="AF65">
        <f>'Revenue Model'!AN111</f>
        <v>0</v>
      </c>
      <c r="AG65">
        <f>'Revenue Model'!AO111</f>
        <v>0</v>
      </c>
      <c r="AH65">
        <f>'Revenue Model'!AP111</f>
        <v>0</v>
      </c>
      <c r="AI65">
        <f>'Revenue Model'!AQ111</f>
        <v>0</v>
      </c>
      <c r="AJ65">
        <f>'Revenue Model'!AR111</f>
        <v>0</v>
      </c>
      <c r="AK65">
        <f>'Revenue Model'!AS111</f>
        <v>0</v>
      </c>
      <c r="AL65">
        <f>'Revenue Model'!AT111</f>
        <v>0</v>
      </c>
      <c r="AM65">
        <f>'Revenue Model'!AU111</f>
        <v>0</v>
      </c>
      <c r="AN65">
        <f>'Revenue Model'!AV111</f>
        <v>0</v>
      </c>
    </row>
    <row r="66" spans="1:40">
      <c r="A66" t="str">
        <f>'Revenue Model'!I112</f>
        <v>Europe Revenue Build</v>
      </c>
      <c r="B66">
        <f>'Revenue Model'!J112</f>
        <v>0</v>
      </c>
      <c r="C66">
        <f>'Revenue Model'!K112</f>
        <v>0</v>
      </c>
      <c r="D66">
        <f>'Revenue Model'!L112</f>
        <v>0</v>
      </c>
      <c r="E66">
        <f>'Revenue Model'!M112</f>
        <v>0</v>
      </c>
      <c r="F66">
        <f>'Revenue Model'!N112</f>
        <v>0</v>
      </c>
      <c r="G66">
        <f>'Revenue Model'!O112</f>
        <v>0</v>
      </c>
      <c r="H66">
        <f>'Revenue Model'!P112</f>
        <v>0</v>
      </c>
      <c r="I66">
        <f>'Revenue Model'!Q112</f>
        <v>0</v>
      </c>
      <c r="J66">
        <f>'Revenue Model'!R112</f>
        <v>0</v>
      </c>
      <c r="K66">
        <f>'Revenue Model'!S112</f>
        <v>0</v>
      </c>
      <c r="L66">
        <f>'Revenue Model'!T112</f>
        <v>0</v>
      </c>
      <c r="M66">
        <f>'Revenue Model'!U112</f>
        <v>0</v>
      </c>
      <c r="N66">
        <f>'Revenue Model'!V112</f>
        <v>0</v>
      </c>
      <c r="O66">
        <f>'Revenue Model'!W112</f>
        <v>0</v>
      </c>
      <c r="P66">
        <f>'Revenue Model'!X112</f>
        <v>0</v>
      </c>
      <c r="Q66">
        <f>'Revenue Model'!Y112</f>
        <v>0</v>
      </c>
      <c r="R66">
        <f>'Revenue Model'!Z112</f>
        <v>0</v>
      </c>
      <c r="S66">
        <f>'Revenue Model'!AA112</f>
        <v>0</v>
      </c>
      <c r="T66">
        <f>'Revenue Model'!AB112</f>
        <v>0</v>
      </c>
      <c r="U66">
        <f>'Revenue Model'!AC112</f>
        <v>0</v>
      </c>
      <c r="V66">
        <f>'Revenue Model'!AD112</f>
        <v>0</v>
      </c>
      <c r="W66">
        <f>'Revenue Model'!AE112</f>
        <v>0</v>
      </c>
      <c r="X66">
        <f>'Revenue Model'!AF112</f>
        <v>0</v>
      </c>
      <c r="Y66">
        <f>'Revenue Model'!AG112</f>
        <v>0</v>
      </c>
      <c r="Z66">
        <f>'Revenue Model'!AH112</f>
        <v>0</v>
      </c>
      <c r="AA66">
        <f>'Revenue Model'!AI112</f>
        <v>0</v>
      </c>
      <c r="AB66">
        <f>'Revenue Model'!AJ112</f>
        <v>0</v>
      </c>
      <c r="AC66">
        <f>'Revenue Model'!AK112</f>
        <v>0</v>
      </c>
      <c r="AD66">
        <f>'Revenue Model'!AL112</f>
        <v>0</v>
      </c>
      <c r="AE66">
        <f>'Revenue Model'!AM112</f>
        <v>0</v>
      </c>
      <c r="AF66">
        <f>'Revenue Model'!AN112</f>
        <v>0</v>
      </c>
      <c r="AG66">
        <f>'Revenue Model'!AO112</f>
        <v>0</v>
      </c>
      <c r="AH66">
        <f>'Revenue Model'!AP112</f>
        <v>0</v>
      </c>
      <c r="AI66">
        <f>'Revenue Model'!AQ112</f>
        <v>0</v>
      </c>
      <c r="AJ66">
        <f>'Revenue Model'!AR112</f>
        <v>0</v>
      </c>
      <c r="AK66">
        <f>'Revenue Model'!AS112</f>
        <v>0</v>
      </c>
      <c r="AL66">
        <f>'Revenue Model'!AT112</f>
        <v>0</v>
      </c>
      <c r="AM66">
        <f>'Revenue Model'!AU112</f>
        <v>0</v>
      </c>
      <c r="AN66">
        <f>'Revenue Model'!AV112</f>
        <v>0</v>
      </c>
    </row>
    <row r="67" spans="1:40">
      <c r="A67">
        <f>'Revenue Model'!I113</f>
        <v>0</v>
      </c>
      <c r="B67">
        <f>'Revenue Model'!J113</f>
        <v>0</v>
      </c>
      <c r="C67">
        <f>'Revenue Model'!K113</f>
        <v>0</v>
      </c>
      <c r="D67">
        <f>'Revenue Model'!L113</f>
        <v>0</v>
      </c>
      <c r="E67">
        <f>'Revenue Model'!M113</f>
        <v>0</v>
      </c>
      <c r="F67">
        <f>'Revenue Model'!N113</f>
        <v>0</v>
      </c>
      <c r="G67">
        <f>'Revenue Model'!O113</f>
        <v>0</v>
      </c>
      <c r="H67">
        <f>'Revenue Model'!P113</f>
        <v>0</v>
      </c>
      <c r="I67">
        <f>'Revenue Model'!Q113</f>
        <v>0</v>
      </c>
      <c r="J67">
        <f>'Revenue Model'!R113</f>
        <v>0</v>
      </c>
      <c r="K67">
        <f>'Revenue Model'!S113</f>
        <v>0</v>
      </c>
      <c r="L67">
        <f>'Revenue Model'!T113</f>
        <v>0</v>
      </c>
      <c r="M67">
        <f>'Revenue Model'!U113</f>
        <v>0</v>
      </c>
      <c r="N67">
        <f>'Revenue Model'!V113</f>
        <v>0</v>
      </c>
      <c r="O67">
        <f>'Revenue Model'!W113</f>
        <v>0</v>
      </c>
      <c r="P67">
        <f>'Revenue Model'!X113</f>
        <v>0</v>
      </c>
      <c r="Q67">
        <f>'Revenue Model'!Y113</f>
        <v>0</v>
      </c>
      <c r="R67">
        <f>'Revenue Model'!Z113</f>
        <v>0</v>
      </c>
      <c r="S67">
        <f>'Revenue Model'!AA113</f>
        <v>0</v>
      </c>
      <c r="T67">
        <f>'Revenue Model'!AB113</f>
        <v>0</v>
      </c>
      <c r="U67">
        <f>'Revenue Model'!AC113</f>
        <v>0</v>
      </c>
      <c r="V67">
        <f>'Revenue Model'!AD113</f>
        <v>0</v>
      </c>
      <c r="W67">
        <f>'Revenue Model'!AE113</f>
        <v>0</v>
      </c>
      <c r="X67">
        <f>'Revenue Model'!AF113</f>
        <v>0</v>
      </c>
      <c r="Y67">
        <f>'Revenue Model'!AG113</f>
        <v>0</v>
      </c>
      <c r="Z67">
        <f>'Revenue Model'!AH113</f>
        <v>0</v>
      </c>
      <c r="AA67">
        <f>'Revenue Model'!AI113</f>
        <v>0</v>
      </c>
      <c r="AB67">
        <f>'Revenue Model'!AJ113</f>
        <v>0</v>
      </c>
      <c r="AC67">
        <f>'Revenue Model'!AK113</f>
        <v>0</v>
      </c>
      <c r="AD67">
        <f>'Revenue Model'!AL113</f>
        <v>0</v>
      </c>
      <c r="AE67">
        <f>'Revenue Model'!AM113</f>
        <v>0</v>
      </c>
      <c r="AF67">
        <f>'Revenue Model'!AN113</f>
        <v>0</v>
      </c>
      <c r="AG67">
        <f>'Revenue Model'!AO113</f>
        <v>0</v>
      </c>
      <c r="AH67">
        <f>'Revenue Model'!AP113</f>
        <v>0</v>
      </c>
      <c r="AI67">
        <f>'Revenue Model'!AQ113</f>
        <v>0</v>
      </c>
      <c r="AJ67">
        <f>'Revenue Model'!AR113</f>
        <v>0</v>
      </c>
      <c r="AK67">
        <f>'Revenue Model'!AS113</f>
        <v>0</v>
      </c>
      <c r="AL67">
        <f>'Revenue Model'!AT113</f>
        <v>0</v>
      </c>
      <c r="AM67">
        <f>'Revenue Model'!AU113</f>
        <v>0</v>
      </c>
      <c r="AN67">
        <f>'Revenue Model'!AV113</f>
        <v>0</v>
      </c>
    </row>
    <row r="68" spans="1:40">
      <c r="A68" t="str">
        <f>'Revenue Model'!I114</f>
        <v>Europe DAUs</v>
      </c>
      <c r="B68">
        <f>'Revenue Model'!J114</f>
        <v>0.96286107290233847</v>
      </c>
      <c r="C68">
        <f>'Revenue Model'!K114</f>
        <v>3.8543897216274092</v>
      </c>
      <c r="D68">
        <f>'Revenue Model'!L114</f>
        <v>6.5146579804560263</v>
      </c>
      <c r="E68">
        <f>'Revenue Model'!M114</f>
        <v>9.7457627118644048</v>
      </c>
      <c r="F68">
        <f>'Revenue Model'!N114</f>
        <v>14</v>
      </c>
      <c r="G68">
        <f>'Revenue Model'!O114</f>
        <v>18</v>
      </c>
      <c r="H68">
        <f>'Revenue Model'!P114</f>
        <v>20</v>
      </c>
      <c r="I68">
        <f>'Revenue Model'!Q114</f>
        <v>23</v>
      </c>
      <c r="J68">
        <f>'Revenue Model'!R114</f>
        <v>27</v>
      </c>
      <c r="K68">
        <f>'Revenue Model'!S114</f>
        <v>29</v>
      </c>
      <c r="L68">
        <f>'Revenue Model'!T114</f>
        <v>30.2</v>
      </c>
      <c r="M68">
        <f>'Revenue Model'!U114</f>
        <v>34</v>
      </c>
      <c r="N68">
        <f>'Revenue Model'!V114</f>
        <v>39</v>
      </c>
      <c r="O68">
        <f>'Revenue Model'!W114</f>
        <v>46</v>
      </c>
      <c r="P68">
        <f>'Revenue Model'!X114</f>
        <v>49</v>
      </c>
      <c r="Q68">
        <f>'Revenue Model'!Y114</f>
        <v>51.7</v>
      </c>
      <c r="R68">
        <f>'Revenue Model'!Z114</f>
        <v>55</v>
      </c>
      <c r="S68">
        <f>'Revenue Model'!AA114</f>
        <v>57</v>
      </c>
      <c r="T68">
        <f>'Revenue Model'!AB114</f>
        <v>57</v>
      </c>
      <c r="U68">
        <f>'Revenue Model'!AC114</f>
        <v>60</v>
      </c>
      <c r="V68">
        <f>'Revenue Model'!AD114</f>
        <v>63</v>
      </c>
      <c r="W68">
        <f>'Revenue Model'!AE114</f>
        <v>65</v>
      </c>
      <c r="X68">
        <f>'Revenue Model'!AF114</f>
        <v>67</v>
      </c>
      <c r="Y68">
        <f>'Revenue Model'!AG114</f>
        <v>68.5</v>
      </c>
      <c r="Z68">
        <f>'Revenue Model'!AH114</f>
        <v>0</v>
      </c>
      <c r="AA68">
        <f>'Revenue Model'!AI114</f>
        <v>9.7457627118644048</v>
      </c>
      <c r="AB68">
        <f>'Revenue Model'!AJ114</f>
        <v>23</v>
      </c>
      <c r="AC68">
        <f>'Revenue Model'!AK114</f>
        <v>34</v>
      </c>
      <c r="AD68">
        <f>'Revenue Model'!AL114</f>
        <v>51.7</v>
      </c>
      <c r="AE68">
        <f>'Revenue Model'!AM114</f>
        <v>60</v>
      </c>
      <c r="AF68">
        <f>'Revenue Model'!AN114</f>
        <v>68.5</v>
      </c>
      <c r="AG68">
        <f>'Revenue Model'!AO114</f>
        <v>76.575000000000003</v>
      </c>
      <c r="AH68">
        <f>'Revenue Model'!AP114</f>
        <v>84.004000000000005</v>
      </c>
      <c r="AI68">
        <f>'Revenue Model'!AQ114</f>
        <v>90.838680000000011</v>
      </c>
      <c r="AJ68">
        <f>'Revenue Model'!AR114</f>
        <v>96.989892000000012</v>
      </c>
      <c r="AK68">
        <f>'Revenue Model'!AS114</f>
        <v>102.52598280000001</v>
      </c>
      <c r="AL68">
        <f>'Revenue Model'!AT114</f>
        <v>107.50846452</v>
      </c>
      <c r="AM68">
        <f>'Revenue Model'!AU114</f>
        <v>112.49094624</v>
      </c>
      <c r="AN68">
        <f>'Revenue Model'!AV114</f>
        <v>0</v>
      </c>
    </row>
    <row r="69" spans="1:40">
      <c r="A69" t="str">
        <f>'Revenue Model'!I115</f>
        <v>Sequential Net Adds</v>
      </c>
      <c r="B69">
        <f>'Revenue Model'!J115</f>
        <v>0</v>
      </c>
      <c r="C69">
        <f>'Revenue Model'!K115</f>
        <v>2.8915286487250706</v>
      </c>
      <c r="D69">
        <f>'Revenue Model'!L115</f>
        <v>2.6602682588286171</v>
      </c>
      <c r="E69">
        <f>'Revenue Model'!M115</f>
        <v>3.2311047314083785</v>
      </c>
      <c r="F69">
        <f>'Revenue Model'!N115</f>
        <v>4.2542372881355952</v>
      </c>
      <c r="G69">
        <f>'Revenue Model'!O115</f>
        <v>4</v>
      </c>
      <c r="H69">
        <f>'Revenue Model'!P115</f>
        <v>2</v>
      </c>
      <c r="I69">
        <f>'Revenue Model'!Q115</f>
        <v>3</v>
      </c>
      <c r="J69">
        <f>'Revenue Model'!R115</f>
        <v>4</v>
      </c>
      <c r="K69">
        <f>'Revenue Model'!S115</f>
        <v>2</v>
      </c>
      <c r="L69">
        <f>'Revenue Model'!T115</f>
        <v>1.1999999999999993</v>
      </c>
      <c r="M69">
        <f>'Revenue Model'!U115</f>
        <v>3.8000000000000007</v>
      </c>
      <c r="N69">
        <f>'Revenue Model'!V115</f>
        <v>5</v>
      </c>
      <c r="O69">
        <f>'Revenue Model'!W115</f>
        <v>7</v>
      </c>
      <c r="P69">
        <f>'Revenue Model'!X115</f>
        <v>3</v>
      </c>
      <c r="Q69">
        <f>'Revenue Model'!Y115</f>
        <v>2.7000000000000028</v>
      </c>
      <c r="R69">
        <f>'Revenue Model'!Z115</f>
        <v>3.2999999999999972</v>
      </c>
      <c r="S69">
        <f>'Revenue Model'!AA115</f>
        <v>2</v>
      </c>
      <c r="T69">
        <f>'Revenue Model'!AB115</f>
        <v>0</v>
      </c>
      <c r="U69">
        <f>'Revenue Model'!AC115</f>
        <v>3</v>
      </c>
      <c r="V69">
        <f>'Revenue Model'!AD115</f>
        <v>3</v>
      </c>
      <c r="W69">
        <f>'Revenue Model'!AE115</f>
        <v>2</v>
      </c>
      <c r="X69">
        <f>'Revenue Model'!AF115</f>
        <v>2</v>
      </c>
      <c r="Y69">
        <f>'Revenue Model'!AG115</f>
        <v>1.5</v>
      </c>
      <c r="Z69">
        <f>'Revenue Model'!AH115</f>
        <v>0</v>
      </c>
      <c r="AA69">
        <f>'Revenue Model'!AI115</f>
        <v>0</v>
      </c>
      <c r="AB69">
        <f>'Revenue Model'!AJ115</f>
        <v>13.254237288135595</v>
      </c>
      <c r="AC69">
        <f>'Revenue Model'!AK115</f>
        <v>11</v>
      </c>
      <c r="AD69">
        <f>'Revenue Model'!AL115</f>
        <v>17.700000000000003</v>
      </c>
      <c r="AE69">
        <f>'Revenue Model'!AM115</f>
        <v>8.2999999999999972</v>
      </c>
      <c r="AF69">
        <f>'Revenue Model'!AN115</f>
        <v>8.5</v>
      </c>
      <c r="AG69">
        <f>'Revenue Model'!AO115</f>
        <v>8.0749999999999993</v>
      </c>
      <c r="AH69">
        <f>'Revenue Model'!AP115</f>
        <v>7.4289999999999994</v>
      </c>
      <c r="AI69">
        <f>'Revenue Model'!AQ115</f>
        <v>6.8346799999999996</v>
      </c>
      <c r="AJ69">
        <f>'Revenue Model'!AR115</f>
        <v>6.1512120000000001</v>
      </c>
      <c r="AK69">
        <f>'Revenue Model'!AS115</f>
        <v>5.5360908000000002</v>
      </c>
      <c r="AL69">
        <f>'Revenue Model'!AT115</f>
        <v>4.98248172</v>
      </c>
      <c r="AM69">
        <f>'Revenue Model'!AU115</f>
        <v>4.98248172</v>
      </c>
      <c r="AN69">
        <f>'Revenue Model'!AV115</f>
        <v>0</v>
      </c>
    </row>
    <row r="70" spans="1:40">
      <c r="A70" t="str">
        <f>'Revenue Model'!I116</f>
        <v>Y/Y % Growth</v>
      </c>
      <c r="B70">
        <f>'Revenue Model'!J116</f>
        <v>0</v>
      </c>
      <c r="C70">
        <f>'Revenue Model'!K116</f>
        <v>0</v>
      </c>
      <c r="D70">
        <f>'Revenue Model'!L116</f>
        <v>0</v>
      </c>
      <c r="E70">
        <f>'Revenue Model'!M116</f>
        <v>0</v>
      </c>
      <c r="F70">
        <f>'Revenue Model'!N116</f>
        <v>13.54</v>
      </c>
      <c r="G70">
        <f>'Revenue Model'!O116</f>
        <v>3.67</v>
      </c>
      <c r="H70">
        <f>'Revenue Model'!P116</f>
        <v>2.0699999999999998</v>
      </c>
      <c r="I70">
        <f>'Revenue Model'!Q116</f>
        <v>1.36</v>
      </c>
      <c r="J70">
        <f>'Revenue Model'!R116</f>
        <v>0.9285714285714286</v>
      </c>
      <c r="K70">
        <f>'Revenue Model'!S116</f>
        <v>0.61111111111111116</v>
      </c>
      <c r="L70">
        <f>'Revenue Model'!T116</f>
        <v>0.51</v>
      </c>
      <c r="M70">
        <f>'Revenue Model'!U116</f>
        <v>0.47826086956521729</v>
      </c>
      <c r="N70">
        <f>'Revenue Model'!V116</f>
        <v>0.44444444444444442</v>
      </c>
      <c r="O70">
        <f>'Revenue Model'!W116</f>
        <v>0.5862068965517242</v>
      </c>
      <c r="P70">
        <f>'Revenue Model'!X116</f>
        <v>0.6225165562913908</v>
      </c>
      <c r="Q70">
        <f>'Revenue Model'!Y116</f>
        <v>0.5205882352941178</v>
      </c>
      <c r="R70">
        <f>'Revenue Model'!Z116</f>
        <v>0.41025641025641035</v>
      </c>
      <c r="S70">
        <f>'Revenue Model'!AA116</f>
        <v>0.23913043478260865</v>
      </c>
      <c r="T70">
        <f>'Revenue Model'!AB116</f>
        <v>0.16326530612244894</v>
      </c>
      <c r="U70">
        <f>'Revenue Model'!AC116</f>
        <v>0.16054158607350089</v>
      </c>
      <c r="V70">
        <f>'Revenue Model'!AD116</f>
        <v>0.1454545454545455</v>
      </c>
      <c r="W70">
        <f>'Revenue Model'!AE116</f>
        <v>0.14035087719298245</v>
      </c>
      <c r="X70">
        <f>'Revenue Model'!AF116</f>
        <v>0.17543859649122817</v>
      </c>
      <c r="Y70">
        <f>'Revenue Model'!AG116</f>
        <v>0.14166666666666661</v>
      </c>
      <c r="Z70">
        <f>'Revenue Model'!AH116</f>
        <v>0</v>
      </c>
      <c r="AA70">
        <f>'Revenue Model'!AI116</f>
        <v>0</v>
      </c>
      <c r="AB70">
        <f>'Revenue Model'!AJ116</f>
        <v>1.3600000000000003</v>
      </c>
      <c r="AC70">
        <f>'Revenue Model'!AK116</f>
        <v>0.47826086956521729</v>
      </c>
      <c r="AD70">
        <f>'Revenue Model'!AL116</f>
        <v>0.5205882352941178</v>
      </c>
      <c r="AE70">
        <f>'Revenue Model'!AM116</f>
        <v>0.16054158607350089</v>
      </c>
      <c r="AF70">
        <f>'Revenue Model'!AN116</f>
        <v>0.14166666666666661</v>
      </c>
      <c r="AG70">
        <f>'Revenue Model'!AO116</f>
        <v>0.1178832116788322</v>
      </c>
      <c r="AH70">
        <f>'Revenue Model'!AP116</f>
        <v>9.7015997388181452E-2</v>
      </c>
      <c r="AI70">
        <f>'Revenue Model'!AQ116</f>
        <v>8.1361363744583581E-2</v>
      </c>
      <c r="AJ70">
        <f>'Revenue Model'!AR116</f>
        <v>6.7715779225325567E-2</v>
      </c>
      <c r="AK70">
        <f>'Revenue Model'!AS116</f>
        <v>5.7079049020902106E-2</v>
      </c>
      <c r="AL70">
        <f>'Revenue Model'!AT116</f>
        <v>4.8597258801404974E-2</v>
      </c>
      <c r="AM70">
        <f>'Revenue Model'!AU116</f>
        <v>4.634501796900925E-2</v>
      </c>
      <c r="AN70">
        <f>'Revenue Model'!AV116</f>
        <v>0</v>
      </c>
    </row>
    <row r="71" spans="1:40">
      <c r="A71" t="str">
        <f>'Revenue Model'!I117</f>
        <v>Q/Q % Growth</v>
      </c>
      <c r="B71">
        <f>'Revenue Model'!J117</f>
        <v>0</v>
      </c>
      <c r="C71">
        <f>'Revenue Model'!K117</f>
        <v>3.0030590394616086</v>
      </c>
      <c r="D71">
        <f>'Revenue Model'!L117</f>
        <v>0.69019182048497996</v>
      </c>
      <c r="E71">
        <f>'Revenue Model'!M117</f>
        <v>0.49597457627118602</v>
      </c>
      <c r="F71">
        <f>'Revenue Model'!N117</f>
        <v>0.43652173913043502</v>
      </c>
      <c r="G71">
        <f>'Revenue Model'!O117</f>
        <v>0.28571428571428581</v>
      </c>
      <c r="H71">
        <f>'Revenue Model'!P117</f>
        <v>0.11111111111111116</v>
      </c>
      <c r="I71">
        <f>'Revenue Model'!Q117</f>
        <v>0.14999999999999991</v>
      </c>
      <c r="J71">
        <f>'Revenue Model'!R117</f>
        <v>0.17391304347826098</v>
      </c>
      <c r="K71">
        <f>'Revenue Model'!S117</f>
        <v>7.4074074074074181E-2</v>
      </c>
      <c r="L71">
        <f>'Revenue Model'!T117</f>
        <v>4.1379310344827669E-2</v>
      </c>
      <c r="M71">
        <f>'Revenue Model'!U117</f>
        <v>0.1258278145695364</v>
      </c>
      <c r="N71">
        <f>'Revenue Model'!V117</f>
        <v>0.14705882352941169</v>
      </c>
      <c r="O71">
        <f>'Revenue Model'!W117</f>
        <v>0.17948717948717952</v>
      </c>
      <c r="P71">
        <f>'Revenue Model'!X117</f>
        <v>6.5217391304347894E-2</v>
      </c>
      <c r="Q71">
        <f>'Revenue Model'!Y117</f>
        <v>5.5102040816326525E-2</v>
      </c>
      <c r="R71">
        <f>'Revenue Model'!Z117</f>
        <v>6.3829787234042534E-2</v>
      </c>
      <c r="S71">
        <f>'Revenue Model'!AA117</f>
        <v>3.6363636363636376E-2</v>
      </c>
      <c r="T71">
        <f>'Revenue Model'!AB117</f>
        <v>0</v>
      </c>
      <c r="U71">
        <f>'Revenue Model'!AC117</f>
        <v>5.2631578947368363E-2</v>
      </c>
      <c r="V71">
        <f>'Revenue Model'!AD117</f>
        <v>5.0000000000000044E-2</v>
      </c>
      <c r="W71">
        <f>'Revenue Model'!AE117</f>
        <v>3.1746031746031855E-2</v>
      </c>
      <c r="X71">
        <f>'Revenue Model'!AF117</f>
        <v>3.076923076923066E-2</v>
      </c>
      <c r="Y71">
        <f>'Revenue Model'!AG117</f>
        <v>2.2388059701492491E-2</v>
      </c>
      <c r="Z71">
        <f>'Revenue Model'!AH117</f>
        <v>0</v>
      </c>
      <c r="AA71">
        <f>'Revenue Model'!AI117</f>
        <v>0</v>
      </c>
      <c r="AB71">
        <f>'Revenue Model'!AJ117</f>
        <v>0</v>
      </c>
      <c r="AC71">
        <f>'Revenue Model'!AK117</f>
        <v>0</v>
      </c>
      <c r="AD71">
        <f>'Revenue Model'!AL117</f>
        <v>0</v>
      </c>
      <c r="AE71">
        <f>'Revenue Model'!AM117</f>
        <v>0</v>
      </c>
      <c r="AF71">
        <f>'Revenue Model'!AN117</f>
        <v>0</v>
      </c>
      <c r="AG71">
        <f>'Revenue Model'!AO117</f>
        <v>0</v>
      </c>
      <c r="AH71">
        <f>'Revenue Model'!AP117</f>
        <v>0</v>
      </c>
      <c r="AI71">
        <f>'Revenue Model'!AQ117</f>
        <v>0</v>
      </c>
      <c r="AJ71">
        <f>'Revenue Model'!AR117</f>
        <v>0</v>
      </c>
      <c r="AK71">
        <f>'Revenue Model'!AS117</f>
        <v>0</v>
      </c>
      <c r="AL71">
        <f>'Revenue Model'!AT117</f>
        <v>0</v>
      </c>
      <c r="AM71">
        <f>'Revenue Model'!AU117</f>
        <v>0</v>
      </c>
      <c r="AN71">
        <f>'Revenue Model'!AV117</f>
        <v>0</v>
      </c>
    </row>
    <row r="72" spans="1:40">
      <c r="A72">
        <f>'Revenue Model'!I120</f>
        <v>0</v>
      </c>
      <c r="B72">
        <f>'Revenue Model'!J120</f>
        <v>0</v>
      </c>
      <c r="C72">
        <f>'Revenue Model'!K120</f>
        <v>0</v>
      </c>
      <c r="D72">
        <f>'Revenue Model'!L120</f>
        <v>0</v>
      </c>
      <c r="E72">
        <f>'Revenue Model'!M120</f>
        <v>0</v>
      </c>
      <c r="F72">
        <f>'Revenue Model'!N120</f>
        <v>0</v>
      </c>
      <c r="G72">
        <f>'Revenue Model'!O120</f>
        <v>0</v>
      </c>
      <c r="H72">
        <f>'Revenue Model'!P120</f>
        <v>0</v>
      </c>
      <c r="I72">
        <f>'Revenue Model'!Q120</f>
        <v>0</v>
      </c>
      <c r="J72">
        <f>'Revenue Model'!R120</f>
        <v>0</v>
      </c>
      <c r="K72">
        <f>'Revenue Model'!S120</f>
        <v>0</v>
      </c>
      <c r="L72">
        <f>'Revenue Model'!T120</f>
        <v>0</v>
      </c>
      <c r="M72">
        <f>'Revenue Model'!U120</f>
        <v>0</v>
      </c>
      <c r="N72">
        <f>'Revenue Model'!V120</f>
        <v>0</v>
      </c>
      <c r="O72">
        <f>'Revenue Model'!W120</f>
        <v>0</v>
      </c>
      <c r="P72">
        <f>'Revenue Model'!X120</f>
        <v>0</v>
      </c>
      <c r="Q72">
        <f>'Revenue Model'!Y120</f>
        <v>0</v>
      </c>
      <c r="R72">
        <f>'Revenue Model'!Z120</f>
        <v>0</v>
      </c>
      <c r="S72">
        <f>'Revenue Model'!AA120</f>
        <v>0</v>
      </c>
      <c r="T72">
        <f>'Revenue Model'!AB120</f>
        <v>0</v>
      </c>
      <c r="U72">
        <f>'Revenue Model'!AC120</f>
        <v>0</v>
      </c>
      <c r="V72">
        <f>'Revenue Model'!AD120</f>
        <v>0</v>
      </c>
      <c r="W72">
        <f>'Revenue Model'!AE120</f>
        <v>0</v>
      </c>
      <c r="X72">
        <f>'Revenue Model'!AF120</f>
        <v>0</v>
      </c>
      <c r="Y72">
        <f>'Revenue Model'!AG120</f>
        <v>0</v>
      </c>
      <c r="Z72">
        <f>'Revenue Model'!AH120</f>
        <v>0</v>
      </c>
      <c r="AA72">
        <f>'Revenue Model'!AI120</f>
        <v>0</v>
      </c>
      <c r="AB72">
        <f>'Revenue Model'!AJ120</f>
        <v>0</v>
      </c>
      <c r="AC72">
        <f>'Revenue Model'!AK120</f>
        <v>0</v>
      </c>
      <c r="AD72">
        <f>'Revenue Model'!AL120</f>
        <v>0</v>
      </c>
      <c r="AE72">
        <f>'Revenue Model'!AM120</f>
        <v>0</v>
      </c>
      <c r="AF72">
        <f>'Revenue Model'!AN120</f>
        <v>0</v>
      </c>
      <c r="AG72">
        <f>'Revenue Model'!AO120</f>
        <v>0</v>
      </c>
      <c r="AH72">
        <f>'Revenue Model'!AP120</f>
        <v>0</v>
      </c>
      <c r="AI72">
        <f>'Revenue Model'!AQ120</f>
        <v>0</v>
      </c>
      <c r="AJ72">
        <f>'Revenue Model'!AR120</f>
        <v>0</v>
      </c>
      <c r="AK72">
        <f>'Revenue Model'!AS120</f>
        <v>0</v>
      </c>
      <c r="AL72">
        <f>'Revenue Model'!AT120</f>
        <v>0</v>
      </c>
      <c r="AM72">
        <f>'Revenue Model'!AU120</f>
        <v>0</v>
      </c>
      <c r="AN72">
        <f>'Revenue Model'!AV120</f>
        <v>0</v>
      </c>
    </row>
    <row r="73" spans="1:40">
      <c r="A73" t="str">
        <f>'Revenue Model'!I121</f>
        <v>Europe Revenue</v>
      </c>
      <c r="B73">
        <f>'Revenue Model'!J121</f>
        <v>0</v>
      </c>
      <c r="C73">
        <f>'Revenue Model'!K121</f>
        <v>0</v>
      </c>
      <c r="D73">
        <f>'Revenue Model'!L121</f>
        <v>0</v>
      </c>
      <c r="E73">
        <f>'Revenue Model'!M121</f>
        <v>0</v>
      </c>
      <c r="F73">
        <f>'Revenue Model'!N121</f>
        <v>0</v>
      </c>
      <c r="G73">
        <f>'Revenue Model'!O121</f>
        <v>0</v>
      </c>
      <c r="H73">
        <f>'Revenue Model'!P121</f>
        <v>0</v>
      </c>
      <c r="I73">
        <f>'Revenue Model'!Q121</f>
        <v>0</v>
      </c>
      <c r="J73">
        <f>'Revenue Model'!R121</f>
        <v>8.9999999999999993E-3</v>
      </c>
      <c r="K73">
        <f>'Revenue Model'!S121</f>
        <v>7.9000000000000001E-2</v>
      </c>
      <c r="L73">
        <f>'Revenue Model'!T121</f>
        <v>0.86</v>
      </c>
      <c r="M73">
        <f>'Revenue Model'!U121</f>
        <v>1.2569999999999999</v>
      </c>
      <c r="N73">
        <f>'Revenue Model'!V121</f>
        <v>2.702</v>
      </c>
      <c r="O73">
        <f>'Revenue Model'!W121</f>
        <v>6.2359999999999998</v>
      </c>
      <c r="P73">
        <f>'Revenue Model'!X121</f>
        <v>11.791</v>
      </c>
      <c r="Q73">
        <f>'Revenue Model'!Y121</f>
        <v>14.664999999999999</v>
      </c>
      <c r="R73">
        <f>'Revenue Model'!Z121</f>
        <v>13</v>
      </c>
      <c r="S73">
        <f>'Revenue Model'!AA121</f>
        <v>22</v>
      </c>
      <c r="T73">
        <f>'Revenue Model'!AB121</f>
        <v>27</v>
      </c>
      <c r="U73">
        <f>'Revenue Model'!AC121</f>
        <v>40</v>
      </c>
      <c r="V73">
        <f>'Revenue Model'!AD121</f>
        <v>32</v>
      </c>
      <c r="W73">
        <f>'Revenue Model'!AE121</f>
        <v>46</v>
      </c>
      <c r="X73">
        <f>'Revenue Model'!AF121</f>
        <v>60</v>
      </c>
      <c r="Y73">
        <f>'Revenue Model'!AG121</f>
        <v>75</v>
      </c>
      <c r="Z73">
        <f>'Revenue Model'!AH121</f>
        <v>0</v>
      </c>
      <c r="AA73">
        <f>'Revenue Model'!AI121</f>
        <v>0</v>
      </c>
      <c r="AB73">
        <f>'Revenue Model'!AJ121</f>
        <v>0</v>
      </c>
      <c r="AC73">
        <f>'Revenue Model'!AK121</f>
        <v>2.2050000000000001</v>
      </c>
      <c r="AD73">
        <f>'Revenue Model'!AL121</f>
        <v>35.393999999999998</v>
      </c>
      <c r="AE73">
        <f>'Revenue Model'!AM121</f>
        <v>102</v>
      </c>
      <c r="AF73">
        <f>'Revenue Model'!AN121</f>
        <v>213</v>
      </c>
      <c r="AG73">
        <f>'Revenue Model'!AO121</f>
        <v>375.25588235294117</v>
      </c>
      <c r="AH73">
        <f>'Revenue Model'!AP121</f>
        <v>603.94123183391002</v>
      </c>
      <c r="AI73">
        <f>'Revenue Model'!AQ121</f>
        <v>898.38034533034806</v>
      </c>
      <c r="AJ73">
        <f>'Revenue Model'!AR121</f>
        <v>1248.7698183702505</v>
      </c>
      <c r="AK73">
        <f>'Revenue Model'!AS121</f>
        <v>1638.4095079571734</v>
      </c>
      <c r="AL73">
        <f>'Revenue Model'!AT121</f>
        <v>2047.3811936629334</v>
      </c>
      <c r="AM73">
        <f>'Revenue Model'!AU121</f>
        <v>2507.3326530442587</v>
      </c>
      <c r="AN73">
        <f>'Revenue Model'!AV121</f>
        <v>0</v>
      </c>
    </row>
    <row r="74" spans="1:40">
      <c r="A74" t="str">
        <f>'Revenue Model'!I122</f>
        <v>Y/Y % Growth</v>
      </c>
      <c r="B74">
        <f>'Revenue Model'!J122</f>
        <v>0</v>
      </c>
      <c r="C74">
        <f>'Revenue Model'!K122</f>
        <v>0</v>
      </c>
      <c r="D74">
        <f>'Revenue Model'!L122</f>
        <v>0</v>
      </c>
      <c r="E74">
        <f>'Revenue Model'!M122</f>
        <v>0</v>
      </c>
      <c r="F74">
        <f>'Revenue Model'!N122</f>
        <v>0</v>
      </c>
      <c r="G74">
        <f>'Revenue Model'!O122</f>
        <v>0</v>
      </c>
      <c r="H74">
        <f>'Revenue Model'!P122</f>
        <v>0</v>
      </c>
      <c r="I74">
        <f>'Revenue Model'!Q122</f>
        <v>0</v>
      </c>
      <c r="J74">
        <f>'Revenue Model'!R122</f>
        <v>0</v>
      </c>
      <c r="K74">
        <f>'Revenue Model'!S122</f>
        <v>0</v>
      </c>
      <c r="L74">
        <f>'Revenue Model'!T122</f>
        <v>0</v>
      </c>
      <c r="M74">
        <f>'Revenue Model'!U122</f>
        <v>0</v>
      </c>
      <c r="N74">
        <f>'Revenue Model'!V122</f>
        <v>299.22222222222223</v>
      </c>
      <c r="O74">
        <f>'Revenue Model'!W122</f>
        <v>77.936708860759495</v>
      </c>
      <c r="P74">
        <f>'Revenue Model'!X122</f>
        <v>12.710465116279071</v>
      </c>
      <c r="Q74">
        <f>'Revenue Model'!Y122</f>
        <v>10.666666666666666</v>
      </c>
      <c r="R74">
        <f>'Revenue Model'!Z122</f>
        <v>3.8112509252405626</v>
      </c>
      <c r="S74">
        <f>'Revenue Model'!AA122</f>
        <v>2.5279025016035921</v>
      </c>
      <c r="T74">
        <f>'Revenue Model'!AB122</f>
        <v>1.2898821134763803</v>
      </c>
      <c r="U74">
        <f>'Revenue Model'!AC122</f>
        <v>1.7275826798499829</v>
      </c>
      <c r="V74">
        <f>'Revenue Model'!AD122</f>
        <v>1.4615384615384617</v>
      </c>
      <c r="W74">
        <f>'Revenue Model'!AE122</f>
        <v>1.0909090909090908</v>
      </c>
      <c r="X74">
        <f>'Revenue Model'!AF122</f>
        <v>1.2222222222222223</v>
      </c>
      <c r="Y74">
        <f>'Revenue Model'!AG122</f>
        <v>0.875</v>
      </c>
      <c r="Z74">
        <f>'Revenue Model'!AH122</f>
        <v>0</v>
      </c>
      <c r="AA74">
        <f>'Revenue Model'!AI122</f>
        <v>0</v>
      </c>
      <c r="AB74">
        <f>'Revenue Model'!AJ122</f>
        <v>0</v>
      </c>
      <c r="AC74">
        <f>'Revenue Model'!AK122</f>
        <v>0</v>
      </c>
      <c r="AD74">
        <f>'Revenue Model'!AL122</f>
        <v>15.051700680272109</v>
      </c>
      <c r="AE74">
        <f>'Revenue Model'!AM122</f>
        <v>1.8818443804034581</v>
      </c>
      <c r="AF74">
        <f>'Revenue Model'!AN122</f>
        <v>1.0882352941176472</v>
      </c>
      <c r="AG74">
        <f>'Revenue Model'!AO122</f>
        <v>0.76176470588235301</v>
      </c>
      <c r="AH74">
        <f>'Revenue Model'!AP122</f>
        <v>0.60941176470588243</v>
      </c>
      <c r="AI74">
        <f>'Revenue Model'!AQ122</f>
        <v>0.48752941176470599</v>
      </c>
      <c r="AJ74">
        <f>'Revenue Model'!AR122</f>
        <v>0.39002352941176482</v>
      </c>
      <c r="AK74">
        <f>'Revenue Model'!AS122</f>
        <v>0.3120188235294119</v>
      </c>
      <c r="AL74">
        <f>'Revenue Model'!AT122</f>
        <v>0.24961505882352952</v>
      </c>
      <c r="AM74">
        <f>'Revenue Model'!AU122</f>
        <v>0.22465355294117659</v>
      </c>
      <c r="AN74">
        <f>'Revenue Model'!AV122</f>
        <v>0</v>
      </c>
    </row>
    <row r="75" spans="1:40">
      <c r="A75" t="str">
        <f>'Revenue Model'!I123</f>
        <v>Y/Y Abs Growth</v>
      </c>
      <c r="B75">
        <f>'Revenue Model'!J123</f>
        <v>0</v>
      </c>
      <c r="C75">
        <f>'Revenue Model'!K123</f>
        <v>0</v>
      </c>
      <c r="D75">
        <f>'Revenue Model'!L123</f>
        <v>0</v>
      </c>
      <c r="E75">
        <f>'Revenue Model'!M123</f>
        <v>0</v>
      </c>
      <c r="F75">
        <f>'Revenue Model'!N123</f>
        <v>0</v>
      </c>
      <c r="G75">
        <f>'Revenue Model'!O123</f>
        <v>0</v>
      </c>
      <c r="H75">
        <f>'Revenue Model'!P123</f>
        <v>0</v>
      </c>
      <c r="I75">
        <f>'Revenue Model'!Q123</f>
        <v>0</v>
      </c>
      <c r="J75">
        <f>'Revenue Model'!R123</f>
        <v>0</v>
      </c>
      <c r="K75">
        <f>'Revenue Model'!S123</f>
        <v>0</v>
      </c>
      <c r="L75">
        <f>'Revenue Model'!T123</f>
        <v>0</v>
      </c>
      <c r="M75">
        <f>'Revenue Model'!U123</f>
        <v>0</v>
      </c>
      <c r="N75">
        <f>'Revenue Model'!V123</f>
        <v>2.6930000000000001</v>
      </c>
      <c r="O75">
        <f>'Revenue Model'!W123</f>
        <v>6.157</v>
      </c>
      <c r="P75">
        <f>'Revenue Model'!X123</f>
        <v>10.931000000000001</v>
      </c>
      <c r="Q75">
        <f>'Revenue Model'!Y123</f>
        <v>13.407999999999999</v>
      </c>
      <c r="R75">
        <f>'Revenue Model'!Z123</f>
        <v>10.298</v>
      </c>
      <c r="S75">
        <f>'Revenue Model'!AA123</f>
        <v>15.763999999999999</v>
      </c>
      <c r="T75">
        <f>'Revenue Model'!AB123</f>
        <v>15.209</v>
      </c>
      <c r="U75">
        <f>'Revenue Model'!AC123</f>
        <v>25.335000000000001</v>
      </c>
      <c r="V75">
        <f>'Revenue Model'!AD123</f>
        <v>19</v>
      </c>
      <c r="W75">
        <f>'Revenue Model'!AE123</f>
        <v>24</v>
      </c>
      <c r="X75">
        <f>'Revenue Model'!AF123</f>
        <v>33</v>
      </c>
      <c r="Y75">
        <f>'Revenue Model'!AG123</f>
        <v>35</v>
      </c>
      <c r="Z75">
        <f>'Revenue Model'!AH123</f>
        <v>0</v>
      </c>
      <c r="AA75">
        <f>'Revenue Model'!AI123</f>
        <v>0</v>
      </c>
      <c r="AB75">
        <f>'Revenue Model'!AJ123</f>
        <v>0</v>
      </c>
      <c r="AC75">
        <f>'Revenue Model'!AK123</f>
        <v>2.2050000000000001</v>
      </c>
      <c r="AD75">
        <f>'Revenue Model'!AL123</f>
        <v>33.189</v>
      </c>
      <c r="AE75">
        <f>'Revenue Model'!AM123</f>
        <v>66.605999999999995</v>
      </c>
      <c r="AF75">
        <f>'Revenue Model'!AN123</f>
        <v>111</v>
      </c>
      <c r="AG75">
        <f>'Revenue Model'!AO123</f>
        <v>162.25588235294117</v>
      </c>
      <c r="AH75">
        <f>'Revenue Model'!AP123</f>
        <v>228.68534948096885</v>
      </c>
      <c r="AI75">
        <f>'Revenue Model'!AQ123</f>
        <v>294.43911349643804</v>
      </c>
      <c r="AJ75">
        <f>'Revenue Model'!AR123</f>
        <v>350.38947303990244</v>
      </c>
      <c r="AK75">
        <f>'Revenue Model'!AS123</f>
        <v>389.63968958692294</v>
      </c>
      <c r="AL75">
        <f>'Revenue Model'!AT123</f>
        <v>408.97168570575991</v>
      </c>
      <c r="AM75">
        <f>'Revenue Model'!AU123</f>
        <v>459.95145938132532</v>
      </c>
      <c r="AN75">
        <f>'Revenue Model'!AV123</f>
        <v>0</v>
      </c>
    </row>
    <row r="76" spans="1:40">
      <c r="A76" t="str">
        <f>'Revenue Model'!I124</f>
        <v>Q/Q % Growth</v>
      </c>
      <c r="B76">
        <f>'Revenue Model'!J124</f>
        <v>0</v>
      </c>
      <c r="C76">
        <f>'Revenue Model'!K124</f>
        <v>0</v>
      </c>
      <c r="D76">
        <f>'Revenue Model'!L124</f>
        <v>0</v>
      </c>
      <c r="E76">
        <f>'Revenue Model'!M124</f>
        <v>0</v>
      </c>
      <c r="F76">
        <f>'Revenue Model'!N124</f>
        <v>0</v>
      </c>
      <c r="G76">
        <f>'Revenue Model'!O124</f>
        <v>0</v>
      </c>
      <c r="H76">
        <f>'Revenue Model'!P124</f>
        <v>0</v>
      </c>
      <c r="I76">
        <f>'Revenue Model'!Q124</f>
        <v>0</v>
      </c>
      <c r="J76">
        <f>'Revenue Model'!R124</f>
        <v>0</v>
      </c>
      <c r="K76">
        <f>'Revenue Model'!S124</f>
        <v>7.7777777777777786</v>
      </c>
      <c r="L76">
        <f>'Revenue Model'!T124</f>
        <v>9.886075949367088</v>
      </c>
      <c r="M76">
        <f>'Revenue Model'!U124</f>
        <v>0.46162790697674416</v>
      </c>
      <c r="N76">
        <f>'Revenue Model'!V124</f>
        <v>1.1495624502784407</v>
      </c>
      <c r="O76">
        <f>'Revenue Model'!W124</f>
        <v>1.3079200592153959</v>
      </c>
      <c r="P76">
        <f>'Revenue Model'!X124</f>
        <v>0.89079538165490701</v>
      </c>
      <c r="Q76">
        <f>'Revenue Model'!Y124</f>
        <v>0.24374522941226351</v>
      </c>
      <c r="R76">
        <f>'Revenue Model'!Z124</f>
        <v>-0.11353562904875547</v>
      </c>
      <c r="S76">
        <f>'Revenue Model'!AA124</f>
        <v>0.69230769230769229</v>
      </c>
      <c r="T76">
        <f>'Revenue Model'!AB124</f>
        <v>0.22727272727272729</v>
      </c>
      <c r="U76">
        <f>'Revenue Model'!AC124</f>
        <v>0.4814814814814814</v>
      </c>
      <c r="V76">
        <f>'Revenue Model'!AD124</f>
        <v>-0.19999999999999996</v>
      </c>
      <c r="W76">
        <f>'Revenue Model'!AE124</f>
        <v>0.4375</v>
      </c>
      <c r="X76">
        <f>'Revenue Model'!AF124</f>
        <v>0.30434782608695654</v>
      </c>
      <c r="Y76">
        <f>'Revenue Model'!AG124</f>
        <v>0.25</v>
      </c>
      <c r="Z76">
        <f>'Revenue Model'!AH124</f>
        <v>0</v>
      </c>
      <c r="AA76">
        <f>'Revenue Model'!AI124</f>
        <v>0</v>
      </c>
      <c r="AB76">
        <f>'Revenue Model'!AJ124</f>
        <v>0</v>
      </c>
      <c r="AC76">
        <f>'Revenue Model'!AK124</f>
        <v>0</v>
      </c>
      <c r="AD76">
        <f>'Revenue Model'!AL124</f>
        <v>0</v>
      </c>
      <c r="AE76">
        <f>'Revenue Model'!AM124</f>
        <v>0</v>
      </c>
      <c r="AF76">
        <f>'Revenue Model'!AN124</f>
        <v>0</v>
      </c>
      <c r="AG76">
        <f>'Revenue Model'!AO124</f>
        <v>0</v>
      </c>
      <c r="AH76">
        <f>'Revenue Model'!AP124</f>
        <v>0</v>
      </c>
      <c r="AI76">
        <f>'Revenue Model'!AQ124</f>
        <v>0</v>
      </c>
      <c r="AJ76">
        <f>'Revenue Model'!AR124</f>
        <v>0</v>
      </c>
      <c r="AK76">
        <f>'Revenue Model'!AS124</f>
        <v>0</v>
      </c>
      <c r="AL76">
        <f>'Revenue Model'!AT124</f>
        <v>0</v>
      </c>
      <c r="AM76">
        <f>'Revenue Model'!AU124</f>
        <v>0</v>
      </c>
      <c r="AN76">
        <f>'Revenue Model'!AV124</f>
        <v>0</v>
      </c>
    </row>
    <row r="77" spans="1:40">
      <c r="A77" t="str">
        <f>'Revenue Model'!I125</f>
        <v>Q/Q Abs Growth</v>
      </c>
      <c r="B77">
        <f>'Revenue Model'!J125</f>
        <v>0</v>
      </c>
      <c r="C77">
        <f>'Revenue Model'!K125</f>
        <v>0</v>
      </c>
      <c r="D77">
        <f>'Revenue Model'!L125</f>
        <v>0</v>
      </c>
      <c r="E77">
        <f>'Revenue Model'!M125</f>
        <v>0</v>
      </c>
      <c r="F77">
        <f>'Revenue Model'!N125</f>
        <v>0</v>
      </c>
      <c r="G77">
        <f>'Revenue Model'!O125</f>
        <v>0</v>
      </c>
      <c r="H77">
        <f>'Revenue Model'!P125</f>
        <v>0</v>
      </c>
      <c r="I77">
        <f>'Revenue Model'!Q125</f>
        <v>0</v>
      </c>
      <c r="J77">
        <f>'Revenue Model'!R125</f>
        <v>0</v>
      </c>
      <c r="K77">
        <f>'Revenue Model'!S125</f>
        <v>7.0000000000000007E-2</v>
      </c>
      <c r="L77">
        <f>'Revenue Model'!T125</f>
        <v>0.78100000000000003</v>
      </c>
      <c r="M77">
        <f>'Revenue Model'!U125</f>
        <v>0.39699999999999991</v>
      </c>
      <c r="N77">
        <f>'Revenue Model'!V125</f>
        <v>1.4450000000000001</v>
      </c>
      <c r="O77">
        <f>'Revenue Model'!W125</f>
        <v>3.5339999999999998</v>
      </c>
      <c r="P77">
        <f>'Revenue Model'!X125</f>
        <v>5.5550000000000006</v>
      </c>
      <c r="Q77">
        <f>'Revenue Model'!Y125</f>
        <v>2.8739999999999988</v>
      </c>
      <c r="R77">
        <f>'Revenue Model'!Z125</f>
        <v>-1.6649999999999991</v>
      </c>
      <c r="S77">
        <f>'Revenue Model'!AA125</f>
        <v>9</v>
      </c>
      <c r="T77">
        <f>'Revenue Model'!AB125</f>
        <v>5</v>
      </c>
      <c r="U77">
        <f>'Revenue Model'!AC125</f>
        <v>13</v>
      </c>
      <c r="V77">
        <f>'Revenue Model'!AD125</f>
        <v>-8</v>
      </c>
      <c r="W77">
        <f>'Revenue Model'!AE125</f>
        <v>14</v>
      </c>
      <c r="X77">
        <f>'Revenue Model'!AF125</f>
        <v>14</v>
      </c>
      <c r="Y77">
        <f>'Revenue Model'!AG125</f>
        <v>15</v>
      </c>
      <c r="Z77">
        <f>'Revenue Model'!AH125</f>
        <v>0</v>
      </c>
      <c r="AA77">
        <f>'Revenue Model'!AI125</f>
        <v>0</v>
      </c>
      <c r="AB77">
        <f>'Revenue Model'!AJ125</f>
        <v>0</v>
      </c>
      <c r="AC77">
        <f>'Revenue Model'!AK125</f>
        <v>0</v>
      </c>
      <c r="AD77">
        <f>'Revenue Model'!AL125</f>
        <v>0</v>
      </c>
      <c r="AE77">
        <f>'Revenue Model'!AM125</f>
        <v>0</v>
      </c>
      <c r="AF77">
        <f>'Revenue Model'!AN125</f>
        <v>0</v>
      </c>
      <c r="AG77">
        <f>'Revenue Model'!AO125</f>
        <v>0</v>
      </c>
      <c r="AH77">
        <f>'Revenue Model'!AP125</f>
        <v>0</v>
      </c>
      <c r="AI77">
        <f>'Revenue Model'!AQ125</f>
        <v>0</v>
      </c>
      <c r="AJ77">
        <f>'Revenue Model'!AR125</f>
        <v>0</v>
      </c>
      <c r="AK77">
        <f>'Revenue Model'!AS125</f>
        <v>0</v>
      </c>
      <c r="AL77">
        <f>'Revenue Model'!AT125</f>
        <v>0</v>
      </c>
      <c r="AM77">
        <f>'Revenue Model'!AU125</f>
        <v>0</v>
      </c>
      <c r="AN77">
        <f>'Revenue Model'!AV125</f>
        <v>0</v>
      </c>
    </row>
    <row r="78" spans="1:40">
      <c r="A78">
        <f>'Revenue Model'!I129</f>
        <v>0</v>
      </c>
      <c r="B78">
        <f>'Revenue Model'!J129</f>
        <v>0</v>
      </c>
      <c r="C78">
        <f>'Revenue Model'!K129</f>
        <v>0</v>
      </c>
      <c r="D78">
        <f>'Revenue Model'!L129</f>
        <v>0</v>
      </c>
      <c r="E78">
        <f>'Revenue Model'!M129</f>
        <v>0</v>
      </c>
      <c r="F78">
        <f>'Revenue Model'!N129</f>
        <v>0</v>
      </c>
      <c r="G78">
        <f>'Revenue Model'!O129</f>
        <v>0</v>
      </c>
      <c r="H78">
        <f>'Revenue Model'!P129</f>
        <v>0</v>
      </c>
      <c r="I78">
        <f>'Revenue Model'!Q129</f>
        <v>0</v>
      </c>
      <c r="J78">
        <f>'Revenue Model'!R129</f>
        <v>0</v>
      </c>
      <c r="K78">
        <f>'Revenue Model'!S129</f>
        <v>0</v>
      </c>
      <c r="L78">
        <f>'Revenue Model'!T129</f>
        <v>0</v>
      </c>
      <c r="M78">
        <f>'Revenue Model'!U129</f>
        <v>0</v>
      </c>
      <c r="N78">
        <f>'Revenue Model'!V129</f>
        <v>0</v>
      </c>
      <c r="O78">
        <f>'Revenue Model'!W129</f>
        <v>0</v>
      </c>
      <c r="P78">
        <f>'Revenue Model'!X129</f>
        <v>0</v>
      </c>
      <c r="Q78">
        <f>'Revenue Model'!Y129</f>
        <v>0</v>
      </c>
      <c r="R78">
        <f>'Revenue Model'!Z129</f>
        <v>0</v>
      </c>
      <c r="S78">
        <f>'Revenue Model'!AA129</f>
        <v>0</v>
      </c>
      <c r="T78">
        <f>'Revenue Model'!AB129</f>
        <v>0</v>
      </c>
      <c r="U78">
        <f>'Revenue Model'!AC129</f>
        <v>0</v>
      </c>
      <c r="V78">
        <f>'Revenue Model'!AD129</f>
        <v>0</v>
      </c>
      <c r="W78">
        <f>'Revenue Model'!AE129</f>
        <v>0</v>
      </c>
      <c r="X78">
        <f>'Revenue Model'!AF129</f>
        <v>0</v>
      </c>
      <c r="Y78">
        <f>'Revenue Model'!AG129</f>
        <v>0</v>
      </c>
      <c r="Z78">
        <f>'Revenue Model'!AH129</f>
        <v>0</v>
      </c>
      <c r="AA78">
        <f>'Revenue Model'!AI129</f>
        <v>0</v>
      </c>
      <c r="AB78">
        <f>'Revenue Model'!AJ129</f>
        <v>0</v>
      </c>
      <c r="AC78">
        <f>'Revenue Model'!AK129</f>
        <v>0</v>
      </c>
      <c r="AD78">
        <f>'Revenue Model'!AL129</f>
        <v>0</v>
      </c>
      <c r="AE78">
        <f>'Revenue Model'!AM129</f>
        <v>0</v>
      </c>
      <c r="AF78">
        <f>'Revenue Model'!AN129</f>
        <v>0</v>
      </c>
      <c r="AG78">
        <f>'Revenue Model'!AO129</f>
        <v>0</v>
      </c>
      <c r="AH78">
        <f>'Revenue Model'!AP129</f>
        <v>0</v>
      </c>
      <c r="AI78">
        <f>'Revenue Model'!AQ129</f>
        <v>0</v>
      </c>
      <c r="AJ78">
        <f>'Revenue Model'!AR129</f>
        <v>0</v>
      </c>
      <c r="AK78">
        <f>'Revenue Model'!AS129</f>
        <v>0</v>
      </c>
      <c r="AL78">
        <f>'Revenue Model'!AT129</f>
        <v>0</v>
      </c>
      <c r="AM78">
        <f>'Revenue Model'!AU129</f>
        <v>0</v>
      </c>
      <c r="AN78">
        <f>'Revenue Model'!AV129</f>
        <v>0</v>
      </c>
    </row>
    <row r="79" spans="1:40">
      <c r="A79" t="str">
        <f>'Revenue Model'!I130</f>
        <v>Europe ARPU</v>
      </c>
      <c r="B79">
        <f>'Revenue Model'!J130</f>
        <v>0</v>
      </c>
      <c r="C79">
        <f>'Revenue Model'!K130</f>
        <v>0</v>
      </c>
      <c r="D79">
        <f>'Revenue Model'!L130</f>
        <v>0</v>
      </c>
      <c r="E79">
        <f>'Revenue Model'!M130</f>
        <v>0</v>
      </c>
      <c r="F79">
        <f>'Revenue Model'!N130</f>
        <v>0</v>
      </c>
      <c r="G79">
        <f>'Revenue Model'!O130</f>
        <v>0</v>
      </c>
      <c r="H79">
        <f>'Revenue Model'!P130</f>
        <v>0</v>
      </c>
      <c r="I79">
        <f>'Revenue Model'!Q130</f>
        <v>0</v>
      </c>
      <c r="J79">
        <f>'Revenue Model'!R130</f>
        <v>3.3333333333333332E-4</v>
      </c>
      <c r="K79">
        <f>'Revenue Model'!S130</f>
        <v>2.7241379310344828E-3</v>
      </c>
      <c r="L79">
        <f>'Revenue Model'!T130</f>
        <v>2.8476821192052981E-2</v>
      </c>
      <c r="M79">
        <f>'Revenue Model'!U130</f>
        <v>3.6970588235294116E-2</v>
      </c>
      <c r="N79">
        <f>'Revenue Model'!V130</f>
        <v>6.9282051282051282E-2</v>
      </c>
      <c r="O79">
        <f>'Revenue Model'!W130</f>
        <v>0.13556521739130434</v>
      </c>
      <c r="P79">
        <f>'Revenue Model'!X130</f>
        <v>0.2406326530612245</v>
      </c>
      <c r="Q79">
        <f>'Revenue Model'!Y130</f>
        <v>0.28365570599613149</v>
      </c>
      <c r="R79">
        <f>'Revenue Model'!Z130</f>
        <v>0.23636363636363636</v>
      </c>
      <c r="S79">
        <f>'Revenue Model'!AA130</f>
        <v>0.38596491228070173</v>
      </c>
      <c r="T79">
        <f>'Revenue Model'!AB130</f>
        <v>0.47368421052631576</v>
      </c>
      <c r="U79">
        <f>'Revenue Model'!AC130</f>
        <v>0.66666666666666663</v>
      </c>
      <c r="V79">
        <f>'Revenue Model'!AD130</f>
        <v>0.50793650793650791</v>
      </c>
      <c r="W79">
        <f>'Revenue Model'!AE130</f>
        <v>0.70769230769230773</v>
      </c>
      <c r="X79">
        <f>'Revenue Model'!AF130</f>
        <v>0.89552238805970152</v>
      </c>
      <c r="Y79">
        <f>'Revenue Model'!AG130</f>
        <v>1.0948905109489051</v>
      </c>
      <c r="Z79">
        <f>'Revenue Model'!AH130</f>
        <v>0</v>
      </c>
      <c r="AA79">
        <f>'Revenue Model'!AI130</f>
        <v>0</v>
      </c>
      <c r="AB79">
        <f>'Revenue Model'!AJ130</f>
        <v>0</v>
      </c>
      <c r="AC79">
        <f>'Revenue Model'!AK130</f>
        <v>7.7368421052631586E-2</v>
      </c>
      <c r="AD79">
        <f>'Revenue Model'!AL130</f>
        <v>0.82599766627771287</v>
      </c>
      <c r="AE79">
        <f>'Revenue Model'!AM130</f>
        <v>1.8263205013428827</v>
      </c>
      <c r="AF79">
        <f>'Revenue Model'!AN130</f>
        <v>3.3151750972762648</v>
      </c>
      <c r="AG79">
        <f>'Revenue Model'!AO130</f>
        <v>5.1732673769145778</v>
      </c>
      <c r="AH79">
        <f>'Revenue Model'!AP130</f>
        <v>7.5220449975888499</v>
      </c>
      <c r="AI79">
        <f>'Revenue Model'!AQ130</f>
        <v>10.276442174534822</v>
      </c>
      <c r="AJ79">
        <f>'Revenue Model'!AR130</f>
        <v>13.296910103434641</v>
      </c>
      <c r="AK79">
        <f>'Revenue Model'!AS130</f>
        <v>16.423851080517363</v>
      </c>
      <c r="AL79">
        <f>'Revenue Model'!AT130</f>
        <v>19.495670541543365</v>
      </c>
      <c r="AM79">
        <f>'Revenue Model'!AU130</f>
        <v>22.793994260098614</v>
      </c>
      <c r="AN79">
        <f>'Revenue Model'!AV130</f>
        <v>0</v>
      </c>
    </row>
    <row r="80" spans="1:40">
      <c r="A80" t="str">
        <f>'Revenue Model'!I131</f>
        <v>Y/Y % Growth</v>
      </c>
      <c r="B80">
        <f>'Revenue Model'!J131</f>
        <v>0</v>
      </c>
      <c r="C80">
        <f>'Revenue Model'!K131</f>
        <v>0</v>
      </c>
      <c r="D80">
        <f>'Revenue Model'!L131</f>
        <v>0</v>
      </c>
      <c r="E80">
        <f>'Revenue Model'!M131</f>
        <v>0</v>
      </c>
      <c r="F80">
        <f>'Revenue Model'!N131</f>
        <v>0</v>
      </c>
      <c r="G80">
        <f>'Revenue Model'!O131</f>
        <v>0</v>
      </c>
      <c r="H80">
        <f>'Revenue Model'!P131</f>
        <v>0</v>
      </c>
      <c r="I80">
        <f>'Revenue Model'!Q131</f>
        <v>0</v>
      </c>
      <c r="J80">
        <f>'Revenue Model'!R131</f>
        <v>0</v>
      </c>
      <c r="K80">
        <f>'Revenue Model'!S131</f>
        <v>0</v>
      </c>
      <c r="L80">
        <f>'Revenue Model'!T131</f>
        <v>0</v>
      </c>
      <c r="M80">
        <f>'Revenue Model'!U131</f>
        <v>0</v>
      </c>
      <c r="N80">
        <f>'Revenue Model'!V131</f>
        <v>0</v>
      </c>
      <c r="O80">
        <f>'Revenue Model'!W131</f>
        <v>0</v>
      </c>
      <c r="P80">
        <f>'Revenue Model'!X131</f>
        <v>7.4501233981964887</v>
      </c>
      <c r="Q80">
        <f>'Revenue Model'!Y131</f>
        <v>6.6724693745970338</v>
      </c>
      <c r="R80">
        <f>'Revenue Model'!Z131</f>
        <v>0</v>
      </c>
      <c r="S80">
        <f>'Revenue Model'!AA131</f>
        <v>1.8470792118204429</v>
      </c>
      <c r="T80">
        <f>'Revenue Model'!AB131</f>
        <v>0.9684951501814496</v>
      </c>
      <c r="U80">
        <f>'Revenue Model'!AC131</f>
        <v>1.3502670758040689</v>
      </c>
      <c r="V80">
        <f>'Revenue Model'!AD131</f>
        <v>1.1489621489621489</v>
      </c>
      <c r="W80">
        <f>'Revenue Model'!AE131</f>
        <v>0.83356643356643367</v>
      </c>
      <c r="X80">
        <f>'Revenue Model'!AF131</f>
        <v>0.89054726368159232</v>
      </c>
      <c r="Y80">
        <f>'Revenue Model'!AG131</f>
        <v>0.64233576642335777</v>
      </c>
      <c r="Z80">
        <f>'Revenue Model'!AH131</f>
        <v>0</v>
      </c>
      <c r="AA80">
        <f>'Revenue Model'!AI131</f>
        <v>0</v>
      </c>
      <c r="AB80">
        <f>'Revenue Model'!AJ131</f>
        <v>0</v>
      </c>
      <c r="AC80">
        <f>'Revenue Model'!AK131</f>
        <v>0</v>
      </c>
      <c r="AD80">
        <f>'Revenue Model'!AL131</f>
        <v>9.6761603124330229</v>
      </c>
      <c r="AE80">
        <f>'Revenue Model'!AM131</f>
        <v>1.211048016119753</v>
      </c>
      <c r="AF80">
        <f>'Revenue Model'!AN131</f>
        <v>0.81522087434195489</v>
      </c>
      <c r="AG80">
        <f>'Revenue Model'!AO131</f>
        <v>0.56048088716789479</v>
      </c>
      <c r="AH80">
        <f>'Revenue Model'!AP131</f>
        <v>0.45402208112334641</v>
      </c>
      <c r="AI80">
        <f>'Revenue Model'!AQ131</f>
        <v>0.36617664183461796</v>
      </c>
      <c r="AJ80">
        <f>'Revenue Model'!AR131</f>
        <v>0.29392156133419256</v>
      </c>
      <c r="AK80">
        <f>'Revenue Model'!AS131</f>
        <v>0.23516297792184226</v>
      </c>
      <c r="AL80">
        <f>'Revenue Model'!AT131</f>
        <v>0.1870340546785596</v>
      </c>
      <c r="AM80">
        <f>'Revenue Model'!AU131</f>
        <v>0.16918236854315127</v>
      </c>
      <c r="AN80">
        <f>'Revenue Model'!AV131</f>
        <v>0</v>
      </c>
    </row>
    <row r="81" spans="1:40">
      <c r="A81" t="str">
        <f>'Revenue Model'!I133</f>
        <v>Q/Q % Growth</v>
      </c>
      <c r="B81">
        <f>'Revenue Model'!J133</f>
        <v>0</v>
      </c>
      <c r="C81">
        <f>'Revenue Model'!K133</f>
        <v>0</v>
      </c>
      <c r="D81">
        <f>'Revenue Model'!L133</f>
        <v>0</v>
      </c>
      <c r="E81">
        <f>'Revenue Model'!M133</f>
        <v>0</v>
      </c>
      <c r="F81">
        <f>'Revenue Model'!N133</f>
        <v>0</v>
      </c>
      <c r="G81">
        <f>'Revenue Model'!O133</f>
        <v>0</v>
      </c>
      <c r="H81">
        <f>'Revenue Model'!P133</f>
        <v>0</v>
      </c>
      <c r="I81">
        <f>'Revenue Model'!Q133</f>
        <v>0</v>
      </c>
      <c r="J81">
        <f>'Revenue Model'!R133</f>
        <v>0</v>
      </c>
      <c r="K81">
        <f>'Revenue Model'!S133</f>
        <v>7.1724137931034484</v>
      </c>
      <c r="L81">
        <f>'Revenue Model'!T133</f>
        <v>9.4535166401207142</v>
      </c>
      <c r="M81">
        <f>'Revenue Model'!U133</f>
        <v>0.29826949384404911</v>
      </c>
      <c r="N81">
        <f>'Revenue Model'!V133</f>
        <v>0.87397752075556379</v>
      </c>
      <c r="O81">
        <f>'Revenue Model'!W133</f>
        <v>0.95671483281305303</v>
      </c>
      <c r="P81">
        <f>'Revenue Model'!X133</f>
        <v>0.77503239910460686</v>
      </c>
      <c r="Q81">
        <f>'Revenue Model'!Y133</f>
        <v>0.17879141665765785</v>
      </c>
      <c r="R81">
        <f>'Revenue Model'!Z133</f>
        <v>-0.16672349130583008</v>
      </c>
      <c r="S81">
        <f>'Revenue Model'!AA133</f>
        <v>0.63292847503373806</v>
      </c>
      <c r="T81">
        <f>'Revenue Model'!AB133</f>
        <v>0.22727272727272729</v>
      </c>
      <c r="U81">
        <f>'Revenue Model'!AC133</f>
        <v>0.40740740740740744</v>
      </c>
      <c r="V81">
        <f>'Revenue Model'!AD133</f>
        <v>-0.23809523809523814</v>
      </c>
      <c r="W81">
        <f>'Revenue Model'!AE133</f>
        <v>0.39326923076923093</v>
      </c>
      <c r="X81">
        <f>'Revenue Model'!AF133</f>
        <v>0.26541207008436074</v>
      </c>
      <c r="Y81">
        <f>'Revenue Model'!AG133</f>
        <v>0.22262773722627727</v>
      </c>
      <c r="Z81">
        <f>'Revenue Model'!AH133</f>
        <v>0</v>
      </c>
      <c r="AA81">
        <f>'Revenue Model'!AI133</f>
        <v>0</v>
      </c>
      <c r="AB81">
        <f>'Revenue Model'!AJ133</f>
        <v>0</v>
      </c>
      <c r="AC81">
        <f>'Revenue Model'!AK133</f>
        <v>0</v>
      </c>
      <c r="AD81">
        <f>'Revenue Model'!AL133</f>
        <v>0</v>
      </c>
      <c r="AE81">
        <f>'Revenue Model'!AM133</f>
        <v>0</v>
      </c>
      <c r="AF81">
        <f>'Revenue Model'!AN133</f>
        <v>0</v>
      </c>
      <c r="AG81">
        <f>'Revenue Model'!AO133</f>
        <v>0</v>
      </c>
      <c r="AH81">
        <f>'Revenue Model'!AP133</f>
        <v>0</v>
      </c>
      <c r="AI81">
        <f>'Revenue Model'!AQ133</f>
        <v>0</v>
      </c>
      <c r="AJ81">
        <f>'Revenue Model'!AR133</f>
        <v>0</v>
      </c>
      <c r="AK81">
        <f>'Revenue Model'!AS133</f>
        <v>0</v>
      </c>
      <c r="AL81">
        <f>'Revenue Model'!AT133</f>
        <v>0</v>
      </c>
      <c r="AM81">
        <f>'Revenue Model'!AU133</f>
        <v>0</v>
      </c>
      <c r="AN81">
        <f>'Revenue Model'!AV133</f>
        <v>0</v>
      </c>
    </row>
    <row r="82" spans="1:40">
      <c r="A82" t="str">
        <f>'Revenue Model'!I134</f>
        <v>Q/Q Abs Growth</v>
      </c>
      <c r="B82">
        <f>'Revenue Model'!J134</f>
        <v>0</v>
      </c>
      <c r="C82">
        <f>'Revenue Model'!K134</f>
        <v>0</v>
      </c>
      <c r="D82">
        <f>'Revenue Model'!L134</f>
        <v>0</v>
      </c>
      <c r="E82">
        <f>'Revenue Model'!M134</f>
        <v>0</v>
      </c>
      <c r="F82">
        <f>'Revenue Model'!N134</f>
        <v>0</v>
      </c>
      <c r="G82">
        <f>'Revenue Model'!O134</f>
        <v>0</v>
      </c>
      <c r="H82">
        <f>'Revenue Model'!P134</f>
        <v>0</v>
      </c>
      <c r="I82">
        <f>'Revenue Model'!Q134</f>
        <v>0</v>
      </c>
      <c r="J82">
        <f>'Revenue Model'!R134</f>
        <v>0</v>
      </c>
      <c r="K82">
        <f>'Revenue Model'!S134</f>
        <v>2.3908045977011493E-3</v>
      </c>
      <c r="L82">
        <f>'Revenue Model'!T134</f>
        <v>2.5752683261018497E-2</v>
      </c>
      <c r="M82">
        <f>'Revenue Model'!U134</f>
        <v>8.4937670432411357E-3</v>
      </c>
      <c r="N82">
        <f>'Revenue Model'!V134</f>
        <v>3.2311463046757166E-2</v>
      </c>
      <c r="O82">
        <f>'Revenue Model'!W134</f>
        <v>6.6283166109253056E-2</v>
      </c>
      <c r="P82">
        <f>'Revenue Model'!X134</f>
        <v>0.10506743566992016</v>
      </c>
      <c r="Q82">
        <f>'Revenue Model'!Y134</f>
        <v>4.3023052934906991E-2</v>
      </c>
      <c r="R82">
        <f>'Revenue Model'!Z134</f>
        <v>-4.7292069632495132E-2</v>
      </c>
      <c r="S82">
        <f>'Revenue Model'!AA134</f>
        <v>0.14960127591706537</v>
      </c>
      <c r="T82">
        <f>'Revenue Model'!AB134</f>
        <v>8.771929824561403E-2</v>
      </c>
      <c r="U82">
        <f>'Revenue Model'!AC134</f>
        <v>0.19298245614035087</v>
      </c>
      <c r="V82">
        <f>'Revenue Model'!AD134</f>
        <v>-0.15873015873015872</v>
      </c>
      <c r="W82">
        <f>'Revenue Model'!AE134</f>
        <v>0.19975579975579982</v>
      </c>
      <c r="X82">
        <f>'Revenue Model'!AF134</f>
        <v>0.18783008036739379</v>
      </c>
      <c r="Y82">
        <f>'Revenue Model'!AG134</f>
        <v>0.19936812288920358</v>
      </c>
      <c r="Z82">
        <f>'Revenue Model'!AH134</f>
        <v>0</v>
      </c>
      <c r="AA82">
        <f>'Revenue Model'!AI134</f>
        <v>0</v>
      </c>
      <c r="AB82">
        <f>'Revenue Model'!AJ134</f>
        <v>0</v>
      </c>
      <c r="AC82">
        <f>'Revenue Model'!AK134</f>
        <v>0</v>
      </c>
      <c r="AD82">
        <f>'Revenue Model'!AL134</f>
        <v>0</v>
      </c>
      <c r="AE82">
        <f>'Revenue Model'!AM134</f>
        <v>0</v>
      </c>
      <c r="AF82">
        <f>'Revenue Model'!AN134</f>
        <v>0</v>
      </c>
      <c r="AG82">
        <f>'Revenue Model'!AO134</f>
        <v>0</v>
      </c>
      <c r="AH82">
        <f>'Revenue Model'!AP134</f>
        <v>0</v>
      </c>
      <c r="AI82">
        <f>'Revenue Model'!AQ134</f>
        <v>0</v>
      </c>
      <c r="AJ82">
        <f>'Revenue Model'!AR134</f>
        <v>0</v>
      </c>
      <c r="AK82">
        <f>'Revenue Model'!AS134</f>
        <v>0</v>
      </c>
      <c r="AL82">
        <f>'Revenue Model'!AT134</f>
        <v>0</v>
      </c>
      <c r="AM82">
        <f>'Revenue Model'!AU134</f>
        <v>0</v>
      </c>
      <c r="AN82">
        <f>'Revenue Model'!AV134</f>
        <v>0</v>
      </c>
    </row>
    <row r="83" spans="1:40">
      <c r="A83">
        <f>'Revenue Model'!I135</f>
        <v>0</v>
      </c>
      <c r="B83">
        <f>'Revenue Model'!J135</f>
        <v>0</v>
      </c>
      <c r="C83">
        <f>'Revenue Model'!K135</f>
        <v>0</v>
      </c>
      <c r="D83">
        <f>'Revenue Model'!L135</f>
        <v>0</v>
      </c>
      <c r="E83">
        <f>'Revenue Model'!M135</f>
        <v>0</v>
      </c>
      <c r="F83">
        <f>'Revenue Model'!N135</f>
        <v>0</v>
      </c>
      <c r="G83">
        <f>'Revenue Model'!O135</f>
        <v>0</v>
      </c>
      <c r="H83">
        <f>'Revenue Model'!P135</f>
        <v>0</v>
      </c>
      <c r="I83">
        <f>'Revenue Model'!Q135</f>
        <v>0</v>
      </c>
      <c r="J83">
        <f>'Revenue Model'!R135</f>
        <v>0</v>
      </c>
      <c r="K83">
        <f>'Revenue Model'!S135</f>
        <v>0</v>
      </c>
      <c r="L83">
        <f>'Revenue Model'!T135</f>
        <v>0</v>
      </c>
      <c r="M83">
        <f>'Revenue Model'!U135</f>
        <v>0</v>
      </c>
      <c r="N83">
        <f>'Revenue Model'!V135</f>
        <v>0</v>
      </c>
      <c r="O83">
        <f>'Revenue Model'!W135</f>
        <v>0</v>
      </c>
      <c r="P83">
        <f>'Revenue Model'!X135</f>
        <v>0</v>
      </c>
      <c r="Q83">
        <f>'Revenue Model'!Y135</f>
        <v>0</v>
      </c>
      <c r="R83">
        <f>'Revenue Model'!Z135</f>
        <v>0</v>
      </c>
      <c r="S83">
        <f>'Revenue Model'!AA135</f>
        <v>0</v>
      </c>
      <c r="T83">
        <f>'Revenue Model'!AB135</f>
        <v>0</v>
      </c>
      <c r="U83">
        <f>'Revenue Model'!AC135</f>
        <v>0</v>
      </c>
      <c r="V83">
        <f>'Revenue Model'!AD135</f>
        <v>0</v>
      </c>
      <c r="W83">
        <f>'Revenue Model'!AE135</f>
        <v>0</v>
      </c>
      <c r="X83">
        <f>'Revenue Model'!AF135</f>
        <v>0</v>
      </c>
      <c r="Y83">
        <f>'Revenue Model'!AG135</f>
        <v>0</v>
      </c>
      <c r="Z83">
        <f>'Revenue Model'!AH135</f>
        <v>0</v>
      </c>
      <c r="AA83">
        <f>'Revenue Model'!AI135</f>
        <v>0</v>
      </c>
      <c r="AB83">
        <f>'Revenue Model'!AJ135</f>
        <v>0</v>
      </c>
      <c r="AC83">
        <f>'Revenue Model'!AK135</f>
        <v>0</v>
      </c>
      <c r="AD83">
        <f>'Revenue Model'!AL135</f>
        <v>0</v>
      </c>
      <c r="AE83">
        <f>'Revenue Model'!AM135</f>
        <v>0</v>
      </c>
      <c r="AF83">
        <f>'Revenue Model'!AN135</f>
        <v>0</v>
      </c>
      <c r="AG83">
        <f>'Revenue Model'!AO135</f>
        <v>0</v>
      </c>
      <c r="AH83">
        <f>'Revenue Model'!AP135</f>
        <v>0</v>
      </c>
      <c r="AI83">
        <f>'Revenue Model'!AQ135</f>
        <v>0</v>
      </c>
      <c r="AJ83">
        <f>'Revenue Model'!AR135</f>
        <v>0</v>
      </c>
      <c r="AK83">
        <f>'Revenue Model'!AS135</f>
        <v>0</v>
      </c>
      <c r="AL83">
        <f>'Revenue Model'!AT135</f>
        <v>0</v>
      </c>
      <c r="AM83">
        <f>'Revenue Model'!AU135</f>
        <v>0</v>
      </c>
      <c r="AN83">
        <f>'Revenue Model'!AV135</f>
        <v>0</v>
      </c>
    </row>
    <row r="84" spans="1:40">
      <c r="A84" t="str">
        <f>'Revenue Model'!I136</f>
        <v>Rest of World Revenue Build</v>
      </c>
      <c r="B84">
        <f>'Revenue Model'!J136</f>
        <v>0</v>
      </c>
      <c r="C84">
        <f>'Revenue Model'!K136</f>
        <v>0</v>
      </c>
      <c r="D84">
        <f>'Revenue Model'!L136</f>
        <v>0</v>
      </c>
      <c r="E84">
        <f>'Revenue Model'!M136</f>
        <v>0</v>
      </c>
      <c r="F84">
        <f>'Revenue Model'!N136</f>
        <v>0</v>
      </c>
      <c r="G84">
        <f>'Revenue Model'!O136</f>
        <v>0</v>
      </c>
      <c r="H84">
        <f>'Revenue Model'!P136</f>
        <v>0</v>
      </c>
      <c r="I84">
        <f>'Revenue Model'!Q136</f>
        <v>0</v>
      </c>
      <c r="J84">
        <f>'Revenue Model'!R136</f>
        <v>0</v>
      </c>
      <c r="K84">
        <f>'Revenue Model'!S136</f>
        <v>0</v>
      </c>
      <c r="L84">
        <f>'Revenue Model'!T136</f>
        <v>0</v>
      </c>
      <c r="M84">
        <f>'Revenue Model'!U136</f>
        <v>0</v>
      </c>
      <c r="N84">
        <f>'Revenue Model'!V136</f>
        <v>0</v>
      </c>
      <c r="O84">
        <f>'Revenue Model'!W136</f>
        <v>0</v>
      </c>
      <c r="P84">
        <f>'Revenue Model'!X136</f>
        <v>0</v>
      </c>
      <c r="Q84">
        <f>'Revenue Model'!Y136</f>
        <v>0</v>
      </c>
      <c r="R84">
        <f>'Revenue Model'!Z136</f>
        <v>0</v>
      </c>
      <c r="S84">
        <f>'Revenue Model'!AA136</f>
        <v>0</v>
      </c>
      <c r="T84">
        <f>'Revenue Model'!AB136</f>
        <v>0</v>
      </c>
      <c r="U84">
        <f>'Revenue Model'!AC136</f>
        <v>0</v>
      </c>
      <c r="V84">
        <f>'Revenue Model'!AD136</f>
        <v>0</v>
      </c>
      <c r="W84">
        <f>'Revenue Model'!AE136</f>
        <v>0</v>
      </c>
      <c r="X84">
        <f>'Revenue Model'!AF136</f>
        <v>0</v>
      </c>
      <c r="Y84">
        <f>'Revenue Model'!AG136</f>
        <v>0</v>
      </c>
      <c r="Z84">
        <f>'Revenue Model'!AH136</f>
        <v>0</v>
      </c>
      <c r="AA84">
        <f>'Revenue Model'!AI136</f>
        <v>0</v>
      </c>
      <c r="AB84">
        <f>'Revenue Model'!AJ136</f>
        <v>0</v>
      </c>
      <c r="AC84">
        <f>'Revenue Model'!AK136</f>
        <v>0</v>
      </c>
      <c r="AD84">
        <f>'Revenue Model'!AL136</f>
        <v>0</v>
      </c>
      <c r="AE84">
        <f>'Revenue Model'!AM136</f>
        <v>0</v>
      </c>
      <c r="AF84">
        <f>'Revenue Model'!AN136</f>
        <v>0</v>
      </c>
      <c r="AG84">
        <f>'Revenue Model'!AO136</f>
        <v>0</v>
      </c>
      <c r="AH84">
        <f>'Revenue Model'!AP136</f>
        <v>0</v>
      </c>
      <c r="AI84">
        <f>'Revenue Model'!AQ136</f>
        <v>0</v>
      </c>
      <c r="AJ84">
        <f>'Revenue Model'!AR136</f>
        <v>0</v>
      </c>
      <c r="AK84">
        <f>'Revenue Model'!AS136</f>
        <v>0</v>
      </c>
      <c r="AL84">
        <f>'Revenue Model'!AT136</f>
        <v>0</v>
      </c>
      <c r="AM84">
        <f>'Revenue Model'!AU136</f>
        <v>0</v>
      </c>
      <c r="AN84">
        <f>'Revenue Model'!AV136</f>
        <v>0</v>
      </c>
    </row>
    <row r="85" spans="1:40">
      <c r="A85">
        <f>'Revenue Model'!I137</f>
        <v>0</v>
      </c>
      <c r="B85">
        <f>'Revenue Model'!J137</f>
        <v>0</v>
      </c>
      <c r="C85">
        <f>'Revenue Model'!K137</f>
        <v>0</v>
      </c>
      <c r="D85">
        <f>'Revenue Model'!L137</f>
        <v>0</v>
      </c>
      <c r="E85">
        <f>'Revenue Model'!M137</f>
        <v>0</v>
      </c>
      <c r="F85">
        <f>'Revenue Model'!N137</f>
        <v>0</v>
      </c>
      <c r="G85">
        <f>'Revenue Model'!O137</f>
        <v>0</v>
      </c>
      <c r="H85">
        <f>'Revenue Model'!P137</f>
        <v>0</v>
      </c>
      <c r="I85">
        <f>'Revenue Model'!Q137</f>
        <v>0</v>
      </c>
      <c r="J85">
        <f>'Revenue Model'!R137</f>
        <v>0</v>
      </c>
      <c r="K85">
        <f>'Revenue Model'!S137</f>
        <v>0</v>
      </c>
      <c r="L85">
        <f>'Revenue Model'!T137</f>
        <v>0</v>
      </c>
      <c r="M85">
        <f>'Revenue Model'!U137</f>
        <v>0</v>
      </c>
      <c r="N85">
        <f>'Revenue Model'!V137</f>
        <v>0</v>
      </c>
      <c r="O85">
        <f>'Revenue Model'!W137</f>
        <v>0</v>
      </c>
      <c r="P85">
        <f>'Revenue Model'!X137</f>
        <v>0</v>
      </c>
      <c r="Q85">
        <f>'Revenue Model'!Y137</f>
        <v>0</v>
      </c>
      <c r="R85">
        <f>'Revenue Model'!Z137</f>
        <v>0</v>
      </c>
      <c r="S85">
        <f>'Revenue Model'!AA137</f>
        <v>0</v>
      </c>
      <c r="T85">
        <f>'Revenue Model'!AB137</f>
        <v>0</v>
      </c>
      <c r="U85">
        <f>'Revenue Model'!AC137</f>
        <v>0</v>
      </c>
      <c r="V85">
        <f>'Revenue Model'!AD137</f>
        <v>0</v>
      </c>
      <c r="W85">
        <f>'Revenue Model'!AE137</f>
        <v>0</v>
      </c>
      <c r="X85">
        <f>'Revenue Model'!AF137</f>
        <v>0</v>
      </c>
      <c r="Y85">
        <f>'Revenue Model'!AG137</f>
        <v>0</v>
      </c>
      <c r="Z85">
        <f>'Revenue Model'!AH137</f>
        <v>0</v>
      </c>
      <c r="AA85">
        <f>'Revenue Model'!AI137</f>
        <v>0</v>
      </c>
      <c r="AB85">
        <f>'Revenue Model'!AJ137</f>
        <v>0</v>
      </c>
      <c r="AC85">
        <f>'Revenue Model'!AK137</f>
        <v>0</v>
      </c>
      <c r="AD85">
        <f>'Revenue Model'!AL137</f>
        <v>0</v>
      </c>
      <c r="AE85">
        <f>'Revenue Model'!AM137</f>
        <v>0</v>
      </c>
      <c r="AF85">
        <f>'Revenue Model'!AN137</f>
        <v>0</v>
      </c>
      <c r="AG85">
        <f>'Revenue Model'!AO137</f>
        <v>0</v>
      </c>
      <c r="AH85">
        <f>'Revenue Model'!AP137</f>
        <v>0</v>
      </c>
      <c r="AI85">
        <f>'Revenue Model'!AQ137</f>
        <v>0</v>
      </c>
      <c r="AJ85">
        <f>'Revenue Model'!AR137</f>
        <v>0</v>
      </c>
      <c r="AK85">
        <f>'Revenue Model'!AS137</f>
        <v>0</v>
      </c>
      <c r="AL85">
        <f>'Revenue Model'!AT137</f>
        <v>0</v>
      </c>
      <c r="AM85">
        <f>'Revenue Model'!AU137</f>
        <v>0</v>
      </c>
      <c r="AN85">
        <f>'Revenue Model'!AV137</f>
        <v>0</v>
      </c>
    </row>
    <row r="86" spans="1:40">
      <c r="A86" t="str">
        <f>'Revenue Model'!I138</f>
        <v>ROW DAUs</v>
      </c>
      <c r="B86">
        <f>'Revenue Model'!J138</f>
        <v>0.54054054054054057</v>
      </c>
      <c r="C86">
        <f>'Revenue Model'!K138</f>
        <v>1.7612524461839529</v>
      </c>
      <c r="D86">
        <f>'Revenue Model'!L138</f>
        <v>3.1428571428571428</v>
      </c>
      <c r="E86">
        <f>'Revenue Model'!M138</f>
        <v>3.9156626506024099</v>
      </c>
      <c r="F86">
        <f>'Revenue Model'!N138</f>
        <v>6</v>
      </c>
      <c r="G86">
        <f>'Revenue Model'!O138</f>
        <v>9</v>
      </c>
      <c r="H86">
        <f>'Revenue Model'!P138</f>
        <v>11</v>
      </c>
      <c r="I86">
        <f>'Revenue Model'!Q138</f>
        <v>13</v>
      </c>
      <c r="J86">
        <f>'Revenue Model'!R138</f>
        <v>16</v>
      </c>
      <c r="K86">
        <f>'Revenue Model'!S138</f>
        <v>18</v>
      </c>
      <c r="L86">
        <f>'Revenue Model'!T138</f>
        <v>20.2</v>
      </c>
      <c r="M86">
        <f>'Revenue Model'!U138</f>
        <v>24</v>
      </c>
      <c r="N86">
        <f>'Revenue Model'!V138</f>
        <v>29</v>
      </c>
      <c r="O86">
        <f>'Revenue Model'!W138</f>
        <v>36</v>
      </c>
      <c r="P86">
        <f>'Revenue Model'!X138</f>
        <v>39</v>
      </c>
      <c r="Q86">
        <f>'Revenue Model'!Y138</f>
        <v>39</v>
      </c>
      <c r="R86">
        <f>'Revenue Model'!Z138</f>
        <v>40</v>
      </c>
      <c r="S86">
        <f>'Revenue Model'!AA138</f>
        <v>42</v>
      </c>
      <c r="T86">
        <f>'Revenue Model'!AB138</f>
        <v>44</v>
      </c>
      <c r="U86">
        <f>'Revenue Model'!AC138</f>
        <v>47</v>
      </c>
      <c r="V86">
        <f>'Revenue Model'!AD138</f>
        <v>47.98</v>
      </c>
      <c r="W86">
        <f>'Revenue Model'!AE138</f>
        <v>49.98</v>
      </c>
      <c r="X86">
        <f>'Revenue Model'!AF138</f>
        <v>51.98</v>
      </c>
      <c r="Y86">
        <f>'Revenue Model'!AG138</f>
        <v>54.98</v>
      </c>
      <c r="Z86">
        <f>'Revenue Model'!AH138</f>
        <v>0</v>
      </c>
      <c r="AA86">
        <f>'Revenue Model'!AI138</f>
        <v>3.9156626506024099</v>
      </c>
      <c r="AB86">
        <f>'Revenue Model'!AJ138</f>
        <v>13</v>
      </c>
      <c r="AC86">
        <f>'Revenue Model'!AK138</f>
        <v>24</v>
      </c>
      <c r="AD86">
        <f>'Revenue Model'!AL138</f>
        <v>39</v>
      </c>
      <c r="AE86">
        <f>'Revenue Model'!AM138</f>
        <v>47</v>
      </c>
      <c r="AF86">
        <f>'Revenue Model'!AN138</f>
        <v>54.98</v>
      </c>
      <c r="AG86">
        <f>'Revenue Model'!AO138</f>
        <v>62.560999999999993</v>
      </c>
      <c r="AH86">
        <f>'Revenue Model'!AP138</f>
        <v>69.383899999999983</v>
      </c>
      <c r="AI86">
        <f>'Revenue Model'!AQ138</f>
        <v>75.524509999999978</v>
      </c>
      <c r="AJ86">
        <f>'Revenue Model'!AR138</f>
        <v>81.051058999999981</v>
      </c>
      <c r="AK86">
        <f>'Revenue Model'!AS138</f>
        <v>86.024953099999976</v>
      </c>
      <c r="AL86">
        <f>'Revenue Model'!AT138</f>
        <v>90.501457789999975</v>
      </c>
      <c r="AM86">
        <f>'Revenue Model'!AU138</f>
        <v>94.977962479999974</v>
      </c>
      <c r="AN86">
        <f>'Revenue Model'!AV138</f>
        <v>0</v>
      </c>
    </row>
    <row r="87" spans="1:40">
      <c r="A87" t="str">
        <f>'Revenue Model'!I139</f>
        <v>Sequential Net Adds</v>
      </c>
      <c r="B87">
        <f>'Revenue Model'!J139</f>
        <v>0</v>
      </c>
      <c r="C87">
        <f>'Revenue Model'!K139</f>
        <v>1.2207119056434124</v>
      </c>
      <c r="D87">
        <f>'Revenue Model'!L139</f>
        <v>1.3816046966731899</v>
      </c>
      <c r="E87">
        <f>'Revenue Model'!M139</f>
        <v>0.77280550774526713</v>
      </c>
      <c r="F87">
        <f>'Revenue Model'!N139</f>
        <v>2.0843373493975901</v>
      </c>
      <c r="G87">
        <f>'Revenue Model'!O139</f>
        <v>3</v>
      </c>
      <c r="H87">
        <f>'Revenue Model'!P139</f>
        <v>2</v>
      </c>
      <c r="I87">
        <f>'Revenue Model'!Q139</f>
        <v>2</v>
      </c>
      <c r="J87">
        <f>'Revenue Model'!R139</f>
        <v>3</v>
      </c>
      <c r="K87">
        <f>'Revenue Model'!S139</f>
        <v>2</v>
      </c>
      <c r="L87">
        <f>'Revenue Model'!T139</f>
        <v>2.1999999999999993</v>
      </c>
      <c r="M87">
        <f>'Revenue Model'!U139</f>
        <v>3.8000000000000007</v>
      </c>
      <c r="N87">
        <f>'Revenue Model'!V139</f>
        <v>5</v>
      </c>
      <c r="O87">
        <f>'Revenue Model'!W139</f>
        <v>7</v>
      </c>
      <c r="P87">
        <f>'Revenue Model'!X139</f>
        <v>3</v>
      </c>
      <c r="Q87">
        <f>'Revenue Model'!Y139</f>
        <v>0</v>
      </c>
      <c r="R87">
        <f>'Revenue Model'!Z139</f>
        <v>1</v>
      </c>
      <c r="S87">
        <f>'Revenue Model'!AA139</f>
        <v>2</v>
      </c>
      <c r="T87">
        <f>'Revenue Model'!AB139</f>
        <v>2</v>
      </c>
      <c r="U87">
        <f>'Revenue Model'!AC139</f>
        <v>3</v>
      </c>
      <c r="V87">
        <f>'Revenue Model'!AD139</f>
        <v>0.98</v>
      </c>
      <c r="W87">
        <f>'Revenue Model'!AE139</f>
        <v>2</v>
      </c>
      <c r="X87">
        <f>'Revenue Model'!AF139</f>
        <v>2</v>
      </c>
      <c r="Y87">
        <f>'Revenue Model'!AG139</f>
        <v>3</v>
      </c>
      <c r="Z87">
        <f>'Revenue Model'!AH139</f>
        <v>0</v>
      </c>
      <c r="AA87">
        <f>'Revenue Model'!AI139</f>
        <v>0</v>
      </c>
      <c r="AB87">
        <f>'Revenue Model'!AJ139</f>
        <v>9.0843373493975896</v>
      </c>
      <c r="AC87">
        <f>'Revenue Model'!AK139</f>
        <v>11</v>
      </c>
      <c r="AD87">
        <f>'Revenue Model'!AL139</f>
        <v>15</v>
      </c>
      <c r="AE87">
        <f>'Revenue Model'!AM139</f>
        <v>8</v>
      </c>
      <c r="AF87">
        <f>'Revenue Model'!AN139</f>
        <v>7.9799999999999969</v>
      </c>
      <c r="AG87">
        <f>'Revenue Model'!AO139</f>
        <v>7.5809999999999969</v>
      </c>
      <c r="AH87">
        <f>'Revenue Model'!AP139</f>
        <v>6.8228999999999971</v>
      </c>
      <c r="AI87">
        <f>'Revenue Model'!AQ139</f>
        <v>6.1406099999999979</v>
      </c>
      <c r="AJ87">
        <f>'Revenue Model'!AR139</f>
        <v>5.5265489999999984</v>
      </c>
      <c r="AK87">
        <f>'Revenue Model'!AS139</f>
        <v>4.973894099999999</v>
      </c>
      <c r="AL87">
        <f>'Revenue Model'!AT139</f>
        <v>4.4765046899999996</v>
      </c>
      <c r="AM87">
        <f>'Revenue Model'!AU139</f>
        <v>4.4765046899999996</v>
      </c>
      <c r="AN87">
        <f>'Revenue Model'!AV139</f>
        <v>0</v>
      </c>
    </row>
    <row r="88" spans="1:40">
      <c r="A88" t="str">
        <f>'Revenue Model'!I140</f>
        <v>Y/Y % Growth</v>
      </c>
      <c r="B88">
        <f>'Revenue Model'!J140</f>
        <v>0</v>
      </c>
      <c r="C88">
        <f>'Revenue Model'!K140</f>
        <v>0</v>
      </c>
      <c r="D88">
        <f>'Revenue Model'!L140</f>
        <v>0</v>
      </c>
      <c r="E88">
        <f>'Revenue Model'!M140</f>
        <v>0</v>
      </c>
      <c r="F88">
        <f>'Revenue Model'!N140</f>
        <v>10.1</v>
      </c>
      <c r="G88">
        <f>'Revenue Model'!O140</f>
        <v>4.1100000000000003</v>
      </c>
      <c r="H88">
        <f>'Revenue Model'!P140</f>
        <v>2.5</v>
      </c>
      <c r="I88">
        <f>'Revenue Model'!Q140</f>
        <v>2.3199999999999998</v>
      </c>
      <c r="J88">
        <f>'Revenue Model'!R140</f>
        <v>1.6666666666666665</v>
      </c>
      <c r="K88">
        <f>'Revenue Model'!S140</f>
        <v>1</v>
      </c>
      <c r="L88">
        <f>'Revenue Model'!T140</f>
        <v>0.8363636363636362</v>
      </c>
      <c r="M88">
        <f>'Revenue Model'!U140</f>
        <v>0.84615384615384626</v>
      </c>
      <c r="N88">
        <f>'Revenue Model'!V140</f>
        <v>0.8125</v>
      </c>
      <c r="O88">
        <f>'Revenue Model'!W140</f>
        <v>1</v>
      </c>
      <c r="P88">
        <f>'Revenue Model'!X140</f>
        <v>0.93069306930693085</v>
      </c>
      <c r="Q88">
        <f>'Revenue Model'!Y140</f>
        <v>0.625</v>
      </c>
      <c r="R88">
        <f>'Revenue Model'!Z140</f>
        <v>0.3793103448275863</v>
      </c>
      <c r="S88">
        <f>'Revenue Model'!AA140</f>
        <v>0.16666666666666674</v>
      </c>
      <c r="T88">
        <f>'Revenue Model'!AB140</f>
        <v>0.12820512820512819</v>
      </c>
      <c r="U88">
        <f>'Revenue Model'!AC140</f>
        <v>0.20512820512820507</v>
      </c>
      <c r="V88">
        <f>'Revenue Model'!AD140</f>
        <v>0.19950000000000001</v>
      </c>
      <c r="W88">
        <f>'Revenue Model'!AE140</f>
        <v>0.18999999999999995</v>
      </c>
      <c r="X88">
        <f>'Revenue Model'!AF140</f>
        <v>0.18136363636363639</v>
      </c>
      <c r="Y88">
        <f>'Revenue Model'!AG140</f>
        <v>0.16978723404255303</v>
      </c>
      <c r="Z88">
        <f>'Revenue Model'!AH140</f>
        <v>0</v>
      </c>
      <c r="AA88">
        <f>'Revenue Model'!AI140</f>
        <v>0</v>
      </c>
      <c r="AB88">
        <f>'Revenue Model'!AJ140</f>
        <v>2.3199999999999998</v>
      </c>
      <c r="AC88">
        <f>'Revenue Model'!AK140</f>
        <v>0.84615384615384626</v>
      </c>
      <c r="AD88">
        <f>'Revenue Model'!AL140</f>
        <v>0.625</v>
      </c>
      <c r="AE88">
        <f>'Revenue Model'!AM140</f>
        <v>0.20512820512820507</v>
      </c>
      <c r="AF88">
        <f>'Revenue Model'!AN140</f>
        <v>0.16978723404255303</v>
      </c>
      <c r="AG88">
        <f>'Revenue Model'!AO140</f>
        <v>0.13788650418333925</v>
      </c>
      <c r="AH88">
        <f>'Revenue Model'!AP140</f>
        <v>0.10905995748149788</v>
      </c>
      <c r="AI88">
        <f>'Revenue Model'!AQ140</f>
        <v>8.8501943534450955E-2</v>
      </c>
      <c r="AJ88">
        <f>'Revenue Model'!AR140</f>
        <v>7.3175569096707971E-2</v>
      </c>
      <c r="AK88">
        <f>'Revenue Model'!AS140</f>
        <v>6.1367416556519006E-2</v>
      </c>
      <c r="AL88">
        <f>'Revenue Model'!AT140</f>
        <v>5.2037281378070288E-2</v>
      </c>
      <c r="AM88">
        <f>'Revenue Model'!AU140</f>
        <v>4.9463343456713105E-2</v>
      </c>
      <c r="AN88">
        <f>'Revenue Model'!AV140</f>
        <v>0</v>
      </c>
    </row>
    <row r="89" spans="1:40">
      <c r="A89" t="str">
        <f>'Revenue Model'!I141</f>
        <v>Q/Q % Growth</v>
      </c>
      <c r="B89">
        <f>'Revenue Model'!J141</f>
        <v>0</v>
      </c>
      <c r="C89">
        <f>'Revenue Model'!K141</f>
        <v>2.2583170254403129</v>
      </c>
      <c r="D89">
        <f>'Revenue Model'!L141</f>
        <v>0.7844444444444445</v>
      </c>
      <c r="E89">
        <f>'Revenue Model'!M141</f>
        <v>0.24589266155531231</v>
      </c>
      <c r="F89">
        <f>'Revenue Model'!N141</f>
        <v>0.53230769230769215</v>
      </c>
      <c r="G89">
        <f>'Revenue Model'!O141</f>
        <v>0.5</v>
      </c>
      <c r="H89">
        <f>'Revenue Model'!P141</f>
        <v>0.22222222222222232</v>
      </c>
      <c r="I89">
        <f>'Revenue Model'!Q141</f>
        <v>0.18181818181818188</v>
      </c>
      <c r="J89">
        <f>'Revenue Model'!R141</f>
        <v>0.23076923076923084</v>
      </c>
      <c r="K89">
        <f>'Revenue Model'!S141</f>
        <v>0.125</v>
      </c>
      <c r="L89">
        <f>'Revenue Model'!T141</f>
        <v>0.12222222222222223</v>
      </c>
      <c r="M89">
        <f>'Revenue Model'!U141</f>
        <v>0.18811881188118806</v>
      </c>
      <c r="N89">
        <f>'Revenue Model'!V141</f>
        <v>0.20833333333333326</v>
      </c>
      <c r="O89">
        <f>'Revenue Model'!W141</f>
        <v>0.24137931034482762</v>
      </c>
      <c r="P89">
        <f>'Revenue Model'!X141</f>
        <v>8.3333333333333259E-2</v>
      </c>
      <c r="Q89">
        <f>'Revenue Model'!Y141</f>
        <v>0</v>
      </c>
      <c r="R89">
        <f>'Revenue Model'!Z141</f>
        <v>2.564102564102555E-2</v>
      </c>
      <c r="S89">
        <f>'Revenue Model'!AA141</f>
        <v>5.0000000000000044E-2</v>
      </c>
      <c r="T89">
        <f>'Revenue Model'!AB141</f>
        <v>4.7619047619047672E-2</v>
      </c>
      <c r="U89">
        <f>'Revenue Model'!AC141</f>
        <v>6.8181818181818121E-2</v>
      </c>
      <c r="V89">
        <f>'Revenue Model'!AD141</f>
        <v>2.0851063829787186E-2</v>
      </c>
      <c r="W89">
        <f>'Revenue Model'!AE141</f>
        <v>4.1684035014589504E-2</v>
      </c>
      <c r="X89">
        <f>'Revenue Model'!AF141</f>
        <v>4.0016006402560977E-2</v>
      </c>
      <c r="Y89">
        <f>'Revenue Model'!AG141</f>
        <v>5.7714505579068875E-2</v>
      </c>
      <c r="Z89">
        <f>'Revenue Model'!AH141</f>
        <v>0</v>
      </c>
      <c r="AA89">
        <f>'Revenue Model'!AI141</f>
        <v>0</v>
      </c>
      <c r="AB89">
        <f>'Revenue Model'!AJ141</f>
        <v>0</v>
      </c>
      <c r="AC89">
        <f>'Revenue Model'!AK141</f>
        <v>0</v>
      </c>
      <c r="AD89">
        <f>'Revenue Model'!AL141</f>
        <v>0</v>
      </c>
      <c r="AE89">
        <f>'Revenue Model'!AM141</f>
        <v>0</v>
      </c>
      <c r="AF89">
        <f>'Revenue Model'!AN141</f>
        <v>0</v>
      </c>
      <c r="AG89">
        <f>'Revenue Model'!AO141</f>
        <v>0</v>
      </c>
      <c r="AH89">
        <f>'Revenue Model'!AP141</f>
        <v>0</v>
      </c>
      <c r="AI89">
        <f>'Revenue Model'!AQ141</f>
        <v>0</v>
      </c>
      <c r="AJ89">
        <f>'Revenue Model'!AR141</f>
        <v>0</v>
      </c>
      <c r="AK89">
        <f>'Revenue Model'!AS141</f>
        <v>0</v>
      </c>
      <c r="AL89">
        <f>'Revenue Model'!AT141</f>
        <v>0</v>
      </c>
      <c r="AM89">
        <f>'Revenue Model'!AU141</f>
        <v>0</v>
      </c>
      <c r="AN89">
        <f>'Revenue Model'!AV141</f>
        <v>0</v>
      </c>
    </row>
    <row r="91" spans="1:40">
      <c r="A91" t="str">
        <f>'Revenue Model'!I145</f>
        <v xml:space="preserve">ROW Revenue </v>
      </c>
      <c r="B91">
        <f>'Revenue Model'!J145</f>
        <v>0</v>
      </c>
      <c r="C91">
        <f>'Revenue Model'!K145</f>
        <v>0</v>
      </c>
      <c r="D91">
        <f>'Revenue Model'!L145</f>
        <v>0</v>
      </c>
      <c r="E91">
        <f>'Revenue Model'!M145</f>
        <v>0</v>
      </c>
      <c r="F91">
        <f>'Revenue Model'!N145</f>
        <v>0</v>
      </c>
      <c r="G91">
        <f>'Revenue Model'!O145</f>
        <v>0</v>
      </c>
      <c r="H91">
        <f>'Revenue Model'!P145</f>
        <v>0</v>
      </c>
      <c r="I91">
        <f>'Revenue Model'!Q145</f>
        <v>0</v>
      </c>
      <c r="J91">
        <f>'Revenue Model'!R145</f>
        <v>0</v>
      </c>
      <c r="K91">
        <f>'Revenue Model'!S145</f>
        <v>5.0000000000000001E-3</v>
      </c>
      <c r="L91">
        <f>'Revenue Model'!T145</f>
        <v>6.0000000000000001E-3</v>
      </c>
      <c r="M91">
        <f>'Revenue Model'!U145</f>
        <v>9.7000000000000003E-2</v>
      </c>
      <c r="N91">
        <f>'Revenue Model'!V145</f>
        <v>0.19800000000000001</v>
      </c>
      <c r="O91">
        <f>'Revenue Model'!W145</f>
        <v>0.34300000000000003</v>
      </c>
      <c r="P91">
        <f>'Revenue Model'!X145</f>
        <v>1.6579999999999999</v>
      </c>
      <c r="Q91">
        <f>'Revenue Model'!Y145</f>
        <v>5.6609999999999996</v>
      </c>
      <c r="R91">
        <f>'Revenue Model'!Z145</f>
        <v>8</v>
      </c>
      <c r="S91">
        <f>'Revenue Model'!AA145</f>
        <v>12</v>
      </c>
      <c r="T91">
        <f>'Revenue Model'!AB145</f>
        <v>13</v>
      </c>
      <c r="U91">
        <f>'Revenue Model'!AC145</f>
        <v>26</v>
      </c>
      <c r="V91">
        <f>'Revenue Model'!AD145</f>
        <v>23</v>
      </c>
      <c r="W91">
        <f>'Revenue Model'!AE145</f>
        <v>27</v>
      </c>
      <c r="X91">
        <f>'Revenue Model'!AF145</f>
        <v>31</v>
      </c>
      <c r="Y91">
        <f>'Revenue Model'!AG145</f>
        <v>43</v>
      </c>
      <c r="Z91">
        <f>'Revenue Model'!AH145</f>
        <v>0</v>
      </c>
      <c r="AA91">
        <f>'Revenue Model'!AI145</f>
        <v>0</v>
      </c>
      <c r="AB91">
        <f>'Revenue Model'!AJ145</f>
        <v>0</v>
      </c>
      <c r="AC91">
        <f>'Revenue Model'!AK145</f>
        <v>0.108</v>
      </c>
      <c r="AD91">
        <f>'Revenue Model'!AL145</f>
        <v>7.8599999999999994</v>
      </c>
      <c r="AE91">
        <f>'Revenue Model'!AM145</f>
        <v>59</v>
      </c>
      <c r="AF91">
        <f>'Revenue Model'!AN145</f>
        <v>124</v>
      </c>
      <c r="AG91">
        <f>'Revenue Model'!AO145</f>
        <v>226.4576271186441</v>
      </c>
      <c r="AH91">
        <f>'Revenue Model'!AP145</f>
        <v>366.79418629704116</v>
      </c>
      <c r="AI91">
        <f>'Revenue Model'!AQ145</f>
        <v>548.63706679176073</v>
      </c>
      <c r="AJ91">
        <f>'Revenue Model'!AR145</f>
        <v>766.23210684137439</v>
      </c>
      <c r="AK91">
        <f>'Revenue Model'!AS145</f>
        <v>1009.3484634527393</v>
      </c>
      <c r="AL91">
        <f>'Revenue Model'!AT145</f>
        <v>1265.5518971589806</v>
      </c>
      <c r="AM91">
        <f>'Revenue Model'!AU145</f>
        <v>1522.5404424044439</v>
      </c>
      <c r="AN91">
        <f>'Revenue Model'!AV145</f>
        <v>0</v>
      </c>
    </row>
    <row r="92" spans="1:40">
      <c r="A92" t="str">
        <f>'Revenue Model'!I146</f>
        <v>Y/Y % Growth</v>
      </c>
      <c r="B92">
        <f>'Revenue Model'!J146</f>
        <v>0</v>
      </c>
      <c r="C92">
        <f>'Revenue Model'!K146</f>
        <v>0</v>
      </c>
      <c r="D92">
        <f>'Revenue Model'!L146</f>
        <v>0</v>
      </c>
      <c r="E92">
        <f>'Revenue Model'!M146</f>
        <v>0</v>
      </c>
      <c r="F92">
        <f>'Revenue Model'!N146</f>
        <v>0</v>
      </c>
      <c r="G92">
        <f>'Revenue Model'!O146</f>
        <v>0</v>
      </c>
      <c r="H92">
        <f>'Revenue Model'!P146</f>
        <v>0</v>
      </c>
      <c r="I92">
        <f>'Revenue Model'!Q146</f>
        <v>0</v>
      </c>
      <c r="J92">
        <f>'Revenue Model'!R146</f>
        <v>0</v>
      </c>
      <c r="K92">
        <f>'Revenue Model'!S146</f>
        <v>0</v>
      </c>
      <c r="L92">
        <f>'Revenue Model'!T146</f>
        <v>0</v>
      </c>
      <c r="M92">
        <f>'Revenue Model'!U146</f>
        <v>0</v>
      </c>
      <c r="N92">
        <f>'Revenue Model'!V146</f>
        <v>0</v>
      </c>
      <c r="O92">
        <f>'Revenue Model'!W146</f>
        <v>0</v>
      </c>
      <c r="P92">
        <f>'Revenue Model'!X146</f>
        <v>0</v>
      </c>
      <c r="Q92">
        <f>'Revenue Model'!Y146</f>
        <v>0</v>
      </c>
      <c r="R92">
        <f>'Revenue Model'!Z146</f>
        <v>0</v>
      </c>
      <c r="S92">
        <f>'Revenue Model'!AA146</f>
        <v>33.985422740524776</v>
      </c>
      <c r="T92">
        <f>'Revenue Model'!AB146</f>
        <v>6.8407720144752719</v>
      </c>
      <c r="U92">
        <f>'Revenue Model'!AC146</f>
        <v>3.5928281222398875</v>
      </c>
      <c r="V92">
        <f>'Revenue Model'!AD146</f>
        <v>1.875</v>
      </c>
      <c r="W92">
        <f>'Revenue Model'!AE146</f>
        <v>1.25</v>
      </c>
      <c r="X92">
        <f>'Revenue Model'!AF146</f>
        <v>1.3846153846153846</v>
      </c>
      <c r="Y92">
        <f>'Revenue Model'!AG146</f>
        <v>0.65384615384615374</v>
      </c>
      <c r="Z92">
        <f>'Revenue Model'!AH146</f>
        <v>0</v>
      </c>
      <c r="AA92">
        <f>'Revenue Model'!AI146</f>
        <v>0</v>
      </c>
      <c r="AB92">
        <f>'Revenue Model'!AJ146</f>
        <v>0</v>
      </c>
      <c r="AC92">
        <f>'Revenue Model'!AK146</f>
        <v>0</v>
      </c>
      <c r="AD92">
        <f>'Revenue Model'!AL146</f>
        <v>0</v>
      </c>
      <c r="AE92">
        <f>'Revenue Model'!AM146</f>
        <v>6.5063613231552164</v>
      </c>
      <c r="AF92">
        <f>'Revenue Model'!AN146</f>
        <v>1.1016949152542375</v>
      </c>
      <c r="AG92">
        <f>'Revenue Model'!AO146</f>
        <v>0.8262711864406781</v>
      </c>
      <c r="AH92">
        <f>'Revenue Model'!AP146</f>
        <v>0.61970338983050854</v>
      </c>
      <c r="AI92">
        <f>'Revenue Model'!AQ146</f>
        <v>0.49576271186440685</v>
      </c>
      <c r="AJ92">
        <f>'Revenue Model'!AR146</f>
        <v>0.3966101694915255</v>
      </c>
      <c r="AK92">
        <f>'Revenue Model'!AS146</f>
        <v>0.31728813559322044</v>
      </c>
      <c r="AL92">
        <f>'Revenue Model'!AT146</f>
        <v>0.25383050847457639</v>
      </c>
      <c r="AM92">
        <f>'Revenue Model'!AU146</f>
        <v>0.20306440677966112</v>
      </c>
      <c r="AN92">
        <f>'Revenue Model'!AV146</f>
        <v>0</v>
      </c>
    </row>
    <row r="93" spans="1:40">
      <c r="A93" t="str">
        <f>'Revenue Model'!I147</f>
        <v>Y/Y Abs Growth</v>
      </c>
      <c r="B93">
        <f>'Revenue Model'!J147</f>
        <v>0</v>
      </c>
      <c r="C93">
        <f>'Revenue Model'!K147</f>
        <v>0</v>
      </c>
      <c r="D93">
        <f>'Revenue Model'!L147</f>
        <v>0</v>
      </c>
      <c r="E93">
        <f>'Revenue Model'!M147</f>
        <v>0</v>
      </c>
      <c r="F93">
        <f>'Revenue Model'!N147</f>
        <v>0</v>
      </c>
      <c r="G93">
        <f>'Revenue Model'!O147</f>
        <v>0</v>
      </c>
      <c r="H93">
        <f>'Revenue Model'!P147</f>
        <v>0</v>
      </c>
      <c r="I93">
        <f>'Revenue Model'!Q147</f>
        <v>0</v>
      </c>
      <c r="J93">
        <f>'Revenue Model'!R147</f>
        <v>0</v>
      </c>
      <c r="K93">
        <f>'Revenue Model'!S147</f>
        <v>0</v>
      </c>
      <c r="L93">
        <f>'Revenue Model'!T147</f>
        <v>0</v>
      </c>
      <c r="M93">
        <f>'Revenue Model'!U147</f>
        <v>0</v>
      </c>
      <c r="N93">
        <f>'Revenue Model'!V147</f>
        <v>0.19800000000000001</v>
      </c>
      <c r="O93">
        <f>'Revenue Model'!W147</f>
        <v>0.33800000000000002</v>
      </c>
      <c r="P93">
        <f>'Revenue Model'!X147</f>
        <v>1.6519999999999999</v>
      </c>
      <c r="Q93">
        <f>'Revenue Model'!Y147</f>
        <v>5.5639999999999992</v>
      </c>
      <c r="R93">
        <f>'Revenue Model'!Z147</f>
        <v>7.8019999999999996</v>
      </c>
      <c r="S93">
        <f>'Revenue Model'!AA147</f>
        <v>11.657</v>
      </c>
      <c r="T93">
        <f>'Revenue Model'!AB147</f>
        <v>11.342000000000001</v>
      </c>
      <c r="U93">
        <f>'Revenue Model'!AC147</f>
        <v>20.338999999999999</v>
      </c>
      <c r="V93">
        <f>'Revenue Model'!AD147</f>
        <v>15</v>
      </c>
      <c r="W93">
        <f>'Revenue Model'!AE147</f>
        <v>15</v>
      </c>
      <c r="X93">
        <f>'Revenue Model'!AF147</f>
        <v>18</v>
      </c>
      <c r="Y93">
        <f>'Revenue Model'!AG147</f>
        <v>17</v>
      </c>
      <c r="Z93">
        <f>'Revenue Model'!AH147</f>
        <v>0</v>
      </c>
      <c r="AA93">
        <f>'Revenue Model'!AI147</f>
        <v>0</v>
      </c>
      <c r="AB93">
        <f>'Revenue Model'!AJ147</f>
        <v>0</v>
      </c>
      <c r="AC93">
        <f>'Revenue Model'!AK147</f>
        <v>0.108</v>
      </c>
      <c r="AD93">
        <f>'Revenue Model'!AL147</f>
        <v>7.7519999999999998</v>
      </c>
      <c r="AE93">
        <f>'Revenue Model'!AM147</f>
        <v>51.14</v>
      </c>
      <c r="AF93">
        <f>'Revenue Model'!AN147</f>
        <v>65</v>
      </c>
      <c r="AG93">
        <f>'Revenue Model'!AO147</f>
        <v>102.4576271186441</v>
      </c>
      <c r="AH93">
        <f>'Revenue Model'!AP147</f>
        <v>140.33655917839707</v>
      </c>
      <c r="AI93">
        <f>'Revenue Model'!AQ147</f>
        <v>181.84288049471957</v>
      </c>
      <c r="AJ93">
        <f>'Revenue Model'!AR147</f>
        <v>217.59504004961366</v>
      </c>
      <c r="AK93">
        <f>'Revenue Model'!AS147</f>
        <v>243.11635661136495</v>
      </c>
      <c r="AL93">
        <f>'Revenue Model'!AT147</f>
        <v>256.2034337062413</v>
      </c>
      <c r="AM93">
        <f>'Revenue Model'!AU147</f>
        <v>256.98854524546323</v>
      </c>
      <c r="AN93">
        <f>'Revenue Model'!AV147</f>
        <v>0</v>
      </c>
    </row>
    <row r="94" spans="1:40">
      <c r="A94" t="str">
        <f>'Revenue Model'!I148</f>
        <v>Q/Q % Growth</v>
      </c>
      <c r="B94">
        <f>'Revenue Model'!J148</f>
        <v>0</v>
      </c>
      <c r="C94">
        <f>'Revenue Model'!K148</f>
        <v>0</v>
      </c>
      <c r="D94">
        <f>'Revenue Model'!L148</f>
        <v>0</v>
      </c>
      <c r="E94">
        <f>'Revenue Model'!M148</f>
        <v>0</v>
      </c>
      <c r="F94">
        <f>'Revenue Model'!N148</f>
        <v>0</v>
      </c>
      <c r="G94">
        <f>'Revenue Model'!O148</f>
        <v>0</v>
      </c>
      <c r="H94">
        <f>'Revenue Model'!P148</f>
        <v>0</v>
      </c>
      <c r="I94">
        <f>'Revenue Model'!Q148</f>
        <v>0</v>
      </c>
      <c r="J94">
        <f>'Revenue Model'!R148</f>
        <v>0</v>
      </c>
      <c r="K94">
        <f>'Revenue Model'!S148</f>
        <v>0</v>
      </c>
      <c r="L94">
        <f>'Revenue Model'!T148</f>
        <v>0</v>
      </c>
      <c r="M94">
        <f>'Revenue Model'!U148</f>
        <v>0</v>
      </c>
      <c r="N94">
        <f>'Revenue Model'!V148</f>
        <v>0</v>
      </c>
      <c r="O94">
        <f>'Revenue Model'!W148</f>
        <v>0.73232323232323249</v>
      </c>
      <c r="P94">
        <f>'Revenue Model'!X148</f>
        <v>3.833819241982507</v>
      </c>
      <c r="Q94">
        <f>'Revenue Model'!Y148</f>
        <v>2.4143546441495776</v>
      </c>
      <c r="R94">
        <f>'Revenue Model'!Z148</f>
        <v>0.41317788376611908</v>
      </c>
      <c r="S94">
        <f>'Revenue Model'!AA148</f>
        <v>0.5</v>
      </c>
      <c r="T94">
        <f>'Revenue Model'!AB148</f>
        <v>8.3333333333333259E-2</v>
      </c>
      <c r="U94">
        <f>'Revenue Model'!AC148</f>
        <v>1</v>
      </c>
      <c r="V94">
        <f>'Revenue Model'!AD148</f>
        <v>-0.11538461538461542</v>
      </c>
      <c r="W94">
        <f>'Revenue Model'!AE148</f>
        <v>0.17391304347826098</v>
      </c>
      <c r="X94">
        <f>'Revenue Model'!AF148</f>
        <v>0.14814814814814814</v>
      </c>
      <c r="Y94">
        <f>'Revenue Model'!AG148</f>
        <v>0.38709677419354849</v>
      </c>
      <c r="Z94">
        <f>'Revenue Model'!AH148</f>
        <v>0</v>
      </c>
      <c r="AA94">
        <f>'Revenue Model'!AI148</f>
        <v>0</v>
      </c>
      <c r="AB94">
        <f>'Revenue Model'!AJ148</f>
        <v>0</v>
      </c>
      <c r="AC94">
        <f>'Revenue Model'!AK148</f>
        <v>0</v>
      </c>
      <c r="AD94">
        <f>'Revenue Model'!AL148</f>
        <v>0</v>
      </c>
      <c r="AE94">
        <f>'Revenue Model'!AM148</f>
        <v>0</v>
      </c>
      <c r="AF94">
        <f>'Revenue Model'!AN148</f>
        <v>0</v>
      </c>
      <c r="AG94">
        <f>'Revenue Model'!AO148</f>
        <v>0</v>
      </c>
      <c r="AH94">
        <f>'Revenue Model'!AP148</f>
        <v>0</v>
      </c>
      <c r="AI94">
        <f>'Revenue Model'!AQ148</f>
        <v>0</v>
      </c>
      <c r="AJ94">
        <f>'Revenue Model'!AR148</f>
        <v>0</v>
      </c>
      <c r="AK94">
        <f>'Revenue Model'!AS148</f>
        <v>0</v>
      </c>
      <c r="AL94">
        <f>'Revenue Model'!AT148</f>
        <v>0</v>
      </c>
      <c r="AM94">
        <f>'Revenue Model'!AU148</f>
        <v>0</v>
      </c>
      <c r="AN94">
        <f>'Revenue Model'!AV148</f>
        <v>0</v>
      </c>
    </row>
    <row r="95" spans="1:40">
      <c r="A95" t="str">
        <f>'Revenue Model'!I149</f>
        <v>Q/Q Abs Growth</v>
      </c>
      <c r="B95">
        <f>'Revenue Model'!J149</f>
        <v>0</v>
      </c>
      <c r="C95">
        <f>'Revenue Model'!K149</f>
        <v>0</v>
      </c>
      <c r="D95">
        <f>'Revenue Model'!L149</f>
        <v>0</v>
      </c>
      <c r="E95">
        <f>'Revenue Model'!M149</f>
        <v>0</v>
      </c>
      <c r="F95">
        <f>'Revenue Model'!N149</f>
        <v>0</v>
      </c>
      <c r="G95">
        <f>'Revenue Model'!O149</f>
        <v>0</v>
      </c>
      <c r="H95">
        <f>'Revenue Model'!P149</f>
        <v>0</v>
      </c>
      <c r="I95">
        <f>'Revenue Model'!Q149</f>
        <v>0</v>
      </c>
      <c r="J95">
        <f>'Revenue Model'!R149</f>
        <v>0</v>
      </c>
      <c r="K95">
        <f>'Revenue Model'!S149</f>
        <v>5.0000000000000001E-3</v>
      </c>
      <c r="L95">
        <f>'Revenue Model'!T149</f>
        <v>1E-3</v>
      </c>
      <c r="M95">
        <f>'Revenue Model'!U149</f>
        <v>9.0999999999999998E-2</v>
      </c>
      <c r="N95">
        <f>'Revenue Model'!V149</f>
        <v>0.10100000000000001</v>
      </c>
      <c r="O95">
        <f>'Revenue Model'!W149</f>
        <v>0.14500000000000002</v>
      </c>
      <c r="P95">
        <f>'Revenue Model'!X149</f>
        <v>1.3149999999999999</v>
      </c>
      <c r="Q95">
        <f>'Revenue Model'!Y149</f>
        <v>4.0030000000000001</v>
      </c>
      <c r="R95">
        <f>'Revenue Model'!Z149</f>
        <v>2.3390000000000004</v>
      </c>
      <c r="S95">
        <f>'Revenue Model'!AA149</f>
        <v>4</v>
      </c>
      <c r="T95">
        <f>'Revenue Model'!AB149</f>
        <v>1</v>
      </c>
      <c r="U95">
        <f>'Revenue Model'!AC149</f>
        <v>13</v>
      </c>
      <c r="V95">
        <f>'Revenue Model'!AD149</f>
        <v>-3</v>
      </c>
      <c r="W95">
        <f>'Revenue Model'!AE149</f>
        <v>4</v>
      </c>
      <c r="X95">
        <f>'Revenue Model'!AF149</f>
        <v>4</v>
      </c>
      <c r="Y95">
        <f>'Revenue Model'!AG149</f>
        <v>12</v>
      </c>
      <c r="Z95">
        <f>'Revenue Model'!AH149</f>
        <v>0</v>
      </c>
      <c r="AA95">
        <f>'Revenue Model'!AI149</f>
        <v>0</v>
      </c>
      <c r="AB95">
        <f>'Revenue Model'!AJ149</f>
        <v>0</v>
      </c>
      <c r="AC95">
        <f>'Revenue Model'!AK149</f>
        <v>0</v>
      </c>
      <c r="AD95">
        <f>'Revenue Model'!AL149</f>
        <v>0</v>
      </c>
      <c r="AE95">
        <f>'Revenue Model'!AM149</f>
        <v>0</v>
      </c>
      <c r="AF95">
        <f>'Revenue Model'!AN149</f>
        <v>0</v>
      </c>
      <c r="AG95">
        <f>'Revenue Model'!AO149</f>
        <v>0</v>
      </c>
      <c r="AH95">
        <f>'Revenue Model'!AP149</f>
        <v>0</v>
      </c>
      <c r="AI95">
        <f>'Revenue Model'!AQ149</f>
        <v>0</v>
      </c>
      <c r="AJ95">
        <f>'Revenue Model'!AR149</f>
        <v>0</v>
      </c>
      <c r="AK95">
        <f>'Revenue Model'!AS149</f>
        <v>0</v>
      </c>
      <c r="AL95">
        <f>'Revenue Model'!AT149</f>
        <v>0</v>
      </c>
      <c r="AM95">
        <f>'Revenue Model'!AU149</f>
        <v>0</v>
      </c>
      <c r="AN95">
        <f>'Revenue Model'!AV149</f>
        <v>0</v>
      </c>
    </row>
    <row r="96" spans="1:40">
      <c r="A96">
        <f>'Revenue Model'!I152</f>
        <v>0</v>
      </c>
      <c r="B96">
        <f>'Revenue Model'!J152</f>
        <v>0</v>
      </c>
      <c r="C96">
        <f>'Revenue Model'!K152</f>
        <v>0</v>
      </c>
      <c r="D96">
        <f>'Revenue Model'!L152</f>
        <v>0</v>
      </c>
      <c r="E96">
        <f>'Revenue Model'!M152</f>
        <v>0</v>
      </c>
      <c r="F96">
        <f>'Revenue Model'!N152</f>
        <v>0</v>
      </c>
      <c r="G96">
        <f>'Revenue Model'!O152</f>
        <v>0</v>
      </c>
      <c r="H96">
        <f>'Revenue Model'!P152</f>
        <v>0</v>
      </c>
      <c r="I96">
        <f>'Revenue Model'!Q152</f>
        <v>0</v>
      </c>
      <c r="J96">
        <f>'Revenue Model'!R152</f>
        <v>0</v>
      </c>
      <c r="K96">
        <f>'Revenue Model'!S152</f>
        <v>0</v>
      </c>
      <c r="L96">
        <f>'Revenue Model'!T152</f>
        <v>0</v>
      </c>
      <c r="M96">
        <f>'Revenue Model'!U152</f>
        <v>0</v>
      </c>
      <c r="N96">
        <f>'Revenue Model'!V152</f>
        <v>0</v>
      </c>
      <c r="O96">
        <f>'Revenue Model'!W152</f>
        <v>0</v>
      </c>
      <c r="P96">
        <f>'Revenue Model'!X152</f>
        <v>0</v>
      </c>
      <c r="Q96">
        <f>'Revenue Model'!Y152</f>
        <v>0</v>
      </c>
      <c r="R96">
        <f>'Revenue Model'!Z152</f>
        <v>0</v>
      </c>
      <c r="S96">
        <f>'Revenue Model'!AA152</f>
        <v>0</v>
      </c>
      <c r="T96">
        <f>'Revenue Model'!AB152</f>
        <v>0</v>
      </c>
      <c r="U96">
        <f>'Revenue Model'!AC152</f>
        <v>0</v>
      </c>
      <c r="V96">
        <f>'Revenue Model'!AD152</f>
        <v>0</v>
      </c>
      <c r="W96">
        <f>'Revenue Model'!AE152</f>
        <v>0</v>
      </c>
      <c r="X96">
        <f>'Revenue Model'!AF152</f>
        <v>0</v>
      </c>
      <c r="Y96">
        <f>'Revenue Model'!AG152</f>
        <v>0</v>
      </c>
      <c r="Z96">
        <f>'Revenue Model'!AH152</f>
        <v>0</v>
      </c>
      <c r="AA96">
        <f>'Revenue Model'!AI152</f>
        <v>0</v>
      </c>
      <c r="AB96">
        <f>'Revenue Model'!AJ152</f>
        <v>0</v>
      </c>
      <c r="AC96">
        <f>'Revenue Model'!AK152</f>
        <v>0</v>
      </c>
      <c r="AD96">
        <f>'Revenue Model'!AL152</f>
        <v>0</v>
      </c>
      <c r="AE96">
        <f>'Revenue Model'!AM152</f>
        <v>0</v>
      </c>
      <c r="AF96">
        <f>'Revenue Model'!AN152</f>
        <v>0</v>
      </c>
      <c r="AG96">
        <f>'Revenue Model'!AO152</f>
        <v>0</v>
      </c>
      <c r="AH96">
        <f>'Revenue Model'!AP152</f>
        <v>0</v>
      </c>
      <c r="AI96">
        <f>'Revenue Model'!AQ152</f>
        <v>0</v>
      </c>
      <c r="AJ96">
        <f>'Revenue Model'!AR152</f>
        <v>0</v>
      </c>
      <c r="AK96">
        <f>'Revenue Model'!AS152</f>
        <v>0</v>
      </c>
      <c r="AL96">
        <f>'Revenue Model'!AT152</f>
        <v>0</v>
      </c>
      <c r="AM96">
        <f>'Revenue Model'!AU152</f>
        <v>0</v>
      </c>
      <c r="AN96">
        <f>'Revenue Model'!AV152</f>
        <v>0</v>
      </c>
    </row>
    <row r="97" spans="1:40">
      <c r="A97" t="str">
        <f>'Revenue Model'!I153</f>
        <v>Revenue ARPU</v>
      </c>
      <c r="B97">
        <f>'Revenue Model'!J153</f>
        <v>0</v>
      </c>
      <c r="C97">
        <f>'Revenue Model'!K153</f>
        <v>0</v>
      </c>
      <c r="D97">
        <f>'Revenue Model'!L153</f>
        <v>0</v>
      </c>
      <c r="E97">
        <f>'Revenue Model'!M153</f>
        <v>0</v>
      </c>
      <c r="F97">
        <f>'Revenue Model'!N153</f>
        <v>0</v>
      </c>
      <c r="G97">
        <f>'Revenue Model'!O153</f>
        <v>0</v>
      </c>
      <c r="H97">
        <f>'Revenue Model'!P153</f>
        <v>0</v>
      </c>
      <c r="I97">
        <f>'Revenue Model'!Q153</f>
        <v>0</v>
      </c>
      <c r="J97">
        <f>'Revenue Model'!R153</f>
        <v>0</v>
      </c>
      <c r="K97">
        <f>'Revenue Model'!S153</f>
        <v>2.7777777777777778E-4</v>
      </c>
      <c r="L97">
        <f>'Revenue Model'!T153</f>
        <v>2.9702970297029702E-4</v>
      </c>
      <c r="M97">
        <f>'Revenue Model'!U153</f>
        <v>4.0416666666666665E-3</v>
      </c>
      <c r="N97">
        <f>'Revenue Model'!V153</f>
        <v>6.827586206896552E-3</v>
      </c>
      <c r="O97">
        <f>'Revenue Model'!W153</f>
        <v>9.5277777777777791E-3</v>
      </c>
      <c r="P97">
        <f>'Revenue Model'!X153</f>
        <v>4.2512820512820508E-2</v>
      </c>
      <c r="Q97">
        <f>'Revenue Model'!Y153</f>
        <v>0.14515384615384613</v>
      </c>
      <c r="R97">
        <f>'Revenue Model'!Z153</f>
        <v>0.2</v>
      </c>
      <c r="S97">
        <f>'Revenue Model'!AA153</f>
        <v>0.2857142857142857</v>
      </c>
      <c r="T97">
        <f>'Revenue Model'!AB153</f>
        <v>0.29545454545454547</v>
      </c>
      <c r="U97">
        <f>'Revenue Model'!AC153</f>
        <v>0.55319148936170215</v>
      </c>
      <c r="V97">
        <f>'Revenue Model'!AD153</f>
        <v>0.47936640266777825</v>
      </c>
      <c r="W97">
        <f>'Revenue Model'!AE153</f>
        <v>0.54021608643457386</v>
      </c>
      <c r="X97">
        <f>'Revenue Model'!AF153</f>
        <v>0.59638322431704505</v>
      </c>
      <c r="Y97">
        <f>'Revenue Model'!AG153</f>
        <v>0.78210258275736633</v>
      </c>
      <c r="Z97">
        <f>'Revenue Model'!AH153</f>
        <v>0</v>
      </c>
      <c r="AA97">
        <f>'Revenue Model'!AI153</f>
        <v>0</v>
      </c>
      <c r="AB97">
        <f>'Revenue Model'!AJ153</f>
        <v>0</v>
      </c>
      <c r="AC97">
        <f>'Revenue Model'!AK153</f>
        <v>5.8378378378378375E-3</v>
      </c>
      <c r="AD97">
        <f>'Revenue Model'!AL153</f>
        <v>0.24952380952380951</v>
      </c>
      <c r="AE97">
        <f>'Revenue Model'!AM153</f>
        <v>1.3720930232558139</v>
      </c>
      <c r="AF97">
        <f>'Revenue Model'!AN153</f>
        <v>2.4318493822318104</v>
      </c>
      <c r="AG97">
        <f>'Revenue Model'!AO153</f>
        <v>3.8532533689290394</v>
      </c>
      <c r="AH97">
        <f>'Revenue Model'!AP153</f>
        <v>5.5598084700059083</v>
      </c>
      <c r="AI97">
        <f>'Revenue Model'!AQ153</f>
        <v>7.5721908313225015</v>
      </c>
      <c r="AJ97">
        <f>'Revenue Model'!AR153</f>
        <v>9.7873775804879823</v>
      </c>
      <c r="AK97">
        <f>'Revenue Model'!AS153</f>
        <v>12.082506049385644</v>
      </c>
      <c r="AL97">
        <f>'Revenue Model'!AT153</f>
        <v>14.338385862811114</v>
      </c>
      <c r="AM97">
        <f>'Revenue Model'!AU153</f>
        <v>16.417351749192466</v>
      </c>
      <c r="AN97">
        <f>'Revenue Model'!AV153</f>
        <v>0</v>
      </c>
    </row>
    <row r="98" spans="1:40">
      <c r="A98" t="str">
        <f>'Revenue Model'!I154</f>
        <v>Y/Y % Growth</v>
      </c>
      <c r="B98">
        <f>'Revenue Model'!J154</f>
        <v>0</v>
      </c>
      <c r="C98">
        <f>'Revenue Model'!K154</f>
        <v>0</v>
      </c>
      <c r="D98">
        <f>'Revenue Model'!L154</f>
        <v>0</v>
      </c>
      <c r="E98">
        <f>'Revenue Model'!M154</f>
        <v>0</v>
      </c>
      <c r="F98">
        <f>'Revenue Model'!N154</f>
        <v>0</v>
      </c>
      <c r="G98">
        <f>'Revenue Model'!O154</f>
        <v>0</v>
      </c>
      <c r="H98">
        <f>'Revenue Model'!P154</f>
        <v>0</v>
      </c>
      <c r="I98">
        <f>'Revenue Model'!Q154</f>
        <v>0</v>
      </c>
      <c r="J98">
        <f>'Revenue Model'!R154</f>
        <v>0</v>
      </c>
      <c r="K98">
        <f>'Revenue Model'!S154</f>
        <v>0</v>
      </c>
      <c r="L98">
        <f>'Revenue Model'!T154</f>
        <v>0</v>
      </c>
      <c r="M98">
        <f>'Revenue Model'!U154</f>
        <v>0</v>
      </c>
      <c r="N98">
        <f>'Revenue Model'!V154</f>
        <v>0</v>
      </c>
      <c r="O98">
        <f>'Revenue Model'!W154</f>
        <v>0</v>
      </c>
      <c r="P98">
        <f>'Revenue Model'!X154</f>
        <v>0</v>
      </c>
      <c r="Q98">
        <f>'Revenue Model'!Y154</f>
        <v>0</v>
      </c>
      <c r="R98">
        <f>'Revenue Model'!Z154</f>
        <v>0</v>
      </c>
      <c r="S98">
        <f>'Revenue Model'!AA154</f>
        <v>28.987505206164091</v>
      </c>
      <c r="T98">
        <f>'Revenue Model'!AB154</f>
        <v>5.9497751946485371</v>
      </c>
      <c r="U98">
        <f>'Revenue Model'!AC154</f>
        <v>2.81107014398629</v>
      </c>
      <c r="V98">
        <f>'Revenue Model'!AD154</f>
        <v>1.3968320133388912</v>
      </c>
      <c r="W98">
        <f>'Revenue Model'!AE154</f>
        <v>0.89075630252100857</v>
      </c>
      <c r="X98">
        <f>'Revenue Model'!AF154</f>
        <v>1.0185278361499983</v>
      </c>
      <c r="Y98">
        <f>'Revenue Model'!AG154</f>
        <v>0.41380082267677754</v>
      </c>
      <c r="Z98">
        <f>'Revenue Model'!AH154</f>
        <v>0</v>
      </c>
      <c r="AA98">
        <f>'Revenue Model'!AI154</f>
        <v>0</v>
      </c>
      <c r="AB98">
        <f>'Revenue Model'!AJ154</f>
        <v>0</v>
      </c>
      <c r="AC98">
        <f>'Revenue Model'!AK154</f>
        <v>0</v>
      </c>
      <c r="AD98">
        <f>'Revenue Model'!AL154</f>
        <v>41.742504409171076</v>
      </c>
      <c r="AE98">
        <f>'Revenue Model'!AM154</f>
        <v>4.4988460855671937</v>
      </c>
      <c r="AF98">
        <f>'Revenue Model'!AN154</f>
        <v>0.77236480399945506</v>
      </c>
      <c r="AG98">
        <f>'Revenue Model'!AO154</f>
        <v>0.58449507485235253</v>
      </c>
      <c r="AH98">
        <f>'Revenue Model'!AP154</f>
        <v>0.44288681217741543</v>
      </c>
      <c r="AI98">
        <f>'Revenue Model'!AQ154</f>
        <v>0.36195174207403125</v>
      </c>
      <c r="AJ98">
        <f>'Revenue Model'!AR154</f>
        <v>0.29254238284676104</v>
      </c>
      <c r="AK98">
        <f>'Revenue Model'!AS154</f>
        <v>0.23449881748439005</v>
      </c>
      <c r="AL98">
        <f>'Revenue Model'!AT154</f>
        <v>0.18670628462380723</v>
      </c>
      <c r="AM98">
        <f>'Revenue Model'!AU154</f>
        <v>0.14499302126981273</v>
      </c>
      <c r="AN98">
        <f>'Revenue Model'!AV154</f>
        <v>0</v>
      </c>
    </row>
    <row r="99" spans="1:40">
      <c r="A99" t="str">
        <f>'Revenue Model'!I156</f>
        <v>Q/Q % Growth</v>
      </c>
      <c r="B99">
        <f>'Revenue Model'!J156</f>
        <v>0</v>
      </c>
      <c r="C99">
        <f>'Revenue Model'!K156</f>
        <v>0</v>
      </c>
      <c r="D99">
        <f>'Revenue Model'!L156</f>
        <v>0</v>
      </c>
      <c r="E99">
        <f>'Revenue Model'!M156</f>
        <v>0</v>
      </c>
      <c r="F99">
        <f>'Revenue Model'!N156</f>
        <v>0</v>
      </c>
      <c r="G99">
        <f>'Revenue Model'!O156</f>
        <v>0</v>
      </c>
      <c r="H99">
        <f>'Revenue Model'!P156</f>
        <v>0</v>
      </c>
      <c r="I99">
        <f>'Revenue Model'!Q156</f>
        <v>0</v>
      </c>
      <c r="J99">
        <f>'Revenue Model'!R156</f>
        <v>0</v>
      </c>
      <c r="K99">
        <f>'Revenue Model'!S156</f>
        <v>0</v>
      </c>
      <c r="L99">
        <f>'Revenue Model'!T156</f>
        <v>0</v>
      </c>
      <c r="M99">
        <f>'Revenue Model'!U156</f>
        <v>0</v>
      </c>
      <c r="N99">
        <f>'Revenue Model'!V156</f>
        <v>0</v>
      </c>
      <c r="O99">
        <f>'Revenue Model'!W156</f>
        <v>0.39548260381593736</v>
      </c>
      <c r="P99">
        <f>'Revenue Model'!X156</f>
        <v>3.4619869925992361</v>
      </c>
      <c r="Q99">
        <f>'Revenue Model'!Y156</f>
        <v>2.4143546441495776</v>
      </c>
      <c r="R99">
        <f>'Revenue Model'!Z156</f>
        <v>0</v>
      </c>
      <c r="S99">
        <f>'Revenue Model'!AA156</f>
        <v>0.42857142857142838</v>
      </c>
      <c r="T99">
        <f>'Revenue Model'!AB156</f>
        <v>3.4090909090909172E-2</v>
      </c>
      <c r="U99">
        <f>'Revenue Model'!AC156</f>
        <v>0.87234042553191493</v>
      </c>
      <c r="V99">
        <f>'Revenue Model'!AD156</f>
        <v>-0.13345304133132396</v>
      </c>
      <c r="W99">
        <f>'Revenue Model'!AE156</f>
        <v>0.12693773161438493</v>
      </c>
      <c r="X99">
        <f>'Revenue Model'!AF156</f>
        <v>0.10397161301355218</v>
      </c>
      <c r="Y99">
        <f>'Revenue Model'!AG156</f>
        <v>0.31140942747509359</v>
      </c>
      <c r="Z99">
        <f>'Revenue Model'!AH156</f>
        <v>0</v>
      </c>
      <c r="AA99">
        <f>'Revenue Model'!AI156</f>
        <v>0</v>
      </c>
      <c r="AB99">
        <f>'Revenue Model'!AJ156</f>
        <v>0</v>
      </c>
      <c r="AC99">
        <f>'Revenue Model'!AK156</f>
        <v>0</v>
      </c>
      <c r="AD99">
        <f>'Revenue Model'!AL156</f>
        <v>0</v>
      </c>
      <c r="AE99">
        <f>'Revenue Model'!AM156</f>
        <v>0</v>
      </c>
      <c r="AF99">
        <f>'Revenue Model'!AN156</f>
        <v>0</v>
      </c>
      <c r="AG99">
        <f>'Revenue Model'!AO156</f>
        <v>0</v>
      </c>
      <c r="AH99">
        <f>'Revenue Model'!AP156</f>
        <v>0</v>
      </c>
      <c r="AI99">
        <f>'Revenue Model'!AQ156</f>
        <v>0</v>
      </c>
      <c r="AJ99">
        <f>'Revenue Model'!AR156</f>
        <v>0</v>
      </c>
      <c r="AK99">
        <f>'Revenue Model'!AS156</f>
        <v>0</v>
      </c>
      <c r="AL99">
        <f>'Revenue Model'!AT156</f>
        <v>0</v>
      </c>
      <c r="AM99">
        <f>'Revenue Model'!AU156</f>
        <v>0</v>
      </c>
      <c r="AN99">
        <f>'Revenue Model'!AV156</f>
        <v>0</v>
      </c>
    </row>
    <row r="100" spans="1:40">
      <c r="A100" t="str">
        <f>'Revenue Model'!I157</f>
        <v>Q/Q Abs Growth</v>
      </c>
      <c r="B100">
        <f>'Revenue Model'!J157</f>
        <v>0</v>
      </c>
      <c r="C100">
        <f>'Revenue Model'!K157</f>
        <v>0</v>
      </c>
      <c r="D100">
        <f>'Revenue Model'!L157</f>
        <v>0</v>
      </c>
      <c r="E100">
        <f>'Revenue Model'!M157</f>
        <v>0</v>
      </c>
      <c r="F100">
        <f>'Revenue Model'!N157</f>
        <v>0</v>
      </c>
      <c r="G100">
        <f>'Revenue Model'!O157</f>
        <v>0</v>
      </c>
      <c r="H100">
        <f>'Revenue Model'!P157</f>
        <v>0</v>
      </c>
      <c r="I100">
        <f>'Revenue Model'!Q157</f>
        <v>0</v>
      </c>
      <c r="J100">
        <f>'Revenue Model'!R157</f>
        <v>0</v>
      </c>
      <c r="K100">
        <f>'Revenue Model'!S157</f>
        <v>2.7777777777777778E-4</v>
      </c>
      <c r="L100">
        <f>'Revenue Model'!T157</f>
        <v>1.9251925192519245E-5</v>
      </c>
      <c r="M100">
        <f>'Revenue Model'!U157</f>
        <v>3.7446369636963696E-3</v>
      </c>
      <c r="N100">
        <f>'Revenue Model'!V157</f>
        <v>2.7859195402298855E-3</v>
      </c>
      <c r="O100">
        <f>'Revenue Model'!W157</f>
        <v>2.7001915708812271E-3</v>
      </c>
      <c r="P100">
        <f>'Revenue Model'!X157</f>
        <v>3.2985042735042727E-2</v>
      </c>
      <c r="Q100">
        <f>'Revenue Model'!Y157</f>
        <v>0.10264102564102562</v>
      </c>
      <c r="R100">
        <f>'Revenue Model'!Z157</f>
        <v>5.4846153846153878E-2</v>
      </c>
      <c r="S100">
        <f>'Revenue Model'!AA157</f>
        <v>8.5714285714285687E-2</v>
      </c>
      <c r="T100">
        <f>'Revenue Model'!AB157</f>
        <v>9.7402597402597713E-3</v>
      </c>
      <c r="U100">
        <f>'Revenue Model'!AC157</f>
        <v>0.25773694390715668</v>
      </c>
      <c r="V100">
        <f>'Revenue Model'!AD157</f>
        <v>-7.3825086693923903E-2</v>
      </c>
      <c r="W100">
        <f>'Revenue Model'!AE157</f>
        <v>6.0849683766795615E-2</v>
      </c>
      <c r="X100">
        <f>'Revenue Model'!AF157</f>
        <v>5.6167137882471185E-2</v>
      </c>
      <c r="Y100">
        <f>'Revenue Model'!AG157</f>
        <v>0.18571935844032128</v>
      </c>
      <c r="Z100">
        <f>'Revenue Model'!AH157</f>
        <v>0</v>
      </c>
      <c r="AA100">
        <f>'Revenue Model'!AI157</f>
        <v>0</v>
      </c>
      <c r="AB100">
        <f>'Revenue Model'!AJ157</f>
        <v>0</v>
      </c>
      <c r="AC100">
        <f>'Revenue Model'!AK157</f>
        <v>0</v>
      </c>
      <c r="AD100">
        <f>'Revenue Model'!AL157</f>
        <v>0</v>
      </c>
      <c r="AE100">
        <f>'Revenue Model'!AM157</f>
        <v>0</v>
      </c>
      <c r="AF100">
        <f>'Revenue Model'!AN157</f>
        <v>0</v>
      </c>
      <c r="AG100">
        <f>'Revenue Model'!AO157</f>
        <v>0</v>
      </c>
      <c r="AH100">
        <f>'Revenue Model'!AP157</f>
        <v>0</v>
      </c>
      <c r="AI100">
        <f>'Revenue Model'!AQ157</f>
        <v>0</v>
      </c>
      <c r="AJ100">
        <f>'Revenue Model'!AR157</f>
        <v>0</v>
      </c>
      <c r="AK100">
        <f>'Revenue Model'!AS157</f>
        <v>0</v>
      </c>
      <c r="AL100">
        <f>'Revenue Model'!AT157</f>
        <v>0</v>
      </c>
      <c r="AM100">
        <f>'Revenue Model'!AU157</f>
        <v>0</v>
      </c>
      <c r="AN100">
        <f>'Revenue Model'!AV157</f>
        <v>0</v>
      </c>
    </row>
    <row r="101" spans="1:40">
      <c r="A101">
        <f>'Revenue Model'!I158</f>
        <v>0</v>
      </c>
      <c r="B101">
        <f>'Revenue Model'!J158</f>
        <v>0</v>
      </c>
      <c r="C101">
        <f>'Revenue Model'!K158</f>
        <v>0</v>
      </c>
      <c r="D101">
        <f>'Revenue Model'!L158</f>
        <v>0</v>
      </c>
      <c r="E101">
        <f>'Revenue Model'!M158</f>
        <v>0</v>
      </c>
      <c r="F101">
        <f>'Revenue Model'!N158</f>
        <v>0</v>
      </c>
      <c r="G101">
        <f>'Revenue Model'!O158</f>
        <v>0</v>
      </c>
      <c r="H101">
        <f>'Revenue Model'!P158</f>
        <v>0</v>
      </c>
      <c r="I101">
        <f>'Revenue Model'!Q158</f>
        <v>0</v>
      </c>
      <c r="J101">
        <f>'Revenue Model'!R158</f>
        <v>0</v>
      </c>
      <c r="K101">
        <f>'Revenue Model'!S158</f>
        <v>0</v>
      </c>
      <c r="L101">
        <f>'Revenue Model'!T158</f>
        <v>0</v>
      </c>
      <c r="M101">
        <f>'Revenue Model'!U158</f>
        <v>0</v>
      </c>
      <c r="N101">
        <f>'Revenue Model'!V158</f>
        <v>0</v>
      </c>
      <c r="O101">
        <f>'Revenue Model'!W158</f>
        <v>0</v>
      </c>
      <c r="P101">
        <f>'Revenue Model'!X158</f>
        <v>0</v>
      </c>
      <c r="Q101">
        <f>'Revenue Model'!Y158</f>
        <v>0</v>
      </c>
      <c r="R101">
        <f>'Revenue Model'!Z158</f>
        <v>0</v>
      </c>
      <c r="S101">
        <f>'Revenue Model'!AA158</f>
        <v>0</v>
      </c>
      <c r="T101">
        <f>'Revenue Model'!AB158</f>
        <v>0</v>
      </c>
      <c r="U101">
        <f>'Revenue Model'!AC158</f>
        <v>0</v>
      </c>
      <c r="V101">
        <f>'Revenue Model'!AD158</f>
        <v>0</v>
      </c>
      <c r="W101">
        <f>'Revenue Model'!AE158</f>
        <v>0</v>
      </c>
      <c r="X101">
        <f>'Revenue Model'!AF158</f>
        <v>0</v>
      </c>
      <c r="Y101">
        <f>'Revenue Model'!AG158</f>
        <v>0</v>
      </c>
      <c r="Z101">
        <f>'Revenue Model'!AH158</f>
        <v>0</v>
      </c>
      <c r="AA101">
        <f>'Revenue Model'!AI158</f>
        <v>0</v>
      </c>
      <c r="AB101">
        <f>'Revenue Model'!AJ158</f>
        <v>0</v>
      </c>
      <c r="AC101">
        <f>'Revenue Model'!AK158</f>
        <v>0</v>
      </c>
      <c r="AD101">
        <f>'Revenue Model'!AL158</f>
        <v>0</v>
      </c>
      <c r="AE101">
        <f>'Revenue Model'!AM158</f>
        <v>0</v>
      </c>
      <c r="AF101">
        <f>'Revenue Model'!AN158</f>
        <v>0</v>
      </c>
      <c r="AG101">
        <f>'Revenue Model'!AO158</f>
        <v>0</v>
      </c>
      <c r="AH101">
        <f>'Revenue Model'!AP158</f>
        <v>0</v>
      </c>
      <c r="AI101">
        <f>'Revenue Model'!AQ158</f>
        <v>0</v>
      </c>
      <c r="AJ101">
        <f>'Revenue Model'!AR158</f>
        <v>0</v>
      </c>
      <c r="AK101">
        <f>'Revenue Model'!AS158</f>
        <v>0</v>
      </c>
      <c r="AL101">
        <f>'Revenue Model'!AT158</f>
        <v>0</v>
      </c>
      <c r="AM101">
        <f>'Revenue Model'!AU158</f>
        <v>0</v>
      </c>
      <c r="AN101">
        <f>'Revenue Model'!AV158</f>
        <v>0</v>
      </c>
    </row>
    <row r="102" spans="1:40">
      <c r="A102">
        <f>'Expense Model'!I4</f>
        <v>0</v>
      </c>
      <c r="B102">
        <f>'Expense Model'!J4</f>
        <v>0</v>
      </c>
      <c r="C102">
        <f>'Expense Model'!K4</f>
        <v>0</v>
      </c>
      <c r="D102">
        <f>'Expense Model'!L4</f>
        <v>0</v>
      </c>
      <c r="E102">
        <f>'Expense Model'!M4</f>
        <v>0</v>
      </c>
      <c r="F102">
        <f>'Expense Model'!N4</f>
        <v>0</v>
      </c>
      <c r="G102">
        <f>'Expense Model'!O4</f>
        <v>0</v>
      </c>
      <c r="H102">
        <f>'Expense Model'!P4</f>
        <v>0</v>
      </c>
      <c r="I102">
        <f>'Expense Model'!Q4</f>
        <v>0</v>
      </c>
      <c r="J102">
        <f>'Expense Model'!R4</f>
        <v>0</v>
      </c>
      <c r="K102">
        <f>'Expense Model'!S4</f>
        <v>0</v>
      </c>
      <c r="L102">
        <f>'Expense Model'!T4</f>
        <v>0</v>
      </c>
      <c r="M102">
        <f>'Expense Model'!U4</f>
        <v>0</v>
      </c>
      <c r="N102">
        <f>'Expense Model'!V4</f>
        <v>0</v>
      </c>
      <c r="O102">
        <f>'Expense Model'!W4</f>
        <v>0</v>
      </c>
      <c r="P102">
        <f>'Expense Model'!X4</f>
        <v>0</v>
      </c>
      <c r="Q102">
        <f>'Expense Model'!Y4</f>
        <v>0</v>
      </c>
      <c r="R102">
        <f>'Expense Model'!Z4</f>
        <v>0</v>
      </c>
      <c r="S102">
        <f>'Expense Model'!AA4</f>
        <v>0</v>
      </c>
      <c r="T102">
        <f>'Expense Model'!AB4</f>
        <v>0</v>
      </c>
      <c r="U102">
        <f>'Expense Model'!AC4</f>
        <v>0</v>
      </c>
      <c r="V102">
        <f>'Expense Model'!AD4</f>
        <v>0</v>
      </c>
      <c r="W102">
        <f>'Expense Model'!AE4</f>
        <v>0</v>
      </c>
      <c r="X102">
        <f>'Expense Model'!AF4</f>
        <v>0</v>
      </c>
      <c r="Y102">
        <f>'Expense Model'!AG4</f>
        <v>0</v>
      </c>
      <c r="Z102">
        <f>'Expense Model'!AH4</f>
        <v>0</v>
      </c>
      <c r="AA102">
        <f>'Expense Model'!AI4</f>
        <v>0</v>
      </c>
      <c r="AB102">
        <f>'Expense Model'!AJ4</f>
        <v>0</v>
      </c>
      <c r="AC102">
        <f>'Expense Model'!AK4</f>
        <v>0</v>
      </c>
      <c r="AD102">
        <f>'Expense Model'!AL4</f>
        <v>0</v>
      </c>
      <c r="AE102">
        <f>'Expense Model'!AM4</f>
        <v>0</v>
      </c>
      <c r="AF102">
        <f>'Expense Model'!AN4</f>
        <v>0</v>
      </c>
      <c r="AG102">
        <f>'Expense Model'!AO4</f>
        <v>0</v>
      </c>
      <c r="AH102">
        <f>'Expense Model'!AP4</f>
        <v>0</v>
      </c>
      <c r="AI102">
        <f>'Expense Model'!AQ4</f>
        <v>0</v>
      </c>
      <c r="AJ102">
        <f>'Expense Model'!AR4</f>
        <v>0</v>
      </c>
      <c r="AK102">
        <f>'Expense Model'!AS4</f>
        <v>0</v>
      </c>
      <c r="AL102">
        <f>'Expense Model'!AT4</f>
        <v>0</v>
      </c>
      <c r="AM102">
        <f>'Expense Model'!AU4</f>
        <v>0</v>
      </c>
      <c r="AN102">
        <f>'Expense Model'!AV4</f>
        <v>0</v>
      </c>
    </row>
    <row r="103" spans="1:40">
      <c r="A103" t="str">
        <f>'Expense Model'!I5</f>
        <v xml:space="preserve">Revenue </v>
      </c>
      <c r="B103">
        <f>'Expense Model'!J5</f>
        <v>0</v>
      </c>
      <c r="C103">
        <f>'Expense Model'!K5</f>
        <v>0</v>
      </c>
      <c r="D103">
        <f>'Expense Model'!L5</f>
        <v>0</v>
      </c>
      <c r="E103">
        <f>'Expense Model'!M5</f>
        <v>0</v>
      </c>
      <c r="F103">
        <f>'Expense Model'!N5</f>
        <v>0</v>
      </c>
      <c r="G103">
        <f>'Expense Model'!O5</f>
        <v>0</v>
      </c>
      <c r="H103">
        <f>'Expense Model'!P5</f>
        <v>0</v>
      </c>
      <c r="I103">
        <f>'Expense Model'!Q5</f>
        <v>0</v>
      </c>
      <c r="J103">
        <f>'Expense Model'!R5</f>
        <v>3.92</v>
      </c>
      <c r="K103">
        <f>'Expense Model'!S5</f>
        <v>5.3</v>
      </c>
      <c r="L103">
        <f>'Expense Model'!T5</f>
        <v>16.725000000000001</v>
      </c>
      <c r="M103">
        <f>'Expense Model'!U5</f>
        <v>32.718000000000004</v>
      </c>
      <c r="N103">
        <f>'Expense Model'!V5</f>
        <v>38.798000000000002</v>
      </c>
      <c r="O103">
        <f>'Expense Model'!W5</f>
        <v>71.798000000000002</v>
      </c>
      <c r="P103">
        <f>'Expense Model'!X5</f>
        <v>128.20400000000001</v>
      </c>
      <c r="Q103">
        <f>'Expense Model'!Y5</f>
        <v>165.68199999999999</v>
      </c>
      <c r="R103">
        <f>'Expense Model'!Z5</f>
        <v>149.648</v>
      </c>
      <c r="S103">
        <f>'Expense Model'!AA5</f>
        <v>181.67099999999999</v>
      </c>
      <c r="T103">
        <f>'Expense Model'!AB5</f>
        <v>207.93700000000001</v>
      </c>
      <c r="U103">
        <f>'Expense Model'!AC5</f>
        <v>285.69299999999998</v>
      </c>
      <c r="V103">
        <f>'Expense Model'!AD5</f>
        <v>249</v>
      </c>
      <c r="W103">
        <f>'Expense Model'!AE5</f>
        <v>295</v>
      </c>
      <c r="X103">
        <f>'Expense Model'!AF5</f>
        <v>341</v>
      </c>
      <c r="Y103">
        <f>'Expense Model'!AG5</f>
        <v>428</v>
      </c>
      <c r="Z103">
        <f>'Expense Model'!AH5</f>
        <v>0</v>
      </c>
      <c r="AA103">
        <f>'Expense Model'!AI5</f>
        <v>0</v>
      </c>
      <c r="AB103">
        <f>'Expense Model'!AJ5</f>
        <v>0</v>
      </c>
      <c r="AC103">
        <f>'Expense Model'!AK5</f>
        <v>58.663000000000004</v>
      </c>
      <c r="AD103">
        <f>'Expense Model'!AL5</f>
        <v>404.48199999999997</v>
      </c>
      <c r="AE103">
        <f>'Expense Model'!AM5</f>
        <v>824.94899999999996</v>
      </c>
      <c r="AF103">
        <f>'Expense Model'!AN5</f>
        <v>1313</v>
      </c>
      <c r="AG103">
        <f>'Expense Model'!AO5</f>
        <v>1969.3647915228673</v>
      </c>
      <c r="AH103">
        <f>'Expense Model'!AP5</f>
        <v>2804.8785252972893</v>
      </c>
      <c r="AI103">
        <f>'Expense Model'!AQ5</f>
        <v>3812.9268110991698</v>
      </c>
      <c r="AJ103">
        <f>'Expense Model'!AR5</f>
        <v>4963.9597425469474</v>
      </c>
      <c r="AK103">
        <f>'Expense Model'!AS5</f>
        <v>6163.5677779709767</v>
      </c>
      <c r="AL103">
        <f>'Expense Model'!AT5</f>
        <v>7355.8769720994733</v>
      </c>
      <c r="AM103">
        <f>'Expense Model'!AU5</f>
        <v>8545.6284788867233</v>
      </c>
      <c r="AN103">
        <f>'Expense Model'!AV5</f>
        <v>0</v>
      </c>
    </row>
    <row r="104" spans="1:40">
      <c r="A104">
        <f>'Expense Model'!I7</f>
        <v>0</v>
      </c>
      <c r="B104">
        <f>'Expense Model'!J7</f>
        <v>0</v>
      </c>
      <c r="C104">
        <f>'Expense Model'!K7</f>
        <v>0</v>
      </c>
      <c r="D104">
        <f>'Expense Model'!L7</f>
        <v>0</v>
      </c>
      <c r="E104">
        <f>'Expense Model'!M7</f>
        <v>0</v>
      </c>
      <c r="F104">
        <f>'Expense Model'!N7</f>
        <v>0</v>
      </c>
      <c r="G104">
        <f>'Expense Model'!O7</f>
        <v>0</v>
      </c>
      <c r="H104">
        <f>'Expense Model'!P7</f>
        <v>0</v>
      </c>
      <c r="I104">
        <f>'Expense Model'!Q7</f>
        <v>0</v>
      </c>
      <c r="J104">
        <f>'Expense Model'!R7</f>
        <v>0</v>
      </c>
      <c r="K104">
        <f>'Expense Model'!S7</f>
        <v>0</v>
      </c>
      <c r="L104">
        <f>'Expense Model'!T7</f>
        <v>0</v>
      </c>
      <c r="M104">
        <f>'Expense Model'!U7</f>
        <v>0</v>
      </c>
      <c r="N104">
        <f>'Expense Model'!V7</f>
        <v>0</v>
      </c>
      <c r="O104">
        <f>'Expense Model'!W7</f>
        <v>0</v>
      </c>
      <c r="P104">
        <f>'Expense Model'!X7</f>
        <v>0</v>
      </c>
      <c r="Q104">
        <f>'Expense Model'!Y7</f>
        <v>0</v>
      </c>
      <c r="R104">
        <f>'Expense Model'!Z7</f>
        <v>0</v>
      </c>
      <c r="S104">
        <f>'Expense Model'!AA7</f>
        <v>0</v>
      </c>
      <c r="T104">
        <f>'Expense Model'!AB7</f>
        <v>0</v>
      </c>
      <c r="U104">
        <f>'Expense Model'!AC7</f>
        <v>0</v>
      </c>
      <c r="V104">
        <f>'Expense Model'!AD7</f>
        <v>0</v>
      </c>
      <c r="W104">
        <f>'Expense Model'!AE7</f>
        <v>0</v>
      </c>
      <c r="X104">
        <f>'Expense Model'!AF7</f>
        <v>0</v>
      </c>
      <c r="Y104">
        <f>'Expense Model'!AG7</f>
        <v>0</v>
      </c>
      <c r="Z104">
        <f>'Expense Model'!AH7</f>
        <v>0</v>
      </c>
      <c r="AA104">
        <f>'Expense Model'!AI7</f>
        <v>0</v>
      </c>
      <c r="AB104">
        <f>'Expense Model'!AJ7</f>
        <v>0</v>
      </c>
      <c r="AC104">
        <f>'Expense Model'!AK7</f>
        <v>0</v>
      </c>
      <c r="AD104">
        <f>'Expense Model'!AL7</f>
        <v>0</v>
      </c>
      <c r="AE104">
        <f>'Expense Model'!AM7</f>
        <v>0</v>
      </c>
      <c r="AF104">
        <f>'Expense Model'!AN7</f>
        <v>0</v>
      </c>
      <c r="AG104">
        <f>'Expense Model'!AO7</f>
        <v>0</v>
      </c>
      <c r="AH104">
        <f>'Expense Model'!AP7</f>
        <v>0</v>
      </c>
      <c r="AI104">
        <f>'Expense Model'!AQ7</f>
        <v>0</v>
      </c>
      <c r="AJ104">
        <f>'Expense Model'!AR7</f>
        <v>0</v>
      </c>
      <c r="AK104">
        <f>'Expense Model'!AS7</f>
        <v>0</v>
      </c>
      <c r="AL104">
        <f>'Expense Model'!AT7</f>
        <v>0</v>
      </c>
      <c r="AM104">
        <f>'Expense Model'!AU7</f>
        <v>0</v>
      </c>
      <c r="AN104">
        <f>'Expense Model'!AV7</f>
        <v>0</v>
      </c>
    </row>
    <row r="107" spans="1:40">
      <c r="A107" t="str">
        <f>'Expense Model'!I8</f>
        <v>Cost of Revenue</v>
      </c>
      <c r="B107">
        <f>'Expense Model'!J8</f>
        <v>0</v>
      </c>
      <c r="C107">
        <f>'Expense Model'!K8</f>
        <v>0</v>
      </c>
      <c r="D107">
        <f>'Expense Model'!L8</f>
        <v>0</v>
      </c>
      <c r="E107">
        <f>'Expense Model'!M8</f>
        <v>0</v>
      </c>
      <c r="F107">
        <f>'Expense Model'!N8</f>
        <v>0</v>
      </c>
      <c r="G107">
        <f>'Expense Model'!O8</f>
        <v>0</v>
      </c>
      <c r="H107">
        <f>'Expense Model'!P8</f>
        <v>0</v>
      </c>
      <c r="I107">
        <f>'Expense Model'!Q8</f>
        <v>0</v>
      </c>
      <c r="J107">
        <f>'Expense Model'!R8</f>
        <v>0</v>
      </c>
      <c r="K107">
        <f>'Expense Model'!S8</f>
        <v>0</v>
      </c>
      <c r="L107">
        <f>'Expense Model'!T8</f>
        <v>0</v>
      </c>
      <c r="M107">
        <f>'Expense Model'!U8</f>
        <v>0</v>
      </c>
      <c r="N107">
        <f>'Expense Model'!V8</f>
        <v>0</v>
      </c>
      <c r="O107">
        <f>'Expense Model'!W8</f>
        <v>0</v>
      </c>
      <c r="P107">
        <f>'Expense Model'!X8</f>
        <v>0</v>
      </c>
      <c r="Q107">
        <f>'Expense Model'!Y8</f>
        <v>0</v>
      </c>
      <c r="R107">
        <f>'Expense Model'!Z8</f>
        <v>0</v>
      </c>
      <c r="S107">
        <f>'Expense Model'!AA8</f>
        <v>0</v>
      </c>
      <c r="T107">
        <f>'Expense Model'!AB8</f>
        <v>0</v>
      </c>
      <c r="U107">
        <f>'Expense Model'!AC8</f>
        <v>0</v>
      </c>
      <c r="V107">
        <f>'Expense Model'!AD8</f>
        <v>0</v>
      </c>
      <c r="W107">
        <f>'Expense Model'!AE8</f>
        <v>0</v>
      </c>
      <c r="X107">
        <f>'Expense Model'!AF8</f>
        <v>0</v>
      </c>
      <c r="Y107">
        <f>'Expense Model'!AG8</f>
        <v>0</v>
      </c>
      <c r="Z107">
        <f>'Expense Model'!AH8</f>
        <v>0</v>
      </c>
      <c r="AA107">
        <f>'Expense Model'!AI8</f>
        <v>0</v>
      </c>
      <c r="AB107">
        <f>'Expense Model'!AJ8</f>
        <v>0</v>
      </c>
      <c r="AC107">
        <f>'Expense Model'!AK8</f>
        <v>0</v>
      </c>
      <c r="AD107">
        <f>'Expense Model'!AL8</f>
        <v>0</v>
      </c>
      <c r="AE107">
        <f>'Expense Model'!AM8</f>
        <v>0</v>
      </c>
      <c r="AF107">
        <f>'Expense Model'!AN8</f>
        <v>0</v>
      </c>
      <c r="AG107">
        <f>'Expense Model'!AO8</f>
        <v>0</v>
      </c>
      <c r="AH107">
        <f>'Expense Model'!AP8</f>
        <v>0</v>
      </c>
      <c r="AI107">
        <f>'Expense Model'!AQ8</f>
        <v>0</v>
      </c>
      <c r="AJ107">
        <f>'Expense Model'!AR8</f>
        <v>0</v>
      </c>
      <c r="AK107">
        <f>'Expense Model'!AS8</f>
        <v>0</v>
      </c>
      <c r="AL107">
        <f>'Expense Model'!AT8</f>
        <v>0</v>
      </c>
      <c r="AM107">
        <f>'Expense Model'!AU8</f>
        <v>0</v>
      </c>
      <c r="AN107">
        <f>'Expense Model'!AV8</f>
        <v>0</v>
      </c>
    </row>
    <row r="108" spans="1:40">
      <c r="A108" t="str">
        <f>'Expense Model'!I9</f>
        <v xml:space="preserve">GAAP Cost Revenue </v>
      </c>
      <c r="B108">
        <f>'Expense Model'!J9</f>
        <v>0</v>
      </c>
      <c r="C108">
        <f>'Expense Model'!K9</f>
        <v>0</v>
      </c>
      <c r="D108">
        <f>'Expense Model'!L9</f>
        <v>0</v>
      </c>
      <c r="E108">
        <f>'Expense Model'!M9</f>
        <v>0</v>
      </c>
      <c r="F108">
        <f>'Expense Model'!N9</f>
        <v>0</v>
      </c>
      <c r="G108">
        <f>'Expense Model'!O9</f>
        <v>0</v>
      </c>
      <c r="H108">
        <f>'Expense Model'!P9</f>
        <v>0</v>
      </c>
      <c r="I108">
        <f>'Expense Model'!Q9</f>
        <v>0</v>
      </c>
      <c r="J108">
        <f>'Expense Model'!R9</f>
        <v>20.748999999999999</v>
      </c>
      <c r="K108">
        <f>'Expense Model'!S9</f>
        <v>40.597999999999999</v>
      </c>
      <c r="L108">
        <f>'Expense Model'!T9</f>
        <v>56.226999999999997</v>
      </c>
      <c r="M108">
        <f>'Expense Model'!U9</f>
        <v>64.766999999999996</v>
      </c>
      <c r="N108">
        <f>'Expense Model'!V9</f>
        <v>75.772999999999996</v>
      </c>
      <c r="O108">
        <f>'Expense Model'!W9</f>
        <v>94.757000000000005</v>
      </c>
      <c r="P108">
        <f>'Expense Model'!X9</f>
        <v>127.78</v>
      </c>
      <c r="Q108">
        <f>'Expense Model'!Y9</f>
        <v>153.35</v>
      </c>
      <c r="R108">
        <f>'Expense Model'!Z9</f>
        <v>163.358</v>
      </c>
      <c r="S108">
        <f>'Expense Model'!AA9</f>
        <v>152.148</v>
      </c>
      <c r="T108">
        <f>'Expense Model'!AB9</f>
        <v>210.71</v>
      </c>
      <c r="U108">
        <f>'Expense Model'!AC9</f>
        <v>191.24600000000001</v>
      </c>
      <c r="V108">
        <f>'Expense Model'!AD9</f>
        <v>171.23363855421687</v>
      </c>
      <c r="W108">
        <f>'Expense Model'!AE9</f>
        <v>199.06585873563222</v>
      </c>
      <c r="X108">
        <f>'Expense Model'!AF9</f>
        <v>236.4220450702247</v>
      </c>
      <c r="Y108">
        <f>'Expense Model'!AG9</f>
        <v>255.31748732018715</v>
      </c>
      <c r="Z108">
        <f>'Expense Model'!AH9</f>
        <v>0</v>
      </c>
      <c r="AA108">
        <f>'Expense Model'!AI9</f>
        <v>0</v>
      </c>
      <c r="AB108">
        <f>'Expense Model'!AJ9</f>
        <v>0</v>
      </c>
      <c r="AC108">
        <f>'Expense Model'!AK9</f>
        <v>182.34099999999998</v>
      </c>
      <c r="AD108">
        <f>'Expense Model'!AL9</f>
        <v>451.65999999999997</v>
      </c>
      <c r="AE108">
        <f>'Expense Model'!AM9</f>
        <v>717.46199999999999</v>
      </c>
      <c r="AF108">
        <f>'Expense Model'!AN9</f>
        <v>862.03902968026102</v>
      </c>
      <c r="AG108">
        <f>'Expense Model'!AO9</f>
        <v>1056.6681210011945</v>
      </c>
      <c r="AH108">
        <f>'Expense Model'!AP9</f>
        <v>1295.1800872735107</v>
      </c>
      <c r="AI108">
        <f>'Expense Model'!AQ9</f>
        <v>1549.3423649311983</v>
      </c>
      <c r="AJ108">
        <f>'Expense Model'!AR9</f>
        <v>1829.7041433236695</v>
      </c>
      <c r="AK108">
        <f>'Expense Model'!AS9</f>
        <v>2125.3641545429882</v>
      </c>
      <c r="AL108">
        <f>'Expense Model'!AT9</f>
        <v>2429.5571747210047</v>
      </c>
      <c r="AM108">
        <f>'Expense Model'!AU9</f>
        <v>2746.2757781366154</v>
      </c>
      <c r="AN108">
        <f>'Expense Model'!AV9</f>
        <v>0</v>
      </c>
    </row>
    <row r="109" spans="1:40">
      <c r="A109" t="str">
        <f>'Expense Model'!I10</f>
        <v>Y/Y Abs Change</v>
      </c>
      <c r="B109">
        <f>'Expense Model'!J10</f>
        <v>0</v>
      </c>
      <c r="C109">
        <f>'Expense Model'!K10</f>
        <v>0</v>
      </c>
      <c r="D109">
        <f>'Expense Model'!L10</f>
        <v>0</v>
      </c>
      <c r="E109">
        <f>'Expense Model'!M10</f>
        <v>0</v>
      </c>
      <c r="F109">
        <f>'Expense Model'!N10</f>
        <v>0</v>
      </c>
      <c r="G109">
        <f>'Expense Model'!O10</f>
        <v>0</v>
      </c>
      <c r="H109">
        <f>'Expense Model'!P10</f>
        <v>0</v>
      </c>
      <c r="I109">
        <f>'Expense Model'!Q10</f>
        <v>0</v>
      </c>
      <c r="J109">
        <f>'Expense Model'!R10</f>
        <v>0</v>
      </c>
      <c r="K109">
        <f>'Expense Model'!S10</f>
        <v>0</v>
      </c>
      <c r="L109">
        <f>'Expense Model'!T10</f>
        <v>0</v>
      </c>
      <c r="M109">
        <f>'Expense Model'!U10</f>
        <v>0</v>
      </c>
      <c r="N109">
        <f>'Expense Model'!V10</f>
        <v>55.024000000000001</v>
      </c>
      <c r="O109">
        <f>'Expense Model'!W10</f>
        <v>54.159000000000006</v>
      </c>
      <c r="P109">
        <f>'Expense Model'!X10</f>
        <v>71.552999999999997</v>
      </c>
      <c r="Q109">
        <f>'Expense Model'!Y10</f>
        <v>88.582999999999998</v>
      </c>
      <c r="R109">
        <f>'Expense Model'!Z10</f>
        <v>87.585000000000008</v>
      </c>
      <c r="S109">
        <f>'Expense Model'!AA10</f>
        <v>57.390999999999991</v>
      </c>
      <c r="T109">
        <f>'Expense Model'!AB10</f>
        <v>82.93</v>
      </c>
      <c r="U109">
        <f>'Expense Model'!AC10</f>
        <v>37.896000000000015</v>
      </c>
      <c r="V109">
        <f>'Expense Model'!AD10</f>
        <v>7.875638554216863</v>
      </c>
      <c r="W109">
        <f>'Expense Model'!AE10</f>
        <v>46.917858735632223</v>
      </c>
      <c r="X109">
        <f>'Expense Model'!AF10</f>
        <v>25.71204507022469</v>
      </c>
      <c r="Y109">
        <f>'Expense Model'!AG10</f>
        <v>64.071487320187146</v>
      </c>
      <c r="Z109">
        <f>'Expense Model'!AH10</f>
        <v>0</v>
      </c>
      <c r="AA109">
        <f>'Expense Model'!AI10</f>
        <v>0</v>
      </c>
      <c r="AB109">
        <f>'Expense Model'!AJ10</f>
        <v>0</v>
      </c>
      <c r="AC109">
        <f>'Expense Model'!AK10</f>
        <v>0</v>
      </c>
      <c r="AD109">
        <f>'Expense Model'!AL10</f>
        <v>269.31899999999996</v>
      </c>
      <c r="AE109">
        <f>'Expense Model'!AM10</f>
        <v>265.80200000000002</v>
      </c>
      <c r="AF109">
        <f>'Expense Model'!AN10</f>
        <v>144.57702968026103</v>
      </c>
      <c r="AG109">
        <f>'Expense Model'!AO10</f>
        <v>194.62909132093353</v>
      </c>
      <c r="AH109">
        <f>'Expense Model'!AP10</f>
        <v>238.51196627231616</v>
      </c>
      <c r="AI109">
        <f>'Expense Model'!AQ10</f>
        <v>254.16227765768758</v>
      </c>
      <c r="AJ109">
        <f>'Expense Model'!AR10</f>
        <v>280.36177839247125</v>
      </c>
      <c r="AK109">
        <f>'Expense Model'!AS10</f>
        <v>295.66001121931868</v>
      </c>
      <c r="AL109">
        <f>'Expense Model'!AT10</f>
        <v>304.19302017801647</v>
      </c>
      <c r="AM109">
        <f>'Expense Model'!AU10</f>
        <v>316.71860341561069</v>
      </c>
      <c r="AN109">
        <f>'Expense Model'!AV10</f>
        <v>0</v>
      </c>
    </row>
    <row r="110" spans="1:40">
      <c r="A110" t="str">
        <f>'Expense Model'!I11</f>
        <v>Q/Q Abs Change</v>
      </c>
      <c r="B110">
        <f>'Expense Model'!J11</f>
        <v>0</v>
      </c>
      <c r="C110">
        <f>'Expense Model'!K11</f>
        <v>0</v>
      </c>
      <c r="D110">
        <f>'Expense Model'!L11</f>
        <v>0</v>
      </c>
      <c r="E110">
        <f>'Expense Model'!M11</f>
        <v>0</v>
      </c>
      <c r="F110">
        <f>'Expense Model'!N11</f>
        <v>0</v>
      </c>
      <c r="G110">
        <f>'Expense Model'!O11</f>
        <v>0</v>
      </c>
      <c r="H110">
        <f>'Expense Model'!P11</f>
        <v>0</v>
      </c>
      <c r="I110">
        <f>'Expense Model'!Q11</f>
        <v>0</v>
      </c>
      <c r="J110">
        <f>'Expense Model'!R11</f>
        <v>0</v>
      </c>
      <c r="K110">
        <f>'Expense Model'!S11</f>
        <v>19.849</v>
      </c>
      <c r="L110">
        <f>'Expense Model'!T11</f>
        <v>15.628999999999998</v>
      </c>
      <c r="M110">
        <f>'Expense Model'!U11</f>
        <v>8.5399999999999991</v>
      </c>
      <c r="N110">
        <f>'Expense Model'!V11</f>
        <v>11.006</v>
      </c>
      <c r="O110">
        <f>'Expense Model'!W11</f>
        <v>18.984000000000009</v>
      </c>
      <c r="P110">
        <f>'Expense Model'!X11</f>
        <v>33.022999999999996</v>
      </c>
      <c r="Q110">
        <f>'Expense Model'!Y11</f>
        <v>25.569999999999993</v>
      </c>
      <c r="R110">
        <f>'Expense Model'!Z11</f>
        <v>10.00800000000001</v>
      </c>
      <c r="S110">
        <f>'Expense Model'!AA11</f>
        <v>-11.210000000000008</v>
      </c>
      <c r="T110">
        <f>'Expense Model'!AB11</f>
        <v>58.562000000000012</v>
      </c>
      <c r="U110">
        <f>'Expense Model'!AC11</f>
        <v>-19.463999999999999</v>
      </c>
      <c r="V110">
        <f>'Expense Model'!AD11</f>
        <v>-20.012361445783142</v>
      </c>
      <c r="W110">
        <f>'Expense Model'!AE11</f>
        <v>27.832220181415352</v>
      </c>
      <c r="X110">
        <f>'Expense Model'!AF11</f>
        <v>37.356186334592479</v>
      </c>
      <c r="Y110">
        <f>'Expense Model'!AG11</f>
        <v>18.895442249962457</v>
      </c>
      <c r="Z110">
        <f>'Expense Model'!AH11</f>
        <v>0</v>
      </c>
      <c r="AA110">
        <f>'Expense Model'!AI11</f>
        <v>0</v>
      </c>
      <c r="AB110">
        <f>'Expense Model'!AJ11</f>
        <v>0</v>
      </c>
      <c r="AC110">
        <f>'Expense Model'!AK11</f>
        <v>0</v>
      </c>
      <c r="AD110">
        <f>'Expense Model'!AL11</f>
        <v>0</v>
      </c>
      <c r="AE110">
        <f>'Expense Model'!AM40</f>
        <v>0</v>
      </c>
      <c r="AF110">
        <f>'Expense Model'!AN40</f>
        <v>0</v>
      </c>
      <c r="AG110">
        <f>'Expense Model'!AO40</f>
        <v>0</v>
      </c>
      <c r="AH110">
        <f>'Expense Model'!AP40</f>
        <v>0</v>
      </c>
      <c r="AI110">
        <f>'Expense Model'!AQ11</f>
        <v>0</v>
      </c>
      <c r="AJ110">
        <f>'Expense Model'!AR11</f>
        <v>0</v>
      </c>
      <c r="AK110">
        <f>'Expense Model'!AS11</f>
        <v>0</v>
      </c>
      <c r="AL110">
        <f>'Expense Model'!AT11</f>
        <v>0</v>
      </c>
      <c r="AM110">
        <f>'Expense Model'!AU11</f>
        <v>0</v>
      </c>
      <c r="AN110">
        <f>'Expense Model'!AV11</f>
        <v>0</v>
      </c>
    </row>
    <row r="111" spans="1:40">
      <c r="A111" t="str">
        <f>'Expense Model'!I12</f>
        <v xml:space="preserve">Y/Y % Change </v>
      </c>
      <c r="B111">
        <f>'Expense Model'!J12</f>
        <v>0</v>
      </c>
      <c r="C111">
        <f>'Expense Model'!K12</f>
        <v>0</v>
      </c>
      <c r="D111">
        <f>'Expense Model'!L12</f>
        <v>0</v>
      </c>
      <c r="E111">
        <f>'Expense Model'!M12</f>
        <v>0</v>
      </c>
      <c r="F111">
        <f>'Expense Model'!N12</f>
        <v>0</v>
      </c>
      <c r="G111">
        <f>'Expense Model'!O12</f>
        <v>0</v>
      </c>
      <c r="H111">
        <f>'Expense Model'!P12</f>
        <v>0</v>
      </c>
      <c r="I111">
        <f>'Expense Model'!Q12</f>
        <v>0</v>
      </c>
      <c r="J111">
        <f>'Expense Model'!R12</f>
        <v>0</v>
      </c>
      <c r="K111">
        <f>'Expense Model'!S12</f>
        <v>0</v>
      </c>
      <c r="L111">
        <f>'Expense Model'!T12</f>
        <v>0</v>
      </c>
      <c r="M111">
        <f>'Expense Model'!U12</f>
        <v>0</v>
      </c>
      <c r="N111">
        <f>'Expense Model'!V12</f>
        <v>2.6518868379198999</v>
      </c>
      <c r="O111">
        <f>'Expense Model'!W12</f>
        <v>1.3340312330656685</v>
      </c>
      <c r="P111">
        <f>'Expense Model'!X12</f>
        <v>1.2725736745691574</v>
      </c>
      <c r="Q111">
        <f>'Expense Model'!Y12</f>
        <v>1.3677181280590425</v>
      </c>
      <c r="R111">
        <f>'Expense Model'!Z12</f>
        <v>1.1558866614757237</v>
      </c>
      <c r="S111">
        <f>'Expense Model'!AA12</f>
        <v>0.60566501683252949</v>
      </c>
      <c r="T111">
        <f>'Expense Model'!AB12</f>
        <v>0.64900610424166549</v>
      </c>
      <c r="U111">
        <f>'Expense Model'!AC12</f>
        <v>0.24712096511248793</v>
      </c>
      <c r="V111">
        <f>'Expense Model'!AD12</f>
        <v>4.8210914397928795E-2</v>
      </c>
      <c r="W111">
        <f>'Expense Model'!AE12</f>
        <v>0.30836986838888603</v>
      </c>
      <c r="X111">
        <f>'Expense Model'!AF12</f>
        <v>0.12202574661964172</v>
      </c>
      <c r="Y111">
        <f>'Expense Model'!AG12</f>
        <v>0.33502131976714367</v>
      </c>
      <c r="Z111">
        <f>'Expense Model'!AH12</f>
        <v>0</v>
      </c>
      <c r="AA111">
        <f>'Expense Model'!AI12</f>
        <v>0</v>
      </c>
      <c r="AB111">
        <f>'Expense Model'!AJ12</f>
        <v>0</v>
      </c>
      <c r="AC111">
        <f>'Expense Model'!AK12</f>
        <v>0</v>
      </c>
      <c r="AD111">
        <f>'Expense Model'!AL12</f>
        <v>1.4770073653210196</v>
      </c>
      <c r="AE111">
        <f>'Expense Model'!AM12</f>
        <v>0.58850019926493391</v>
      </c>
      <c r="AF111">
        <f>'Expense Model'!AN12</f>
        <v>0.20151175906216778</v>
      </c>
      <c r="AG111">
        <f>'Expense Model'!AO12</f>
        <v>0.22577758618785904</v>
      </c>
      <c r="AH111">
        <f>'Expense Model'!AP12</f>
        <v>0.2257207930587759</v>
      </c>
      <c r="AI111">
        <f>'Expense Model'!AQ12</f>
        <v>0.19623701765885371</v>
      </c>
      <c r="AJ111">
        <f>'Expense Model'!AR12</f>
        <v>0.18095534256234025</v>
      </c>
      <c r="AK111">
        <f>'Expense Model'!AS12</f>
        <v>0.16158897180079079</v>
      </c>
      <c r="AL111">
        <f>'Expense Model'!AT12</f>
        <v>0.14312512965262947</v>
      </c>
      <c r="AM111">
        <f>'Expense Model'!AU12</f>
        <v>0.13036062979336172</v>
      </c>
      <c r="AN111">
        <f>'Expense Model'!AV12</f>
        <v>0</v>
      </c>
    </row>
    <row r="112" spans="1:40">
      <c r="A112" t="str">
        <f>'Expense Model'!I13</f>
        <v xml:space="preserve">Q/Q % Change </v>
      </c>
      <c r="B112">
        <f>'Expense Model'!J13</f>
        <v>0</v>
      </c>
      <c r="C112">
        <f>'Expense Model'!K13</f>
        <v>0</v>
      </c>
      <c r="D112">
        <f>'Expense Model'!L13</f>
        <v>0</v>
      </c>
      <c r="E112">
        <f>'Expense Model'!M13</f>
        <v>0</v>
      </c>
      <c r="F112">
        <f>'Expense Model'!N13</f>
        <v>0</v>
      </c>
      <c r="G112">
        <f>'Expense Model'!O13</f>
        <v>0</v>
      </c>
      <c r="H112">
        <f>'Expense Model'!P13</f>
        <v>0</v>
      </c>
      <c r="I112">
        <f>'Expense Model'!Q13</f>
        <v>0</v>
      </c>
      <c r="J112">
        <f>'Expense Model'!R13</f>
        <v>0</v>
      </c>
      <c r="K112">
        <f>'Expense Model'!S13</f>
        <v>0.95662441563448852</v>
      </c>
      <c r="L112">
        <f>'Expense Model'!T13</f>
        <v>0.3849697029410315</v>
      </c>
      <c r="M112">
        <f>'Expense Model'!U13</f>
        <v>0.15188432603553448</v>
      </c>
      <c r="N112">
        <f>'Expense Model'!V13</f>
        <v>0.16993221856809804</v>
      </c>
      <c r="O112">
        <f>'Expense Model'!W13</f>
        <v>0.25053779050585323</v>
      </c>
      <c r="P112">
        <f>'Expense Model'!X13</f>
        <v>0.34850195763901337</v>
      </c>
      <c r="Q112">
        <f>'Expense Model'!Y13</f>
        <v>0.2001095633119423</v>
      </c>
      <c r="R112">
        <f>'Expense Model'!Z13</f>
        <v>6.5262471470492356E-2</v>
      </c>
      <c r="S112">
        <f>'Expense Model'!AA13</f>
        <v>-6.8622289695025707E-2</v>
      </c>
      <c r="T112">
        <f>'Expense Model'!AB13</f>
        <v>0.38490154323421932</v>
      </c>
      <c r="U112">
        <f>'Expense Model'!AC13</f>
        <v>-9.2373404204831311E-2</v>
      </c>
      <c r="V112">
        <f>'Expense Model'!AD13</f>
        <v>-0.10464198699990135</v>
      </c>
      <c r="W112">
        <f>'Expense Model'!AE13</f>
        <v>0.16253944269602716</v>
      </c>
      <c r="X112">
        <f>'Expense Model'!AF13</f>
        <v>0.18765742439140731</v>
      </c>
      <c r="Y112">
        <f>'Expense Model'!AG13</f>
        <v>7.9922505722128889E-2</v>
      </c>
      <c r="Z112">
        <f>'Expense Model'!AH13</f>
        <v>0</v>
      </c>
      <c r="AA112">
        <f>'Expense Model'!AI13</f>
        <v>0</v>
      </c>
      <c r="AB112">
        <f>'Expense Model'!AJ13</f>
        <v>0</v>
      </c>
      <c r="AC112">
        <f>'Expense Model'!AK13</f>
        <v>0</v>
      </c>
      <c r="AD112">
        <f>'Expense Model'!AL13</f>
        <v>0</v>
      </c>
      <c r="AE112">
        <f>'Expense Model'!AM13</f>
        <v>0</v>
      </c>
      <c r="AF112">
        <f>'Expense Model'!AN13</f>
        <v>0</v>
      </c>
      <c r="AG112">
        <f>'Expense Model'!AO13</f>
        <v>0</v>
      </c>
      <c r="AH112">
        <f>'Expense Model'!AP13</f>
        <v>0</v>
      </c>
      <c r="AI112">
        <f>'Expense Model'!AQ13</f>
        <v>0</v>
      </c>
      <c r="AJ112">
        <f>'Expense Model'!AR13</f>
        <v>0</v>
      </c>
      <c r="AK112">
        <f>'Expense Model'!AS13</f>
        <v>0</v>
      </c>
      <c r="AL112">
        <f>'Expense Model'!AT13</f>
        <v>0</v>
      </c>
      <c r="AM112">
        <f>'Expense Model'!AU13</f>
        <v>0</v>
      </c>
      <c r="AN112">
        <f>'Expense Model'!AV13</f>
        <v>0</v>
      </c>
    </row>
    <row r="113" spans="1:40">
      <c r="A113" t="str">
        <f>'Expense Model'!I14</f>
        <v xml:space="preserve">% of Revenue </v>
      </c>
      <c r="B113">
        <f>'Expense Model'!J14</f>
        <v>0</v>
      </c>
      <c r="C113">
        <f>'Expense Model'!K14</f>
        <v>0</v>
      </c>
      <c r="D113">
        <f>'Expense Model'!L14</f>
        <v>0</v>
      </c>
      <c r="E113">
        <f>'Expense Model'!M14</f>
        <v>0</v>
      </c>
      <c r="F113">
        <f>'Expense Model'!N14</f>
        <v>0</v>
      </c>
      <c r="G113">
        <f>'Expense Model'!O14</f>
        <v>0</v>
      </c>
      <c r="H113">
        <f>'Expense Model'!P14</f>
        <v>0</v>
      </c>
      <c r="I113">
        <f>'Expense Model'!Q14</f>
        <v>0</v>
      </c>
      <c r="J113">
        <f>'Expense Model'!R14</f>
        <v>5.2931122448979586</v>
      </c>
      <c r="K113">
        <f>'Expense Model'!S14</f>
        <v>7.66</v>
      </c>
      <c r="L113">
        <f>'Expense Model'!T14</f>
        <v>3.36185351270553</v>
      </c>
      <c r="M113">
        <f>'Expense Model'!U14</f>
        <v>1.9795525398863008</v>
      </c>
      <c r="N113">
        <f>'Expense Model'!V14</f>
        <v>1.9530130419093765</v>
      </c>
      <c r="O113">
        <f>'Expense Model'!W14</f>
        <v>1.3197721384996797</v>
      </c>
      <c r="P113">
        <f>'Expense Model'!X14</f>
        <v>0.99669277089638386</v>
      </c>
      <c r="Q113">
        <f>'Expense Model'!Y14</f>
        <v>0.92556825726391523</v>
      </c>
      <c r="R113">
        <f>'Expense Model'!Z14</f>
        <v>1.0916149898428313</v>
      </c>
      <c r="S113">
        <f>'Expense Model'!AA14</f>
        <v>0.83749194973330909</v>
      </c>
      <c r="T113">
        <f>'Expense Model'!AB14</f>
        <v>1.0133357699687886</v>
      </c>
      <c r="U113">
        <f>'Expense Model'!AC14</f>
        <v>0.66941087110989772</v>
      </c>
      <c r="V113">
        <f>'Expense Model'!AD14</f>
        <v>0.68768529539846135</v>
      </c>
      <c r="W113">
        <f>'Expense Model'!AE14</f>
        <v>0.67479952113773634</v>
      </c>
      <c r="X113">
        <f>'Expense Model'!AF14</f>
        <v>0.69331978026458851</v>
      </c>
      <c r="Y113">
        <f>'Expense Model'!AG14</f>
        <v>0.59653618532754005</v>
      </c>
      <c r="Z113">
        <f>'Expense Model'!AH14</f>
        <v>0</v>
      </c>
      <c r="AA113">
        <f>'Expense Model'!AI14</f>
        <v>0</v>
      </c>
      <c r="AB113">
        <f>'Expense Model'!AJ14</f>
        <v>0</v>
      </c>
      <c r="AC113">
        <f>'Expense Model'!AK14</f>
        <v>3.1082794947411481</v>
      </c>
      <c r="AD113">
        <f>'Expense Model'!AL14</f>
        <v>1.1166380704209335</v>
      </c>
      <c r="AE113">
        <f>'Expense Model'!AM14</f>
        <v>0.8697046726524913</v>
      </c>
      <c r="AF113">
        <f>'Expense Model'!AN14</f>
        <v>0.65654153060187437</v>
      </c>
      <c r="AG113">
        <f>'Expense Model'!AO14</f>
        <v>0.53655276338321045</v>
      </c>
      <c r="AH113">
        <f>'Expense Model'!AP14</f>
        <v>0.46175977875413854</v>
      </c>
      <c r="AI113">
        <f>'Expense Model'!AQ14</f>
        <v>0.40633939272612535</v>
      </c>
      <c r="AJ113">
        <f>'Expense Model'!AR14</f>
        <v>0.36859769986467911</v>
      </c>
      <c r="AK113">
        <f>'Expense Model'!AS14</f>
        <v>0.34482692997052594</v>
      </c>
      <c r="AL113">
        <f>'Expense Model'!AT14</f>
        <v>0.33028790230399602</v>
      </c>
      <c r="AM113">
        <f>'Expense Model'!AU14</f>
        <v>0.32136615638296329</v>
      </c>
      <c r="AN113">
        <f>'Expense Model'!AV14</f>
        <v>0</v>
      </c>
    </row>
    <row r="114" spans="1:40">
      <c r="A114" t="str">
        <f>'Expense Model'!I15</f>
        <v>Y/Y Change in bp</v>
      </c>
      <c r="B114">
        <f>'Expense Model'!J15</f>
        <v>0</v>
      </c>
      <c r="C114">
        <f>'Expense Model'!K15</f>
        <v>0</v>
      </c>
      <c r="D114">
        <f>'Expense Model'!L15</f>
        <v>0</v>
      </c>
      <c r="E114">
        <f>'Expense Model'!M15</f>
        <v>0</v>
      </c>
      <c r="F114">
        <f>'Expense Model'!N15</f>
        <v>0</v>
      </c>
      <c r="G114">
        <f>'Expense Model'!O15</f>
        <v>0</v>
      </c>
      <c r="H114">
        <f>'Expense Model'!P15</f>
        <v>0</v>
      </c>
      <c r="I114">
        <f>'Expense Model'!Q15</f>
        <v>0</v>
      </c>
      <c r="J114">
        <f>'Expense Model'!R15</f>
        <v>0</v>
      </c>
      <c r="K114">
        <f>'Expense Model'!S15</f>
        <v>0</v>
      </c>
      <c r="L114">
        <f>'Expense Model'!T15</f>
        <v>0</v>
      </c>
      <c r="M114">
        <f>'Expense Model'!U15</f>
        <v>0</v>
      </c>
      <c r="N114">
        <f>'Expense Model'!V15</f>
        <v>-33400.99202988582</v>
      </c>
      <c r="O114">
        <f>'Expense Model'!W15</f>
        <v>-63402.278615003204</v>
      </c>
      <c r="P114">
        <f>'Expense Model'!X15</f>
        <v>-23651.607418091462</v>
      </c>
      <c r="Q114">
        <f>'Expense Model'!Y15</f>
        <v>-10539.842826223856</v>
      </c>
      <c r="R114">
        <f>'Expense Model'!Z15</f>
        <v>-8613.980520665451</v>
      </c>
      <c r="S114">
        <f>'Expense Model'!AA15</f>
        <v>-4822.8018876637061</v>
      </c>
      <c r="T114">
        <f>'Expense Model'!AB15</f>
        <v>166.4299907240474</v>
      </c>
      <c r="U114">
        <f>'Expense Model'!AC15</f>
        <v>-2561.5738615401751</v>
      </c>
      <c r="V114">
        <f>'Expense Model'!AD15</f>
        <v>-4039.2969444436999</v>
      </c>
      <c r="W114">
        <f>'Expense Model'!AE15</f>
        <v>-1626.9242859557276</v>
      </c>
      <c r="X114">
        <f>'Expense Model'!AF15</f>
        <v>-3200.1598970420009</v>
      </c>
      <c r="Y114">
        <f>'Expense Model'!AG15</f>
        <v>-728.74685782357676</v>
      </c>
      <c r="Z114">
        <f>'Expense Model'!AH15</f>
        <v>0</v>
      </c>
      <c r="AA114">
        <f>'Expense Model'!AI15</f>
        <v>0</v>
      </c>
      <c r="AB114">
        <f>'Expense Model'!AJ15</f>
        <v>0</v>
      </c>
      <c r="AC114">
        <f>'Expense Model'!AK15</f>
        <v>0</v>
      </c>
      <c r="AD114">
        <f>'Expense Model'!AL15</f>
        <v>-19916.414243202144</v>
      </c>
      <c r="AE114">
        <f>'Expense Model'!AM15</f>
        <v>-2469.3339776844227</v>
      </c>
      <c r="AF114">
        <f>'Expense Model'!AN15</f>
        <v>-2131.6314205061694</v>
      </c>
      <c r="AG114">
        <f>'Expense Model'!AO15</f>
        <v>-1199.8876721866391</v>
      </c>
      <c r="AH114">
        <f>'Expense Model'!AP15</f>
        <v>-747.92984629071907</v>
      </c>
      <c r="AI114">
        <f>'Expense Model'!AQ15</f>
        <v>-554.20386028013195</v>
      </c>
      <c r="AJ114">
        <f>'Expense Model'!AR15</f>
        <v>-377.41692861446239</v>
      </c>
      <c r="AK114">
        <f>'Expense Model'!AS15</f>
        <v>-237.70769894153165</v>
      </c>
      <c r="AL114">
        <f>'Expense Model'!AT15</f>
        <v>-145.39027666529924</v>
      </c>
      <c r="AM114">
        <f>'Expense Model'!AU15</f>
        <v>-89.217459210327306</v>
      </c>
      <c r="AN114">
        <f>'Expense Model'!AV15</f>
        <v>0</v>
      </c>
    </row>
    <row r="115" spans="1:40">
      <c r="A115" t="str">
        <f>'Expense Model'!I16</f>
        <v>Q/Q Change in bp</v>
      </c>
      <c r="B115">
        <f>'Expense Model'!J16</f>
        <v>0</v>
      </c>
      <c r="C115">
        <f>'Expense Model'!K16</f>
        <v>0</v>
      </c>
      <c r="D115">
        <f>'Expense Model'!L16</f>
        <v>0</v>
      </c>
      <c r="E115">
        <f>'Expense Model'!M16</f>
        <v>0</v>
      </c>
      <c r="F115">
        <f>'Expense Model'!N16</f>
        <v>0</v>
      </c>
      <c r="G115">
        <f>'Expense Model'!O16</f>
        <v>0</v>
      </c>
      <c r="H115">
        <f>'Expense Model'!P16</f>
        <v>0</v>
      </c>
      <c r="I115">
        <f>'Expense Model'!Q16</f>
        <v>0</v>
      </c>
      <c r="J115">
        <f>'Expense Model'!R16</f>
        <v>0</v>
      </c>
      <c r="K115">
        <f>'Expense Model'!S16</f>
        <v>23668.877551020414</v>
      </c>
      <c r="L115">
        <f>'Expense Model'!T16</f>
        <v>-42981.464872944707</v>
      </c>
      <c r="M115">
        <f>'Expense Model'!U16</f>
        <v>-13823.009728192292</v>
      </c>
      <c r="N115">
        <f>'Expense Model'!V16</f>
        <v>-265.3949797692423</v>
      </c>
      <c r="O115">
        <f>'Expense Model'!W16</f>
        <v>-6332.4090340969688</v>
      </c>
      <c r="P115">
        <f>'Expense Model'!X16</f>
        <v>-3230.793676032958</v>
      </c>
      <c r="Q115">
        <f>'Expense Model'!Y16</f>
        <v>-711.24513632468631</v>
      </c>
      <c r="R115">
        <f>'Expense Model'!Z16</f>
        <v>1660.4673257891611</v>
      </c>
      <c r="S115">
        <f>'Expense Model'!AA16</f>
        <v>-2541.2304010952225</v>
      </c>
      <c r="T115">
        <f>'Expense Model'!AB16</f>
        <v>1758.4382023547951</v>
      </c>
      <c r="U115">
        <f>'Expense Model'!AC16</f>
        <v>-3439.248988588909</v>
      </c>
      <c r="V115">
        <f>'Expense Model'!AD16</f>
        <v>182.74424288563628</v>
      </c>
      <c r="W115">
        <f>'Expense Model'!AE16</f>
        <v>-128.85774260725015</v>
      </c>
      <c r="X115">
        <f>'Expense Model'!AF16</f>
        <v>185.20259126852179</v>
      </c>
      <c r="Y115">
        <f>'Expense Model'!AG16</f>
        <v>-967.83594937048463</v>
      </c>
      <c r="Z115">
        <f>'Expense Model'!AH16</f>
        <v>0</v>
      </c>
      <c r="AA115">
        <f>'Expense Model'!AI16</f>
        <v>0</v>
      </c>
      <c r="AB115">
        <f>'Expense Model'!AJ16</f>
        <v>0</v>
      </c>
      <c r="AC115">
        <f>'Expense Model'!AK16</f>
        <v>0</v>
      </c>
      <c r="AD115">
        <f>'Expense Model'!AL16</f>
        <v>0</v>
      </c>
      <c r="AE115">
        <f>'Expense Model'!AM16</f>
        <v>0</v>
      </c>
      <c r="AF115">
        <f>'Expense Model'!AN16</f>
        <v>0</v>
      </c>
      <c r="AG115">
        <f>'Expense Model'!AO16</f>
        <v>0</v>
      </c>
      <c r="AH115">
        <f>'Expense Model'!AP16</f>
        <v>0</v>
      </c>
      <c r="AI115">
        <f>'Expense Model'!AQ16</f>
        <v>0</v>
      </c>
      <c r="AJ115">
        <f>'Expense Model'!AR16</f>
        <v>0</v>
      </c>
      <c r="AK115">
        <f>'Expense Model'!AS16</f>
        <v>0</v>
      </c>
      <c r="AL115">
        <f>'Expense Model'!AT16</f>
        <v>0</v>
      </c>
      <c r="AM115">
        <f>'Expense Model'!AU16</f>
        <v>0</v>
      </c>
      <c r="AN115">
        <f>'Expense Model'!AV16</f>
        <v>0</v>
      </c>
    </row>
    <row r="116" spans="1:40">
      <c r="A116">
        <f>'Expense Model'!I17</f>
        <v>0</v>
      </c>
      <c r="B116">
        <f>'Expense Model'!J17</f>
        <v>0</v>
      </c>
      <c r="C116">
        <f>'Expense Model'!K17</f>
        <v>0</v>
      </c>
      <c r="D116">
        <f>'Expense Model'!L17</f>
        <v>0</v>
      </c>
      <c r="E116">
        <f>'Expense Model'!M17</f>
        <v>0</v>
      </c>
      <c r="F116">
        <f>'Expense Model'!N17</f>
        <v>0</v>
      </c>
      <c r="G116">
        <f>'Expense Model'!O17</f>
        <v>0</v>
      </c>
      <c r="H116">
        <f>'Expense Model'!P17</f>
        <v>0</v>
      </c>
      <c r="I116">
        <f>'Expense Model'!Q17</f>
        <v>0</v>
      </c>
      <c r="J116">
        <f>'Expense Model'!R17</f>
        <v>0</v>
      </c>
      <c r="K116">
        <f>'Expense Model'!S17</f>
        <v>0</v>
      </c>
      <c r="L116">
        <f>'Expense Model'!T17</f>
        <v>0</v>
      </c>
      <c r="M116">
        <f>'Expense Model'!U17</f>
        <v>0</v>
      </c>
      <c r="N116">
        <f>'Expense Model'!V17</f>
        <v>0</v>
      </c>
      <c r="O116">
        <f>'Expense Model'!W17</f>
        <v>0</v>
      </c>
      <c r="P116">
        <f>'Expense Model'!X17</f>
        <v>0</v>
      </c>
      <c r="Q116">
        <f>'Expense Model'!Y17</f>
        <v>0</v>
      </c>
      <c r="R116">
        <f>'Expense Model'!Z17</f>
        <v>0</v>
      </c>
      <c r="S116">
        <f>'Expense Model'!AA17</f>
        <v>0</v>
      </c>
      <c r="T116">
        <f>'Expense Model'!AB17</f>
        <v>0</v>
      </c>
      <c r="U116">
        <f>'Expense Model'!AC17</f>
        <v>0</v>
      </c>
      <c r="V116">
        <f>'Expense Model'!AD17</f>
        <v>0</v>
      </c>
      <c r="W116">
        <f>'Expense Model'!AE17</f>
        <v>0</v>
      </c>
      <c r="X116">
        <f>'Expense Model'!AF17</f>
        <v>0</v>
      </c>
      <c r="Y116">
        <f>'Expense Model'!AG17</f>
        <v>0</v>
      </c>
      <c r="Z116">
        <f>'Expense Model'!AH17</f>
        <v>0</v>
      </c>
      <c r="AA116">
        <f>'Expense Model'!AI17</f>
        <v>0</v>
      </c>
      <c r="AB116">
        <f>'Expense Model'!AJ17</f>
        <v>0</v>
      </c>
      <c r="AC116">
        <f>'Expense Model'!AK17</f>
        <v>0</v>
      </c>
      <c r="AD116">
        <f>'Expense Model'!AL17</f>
        <v>0</v>
      </c>
      <c r="AE116">
        <f>'Expense Model'!AM17</f>
        <v>0</v>
      </c>
      <c r="AF116">
        <f>'Expense Model'!AN17</f>
        <v>0</v>
      </c>
      <c r="AG116">
        <f>'Expense Model'!AO17</f>
        <v>0</v>
      </c>
      <c r="AH116">
        <f>'Expense Model'!AP17</f>
        <v>0</v>
      </c>
      <c r="AI116">
        <f>'Expense Model'!AQ17</f>
        <v>0</v>
      </c>
      <c r="AJ116">
        <f>'Expense Model'!AR17</f>
        <v>0</v>
      </c>
      <c r="AK116">
        <f>'Expense Model'!AS17</f>
        <v>0</v>
      </c>
      <c r="AL116">
        <f>'Expense Model'!AT17</f>
        <v>0</v>
      </c>
      <c r="AM116">
        <f>'Expense Model'!AU17</f>
        <v>0</v>
      </c>
      <c r="AN116">
        <f>'Expense Model'!AV17</f>
        <v>0</v>
      </c>
    </row>
    <row r="117" spans="1:40">
      <c r="A117" t="str">
        <f>'Expense Model'!I32</f>
        <v>Cloud Infrastructure Costs</v>
      </c>
      <c r="B117">
        <f>'Expense Model'!J32</f>
        <v>0</v>
      </c>
      <c r="C117">
        <f>'Expense Model'!K32</f>
        <v>0</v>
      </c>
      <c r="D117">
        <f>'Expense Model'!L32</f>
        <v>0</v>
      </c>
      <c r="E117">
        <f>'Expense Model'!M32</f>
        <v>0</v>
      </c>
      <c r="F117">
        <f>'Expense Model'!N32</f>
        <v>0</v>
      </c>
      <c r="G117">
        <f>'Expense Model'!O32</f>
        <v>0</v>
      </c>
      <c r="H117">
        <f>'Expense Model'!P32</f>
        <v>0</v>
      </c>
      <c r="I117">
        <f>'Expense Model'!Q32</f>
        <v>0</v>
      </c>
      <c r="J117">
        <f>'Expense Model'!R32</f>
        <v>0</v>
      </c>
      <c r="K117">
        <f>'Expense Model'!S32</f>
        <v>0</v>
      </c>
      <c r="L117">
        <f>'Expense Model'!T32</f>
        <v>0</v>
      </c>
      <c r="M117">
        <f>'Expense Model'!U32</f>
        <v>0</v>
      </c>
      <c r="N117">
        <f>'Expense Model'!V32</f>
        <v>63</v>
      </c>
      <c r="O117">
        <f>'Expense Model'!W32</f>
        <v>79</v>
      </c>
      <c r="P117">
        <f>'Expense Model'!X32</f>
        <v>97</v>
      </c>
      <c r="Q117">
        <f>'Expense Model'!Y32</f>
        <v>113</v>
      </c>
      <c r="R117">
        <f>'Expense Model'!Z32</f>
        <v>99</v>
      </c>
      <c r="S117">
        <f>'Expense Model'!AA32</f>
        <v>106</v>
      </c>
      <c r="T117">
        <f>'Expense Model'!AB32</f>
        <v>121</v>
      </c>
      <c r="U117">
        <f>'Expense Model'!AC32</f>
        <v>131</v>
      </c>
      <c r="V117">
        <f>'Expense Model'!AD32</f>
        <v>121.43363855421687</v>
      </c>
      <c r="W117">
        <f>'Expense Model'!AE32</f>
        <v>131.2158587356322</v>
      </c>
      <c r="X117">
        <f>'Expense Model'!AF32</f>
        <v>151.1720450702247</v>
      </c>
      <c r="Y117">
        <f>'Expense Model'!AG32</f>
        <v>161.15748732018716</v>
      </c>
      <c r="Z117">
        <f>'Expense Model'!AH32</f>
        <v>0</v>
      </c>
      <c r="AA117">
        <f>'Expense Model'!AI32</f>
        <v>0</v>
      </c>
      <c r="AB117">
        <f>'Expense Model'!AJ32</f>
        <v>0</v>
      </c>
      <c r="AC117">
        <f>'Expense Model'!AK32</f>
        <v>0</v>
      </c>
      <c r="AD117">
        <f>'Expense Model'!AL32</f>
        <v>352</v>
      </c>
      <c r="AE117">
        <f>'Expense Model'!AM32</f>
        <v>457</v>
      </c>
      <c r="AF117">
        <f>'Expense Model'!AN32</f>
        <v>564.97902968026096</v>
      </c>
      <c r="AG117">
        <f>'Expense Model'!AO32</f>
        <v>673.79882932888177</v>
      </c>
      <c r="AH117">
        <f>'Expense Model'!AP32</f>
        <v>786.89550065084143</v>
      </c>
      <c r="AI117">
        <f>'Expense Model'!AQ32</f>
        <v>885.48053754883881</v>
      </c>
      <c r="AJ117">
        <f>'Expense Model'!AR32</f>
        <v>981.79396106236015</v>
      </c>
      <c r="AK117">
        <f>'Expense Model'!AS32</f>
        <v>1075.9051097420322</v>
      </c>
      <c r="AL117">
        <f>'Expense Model'!AT32</f>
        <v>1168.1196078032049</v>
      </c>
      <c r="AM117">
        <f>'Expense Model'!AU32</f>
        <v>1261.6494261433866</v>
      </c>
      <c r="AN117">
        <f>'Expense Model'!AV32</f>
        <v>0</v>
      </c>
    </row>
    <row r="118" spans="1:40">
      <c r="A118" t="str">
        <f>'Expense Model'!I33</f>
        <v>% of Cost of Revenue</v>
      </c>
      <c r="B118">
        <f>'Expense Model'!J33</f>
        <v>0</v>
      </c>
      <c r="C118">
        <f>'Expense Model'!K33</f>
        <v>0</v>
      </c>
      <c r="D118">
        <f>'Expense Model'!L33</f>
        <v>0</v>
      </c>
      <c r="E118">
        <f>'Expense Model'!M33</f>
        <v>0</v>
      </c>
      <c r="F118">
        <f>'Expense Model'!N33</f>
        <v>0</v>
      </c>
      <c r="G118">
        <f>'Expense Model'!O33</f>
        <v>0</v>
      </c>
      <c r="H118">
        <f>'Expense Model'!P33</f>
        <v>0</v>
      </c>
      <c r="I118">
        <f>'Expense Model'!Q33</f>
        <v>0</v>
      </c>
      <c r="J118">
        <f>'Expense Model'!R33</f>
        <v>0</v>
      </c>
      <c r="K118">
        <f>'Expense Model'!S33</f>
        <v>0</v>
      </c>
      <c r="L118">
        <f>'Expense Model'!T33</f>
        <v>0</v>
      </c>
      <c r="M118">
        <f>'Expense Model'!U33</f>
        <v>0</v>
      </c>
      <c r="N118">
        <f>'Expense Model'!V33</f>
        <v>0.83143072070526447</v>
      </c>
      <c r="O118">
        <f>'Expense Model'!W33</f>
        <v>0.83371149360997077</v>
      </c>
      <c r="P118">
        <f>'Expense Model'!X33</f>
        <v>0.7591172327437784</v>
      </c>
      <c r="Q118">
        <f>'Expense Model'!Y33</f>
        <v>0.7368764264753831</v>
      </c>
      <c r="R118">
        <f>'Expense Model'!Z33</f>
        <v>0.5714285714285714</v>
      </c>
      <c r="S118">
        <f>'Expense Model'!AA33</f>
        <v>0.56842857142857139</v>
      </c>
      <c r="T118">
        <f>'Expense Model'!AB33</f>
        <v>0.56542857142857139</v>
      </c>
      <c r="U118">
        <f>'Expense Model'!AC33</f>
        <v>0.56242857142857139</v>
      </c>
      <c r="V118">
        <f>'Expense Model'!AD33</f>
        <v>0.55942857142857139</v>
      </c>
      <c r="W118">
        <f>'Expense Model'!AE33</f>
        <v>0.55642857142857138</v>
      </c>
      <c r="X118">
        <f>'Expense Model'!AF33</f>
        <v>0.55342857142857138</v>
      </c>
      <c r="Y118">
        <f>'Expense Model'!AG33</f>
        <v>0.55042857142857138</v>
      </c>
      <c r="Z118">
        <f>'Expense Model'!AH33</f>
        <v>0</v>
      </c>
      <c r="AA118">
        <f>'Expense Model'!AI33</f>
        <v>0</v>
      </c>
      <c r="AB118">
        <f>'Expense Model'!AJ33</f>
        <v>0</v>
      </c>
      <c r="AC118">
        <f>'Expense Model'!AK33</f>
        <v>0</v>
      </c>
      <c r="AD118">
        <f>'Expense Model'!AL33</f>
        <v>0.77934729663906488</v>
      </c>
      <c r="AE118">
        <f>'Expense Model'!AM33</f>
        <v>0.63696753277525497</v>
      </c>
      <c r="AF118">
        <f>'Expense Model'!AN33</f>
        <v>0.65539843351387161</v>
      </c>
      <c r="AG118">
        <f>'Expense Model'!AO33</f>
        <v>0.63766362960818423</v>
      </c>
      <c r="AH118">
        <f>'Expense Model'!AP33</f>
        <v>0.60755682424622404</v>
      </c>
      <c r="AI118">
        <f>'Expense Model'!AQ33</f>
        <v>0.57152025116679772</v>
      </c>
      <c r="AJ118">
        <f>'Expense Model'!AR33</f>
        <v>0.53658618233160094</v>
      </c>
      <c r="AK118">
        <f>'Expense Model'!AS33</f>
        <v>0.50622153735032827</v>
      </c>
      <c r="AL118">
        <f>'Expense Model'!AT33</f>
        <v>0.48079527411712158</v>
      </c>
      <c r="AM118">
        <f>'Expense Model'!AU33</f>
        <v>0.45940376279305511</v>
      </c>
      <c r="AN118">
        <f>'Expense Model'!AV33</f>
        <v>0</v>
      </c>
    </row>
    <row r="119" spans="1:40">
      <c r="A119" t="str">
        <f>'Expense Model'!I34</f>
        <v>Y/Y Change in bp</v>
      </c>
      <c r="B119">
        <f>'Expense Model'!J34</f>
        <v>0</v>
      </c>
      <c r="C119">
        <f>'Expense Model'!K34</f>
        <v>0</v>
      </c>
      <c r="D119">
        <f>'Expense Model'!L34</f>
        <v>0</v>
      </c>
      <c r="E119">
        <f>'Expense Model'!M34</f>
        <v>0</v>
      </c>
      <c r="F119">
        <f>'Expense Model'!N34</f>
        <v>0</v>
      </c>
      <c r="G119">
        <f>'Expense Model'!O34</f>
        <v>0</v>
      </c>
      <c r="H119">
        <f>'Expense Model'!P34</f>
        <v>0</v>
      </c>
      <c r="I119">
        <f>'Expense Model'!Q34</f>
        <v>0</v>
      </c>
      <c r="J119">
        <f>'Expense Model'!R34</f>
        <v>0</v>
      </c>
      <c r="K119">
        <f>'Expense Model'!S34</f>
        <v>0</v>
      </c>
      <c r="L119">
        <f>'Expense Model'!T34</f>
        <v>0</v>
      </c>
      <c r="M119">
        <f>'Expense Model'!U34</f>
        <v>0</v>
      </c>
      <c r="N119">
        <f>'Expense Model'!V34</f>
        <v>0</v>
      </c>
      <c r="O119">
        <f>'Expense Model'!W34</f>
        <v>0</v>
      </c>
      <c r="P119">
        <f>'Expense Model'!X34</f>
        <v>0</v>
      </c>
      <c r="Q119">
        <f>'Expense Model'!Y34</f>
        <v>7368.7642647538305</v>
      </c>
      <c r="R119">
        <f>'Expense Model'!Z34</f>
        <v>-2600.0214927669308</v>
      </c>
      <c r="S119">
        <f>'Expense Model'!AA34</f>
        <v>-2652.8292218139936</v>
      </c>
      <c r="T119">
        <f>'Expense Model'!AB34</f>
        <v>-1936.8866131520701</v>
      </c>
      <c r="U119">
        <f>'Expense Model'!AC34</f>
        <v>-1744.478550468117</v>
      </c>
      <c r="V119">
        <f>'Expense Model'!AD34</f>
        <v>-120.00000000000011</v>
      </c>
      <c r="W119">
        <f>'Expense Model'!AE34</f>
        <v>-120.00000000000011</v>
      </c>
      <c r="X119">
        <f>'Expense Model'!AF34</f>
        <v>-120.00000000000011</v>
      </c>
      <c r="Y119">
        <f>'Expense Model'!AG34</f>
        <v>-120.00000000000011</v>
      </c>
      <c r="Z119">
        <f>'Expense Model'!AH34</f>
        <v>0</v>
      </c>
      <c r="AA119">
        <f>'Expense Model'!AI34</f>
        <v>0</v>
      </c>
      <c r="AB119">
        <f>'Expense Model'!AJ34</f>
        <v>0</v>
      </c>
      <c r="AC119">
        <f>'Expense Model'!AK34</f>
        <v>0</v>
      </c>
      <c r="AD119">
        <f>'Expense Model'!AL34</f>
        <v>0</v>
      </c>
      <c r="AE119">
        <f>'Expense Model'!AM34</f>
        <v>-1423.797638638099</v>
      </c>
      <c r="AF119">
        <f>'Expense Model'!AN34</f>
        <v>184.3090073861664</v>
      </c>
      <c r="AG119">
        <f>'Expense Model'!AO34</f>
        <v>-177.3480390568738</v>
      </c>
      <c r="AH119">
        <f>'Expense Model'!AP34</f>
        <v>-301.06805361960198</v>
      </c>
      <c r="AI119">
        <f>'Expense Model'!AQ34</f>
        <v>-360.36573079426313</v>
      </c>
      <c r="AJ119">
        <f>'Expense Model'!AR34</f>
        <v>-349.34068835196786</v>
      </c>
      <c r="AK119">
        <f>'Expense Model'!AS34</f>
        <v>-303.6464498127267</v>
      </c>
      <c r="AL119">
        <f>'Expense Model'!AT34</f>
        <v>-254.2626323320668</v>
      </c>
      <c r="AM119">
        <f>'Expense Model'!AU34</f>
        <v>-213.91511324066471</v>
      </c>
      <c r="AN119">
        <f>'Expense Model'!AV34</f>
        <v>0</v>
      </c>
    </row>
    <row r="120" spans="1:40">
      <c r="A120" t="str">
        <f>'Expense Model'!I35</f>
        <v>Q/Q Change in bp</v>
      </c>
      <c r="B120">
        <f>'Expense Model'!J35</f>
        <v>0</v>
      </c>
      <c r="C120">
        <f>'Expense Model'!K35</f>
        <v>0</v>
      </c>
      <c r="D120">
        <f>'Expense Model'!L35</f>
        <v>0</v>
      </c>
      <c r="E120">
        <f>'Expense Model'!M35</f>
        <v>0</v>
      </c>
      <c r="F120">
        <f>'Expense Model'!N35</f>
        <v>0</v>
      </c>
      <c r="G120">
        <f>'Expense Model'!O35</f>
        <v>0</v>
      </c>
      <c r="H120">
        <f>'Expense Model'!P35</f>
        <v>0</v>
      </c>
      <c r="I120">
        <f>'Expense Model'!Q35</f>
        <v>0</v>
      </c>
      <c r="J120">
        <f>'Expense Model'!R35</f>
        <v>0</v>
      </c>
      <c r="K120">
        <f>'Expense Model'!S35</f>
        <v>0</v>
      </c>
      <c r="L120">
        <f>'Expense Model'!T35</f>
        <v>0</v>
      </c>
      <c r="M120">
        <f>'Expense Model'!U35</f>
        <v>0</v>
      </c>
      <c r="N120">
        <f>'Expense Model'!V35</f>
        <v>0</v>
      </c>
      <c r="O120">
        <f>'Expense Model'!W35</f>
        <v>0</v>
      </c>
      <c r="P120">
        <f>'Expense Model'!X35</f>
        <v>0</v>
      </c>
      <c r="Q120">
        <f>'Expense Model'!Y35</f>
        <v>-222.40806268395309</v>
      </c>
      <c r="R120">
        <f>'Expense Model'!Z35</f>
        <v>-1654.478550468117</v>
      </c>
      <c r="S120">
        <f>'Expense Model'!AA35</f>
        <v>-30.000000000000028</v>
      </c>
      <c r="T120">
        <f>'Expense Model'!AB35</f>
        <v>-30.000000000000028</v>
      </c>
      <c r="U120">
        <f>'Expense Model'!AC35</f>
        <v>-30.000000000000028</v>
      </c>
      <c r="V120">
        <f>'Expense Model'!AD35</f>
        <v>-30.000000000000028</v>
      </c>
      <c r="W120">
        <f>'Expense Model'!AE35</f>
        <v>-30.000000000000028</v>
      </c>
      <c r="X120">
        <f>'Expense Model'!AF35</f>
        <v>-30.000000000000028</v>
      </c>
      <c r="Y120">
        <f>'Expense Model'!AG35</f>
        <v>-30.000000000000028</v>
      </c>
      <c r="Z120">
        <f>'Expense Model'!AH35</f>
        <v>0</v>
      </c>
      <c r="AA120">
        <f>'Expense Model'!AI35</f>
        <v>0</v>
      </c>
      <c r="AB120">
        <f>'Expense Model'!AJ35</f>
        <v>0</v>
      </c>
      <c r="AC120">
        <f>'Expense Model'!AK35</f>
        <v>0</v>
      </c>
      <c r="AD120">
        <f>'Expense Model'!AL35</f>
        <v>0</v>
      </c>
      <c r="AE120">
        <f>'Expense Model'!AM35</f>
        <v>0</v>
      </c>
      <c r="AF120">
        <f>'Expense Model'!AN35</f>
        <v>0</v>
      </c>
      <c r="AG120">
        <f>'Expense Model'!AO35</f>
        <v>0</v>
      </c>
      <c r="AH120">
        <f>'Expense Model'!AP35</f>
        <v>0</v>
      </c>
      <c r="AI120">
        <f>'Expense Model'!AQ35</f>
        <v>0</v>
      </c>
      <c r="AJ120">
        <f>'Expense Model'!AR35</f>
        <v>0</v>
      </c>
      <c r="AK120">
        <f>'Expense Model'!AS35</f>
        <v>0</v>
      </c>
      <c r="AL120">
        <f>'Expense Model'!AT35</f>
        <v>0</v>
      </c>
      <c r="AM120">
        <f>'Expense Model'!AU35</f>
        <v>0</v>
      </c>
      <c r="AN120">
        <f>'Expense Model'!AV35</f>
        <v>0</v>
      </c>
    </row>
    <row r="121" spans="1:40">
      <c r="A121" t="str">
        <f>'Expense Model'!I92</f>
        <v>Implied Snap Sold Ad Rev on Discover (at 50% Rev Share)</v>
      </c>
      <c r="B121">
        <f>'Expense Model'!J92</f>
        <v>0</v>
      </c>
      <c r="C121">
        <f>'Expense Model'!K92</f>
        <v>0</v>
      </c>
      <c r="D121">
        <f>'Expense Model'!L92</f>
        <v>0</v>
      </c>
      <c r="E121">
        <f>'Expense Model'!M92</f>
        <v>0</v>
      </c>
      <c r="F121">
        <f>'Expense Model'!N92</f>
        <v>0</v>
      </c>
      <c r="G121">
        <f>'Expense Model'!O92</f>
        <v>0</v>
      </c>
      <c r="H121">
        <f>'Expense Model'!P92</f>
        <v>0</v>
      </c>
      <c r="I121">
        <f>'Expense Model'!Q92</f>
        <v>0</v>
      </c>
      <c r="J121">
        <f>'Expense Model'!R92</f>
        <v>0</v>
      </c>
      <c r="K121">
        <f>'Expense Model'!S92</f>
        <v>0</v>
      </c>
      <c r="L121">
        <f>'Expense Model'!T92</f>
        <v>0</v>
      </c>
      <c r="M121">
        <f>'Expense Model'!U92</f>
        <v>0</v>
      </c>
      <c r="N121">
        <f>'Expense Model'!V92</f>
        <v>0</v>
      </c>
      <c r="O121">
        <f>'Expense Model'!W92</f>
        <v>0</v>
      </c>
      <c r="P121">
        <f>'Expense Model'!X92</f>
        <v>0</v>
      </c>
      <c r="Q121">
        <f>'Expense Model'!Y92</f>
        <v>0</v>
      </c>
      <c r="R121">
        <f>'Expense Model'!Z92</f>
        <v>0</v>
      </c>
      <c r="S121">
        <f>'Expense Model'!AA92</f>
        <v>0</v>
      </c>
      <c r="T121">
        <f>'Expense Model'!AB92</f>
        <v>0</v>
      </c>
      <c r="U121">
        <f>'Expense Model'!AC92</f>
        <v>0</v>
      </c>
      <c r="V121">
        <f>'Expense Model'!AD92</f>
        <v>0</v>
      </c>
      <c r="W121">
        <f>'Expense Model'!AE92</f>
        <v>0</v>
      </c>
      <c r="X121">
        <f>'Expense Model'!AF92</f>
        <v>0</v>
      </c>
      <c r="Y121">
        <f>'Expense Model'!AG92</f>
        <v>0</v>
      </c>
      <c r="Z121">
        <f>'Expense Model'!AH92</f>
        <v>0</v>
      </c>
      <c r="AA121">
        <f>'Expense Model'!AI92</f>
        <v>0</v>
      </c>
      <c r="AB121">
        <f>'Expense Model'!AJ92</f>
        <v>0</v>
      </c>
      <c r="AC121">
        <f>'Expense Model'!AK92</f>
        <v>0</v>
      </c>
      <c r="AD121">
        <f>'Expense Model'!AL92</f>
        <v>105.45454545454544</v>
      </c>
      <c r="AE121">
        <f>'Expense Model'!AM92</f>
        <v>174.54545454545453</v>
      </c>
      <c r="AF121">
        <f>'Expense Model'!AN92</f>
        <v>272.34722189075814</v>
      </c>
      <c r="AG121">
        <f>'Expense Model'!AO92</f>
        <v>429.67959087771646</v>
      </c>
      <c r="AH121">
        <f>'Expense Model'!AP92</f>
        <v>632.3726129761161</v>
      </c>
      <c r="AI121">
        <f>'Expense Model'!AQ92</f>
        <v>887.3720578558067</v>
      </c>
      <c r="AJ121">
        <f>'Expense Model'!AR92</f>
        <v>1191.3503382112674</v>
      </c>
      <c r="AK121">
        <f>'Expense Model'!AS92</f>
        <v>1524.082214189187</v>
      </c>
      <c r="AL121">
        <f>'Expense Model'!AT92</f>
        <v>1872.4050474435026</v>
      </c>
      <c r="AM121">
        <f>'Expense Model'!AU92</f>
        <v>2237.4009108357968</v>
      </c>
      <c r="AN121">
        <f>'Expense Model'!AV92</f>
        <v>0</v>
      </c>
    </row>
    <row r="122" spans="1:40">
      <c r="A122" t="str">
        <f>'Expense Model'!I79</f>
        <v>Partner Revenue Share</v>
      </c>
      <c r="B122">
        <f>'Expense Model'!J79</f>
        <v>0</v>
      </c>
      <c r="C122">
        <f>'Expense Model'!K79</f>
        <v>0</v>
      </c>
      <c r="D122">
        <f>'Expense Model'!L79</f>
        <v>0</v>
      </c>
      <c r="E122">
        <f>'Expense Model'!M79</f>
        <v>0</v>
      </c>
      <c r="F122">
        <f>'Expense Model'!N79</f>
        <v>0</v>
      </c>
      <c r="G122">
        <f>'Expense Model'!O79</f>
        <v>0</v>
      </c>
      <c r="H122">
        <f>'Expense Model'!P79</f>
        <v>0</v>
      </c>
      <c r="I122">
        <f>'Expense Model'!Q79</f>
        <v>0</v>
      </c>
      <c r="J122">
        <f>'Expense Model'!R79</f>
        <v>0</v>
      </c>
      <c r="K122">
        <f>'Expense Model'!S79</f>
        <v>0</v>
      </c>
      <c r="L122">
        <f>'Expense Model'!T79</f>
        <v>0</v>
      </c>
      <c r="M122">
        <f>'Expense Model'!U79</f>
        <v>0</v>
      </c>
      <c r="N122">
        <f>'Expense Model'!V79</f>
        <v>7</v>
      </c>
      <c r="O122">
        <f>'Expense Model'!W79</f>
        <v>10</v>
      </c>
      <c r="P122">
        <f>'Expense Model'!X79</f>
        <v>19</v>
      </c>
      <c r="Q122">
        <f>'Expense Model'!Y79</f>
        <v>22</v>
      </c>
      <c r="R122">
        <f>'Expense Model'!Z79</f>
        <v>23</v>
      </c>
      <c r="S122">
        <f>'Expense Model'!AA79</f>
        <v>23</v>
      </c>
      <c r="T122">
        <f>'Expense Model'!AB79</f>
        <v>22</v>
      </c>
      <c r="U122">
        <f>'Expense Model'!AC79</f>
        <v>28</v>
      </c>
      <c r="V122">
        <f>'Expense Model'!AD79</f>
        <v>25.648818084447292</v>
      </c>
      <c r="W122">
        <f>'Expense Model'!AE79</f>
        <v>31.862153955469687</v>
      </c>
      <c r="X122">
        <f>'Expense Model'!AF79</f>
        <v>40.92</v>
      </c>
      <c r="Y122">
        <f>'Expense Model'!AG79</f>
        <v>51.36</v>
      </c>
      <c r="Z122">
        <f>'Expense Model'!AH79</f>
        <v>0</v>
      </c>
      <c r="AA122">
        <f>'Expense Model'!AI79</f>
        <v>0</v>
      </c>
      <c r="AB122">
        <f>'Expense Model'!AJ79</f>
        <v>0</v>
      </c>
      <c r="AC122">
        <f>'Expense Model'!AK79</f>
        <v>0</v>
      </c>
      <c r="AD122">
        <f>'Expense Model'!AL79</f>
        <v>58</v>
      </c>
      <c r="AE122">
        <f>'Expense Model'!AM79</f>
        <v>96</v>
      </c>
      <c r="AF122">
        <f>'Expense Model'!AN79</f>
        <v>149.79097203991699</v>
      </c>
      <c r="AG122">
        <f>'Expense Model'!AO79</f>
        <v>236.32377498274408</v>
      </c>
      <c r="AH122">
        <f>'Expense Model'!AP79</f>
        <v>347.80493713686388</v>
      </c>
      <c r="AI122">
        <f>'Expense Model'!AQ79</f>
        <v>488.05463182069371</v>
      </c>
      <c r="AJ122">
        <f>'Expense Model'!AR79</f>
        <v>655.24268601619713</v>
      </c>
      <c r="AK122">
        <f>'Expense Model'!AS79</f>
        <v>838.24521780405291</v>
      </c>
      <c r="AL122">
        <f>'Expense Model'!AT79</f>
        <v>1029.8227760939264</v>
      </c>
      <c r="AM122">
        <f>'Expense Model'!AU79</f>
        <v>1230.5705009596884</v>
      </c>
      <c r="AN122">
        <f>'Expense Model'!AV79</f>
        <v>0</v>
      </c>
    </row>
    <row r="123" spans="1:40">
      <c r="A123" t="str">
        <f>'Expense Model'!I81</f>
        <v>% of Cost of Revenue</v>
      </c>
      <c r="B123">
        <f>'Expense Model'!J81</f>
        <v>0</v>
      </c>
      <c r="C123">
        <f>'Expense Model'!K81</f>
        <v>0</v>
      </c>
      <c r="D123">
        <f>'Expense Model'!L81</f>
        <v>0</v>
      </c>
      <c r="E123">
        <f>'Expense Model'!M81</f>
        <v>0</v>
      </c>
      <c r="F123">
        <f>'Expense Model'!N81</f>
        <v>0</v>
      </c>
      <c r="G123">
        <f>'Expense Model'!O81</f>
        <v>0</v>
      </c>
      <c r="H123">
        <f>'Expense Model'!P81</f>
        <v>0</v>
      </c>
      <c r="I123">
        <f>'Expense Model'!Q81</f>
        <v>0</v>
      </c>
      <c r="J123">
        <f>'Expense Model'!R81</f>
        <v>0</v>
      </c>
      <c r="K123">
        <f>'Expense Model'!S81</f>
        <v>0</v>
      </c>
      <c r="L123">
        <f>'Expense Model'!T81</f>
        <v>0</v>
      </c>
      <c r="M123">
        <f>'Expense Model'!U81</f>
        <v>0</v>
      </c>
      <c r="N123">
        <f>'Expense Model'!V81</f>
        <v>0</v>
      </c>
      <c r="O123">
        <f>'Expense Model'!W81</f>
        <v>0</v>
      </c>
      <c r="P123">
        <f>'Expense Model'!X81</f>
        <v>0</v>
      </c>
      <c r="Q123">
        <f>'Expense Model'!Y81</f>
        <v>0.15</v>
      </c>
      <c r="R123">
        <f>'Expense Model'!Z81</f>
        <v>0</v>
      </c>
      <c r="S123">
        <f>'Expense Model'!AA81</f>
        <v>0</v>
      </c>
      <c r="T123">
        <f>'Expense Model'!AB81</f>
        <v>0</v>
      </c>
      <c r="U123">
        <f>'Expense Model'!AC81</f>
        <v>0</v>
      </c>
      <c r="V123">
        <f>'Expense Model'!AD81</f>
        <v>0</v>
      </c>
      <c r="W123">
        <f>'Expense Model'!AE81</f>
        <v>0</v>
      </c>
      <c r="X123">
        <f>'Expense Model'!AF81</f>
        <v>0</v>
      </c>
      <c r="Y123">
        <f>'Expense Model'!AG81</f>
        <v>0</v>
      </c>
      <c r="Z123">
        <f>'Expense Model'!AH81</f>
        <v>0</v>
      </c>
      <c r="AA123">
        <f>'Expense Model'!AI81</f>
        <v>0</v>
      </c>
      <c r="AB123">
        <f>'Expense Model'!AJ81</f>
        <v>0</v>
      </c>
      <c r="AC123">
        <f>'Expense Model'!AK81</f>
        <v>0</v>
      </c>
      <c r="AD123">
        <f>'Expense Model'!AL81</f>
        <v>0.12841517955984591</v>
      </c>
      <c r="AE123">
        <f>'Expense Model'!AM81</f>
        <v>0.13380499594403605</v>
      </c>
      <c r="AF123">
        <f>'Expense Model'!AN81</f>
        <v>0.17376356160518158</v>
      </c>
      <c r="AG123">
        <f>'Expense Model'!AO81</f>
        <v>0.22364995241725186</v>
      </c>
      <c r="AH123">
        <f>'Expense Model'!AP81</f>
        <v>0.26853789720395532</v>
      </c>
      <c r="AI123">
        <f>'Expense Model'!AQ81</f>
        <v>0.3150076076583414</v>
      </c>
      <c r="AJ123">
        <f>'Expense Model'!AR81</f>
        <v>0.35811400898177148</v>
      </c>
      <c r="AK123">
        <f>'Expense Model'!AS81</f>
        <v>0.39440075057833968</v>
      </c>
      <c r="AL123">
        <f>'Expense Model'!AT81</f>
        <v>0.42387262452968816</v>
      </c>
      <c r="AM123">
        <f>'Expense Model'!AU81</f>
        <v>0.44808700959910402</v>
      </c>
      <c r="AN123">
        <f>'Expense Model'!AV81</f>
        <v>0</v>
      </c>
    </row>
    <row r="124" spans="1:40">
      <c r="A124" t="str">
        <f>'Expense Model'!I82</f>
        <v>% of Rev</v>
      </c>
      <c r="B124">
        <f>'Expense Model'!J82</f>
        <v>0</v>
      </c>
      <c r="C124">
        <f>'Expense Model'!K82</f>
        <v>0</v>
      </c>
      <c r="D124">
        <f>'Expense Model'!L82</f>
        <v>0</v>
      </c>
      <c r="E124">
        <f>'Expense Model'!M82</f>
        <v>0</v>
      </c>
      <c r="F124">
        <f>'Expense Model'!N82</f>
        <v>0</v>
      </c>
      <c r="G124">
        <f>'Expense Model'!O82</f>
        <v>0</v>
      </c>
      <c r="H124">
        <f>'Expense Model'!P82</f>
        <v>0</v>
      </c>
      <c r="I124">
        <f>'Expense Model'!Q82</f>
        <v>0</v>
      </c>
      <c r="J124">
        <f>'Expense Model'!R82</f>
        <v>0</v>
      </c>
      <c r="K124">
        <f>'Expense Model'!S82</f>
        <v>0</v>
      </c>
      <c r="L124">
        <f>'Expense Model'!T82</f>
        <v>0</v>
      </c>
      <c r="M124">
        <f>'Expense Model'!U82</f>
        <v>0</v>
      </c>
      <c r="N124">
        <f>'Expense Model'!V82</f>
        <v>0.18042167122016597</v>
      </c>
      <c r="O124">
        <f>'Expense Model'!W82</f>
        <v>0.14499999999999999</v>
      </c>
      <c r="P124">
        <f>'Expense Model'!X82</f>
        <v>0.15</v>
      </c>
      <c r="Q124">
        <f>'Expense Model'!Y82</f>
        <v>0.13278449077147791</v>
      </c>
      <c r="R124">
        <f>'Expense Model'!Z82</f>
        <v>0.15369400192451621</v>
      </c>
      <c r="S124">
        <f>'Expense Model'!AA82</f>
        <v>0.12660248471137386</v>
      </c>
      <c r="T124">
        <f>'Expense Model'!AB82</f>
        <v>0.10580127634812467</v>
      </c>
      <c r="U124">
        <f>'Expense Model'!AC82</f>
        <v>9.8007301543965031E-2</v>
      </c>
      <c r="V124">
        <f>'Expense Model'!AD82</f>
        <v>0.10300730154396504</v>
      </c>
      <c r="W124">
        <f>'Expense Model'!AE82</f>
        <v>0.10800730154396504</v>
      </c>
      <c r="X124">
        <f>'Expense Model'!AF82</f>
        <v>0.12</v>
      </c>
      <c r="Y124">
        <f>'Expense Model'!AG82</f>
        <v>0.12</v>
      </c>
      <c r="Z124">
        <f>'Expense Model'!AH82</f>
        <v>0</v>
      </c>
      <c r="AA124">
        <f>'Expense Model'!AI82</f>
        <v>0</v>
      </c>
      <c r="AB124">
        <f>'Expense Model'!AJ82</f>
        <v>0</v>
      </c>
      <c r="AC124">
        <f>'Expense Model'!AK82</f>
        <v>0</v>
      </c>
      <c r="AD124">
        <f>'Expense Model'!AL82</f>
        <v>0.14339327831646403</v>
      </c>
      <c r="AE124">
        <f>'Expense Model'!AM82</f>
        <v>0.11637083019677581</v>
      </c>
      <c r="AF124">
        <f>'Expense Model'!AN82</f>
        <v>0.11408299469909901</v>
      </c>
      <c r="AG124">
        <f>'Expense Model'!AO82</f>
        <v>0.12</v>
      </c>
      <c r="AH124">
        <f>'Expense Model'!AP82</f>
        <v>0.124</v>
      </c>
      <c r="AI124">
        <f>'Expense Model'!AQ82</f>
        <v>0.128</v>
      </c>
      <c r="AJ124">
        <f>'Expense Model'!AR82</f>
        <v>0.13200000000000001</v>
      </c>
      <c r="AK124">
        <f>'Expense Model'!AS82</f>
        <v>0.13600000000000001</v>
      </c>
      <c r="AL124">
        <f>'Expense Model'!AT82</f>
        <v>0.14000000000000001</v>
      </c>
      <c r="AM124">
        <f>'Expense Model'!AU82</f>
        <v>0.14400000000000002</v>
      </c>
      <c r="AN124">
        <f>'Expense Model'!AV82</f>
        <v>0</v>
      </c>
    </row>
    <row r="125" spans="1:40">
      <c r="A125" t="str">
        <f>'Expense Model'!I86</f>
        <v>Implied Other Cost of Revenue</v>
      </c>
      <c r="B125">
        <f>'Expense Model'!J86</f>
        <v>0</v>
      </c>
      <c r="C125">
        <f>'Expense Model'!K86</f>
        <v>0</v>
      </c>
      <c r="D125">
        <f>'Expense Model'!L86</f>
        <v>0</v>
      </c>
      <c r="E125">
        <f>'Expense Model'!M86</f>
        <v>0</v>
      </c>
      <c r="F125">
        <f>'Expense Model'!N86</f>
        <v>0</v>
      </c>
      <c r="G125">
        <f>'Expense Model'!O86</f>
        <v>0</v>
      </c>
      <c r="H125">
        <f>'Expense Model'!P86</f>
        <v>0</v>
      </c>
      <c r="I125">
        <f>'Expense Model'!Q86</f>
        <v>0</v>
      </c>
      <c r="J125">
        <f>'Expense Model'!R86</f>
        <v>0</v>
      </c>
      <c r="K125">
        <f>'Expense Model'!S86</f>
        <v>0</v>
      </c>
      <c r="L125">
        <f>'Expense Model'!T86</f>
        <v>0</v>
      </c>
      <c r="M125">
        <f>'Expense Model'!U86</f>
        <v>0</v>
      </c>
      <c r="N125">
        <f>'Expense Model'!V86</f>
        <v>6</v>
      </c>
      <c r="O125">
        <f>'Expense Model'!W86</f>
        <v>6</v>
      </c>
      <c r="P125">
        <f>'Expense Model'!X86</f>
        <v>11</v>
      </c>
      <c r="Q125">
        <f>'Expense Model'!Y86</f>
        <v>17</v>
      </c>
      <c r="R125">
        <f>'Expense Model'!Z86</f>
        <v>20</v>
      </c>
      <c r="S125">
        <f>'Expense Model'!AA86</f>
        <v>0</v>
      </c>
      <c r="T125">
        <f>'Expense Model'!AB86</f>
        <v>0</v>
      </c>
      <c r="U125">
        <f>'Expense Model'!AC86</f>
        <v>0</v>
      </c>
      <c r="V125">
        <f>'Expense Model'!AD86</f>
        <v>0</v>
      </c>
      <c r="W125">
        <f>'Expense Model'!AE86</f>
        <v>0</v>
      </c>
      <c r="X125">
        <f>'Expense Model'!AF86</f>
        <v>0</v>
      </c>
      <c r="Y125">
        <f>'Expense Model'!AG86</f>
        <v>0</v>
      </c>
      <c r="Z125">
        <f>'Expense Model'!AH86</f>
        <v>0</v>
      </c>
      <c r="AA125">
        <f>'Expense Model'!AI86</f>
        <v>0</v>
      </c>
      <c r="AB125">
        <f>'Expense Model'!AJ86</f>
        <v>0</v>
      </c>
      <c r="AC125">
        <f>'Expense Model'!AK86</f>
        <v>0</v>
      </c>
      <c r="AD125">
        <f>'Expense Model'!AL86</f>
        <v>0</v>
      </c>
      <c r="AE125">
        <f>'Expense Model'!AM86</f>
        <v>0</v>
      </c>
      <c r="AF125">
        <f>'Expense Model'!AN86</f>
        <v>0</v>
      </c>
      <c r="AG125">
        <f>'Expense Model'!AO86</f>
        <v>0</v>
      </c>
      <c r="AH125">
        <f>'Expense Model'!AP86</f>
        <v>0</v>
      </c>
      <c r="AI125">
        <f>'Expense Model'!AQ86</f>
        <v>0</v>
      </c>
      <c r="AJ125">
        <f>'Expense Model'!AR86</f>
        <v>0</v>
      </c>
      <c r="AK125">
        <f>'Expense Model'!AS86</f>
        <v>0</v>
      </c>
      <c r="AL125">
        <f>'Expense Model'!AT86</f>
        <v>0</v>
      </c>
      <c r="AM125">
        <f>'Expense Model'!AU86</f>
        <v>0</v>
      </c>
      <c r="AN125">
        <f>'Expense Model'!AV86</f>
        <v>0</v>
      </c>
    </row>
    <row r="126" spans="1:40">
      <c r="A126" t="str">
        <f>'Expense Model'!I88</f>
        <v>% of Cost of Revenue</v>
      </c>
      <c r="B126">
        <f>'Expense Model'!J88</f>
        <v>0</v>
      </c>
      <c r="C126">
        <f>'Expense Model'!K88</f>
        <v>0</v>
      </c>
      <c r="D126">
        <f>'Expense Model'!L88</f>
        <v>0</v>
      </c>
      <c r="E126">
        <f>'Expense Model'!M88</f>
        <v>0</v>
      </c>
      <c r="F126">
        <f>'Expense Model'!N88</f>
        <v>0</v>
      </c>
      <c r="G126">
        <f>'Expense Model'!O88</f>
        <v>0</v>
      </c>
      <c r="H126">
        <f>'Expense Model'!P88</f>
        <v>0</v>
      </c>
      <c r="I126">
        <f>'Expense Model'!Q88</f>
        <v>0</v>
      </c>
      <c r="J126">
        <f>'Expense Model'!R88</f>
        <v>0</v>
      </c>
      <c r="K126">
        <f>'Expense Model'!S88</f>
        <v>0</v>
      </c>
      <c r="L126">
        <f>'Expense Model'!T88</f>
        <v>0</v>
      </c>
      <c r="M126">
        <f>'Expense Model'!U88</f>
        <v>0</v>
      </c>
      <c r="N126">
        <f>'Expense Model'!V88</f>
        <v>7.9183878162406143E-2</v>
      </c>
      <c r="O126">
        <f>'Expense Model'!W88</f>
        <v>6.3319860274174994E-2</v>
      </c>
      <c r="P126">
        <f>'Expense Model'!X88</f>
        <v>8.6085459383315077E-2</v>
      </c>
      <c r="Q126">
        <f>'Expense Model'!Y88</f>
        <v>0.11085751548744702</v>
      </c>
      <c r="R126">
        <f>'Expense Model'!Z88</f>
        <v>0.12243049008925183</v>
      </c>
      <c r="S126">
        <f>'Expense Model'!AA88</f>
        <v>0</v>
      </c>
      <c r="T126">
        <f>'Expense Model'!AB88</f>
        <v>0</v>
      </c>
      <c r="U126">
        <f>'Expense Model'!AC88</f>
        <v>0</v>
      </c>
      <c r="V126">
        <f>'Expense Model'!AD88</f>
        <v>0</v>
      </c>
      <c r="W126">
        <f>'Expense Model'!AE88</f>
        <v>0</v>
      </c>
      <c r="X126">
        <f>'Expense Model'!AF88</f>
        <v>0</v>
      </c>
      <c r="Y126">
        <f>'Expense Model'!AG88</f>
        <v>0</v>
      </c>
      <c r="Z126">
        <f>'Expense Model'!AH88</f>
        <v>0</v>
      </c>
      <c r="AA126">
        <f>'Expense Model'!AI88</f>
        <v>0</v>
      </c>
      <c r="AB126">
        <f>'Expense Model'!AJ88</f>
        <v>0</v>
      </c>
      <c r="AC126">
        <f>'Expense Model'!AK88</f>
        <v>0</v>
      </c>
      <c r="AD126">
        <f>'Expense Model'!AL88</f>
        <v>0</v>
      </c>
      <c r="AE126">
        <f>'Expense Model'!AM88</f>
        <v>0</v>
      </c>
      <c r="AF126">
        <f>'Expense Model'!AN88</f>
        <v>0</v>
      </c>
      <c r="AG126">
        <f>'Expense Model'!AO88</f>
        <v>0</v>
      </c>
      <c r="AH126">
        <f>'Expense Model'!AP88</f>
        <v>0</v>
      </c>
      <c r="AI126">
        <f>'Expense Model'!AQ88</f>
        <v>0</v>
      </c>
      <c r="AJ126">
        <f>'Expense Model'!AR88</f>
        <v>0</v>
      </c>
      <c r="AK126">
        <f>'Expense Model'!AS88</f>
        <v>0</v>
      </c>
      <c r="AL126">
        <f>'Expense Model'!AT88</f>
        <v>0</v>
      </c>
      <c r="AM126">
        <f>'Expense Model'!AU88</f>
        <v>0</v>
      </c>
      <c r="AN126">
        <f>'Expense Model'!AV88</f>
        <v>0</v>
      </c>
    </row>
    <row r="127" spans="1:40">
      <c r="A127" t="str">
        <f>'Expense Model'!I89</f>
        <v xml:space="preserve">Y/Y Abs Change </v>
      </c>
      <c r="B127">
        <f>'Expense Model'!J89</f>
        <v>0</v>
      </c>
      <c r="C127">
        <f>'Expense Model'!K89</f>
        <v>0</v>
      </c>
      <c r="D127">
        <f>'Expense Model'!L89</f>
        <v>0</v>
      </c>
      <c r="E127">
        <f>'Expense Model'!M89</f>
        <v>0</v>
      </c>
      <c r="F127">
        <f>'Expense Model'!N89</f>
        <v>0</v>
      </c>
      <c r="G127">
        <f>'Expense Model'!O89</f>
        <v>0</v>
      </c>
      <c r="H127">
        <f>'Expense Model'!P89</f>
        <v>0</v>
      </c>
      <c r="I127">
        <f>'Expense Model'!Q89</f>
        <v>0</v>
      </c>
      <c r="J127">
        <f>'Expense Model'!R89</f>
        <v>0</v>
      </c>
      <c r="K127">
        <f>'Expense Model'!S89</f>
        <v>0</v>
      </c>
      <c r="L127">
        <f>'Expense Model'!T89</f>
        <v>0</v>
      </c>
      <c r="M127">
        <f>'Expense Model'!U89</f>
        <v>0</v>
      </c>
      <c r="N127">
        <f>'Expense Model'!V89</f>
        <v>0</v>
      </c>
      <c r="O127">
        <f>'Expense Model'!W89</f>
        <v>0</v>
      </c>
      <c r="P127">
        <f>'Expense Model'!X89</f>
        <v>0</v>
      </c>
      <c r="Q127">
        <f>'Expense Model'!Y89</f>
        <v>0</v>
      </c>
      <c r="R127">
        <f>'Expense Model'!Z89</f>
        <v>0</v>
      </c>
      <c r="S127">
        <f>'Expense Model'!AA89</f>
        <v>0</v>
      </c>
      <c r="T127">
        <f>'Expense Model'!AB89</f>
        <v>0</v>
      </c>
      <c r="U127">
        <f>'Expense Model'!AC89</f>
        <v>0</v>
      </c>
      <c r="V127">
        <f>'Expense Model'!AD89</f>
        <v>0</v>
      </c>
      <c r="W127">
        <f>'Expense Model'!AE89</f>
        <v>0</v>
      </c>
      <c r="X127">
        <f>'Expense Model'!AF89</f>
        <v>0</v>
      </c>
      <c r="Y127">
        <f>'Expense Model'!AG89</f>
        <v>0</v>
      </c>
      <c r="Z127">
        <f>'Expense Model'!AH89</f>
        <v>0</v>
      </c>
      <c r="AA127">
        <f>'Expense Model'!AI89</f>
        <v>0</v>
      </c>
      <c r="AB127">
        <f>'Expense Model'!AJ89</f>
        <v>0</v>
      </c>
      <c r="AC127">
        <f>'Expense Model'!AK89</f>
        <v>0</v>
      </c>
      <c r="AD127">
        <f>'Expense Model'!AL89</f>
        <v>0</v>
      </c>
      <c r="AE127">
        <f>'Expense Model'!AM89</f>
        <v>0</v>
      </c>
      <c r="AF127">
        <f>'Expense Model'!AN89</f>
        <v>0</v>
      </c>
      <c r="AG127">
        <f>'Expense Model'!AO89</f>
        <v>0</v>
      </c>
      <c r="AH127">
        <f>'Expense Model'!AP89</f>
        <v>0</v>
      </c>
      <c r="AI127">
        <f>'Expense Model'!AQ89</f>
        <v>0</v>
      </c>
      <c r="AJ127">
        <f>'Expense Model'!AR89</f>
        <v>0</v>
      </c>
      <c r="AK127">
        <f>'Expense Model'!AS89</f>
        <v>0</v>
      </c>
      <c r="AL127">
        <f>'Expense Model'!AT89</f>
        <v>0</v>
      </c>
      <c r="AM127">
        <f>'Expense Model'!AU89</f>
        <v>0</v>
      </c>
      <c r="AN127">
        <f>'Expense Model'!AV89</f>
        <v>0</v>
      </c>
    </row>
    <row r="128" spans="1:40">
      <c r="A128" t="str">
        <f>'Expense Model'!I58</f>
        <v>Ex- Cloud COGS</v>
      </c>
      <c r="B128">
        <f>'Expense Model'!J58</f>
        <v>0</v>
      </c>
      <c r="C128">
        <f>'Expense Model'!K58</f>
        <v>0</v>
      </c>
      <c r="D128">
        <f>'Expense Model'!L58</f>
        <v>0</v>
      </c>
      <c r="E128">
        <f>'Expense Model'!M58</f>
        <v>0</v>
      </c>
      <c r="F128">
        <f>'Expense Model'!N58</f>
        <v>0</v>
      </c>
      <c r="G128">
        <f>'Expense Model'!O58</f>
        <v>0</v>
      </c>
      <c r="H128">
        <f>'Expense Model'!P58</f>
        <v>0</v>
      </c>
      <c r="I128">
        <f>'Expense Model'!Q58</f>
        <v>0</v>
      </c>
      <c r="J128">
        <f>'Expense Model'!R58</f>
        <v>0</v>
      </c>
      <c r="K128">
        <f>'Expense Model'!S58</f>
        <v>0</v>
      </c>
      <c r="L128">
        <f>'Expense Model'!T58</f>
        <v>0</v>
      </c>
      <c r="M128">
        <f>'Expense Model'!U58</f>
        <v>0</v>
      </c>
      <c r="N128">
        <f>'Expense Model'!V58</f>
        <v>12.772999999999996</v>
      </c>
      <c r="O128">
        <f>'Expense Model'!W58</f>
        <v>15.757000000000005</v>
      </c>
      <c r="P128">
        <f>'Expense Model'!X58</f>
        <v>30.78</v>
      </c>
      <c r="Q128">
        <f>'Expense Model'!Y58</f>
        <v>40.349999999999994</v>
      </c>
      <c r="R128">
        <f>'Expense Model'!Z58</f>
        <v>64.358000000000004</v>
      </c>
      <c r="S128">
        <f>'Expense Model'!AA58</f>
        <v>46.147999999999996</v>
      </c>
      <c r="T128">
        <f>'Expense Model'!AB58</f>
        <v>89.710000000000008</v>
      </c>
      <c r="U128">
        <f>'Expense Model'!AC58</f>
        <v>60.246000000000009</v>
      </c>
      <c r="V128">
        <f>'Expense Model'!AD58</f>
        <v>49.800000000000004</v>
      </c>
      <c r="W128">
        <f>'Expense Model'!AE58</f>
        <v>67.850000000000009</v>
      </c>
      <c r="X128">
        <f>'Expense Model'!AF58</f>
        <v>85.25</v>
      </c>
      <c r="Y128">
        <f>'Expense Model'!AG58</f>
        <v>94.16</v>
      </c>
      <c r="Z128">
        <f>'Expense Model'!AH58</f>
        <v>0</v>
      </c>
      <c r="AA128">
        <f>'Expense Model'!AI58</f>
        <v>0</v>
      </c>
      <c r="AB128">
        <f>'Expense Model'!AJ58</f>
        <v>0</v>
      </c>
      <c r="AC128">
        <f>'Expense Model'!AK58</f>
        <v>0</v>
      </c>
      <c r="AD128">
        <f>'Expense Model'!AL58</f>
        <v>99.66</v>
      </c>
      <c r="AE128">
        <f>'Expense Model'!AM58</f>
        <v>260.46199999999999</v>
      </c>
      <c r="AF128">
        <f>'Expense Model'!AN58</f>
        <v>297.06</v>
      </c>
      <c r="AG128">
        <f>'Expense Model'!AO58</f>
        <v>382.86929167231284</v>
      </c>
      <c r="AH128">
        <f>'Expense Model'!AP58</f>
        <v>508.28458662266934</v>
      </c>
      <c r="AI128">
        <f>'Expense Model'!AQ58</f>
        <v>663.86182738235948</v>
      </c>
      <c r="AJ128">
        <f>'Expense Model'!AR58</f>
        <v>847.91018226130927</v>
      </c>
      <c r="AK128">
        <f>'Expense Model'!AS58</f>
        <v>1049.4590448009562</v>
      </c>
      <c r="AL128">
        <f>'Expense Model'!AT58</f>
        <v>1261.4375669177998</v>
      </c>
      <c r="AM128">
        <f>'Expense Model'!AU58</f>
        <v>1484.626351993229</v>
      </c>
      <c r="AN128">
        <f>'Expense Model'!AV58</f>
        <v>0</v>
      </c>
    </row>
    <row r="129" spans="1:40">
      <c r="A129" t="str">
        <f>'Expense Model'!I59</f>
        <v>% of Revenue</v>
      </c>
      <c r="B129">
        <f>'Expense Model'!J59</f>
        <v>0</v>
      </c>
      <c r="C129">
        <f>'Expense Model'!K59</f>
        <v>0</v>
      </c>
      <c r="D129">
        <f>'Expense Model'!L59</f>
        <v>0</v>
      </c>
      <c r="E129">
        <f>'Expense Model'!M59</f>
        <v>0</v>
      </c>
      <c r="F129">
        <f>'Expense Model'!N59</f>
        <v>0</v>
      </c>
      <c r="G129">
        <f>'Expense Model'!O59</f>
        <v>0</v>
      </c>
      <c r="H129">
        <f>'Expense Model'!P59</f>
        <v>0</v>
      </c>
      <c r="I129">
        <f>'Expense Model'!Q59</f>
        <v>0</v>
      </c>
      <c r="J129">
        <f>'Expense Model'!R59</f>
        <v>0</v>
      </c>
      <c r="K129">
        <f>'Expense Model'!S59</f>
        <v>0</v>
      </c>
      <c r="L129">
        <f>'Expense Model'!T59</f>
        <v>0</v>
      </c>
      <c r="M129">
        <f>'Expense Model'!U59</f>
        <v>0</v>
      </c>
      <c r="N129">
        <f>'Expense Model'!V59</f>
        <v>0.32921800092788278</v>
      </c>
      <c r="O129">
        <f>'Expense Model'!W59</f>
        <v>0.21946293768628658</v>
      </c>
      <c r="P129">
        <f>'Expense Model'!X59</f>
        <v>0.24008611275779226</v>
      </c>
      <c r="Q129">
        <f>'Expense Model'!Y59</f>
        <v>0.24353882739223329</v>
      </c>
      <c r="R129">
        <f>'Expense Model'!Z59</f>
        <v>0.43006254677643541</v>
      </c>
      <c r="S129">
        <f>'Expense Model'!AA59</f>
        <v>0.25401962888958612</v>
      </c>
      <c r="T129">
        <f>'Expense Model'!AB59</f>
        <v>0.43142875005410292</v>
      </c>
      <c r="U129">
        <f>'Expense Model'!AC59</f>
        <v>0.2108767103149185</v>
      </c>
      <c r="V129">
        <f>'Expense Model'!AD59</f>
        <v>0.2</v>
      </c>
      <c r="W129">
        <f>'Expense Model'!AE59</f>
        <v>0.23</v>
      </c>
      <c r="X129">
        <f>'Expense Model'!AF59</f>
        <v>0.25</v>
      </c>
      <c r="Y129">
        <f>'Expense Model'!AG59</f>
        <v>0.22</v>
      </c>
      <c r="Z129">
        <f>'Expense Model'!AH59</f>
        <v>0</v>
      </c>
      <c r="AA129">
        <f>'Expense Model'!AI59</f>
        <v>0</v>
      </c>
      <c r="AB129">
        <f>'Expense Model'!AJ59</f>
        <v>0</v>
      </c>
      <c r="AC129">
        <f>'Expense Model'!AK59</f>
        <v>0</v>
      </c>
      <c r="AD129">
        <f>'Expense Model'!AL59</f>
        <v>0.24638920891411734</v>
      </c>
      <c r="AE129">
        <f>'Expense Model'!AM59</f>
        <v>0.31573103306992312</v>
      </c>
      <c r="AF129">
        <f>'Expense Model'!AN59</f>
        <v>0.22624523990860626</v>
      </c>
      <c r="AG129">
        <f>'Expense Model'!AO59</f>
        <v>0.19441258080797122</v>
      </c>
      <c r="AH129">
        <f>'Expense Model'!AP59</f>
        <v>0.18121447400963511</v>
      </c>
      <c r="AI129">
        <f>'Expense Model'!AQ59</f>
        <v>0.17410820093632612</v>
      </c>
      <c r="AJ129">
        <f>'Expense Model'!AR59</f>
        <v>0.17081326727808169</v>
      </c>
      <c r="AK129">
        <f>'Expense Model'!AS59</f>
        <v>0.17026811136105235</v>
      </c>
      <c r="AL129">
        <f>'Expense Model'!AT59</f>
        <v>0.17148703977817717</v>
      </c>
      <c r="AM129">
        <f>'Expense Model'!AU59</f>
        <v>0.17372933490628858</v>
      </c>
      <c r="AN129">
        <f>'Expense Model'!AV59</f>
        <v>0</v>
      </c>
    </row>
    <row r="130" spans="1:40">
      <c r="A130" t="str">
        <f>'Expense Model'!I60</f>
        <v>Y/Y Change in bp</v>
      </c>
      <c r="B130">
        <f>'Expense Model'!J60</f>
        <v>0</v>
      </c>
      <c r="C130">
        <f>'Expense Model'!K60</f>
        <v>0</v>
      </c>
      <c r="D130">
        <f>'Expense Model'!L60</f>
        <v>0</v>
      </c>
      <c r="E130">
        <f>'Expense Model'!M60</f>
        <v>0</v>
      </c>
      <c r="F130">
        <f>'Expense Model'!N60</f>
        <v>0</v>
      </c>
      <c r="G130">
        <f>'Expense Model'!O60</f>
        <v>0</v>
      </c>
      <c r="H130">
        <f>'Expense Model'!P60</f>
        <v>0</v>
      </c>
      <c r="I130">
        <f>'Expense Model'!Q60</f>
        <v>0</v>
      </c>
      <c r="J130">
        <f>'Expense Model'!R60</f>
        <v>0</v>
      </c>
      <c r="K130">
        <f>'Expense Model'!S60</f>
        <v>0</v>
      </c>
      <c r="L130">
        <f>'Expense Model'!T60</f>
        <v>0</v>
      </c>
      <c r="M130">
        <f>'Expense Model'!U60</f>
        <v>0</v>
      </c>
      <c r="N130">
        <f>'Expense Model'!V60</f>
        <v>0</v>
      </c>
      <c r="O130">
        <f>'Expense Model'!W60</f>
        <v>0</v>
      </c>
      <c r="P130">
        <f>'Expense Model'!X60</f>
        <v>0</v>
      </c>
      <c r="Q130">
        <f>'Expense Model'!Y60</f>
        <v>0</v>
      </c>
      <c r="R130">
        <f>'Expense Model'!Z60</f>
        <v>0</v>
      </c>
      <c r="S130">
        <f>'Expense Model'!AA60</f>
        <v>0</v>
      </c>
      <c r="T130">
        <f>'Expense Model'!AB60</f>
        <v>0</v>
      </c>
      <c r="U130">
        <f>'Expense Model'!AC60</f>
        <v>0</v>
      </c>
      <c r="V130">
        <f>'Expense Model'!AD60</f>
        <v>-2300.6254677643537</v>
      </c>
      <c r="W130">
        <f>'Expense Model'!AE60</f>
        <v>-240.19628889586113</v>
      </c>
      <c r="X130">
        <f>'Expense Model'!AF60</f>
        <v>-1814.2875005410292</v>
      </c>
      <c r="Y130">
        <f>'Expense Model'!AG60</f>
        <v>91.232896850814981</v>
      </c>
      <c r="Z130">
        <f>'Expense Model'!AH60</f>
        <v>0</v>
      </c>
      <c r="AA130">
        <f>'Expense Model'!AI60</f>
        <v>0</v>
      </c>
      <c r="AB130">
        <f>'Expense Model'!AJ60</f>
        <v>0</v>
      </c>
      <c r="AC130">
        <f>'Expense Model'!AK60</f>
        <v>0</v>
      </c>
      <c r="AD130">
        <f>'Expense Model'!AL60</f>
        <v>0</v>
      </c>
      <c r="AE130">
        <f>'Expense Model'!AM60</f>
        <v>693.41824155805784</v>
      </c>
      <c r="AF130">
        <f>'Expense Model'!AN60</f>
        <v>-894.8579316131686</v>
      </c>
      <c r="AG130">
        <f>'Expense Model'!AO60</f>
        <v>-318.32659100635044</v>
      </c>
      <c r="AH130">
        <f>'Expense Model'!AP60</f>
        <v>-131.98106798336107</v>
      </c>
      <c r="AI130">
        <f>'Expense Model'!AQ60</f>
        <v>-71.062730733089936</v>
      </c>
      <c r="AJ130">
        <f>'Expense Model'!AR60</f>
        <v>-32.94933658244431</v>
      </c>
      <c r="AK130">
        <f>'Expense Model'!AS60</f>
        <v>-5.4515591702933293</v>
      </c>
      <c r="AL130">
        <f>'Expense Model'!AT60</f>
        <v>12.189284171248149</v>
      </c>
      <c r="AM130">
        <f>'Expense Model'!AU60</f>
        <v>22.422951281114155</v>
      </c>
      <c r="AN130">
        <f>'Expense Model'!AV60</f>
        <v>0</v>
      </c>
    </row>
    <row r="131" spans="1:40">
      <c r="A131" t="str">
        <f>'Expense Model'!I61</f>
        <v>Q/Q Change in bp</v>
      </c>
      <c r="B131">
        <f>'Expense Model'!J61</f>
        <v>0</v>
      </c>
      <c r="C131">
        <f>'Expense Model'!K61</f>
        <v>0</v>
      </c>
      <c r="D131">
        <f>'Expense Model'!L61</f>
        <v>0</v>
      </c>
      <c r="E131">
        <f>'Expense Model'!M61</f>
        <v>0</v>
      </c>
      <c r="F131">
        <f>'Expense Model'!N61</f>
        <v>0</v>
      </c>
      <c r="G131">
        <f>'Expense Model'!O61</f>
        <v>0</v>
      </c>
      <c r="H131">
        <f>'Expense Model'!P61</f>
        <v>0</v>
      </c>
      <c r="I131">
        <f>'Expense Model'!Q61</f>
        <v>0</v>
      </c>
      <c r="J131">
        <f>'Expense Model'!R61</f>
        <v>0</v>
      </c>
      <c r="K131">
        <f>'Expense Model'!S61</f>
        <v>0</v>
      </c>
      <c r="L131">
        <f>'Expense Model'!T61</f>
        <v>0</v>
      </c>
      <c r="M131">
        <f>'Expense Model'!U61</f>
        <v>0</v>
      </c>
      <c r="N131">
        <f>'Expense Model'!V61</f>
        <v>0</v>
      </c>
      <c r="O131">
        <f>'Expense Model'!W61</f>
        <v>0</v>
      </c>
      <c r="P131">
        <f>'Expense Model'!X61</f>
        <v>0</v>
      </c>
      <c r="Q131">
        <f>'Expense Model'!Y61</f>
        <v>0</v>
      </c>
      <c r="R131">
        <f>'Expense Model'!Z61</f>
        <v>1865.2371938420213</v>
      </c>
      <c r="S131">
        <f>'Expense Model'!AA61</f>
        <v>-1760.4291788684927</v>
      </c>
      <c r="T131">
        <f>'Expense Model'!AB61</f>
        <v>1774.091211645168</v>
      </c>
      <c r="U131">
        <f>'Expense Model'!AC61</f>
        <v>-2205.5203973918442</v>
      </c>
      <c r="V131">
        <f>'Expense Model'!AD61</f>
        <v>-108.76710314918492</v>
      </c>
      <c r="W131">
        <f>'Expense Model'!AE61</f>
        <v>300</v>
      </c>
      <c r="X131">
        <f>'Expense Model'!AF61</f>
        <v>199.99999999999989</v>
      </c>
      <c r="Y131">
        <f>'Expense Model'!AG61</f>
        <v>-300</v>
      </c>
      <c r="Z131">
        <f>'Expense Model'!AH61</f>
        <v>0</v>
      </c>
      <c r="AA131">
        <f>'Expense Model'!AI61</f>
        <v>0</v>
      </c>
      <c r="AB131">
        <f>'Expense Model'!AJ61</f>
        <v>0</v>
      </c>
      <c r="AC131">
        <f>'Expense Model'!AK61</f>
        <v>0</v>
      </c>
      <c r="AD131">
        <f>'Expense Model'!AL61</f>
        <v>0</v>
      </c>
      <c r="AE131">
        <f>'Expense Model'!AM61</f>
        <v>0</v>
      </c>
      <c r="AF131">
        <f>'Expense Model'!AN61</f>
        <v>0</v>
      </c>
      <c r="AG131">
        <f>'Expense Model'!AO61</f>
        <v>0</v>
      </c>
      <c r="AH131">
        <f>'Expense Model'!AP61</f>
        <v>0</v>
      </c>
      <c r="AI131">
        <f>'Expense Model'!AQ61</f>
        <v>0</v>
      </c>
      <c r="AJ131">
        <f>'Expense Model'!AR61</f>
        <v>0</v>
      </c>
      <c r="AK131">
        <f>'Expense Model'!AS61</f>
        <v>0</v>
      </c>
      <c r="AL131">
        <f>'Expense Model'!AT61</f>
        <v>0</v>
      </c>
      <c r="AM131">
        <f>'Expense Model'!AU61</f>
        <v>0</v>
      </c>
      <c r="AN131">
        <f>'Expense Model'!AV61</f>
        <v>0</v>
      </c>
    </row>
    <row r="132" spans="1:40">
      <c r="A132" t="str">
        <f>'Expense Model'!I62</f>
        <v>Y/Y Abs Change</v>
      </c>
      <c r="B132">
        <f>'Expense Model'!J62</f>
        <v>0</v>
      </c>
      <c r="C132">
        <f>'Expense Model'!K62</f>
        <v>0</v>
      </c>
      <c r="D132">
        <f>'Expense Model'!L62</f>
        <v>0</v>
      </c>
      <c r="E132">
        <f>'Expense Model'!M62</f>
        <v>0</v>
      </c>
      <c r="F132">
        <f>'Expense Model'!N62</f>
        <v>0</v>
      </c>
      <c r="G132">
        <f>'Expense Model'!O62</f>
        <v>0</v>
      </c>
      <c r="H132">
        <f>'Expense Model'!P62</f>
        <v>0</v>
      </c>
      <c r="I132">
        <f>'Expense Model'!Q62</f>
        <v>0</v>
      </c>
      <c r="J132">
        <f>'Expense Model'!R62</f>
        <v>0</v>
      </c>
      <c r="K132">
        <f>'Expense Model'!S62</f>
        <v>0</v>
      </c>
      <c r="L132">
        <f>'Expense Model'!T62</f>
        <v>0</v>
      </c>
      <c r="M132">
        <f>'Expense Model'!U62</f>
        <v>0</v>
      </c>
      <c r="N132">
        <f>'Expense Model'!V62</f>
        <v>0</v>
      </c>
      <c r="O132">
        <f>'Expense Model'!W62</f>
        <v>0</v>
      </c>
      <c r="P132">
        <f>'Expense Model'!X62</f>
        <v>0</v>
      </c>
      <c r="Q132" t="str">
        <f>'Expense Model'!Y62</f>
        <v>na</v>
      </c>
      <c r="R132">
        <f>'Expense Model'!Z62</f>
        <v>51.585000000000008</v>
      </c>
      <c r="S132">
        <f>'Expense Model'!AA62</f>
        <v>30.390999999999991</v>
      </c>
      <c r="T132">
        <f>'Expense Model'!AB62</f>
        <v>58.930000000000007</v>
      </c>
      <c r="U132">
        <f>'Expense Model'!AC62</f>
        <v>19.896000000000015</v>
      </c>
      <c r="V132">
        <f>'Expense Model'!AD62</f>
        <v>-14.558</v>
      </c>
      <c r="W132">
        <f>'Expense Model'!AE62</f>
        <v>21.702000000000012</v>
      </c>
      <c r="X132">
        <f>'Expense Model'!AF62</f>
        <v>-4.460000000000008</v>
      </c>
      <c r="Y132">
        <f>'Expense Model'!AG62</f>
        <v>33.913999999999987</v>
      </c>
      <c r="Z132">
        <f>'Expense Model'!AH62</f>
        <v>0</v>
      </c>
      <c r="AA132">
        <f>'Expense Model'!AI62</f>
        <v>0</v>
      </c>
      <c r="AB132">
        <f>'Expense Model'!AJ62</f>
        <v>0</v>
      </c>
      <c r="AC132">
        <f>'Expense Model'!AK62</f>
        <v>0</v>
      </c>
      <c r="AD132">
        <f>'Expense Model'!AL62</f>
        <v>0</v>
      </c>
      <c r="AE132">
        <f>'Expense Model'!AM62</f>
        <v>160.80199999999999</v>
      </c>
      <c r="AF132">
        <f>'Expense Model'!AN62</f>
        <v>36.598000000000013</v>
      </c>
      <c r="AG132">
        <f>'Expense Model'!AO62</f>
        <v>85.809291672312838</v>
      </c>
      <c r="AH132">
        <f>'Expense Model'!AP62</f>
        <v>125.4152949503565</v>
      </c>
      <c r="AI132">
        <f>'Expense Model'!AQ62</f>
        <v>155.57724075969014</v>
      </c>
      <c r="AJ132">
        <f>'Expense Model'!AR62</f>
        <v>184.04835487894979</v>
      </c>
      <c r="AK132">
        <f>'Expense Model'!AS62</f>
        <v>201.54886253964696</v>
      </c>
      <c r="AL132">
        <f>'Expense Model'!AT62</f>
        <v>211.97852211684358</v>
      </c>
      <c r="AM132">
        <f>'Expense Model'!AU62</f>
        <v>223.18878507542922</v>
      </c>
      <c r="AN132">
        <f>'Expense Model'!AV62</f>
        <v>0</v>
      </c>
    </row>
    <row r="133" spans="1:40">
      <c r="A133" t="str">
        <f>'Expense Model'!I63</f>
        <v>Q/Q Abs Change</v>
      </c>
      <c r="B133">
        <f>'Expense Model'!J63</f>
        <v>0</v>
      </c>
      <c r="C133">
        <f>'Expense Model'!K63</f>
        <v>0</v>
      </c>
      <c r="D133">
        <f>'Expense Model'!L63</f>
        <v>0</v>
      </c>
      <c r="E133">
        <f>'Expense Model'!M63</f>
        <v>0</v>
      </c>
      <c r="F133">
        <f>'Expense Model'!N63</f>
        <v>0</v>
      </c>
      <c r="G133">
        <f>'Expense Model'!O63</f>
        <v>0</v>
      </c>
      <c r="H133">
        <f>'Expense Model'!P63</f>
        <v>0</v>
      </c>
      <c r="I133">
        <f>'Expense Model'!Q63</f>
        <v>0</v>
      </c>
      <c r="J133">
        <f>'Expense Model'!R63</f>
        <v>0</v>
      </c>
      <c r="K133">
        <f>'Expense Model'!S63</f>
        <v>0</v>
      </c>
      <c r="L133">
        <f>'Expense Model'!T63</f>
        <v>0</v>
      </c>
      <c r="M133">
        <f>'Expense Model'!U63</f>
        <v>0</v>
      </c>
      <c r="N133">
        <f>'Expense Model'!V63</f>
        <v>0</v>
      </c>
      <c r="O133">
        <f>'Expense Model'!W63</f>
        <v>0</v>
      </c>
      <c r="P133">
        <f>'Expense Model'!X63</f>
        <v>0</v>
      </c>
      <c r="Q133">
        <f>'Expense Model'!Y63</f>
        <v>9.5699999999999932</v>
      </c>
      <c r="R133">
        <f>'Expense Model'!Z63</f>
        <v>24.00800000000001</v>
      </c>
      <c r="S133">
        <f>'Expense Model'!AA63</f>
        <v>-18.210000000000008</v>
      </c>
      <c r="T133">
        <f>'Expense Model'!AB63</f>
        <v>43.562000000000012</v>
      </c>
      <c r="U133">
        <f>'Expense Model'!AC63</f>
        <v>-29.463999999999999</v>
      </c>
      <c r="V133">
        <f>'Expense Model'!AD63</f>
        <v>-10.446000000000005</v>
      </c>
      <c r="W133">
        <f>'Expense Model'!AE63</f>
        <v>18.050000000000004</v>
      </c>
      <c r="X133">
        <f>'Expense Model'!AF63</f>
        <v>17.399999999999991</v>
      </c>
      <c r="Y133">
        <f>'Expense Model'!AG63</f>
        <v>8.9099999999999966</v>
      </c>
      <c r="Z133">
        <f>'Expense Model'!AH63</f>
        <v>0</v>
      </c>
      <c r="AA133">
        <f>'Expense Model'!AI63</f>
        <v>0</v>
      </c>
      <c r="AB133">
        <f>'Expense Model'!AJ63</f>
        <v>0</v>
      </c>
      <c r="AC133">
        <f>'Expense Model'!AK63</f>
        <v>0</v>
      </c>
      <c r="AD133">
        <f>'Expense Model'!AL63</f>
        <v>0</v>
      </c>
      <c r="AE133">
        <f>'Expense Model'!AM63</f>
        <v>0</v>
      </c>
      <c r="AF133">
        <f>'Expense Model'!AN63</f>
        <v>0</v>
      </c>
      <c r="AG133">
        <f>'Expense Model'!AO63</f>
        <v>0</v>
      </c>
      <c r="AH133">
        <f>'Expense Model'!AP63</f>
        <v>0</v>
      </c>
      <c r="AI133">
        <f>'Expense Model'!AQ63</f>
        <v>0</v>
      </c>
      <c r="AJ133">
        <f>'Expense Model'!AR63</f>
        <v>0</v>
      </c>
      <c r="AK133">
        <f>'Expense Model'!AS63</f>
        <v>0</v>
      </c>
      <c r="AL133">
        <f>'Expense Model'!AT63</f>
        <v>0</v>
      </c>
      <c r="AM133">
        <f>'Expense Model'!AU63</f>
        <v>0</v>
      </c>
      <c r="AN133">
        <f>'Expense Model'!AV63</f>
        <v>0</v>
      </c>
    </row>
    <row r="134" spans="1:40">
      <c r="A134" t="str">
        <f>'Expense Model'!I64</f>
        <v>% of Cost of Revenue</v>
      </c>
      <c r="B134">
        <f>'Expense Model'!J64</f>
        <v>0</v>
      </c>
      <c r="C134">
        <f>'Expense Model'!K64</f>
        <v>0</v>
      </c>
      <c r="D134">
        <f>'Expense Model'!L64</f>
        <v>0</v>
      </c>
      <c r="E134">
        <f>'Expense Model'!M64</f>
        <v>0</v>
      </c>
      <c r="F134">
        <f>'Expense Model'!N64</f>
        <v>0</v>
      </c>
      <c r="G134">
        <f>'Expense Model'!O64</f>
        <v>0</v>
      </c>
      <c r="H134">
        <f>'Expense Model'!P64</f>
        <v>0</v>
      </c>
      <c r="I134">
        <f>'Expense Model'!Q64</f>
        <v>0</v>
      </c>
      <c r="J134">
        <f>'Expense Model'!R64</f>
        <v>0</v>
      </c>
      <c r="K134">
        <f>'Expense Model'!S64</f>
        <v>0</v>
      </c>
      <c r="L134">
        <f>'Expense Model'!T64</f>
        <v>0</v>
      </c>
      <c r="M134">
        <f>'Expense Model'!U64</f>
        <v>0</v>
      </c>
      <c r="N134">
        <f>'Expense Model'!V64</f>
        <v>0</v>
      </c>
      <c r="O134">
        <f>'Expense Model'!W64</f>
        <v>0</v>
      </c>
      <c r="P134">
        <f>'Expense Model'!X64</f>
        <v>0</v>
      </c>
      <c r="Q134">
        <f>'Expense Model'!Y64</f>
        <v>0.26312357352461685</v>
      </c>
      <c r="R134">
        <f>'Expense Model'!Z64</f>
        <v>0.39396907405820347</v>
      </c>
      <c r="S134">
        <f>'Expense Model'!AA64</f>
        <v>0.3033099350632279</v>
      </c>
      <c r="T134">
        <f>'Expense Model'!AB64</f>
        <v>0.42575103222438426</v>
      </c>
      <c r="U134">
        <f>'Expense Model'!AC64</f>
        <v>0.31501835332503692</v>
      </c>
      <c r="V134">
        <f>'Expense Model'!AD64</f>
        <v>0.29083070604863703</v>
      </c>
      <c r="W134">
        <f>'Expense Model'!AE64</f>
        <v>0.34084197275690375</v>
      </c>
      <c r="X134">
        <f>'Expense Model'!AF64</f>
        <v>0.36058397166253298</v>
      </c>
      <c r="Y134">
        <f>'Expense Model'!AG64</f>
        <v>0.36879573345446698</v>
      </c>
      <c r="Z134">
        <f>'Expense Model'!AH64</f>
        <v>0</v>
      </c>
      <c r="AA134">
        <f>'Expense Model'!AI64</f>
        <v>0</v>
      </c>
      <c r="AB134">
        <f>'Expense Model'!AJ64</f>
        <v>0</v>
      </c>
      <c r="AC134">
        <f>'Expense Model'!AK64</f>
        <v>0</v>
      </c>
      <c r="AD134">
        <f>'Expense Model'!AL64</f>
        <v>0</v>
      </c>
      <c r="AE134">
        <f>'Expense Model'!AM64</f>
        <v>0.36303246722474497</v>
      </c>
      <c r="AF134">
        <f>'Expense Model'!AN64</f>
        <v>0.34460156648612833</v>
      </c>
      <c r="AG134">
        <f>'Expense Model'!AO64</f>
        <v>0.36233637039181577</v>
      </c>
      <c r="AH134">
        <f>'Expense Model'!AP64</f>
        <v>0.39244317575377602</v>
      </c>
      <c r="AI134">
        <f>'Expense Model'!AQ64</f>
        <v>0.42847974883320228</v>
      </c>
      <c r="AJ134">
        <f>'Expense Model'!AR64</f>
        <v>0.46341381766839906</v>
      </c>
      <c r="AK134">
        <f>'Expense Model'!AS64</f>
        <v>0.49377846264967185</v>
      </c>
      <c r="AL134">
        <f>'Expense Model'!AT64</f>
        <v>0.51920472588287847</v>
      </c>
      <c r="AM134">
        <f>'Expense Model'!AU64</f>
        <v>0.54059623720694494</v>
      </c>
      <c r="AN134">
        <f>'Expense Model'!AV64</f>
        <v>0</v>
      </c>
    </row>
    <row r="135" spans="1:40">
      <c r="A135">
        <f>'Expense Model'!I78</f>
        <v>0</v>
      </c>
      <c r="B135">
        <f>'Expense Model'!J78</f>
        <v>0</v>
      </c>
      <c r="C135">
        <f>'Expense Model'!K78</f>
        <v>0</v>
      </c>
      <c r="D135">
        <f>'Expense Model'!L78</f>
        <v>0</v>
      </c>
      <c r="E135">
        <f>'Expense Model'!M78</f>
        <v>0</v>
      </c>
      <c r="F135">
        <f>'Expense Model'!N78</f>
        <v>0</v>
      </c>
      <c r="G135">
        <f>'Expense Model'!O78</f>
        <v>0</v>
      </c>
      <c r="H135">
        <f>'Expense Model'!P78</f>
        <v>0</v>
      </c>
      <c r="I135">
        <f>'Expense Model'!Q78</f>
        <v>0</v>
      </c>
      <c r="J135">
        <f>'Expense Model'!R78</f>
        <v>0</v>
      </c>
      <c r="K135">
        <f>'Expense Model'!S78</f>
        <v>0</v>
      </c>
      <c r="L135">
        <f>'Expense Model'!T78</f>
        <v>0</v>
      </c>
      <c r="M135">
        <f>'Expense Model'!U78</f>
        <v>0</v>
      </c>
      <c r="N135">
        <f>'Expense Model'!V78</f>
        <v>0</v>
      </c>
      <c r="O135">
        <f>'Expense Model'!W78</f>
        <v>0</v>
      </c>
      <c r="P135">
        <f>'Expense Model'!X78</f>
        <v>0</v>
      </c>
      <c r="Q135">
        <f>'Expense Model'!Y78</f>
        <v>0</v>
      </c>
      <c r="R135">
        <f>'Expense Model'!Z78</f>
        <v>0</v>
      </c>
      <c r="S135">
        <f>'Expense Model'!AA78</f>
        <v>0</v>
      </c>
      <c r="T135">
        <f>'Expense Model'!AB78</f>
        <v>0</v>
      </c>
      <c r="U135">
        <f>'Expense Model'!AC78</f>
        <v>0</v>
      </c>
      <c r="V135">
        <f>'Expense Model'!AD78</f>
        <v>0</v>
      </c>
      <c r="W135">
        <f>'Expense Model'!AE78</f>
        <v>0</v>
      </c>
      <c r="X135">
        <f>'Expense Model'!AF78</f>
        <v>0</v>
      </c>
      <c r="Y135">
        <f>'Expense Model'!AG78</f>
        <v>0</v>
      </c>
      <c r="Z135">
        <f>'Expense Model'!AH78</f>
        <v>0</v>
      </c>
      <c r="AA135">
        <f>'Expense Model'!AI78</f>
        <v>0</v>
      </c>
      <c r="AB135">
        <f>'Expense Model'!AJ78</f>
        <v>0</v>
      </c>
      <c r="AC135">
        <f>'Expense Model'!AK78</f>
        <v>0</v>
      </c>
      <c r="AD135">
        <f>'Expense Model'!AL78</f>
        <v>0</v>
      </c>
      <c r="AE135">
        <f>'Expense Model'!AM78</f>
        <v>0</v>
      </c>
      <c r="AF135">
        <f>'Expense Model'!AN78</f>
        <v>0</v>
      </c>
      <c r="AG135">
        <f>'Expense Model'!AO78</f>
        <v>0</v>
      </c>
      <c r="AH135">
        <f>'Expense Model'!AP78</f>
        <v>0</v>
      </c>
      <c r="AI135">
        <f>'Expense Model'!AQ78</f>
        <v>0</v>
      </c>
      <c r="AJ135">
        <f>'Expense Model'!AR78</f>
        <v>0</v>
      </c>
      <c r="AK135">
        <f>'Expense Model'!AS78</f>
        <v>0</v>
      </c>
      <c r="AL135">
        <f>'Expense Model'!AT78</f>
        <v>0</v>
      </c>
      <c r="AM135">
        <f>'Expense Model'!AU78</f>
        <v>0</v>
      </c>
      <c r="AN135">
        <f>'Expense Model'!AV78</f>
        <v>0</v>
      </c>
    </row>
    <row r="136" spans="1:40">
      <c r="A136">
        <f>'Expense Model'!I90</f>
        <v>0</v>
      </c>
      <c r="B136">
        <f>'Expense Model'!J90</f>
        <v>0</v>
      </c>
      <c r="C136">
        <f>'Expense Model'!K90</f>
        <v>0</v>
      </c>
      <c r="D136">
        <f>'Expense Model'!L90</f>
        <v>0</v>
      </c>
      <c r="E136">
        <f>'Expense Model'!M90</f>
        <v>0</v>
      </c>
      <c r="F136">
        <f>'Expense Model'!N90</f>
        <v>0</v>
      </c>
      <c r="G136">
        <f>'Expense Model'!O90</f>
        <v>0</v>
      </c>
      <c r="H136">
        <f>'Expense Model'!P90</f>
        <v>0</v>
      </c>
      <c r="I136">
        <f>'Expense Model'!Q90</f>
        <v>0</v>
      </c>
      <c r="J136">
        <f>'Expense Model'!R90</f>
        <v>0</v>
      </c>
      <c r="K136">
        <f>'Expense Model'!S90</f>
        <v>0</v>
      </c>
      <c r="L136">
        <f>'Expense Model'!T90</f>
        <v>0</v>
      </c>
      <c r="M136">
        <f>'Expense Model'!U90</f>
        <v>0</v>
      </c>
      <c r="N136">
        <f>'Expense Model'!V90</f>
        <v>0</v>
      </c>
      <c r="O136">
        <f>'Expense Model'!W90</f>
        <v>0</v>
      </c>
      <c r="P136">
        <f>'Expense Model'!X90</f>
        <v>0</v>
      </c>
      <c r="Q136">
        <f>'Expense Model'!Y90</f>
        <v>0</v>
      </c>
      <c r="R136">
        <f>'Expense Model'!Z90</f>
        <v>0</v>
      </c>
      <c r="S136">
        <f>'Expense Model'!AA90</f>
        <v>0</v>
      </c>
      <c r="T136">
        <f>'Expense Model'!AB90</f>
        <v>0</v>
      </c>
      <c r="U136">
        <f>'Expense Model'!AC90</f>
        <v>0</v>
      </c>
      <c r="V136">
        <f>'Expense Model'!AD90</f>
        <v>0</v>
      </c>
      <c r="W136">
        <f>'Expense Model'!AE90</f>
        <v>0</v>
      </c>
      <c r="X136">
        <f>'Expense Model'!AF90</f>
        <v>0</v>
      </c>
      <c r="Y136">
        <f>'Expense Model'!AG90</f>
        <v>0</v>
      </c>
      <c r="Z136">
        <f>'Expense Model'!AH90</f>
        <v>0</v>
      </c>
      <c r="AA136">
        <f>'Expense Model'!AI90</f>
        <v>0</v>
      </c>
      <c r="AB136">
        <f>'Expense Model'!AJ90</f>
        <v>0</v>
      </c>
      <c r="AC136">
        <f>'Expense Model'!AK90</f>
        <v>0</v>
      </c>
      <c r="AD136">
        <f>'Expense Model'!AL90</f>
        <v>0</v>
      </c>
      <c r="AE136">
        <f>'Expense Model'!AM90</f>
        <v>0</v>
      </c>
      <c r="AF136">
        <f>'Expense Model'!AN90</f>
        <v>0</v>
      </c>
      <c r="AG136">
        <f>'Expense Model'!AO90</f>
        <v>0</v>
      </c>
      <c r="AH136">
        <f>'Expense Model'!AP90</f>
        <v>0</v>
      </c>
      <c r="AI136">
        <f>'Expense Model'!AQ90</f>
        <v>0</v>
      </c>
      <c r="AJ136">
        <f>'Expense Model'!AR90</f>
        <v>0</v>
      </c>
      <c r="AK136">
        <f>'Expense Model'!AS90</f>
        <v>0</v>
      </c>
      <c r="AL136">
        <f>'Expense Model'!AT90</f>
        <v>0</v>
      </c>
      <c r="AM136">
        <f>'Expense Model'!AU90</f>
        <v>0</v>
      </c>
      <c r="AN136">
        <f>'Expense Model'!AV90</f>
        <v>0</v>
      </c>
    </row>
    <row r="137" spans="1:40">
      <c r="A137" t="str">
        <f>'Expense Model'!I18</f>
        <v>Total Cost of Revenue/User</v>
      </c>
      <c r="B137">
        <f>'Expense Model'!J18</f>
        <v>0</v>
      </c>
      <c r="C137">
        <f>'Expense Model'!K18</f>
        <v>0</v>
      </c>
      <c r="D137">
        <f>'Expense Model'!L18</f>
        <v>0</v>
      </c>
      <c r="E137">
        <f>'Expense Model'!M18</f>
        <v>0</v>
      </c>
      <c r="F137">
        <f>'Expense Model'!N18</f>
        <v>0</v>
      </c>
      <c r="G137">
        <f>'Expense Model'!O18</f>
        <v>0</v>
      </c>
      <c r="H137">
        <f>'Expense Model'!P18</f>
        <v>0</v>
      </c>
      <c r="I137">
        <f>'Expense Model'!Q18</f>
        <v>0</v>
      </c>
      <c r="J137">
        <f>'Expense Model'!R18</f>
        <v>0.2561604938271605</v>
      </c>
      <c r="K137">
        <f>'Expense Model'!S18</f>
        <v>0.46664367816091951</v>
      </c>
      <c r="L137">
        <f>'Expense Model'!T18</f>
        <v>0.59373812038014784</v>
      </c>
      <c r="M137">
        <f>'Expense Model'!U18</f>
        <v>0.61100943396226415</v>
      </c>
      <c r="N137">
        <f>'Expense Model'!V18</f>
        <v>0.62109016393442618</v>
      </c>
      <c r="O137">
        <f>'Expense Model'!W18</f>
        <v>0.66263636363636369</v>
      </c>
      <c r="P137">
        <f>'Expense Model'!X18</f>
        <v>0.83516339869281042</v>
      </c>
      <c r="Q137">
        <f>'Expense Model'!Y18</f>
        <v>0.96873025900189502</v>
      </c>
      <c r="R137">
        <f>'Expense Model'!Z18</f>
        <v>0.9840843373493976</v>
      </c>
      <c r="S137">
        <f>'Expense Model'!AA18</f>
        <v>0.87441379310344824</v>
      </c>
      <c r="T137">
        <f>'Expense Model'!AB18</f>
        <v>1.1837640449438203</v>
      </c>
      <c r="U137">
        <f>'Expense Model'!AC18</f>
        <v>1.0227058823529411</v>
      </c>
      <c r="V137">
        <f>'Expense Model'!AD18</f>
        <v>0.88301174997017784</v>
      </c>
      <c r="W137">
        <f>'Expense Model'!AE18</f>
        <v>0.98889652180382726</v>
      </c>
      <c r="X137">
        <f>'Expense Model'!AF18</f>
        <v>1.1375372501264802</v>
      </c>
      <c r="Y137">
        <f>'Expense Model'!AG18</f>
        <v>1.1875271322477623</v>
      </c>
      <c r="Z137">
        <f>'Expense Model'!AH18</f>
        <v>0</v>
      </c>
      <c r="AA137">
        <f>'Expense Model'!AI18</f>
        <v>0</v>
      </c>
      <c r="AB137">
        <f>'Expense Model'!AJ18</f>
        <v>0</v>
      </c>
      <c r="AC137">
        <f>'Expense Model'!AK18</f>
        <v>1.720198113207547</v>
      </c>
      <c r="AD137">
        <f>'Expense Model'!AL18</f>
        <v>2.8531901452937456</v>
      </c>
      <c r="AE137">
        <f>'Expense Model'!AM18</f>
        <v>3.8366951871657755</v>
      </c>
      <c r="AF137">
        <f>'Expense Model'!AN18</f>
        <v>4.0094971462650131</v>
      </c>
      <c r="AG137">
        <f>'Expense Model'!AO18</f>
        <v>4.3736514803113415</v>
      </c>
      <c r="AH137">
        <f>'Expense Model'!AP18</f>
        <v>4.8645870349436606</v>
      </c>
      <c r="AI137">
        <f>'Expense Model'!AQ18</f>
        <v>5.3688766523546212</v>
      </c>
      <c r="AJ137">
        <f>'Expense Model'!AR18</f>
        <v>5.9275659408065673</v>
      </c>
      <c r="AK137">
        <f>'Expense Model'!AS18</f>
        <v>6.5042403665770525</v>
      </c>
      <c r="AL137">
        <f>'Expense Model'!AT18</f>
        <v>7.0823106548695156</v>
      </c>
      <c r="AM137">
        <f>'Expense Model'!AU18</f>
        <v>7.6428584703584868</v>
      </c>
      <c r="AN137">
        <f>'Expense Model'!AV18</f>
        <v>0</v>
      </c>
    </row>
    <row r="138" spans="1:40">
      <c r="A138" t="str">
        <f>'Expense Model'!I19</f>
        <v xml:space="preserve">Y/Y % Change </v>
      </c>
      <c r="B138">
        <f>'Expense Model'!J19</f>
        <v>0</v>
      </c>
      <c r="C138">
        <f>'Expense Model'!K19</f>
        <v>0</v>
      </c>
      <c r="D138">
        <f>'Expense Model'!L19</f>
        <v>0</v>
      </c>
      <c r="E138">
        <f>'Expense Model'!M19</f>
        <v>0</v>
      </c>
      <c r="F138">
        <f>'Expense Model'!N19</f>
        <v>0</v>
      </c>
      <c r="G138">
        <f>'Expense Model'!O19</f>
        <v>0</v>
      </c>
      <c r="H138">
        <f>'Expense Model'!P19</f>
        <v>0</v>
      </c>
      <c r="I138">
        <f>'Expense Model'!Q19</f>
        <v>0</v>
      </c>
      <c r="J138">
        <f>'Expense Model'!R19</f>
        <v>0</v>
      </c>
      <c r="K138">
        <f>'Expense Model'!S19</f>
        <v>0</v>
      </c>
      <c r="L138">
        <f>'Expense Model'!T19</f>
        <v>0</v>
      </c>
      <c r="M138">
        <f>'Expense Model'!U19</f>
        <v>0</v>
      </c>
      <c r="N138">
        <f>'Expense Model'!V19</f>
        <v>1.4246133923894413</v>
      </c>
      <c r="O138">
        <f>'Expense Model'!W19</f>
        <v>0.42000501592107109</v>
      </c>
      <c r="P138">
        <f>'Expense Model'!X19</f>
        <v>0.40661913059934096</v>
      </c>
      <c r="Q138">
        <f>'Expense Model'!Y19</f>
        <v>0.58545875915513879</v>
      </c>
      <c r="R138">
        <f>'Expense Model'!Z19</f>
        <v>0.58444682349420662</v>
      </c>
      <c r="S138">
        <f>'Expense Model'!AA19</f>
        <v>0.31959826096006716</v>
      </c>
      <c r="T138">
        <f>'Expense Model'!AB19</f>
        <v>0.41740412330884724</v>
      </c>
      <c r="U138">
        <f>'Expense Model'!AC19</f>
        <v>5.5717907900036501E-2</v>
      </c>
      <c r="V138">
        <f>'Expense Model'!AD19</f>
        <v>-0.10270724118164076</v>
      </c>
      <c r="W138">
        <f>'Expense Model'!AE19</f>
        <v>0.13092511760828907</v>
      </c>
      <c r="X138">
        <f>'Expense Model'!AF19</f>
        <v>-3.9050683296884436E-2</v>
      </c>
      <c r="Y138">
        <f>'Expense Model'!AG19</f>
        <v>0.1611619261596664</v>
      </c>
      <c r="Z138">
        <f>'Expense Model'!AH19</f>
        <v>0</v>
      </c>
      <c r="AA138">
        <f>'Expense Model'!AI19</f>
        <v>0</v>
      </c>
      <c r="AB138">
        <f>'Expense Model'!AJ19</f>
        <v>0</v>
      </c>
      <c r="AC138">
        <f>'Expense Model'!AK19</f>
        <v>0</v>
      </c>
      <c r="AD138">
        <f>'Expense Model'!AL19</f>
        <v>0.65864043413789042</v>
      </c>
      <c r="AE138">
        <f>'Expense Model'!AM19</f>
        <v>0.34470364461839065</v>
      </c>
      <c r="AF138">
        <f>'Expense Model'!AN19</f>
        <v>4.5039272256311103E-2</v>
      </c>
      <c r="AG138">
        <f>'Expense Model'!AO19</f>
        <v>9.0822943816171842E-2</v>
      </c>
      <c r="AH138">
        <f>'Expense Model'!AP19</f>
        <v>0.11224843974018972</v>
      </c>
      <c r="AI138">
        <f>'Expense Model'!AQ19</f>
        <v>0.10366545274830319</v>
      </c>
      <c r="AJ138">
        <f>'Expense Model'!AR19</f>
        <v>0.10406074205614724</v>
      </c>
      <c r="AK138">
        <f>'Expense Model'!AS19</f>
        <v>9.7286884959059128E-2</v>
      </c>
      <c r="AL138">
        <f>'Expense Model'!AT19</f>
        <v>8.8875911053803991E-2</v>
      </c>
      <c r="AM138">
        <f>'Expense Model'!AU19</f>
        <v>7.9147589368105509E-2</v>
      </c>
      <c r="AN138">
        <f>'Expense Model'!AV19</f>
        <v>0</v>
      </c>
    </row>
    <row r="139" spans="1:40">
      <c r="A139" t="str">
        <f>'Expense Model'!I20</f>
        <v xml:space="preserve">Q/Q % Change </v>
      </c>
      <c r="B139">
        <f>'Expense Model'!J20</f>
        <v>0</v>
      </c>
      <c r="C139">
        <f>'Expense Model'!K20</f>
        <v>0</v>
      </c>
      <c r="D139">
        <f>'Expense Model'!L20</f>
        <v>0</v>
      </c>
      <c r="E139">
        <f>'Expense Model'!M20</f>
        <v>0</v>
      </c>
      <c r="F139">
        <f>'Expense Model'!N20</f>
        <v>0</v>
      </c>
      <c r="G139">
        <f>'Expense Model'!O20</f>
        <v>0</v>
      </c>
      <c r="H139">
        <f>'Expense Model'!P20</f>
        <v>0</v>
      </c>
      <c r="I139">
        <f>'Expense Model'!Q20</f>
        <v>0</v>
      </c>
      <c r="J139">
        <f>'Expense Model'!R20</f>
        <v>0</v>
      </c>
      <c r="K139">
        <f>'Expense Model'!S20</f>
        <v>0.82168480076314432</v>
      </c>
      <c r="L139">
        <f>'Expense Model'!T20</f>
        <v>0.27235865000918436</v>
      </c>
      <c r="M139">
        <f>'Expense Model'!U20</f>
        <v>2.908911014684068E-2</v>
      </c>
      <c r="N139">
        <f>'Expense Model'!V20</f>
        <v>1.6498484985396411E-2</v>
      </c>
      <c r="O139">
        <f>'Expense Model'!W20</f>
        <v>6.6892380711287336E-2</v>
      </c>
      <c r="P139">
        <f>'Expense Model'!X20</f>
        <v>0.2603645747867902</v>
      </c>
      <c r="Q139">
        <f>'Expense Model'!Y20</f>
        <v>0.15992901570895235</v>
      </c>
      <c r="R139">
        <f>'Expense Model'!Z20</f>
        <v>1.5849694179391305E-2</v>
      </c>
      <c r="S139">
        <f>'Expense Model'!AA20</f>
        <v>-0.11144425338720843</v>
      </c>
      <c r="T139">
        <f>'Expense Model'!AB20</f>
        <v>0.35378016024019199</v>
      </c>
      <c r="U139">
        <f>'Expense Model'!AC20</f>
        <v>-0.13605596763882344</v>
      </c>
      <c r="V139">
        <f>'Expense Model'!AD20</f>
        <v>-0.136592675170078</v>
      </c>
      <c r="W139">
        <f>'Expense Model'!AE20</f>
        <v>0.11991320821860585</v>
      </c>
      <c r="X139">
        <f>'Expense Model'!AF20</f>
        <v>0.15030968867351291</v>
      </c>
      <c r="Y139">
        <f>'Expense Model'!AG20</f>
        <v>4.3945710011451311E-2</v>
      </c>
      <c r="Z139">
        <f>'Expense Model'!AH20</f>
        <v>0</v>
      </c>
      <c r="AA139">
        <f>'Expense Model'!AI20</f>
        <v>0</v>
      </c>
      <c r="AB139">
        <f>'Expense Model'!AJ20</f>
        <v>0</v>
      </c>
      <c r="AC139">
        <f>'Expense Model'!AK20</f>
        <v>0</v>
      </c>
      <c r="AD139">
        <f>'Expense Model'!AL20</f>
        <v>0</v>
      </c>
      <c r="AE139">
        <f>'Expense Model'!AM20</f>
        <v>0</v>
      </c>
      <c r="AF139">
        <f>'Expense Model'!AN20</f>
        <v>0</v>
      </c>
      <c r="AG139">
        <f>'Expense Model'!AO20</f>
        <v>0</v>
      </c>
      <c r="AH139">
        <f>'Expense Model'!AP20</f>
        <v>0</v>
      </c>
      <c r="AI139">
        <f>'Expense Model'!AQ20</f>
        <v>0</v>
      </c>
      <c r="AJ139">
        <f>'Expense Model'!AR20</f>
        <v>0</v>
      </c>
      <c r="AK139">
        <f>'Expense Model'!AS20</f>
        <v>0</v>
      </c>
      <c r="AL139">
        <f>'Expense Model'!AT20</f>
        <v>0</v>
      </c>
      <c r="AM139">
        <f>'Expense Model'!AU20</f>
        <v>0</v>
      </c>
      <c r="AN139">
        <f>'Expense Model'!AV20</f>
        <v>0</v>
      </c>
    </row>
    <row r="140" spans="1:40">
      <c r="A140">
        <f>'Expense Model'!I111</f>
        <v>0</v>
      </c>
      <c r="B140">
        <f>'Expense Model'!J111</f>
        <v>0</v>
      </c>
      <c r="C140">
        <f>'Expense Model'!K111</f>
        <v>0</v>
      </c>
      <c r="D140">
        <f>'Expense Model'!L111</f>
        <v>0</v>
      </c>
      <c r="E140">
        <f>'Expense Model'!M111</f>
        <v>0</v>
      </c>
      <c r="F140">
        <f>'Expense Model'!N111</f>
        <v>0</v>
      </c>
      <c r="G140">
        <f>'Expense Model'!O111</f>
        <v>0</v>
      </c>
      <c r="H140">
        <f>'Expense Model'!P111</f>
        <v>0</v>
      </c>
      <c r="I140">
        <f>'Expense Model'!Q111</f>
        <v>0</v>
      </c>
      <c r="J140">
        <f>'Expense Model'!R111</f>
        <v>0</v>
      </c>
      <c r="K140">
        <f>'Expense Model'!S111</f>
        <v>0</v>
      </c>
      <c r="L140">
        <f>'Expense Model'!T111</f>
        <v>0</v>
      </c>
      <c r="M140" t="str">
        <f>'Expense Model'!U111</f>
        <v>Story Explorer</v>
      </c>
      <c r="N140">
        <f>'Expense Model'!V111</f>
        <v>0</v>
      </c>
      <c r="O140">
        <f>'Expense Model'!W111</f>
        <v>0</v>
      </c>
      <c r="P140">
        <f>'Expense Model'!X111</f>
        <v>0</v>
      </c>
      <c r="Q140" t="str">
        <f>'Expense Model'!Y111</f>
        <v>Geostickers</v>
      </c>
      <c r="R140">
        <f>'Expense Model'!Z111</f>
        <v>0</v>
      </c>
      <c r="S140">
        <f>'Expense Model'!AA111</f>
        <v>0</v>
      </c>
      <c r="T140">
        <f>'Expense Model'!AB111</f>
        <v>0</v>
      </c>
      <c r="U140">
        <f>'Expense Model'!AC111</f>
        <v>0</v>
      </c>
      <c r="V140">
        <f>'Expense Model'!AD111</f>
        <v>0</v>
      </c>
      <c r="W140">
        <f>'Expense Model'!AE111</f>
        <v>0</v>
      </c>
      <c r="X140">
        <f>'Expense Model'!AF111</f>
        <v>0</v>
      </c>
      <c r="Y140">
        <f>'Expense Model'!AG111</f>
        <v>0</v>
      </c>
      <c r="Z140">
        <f>'Expense Model'!AH111</f>
        <v>0</v>
      </c>
      <c r="AA140">
        <f>'Expense Model'!AI111</f>
        <v>0</v>
      </c>
      <c r="AB140">
        <f>'Expense Model'!AJ111</f>
        <v>0</v>
      </c>
      <c r="AC140" t="str">
        <f>'Expense Model'!AK111</f>
        <v>Story Explorer</v>
      </c>
      <c r="AD140" t="str">
        <f>'Expense Model'!AL111</f>
        <v>Geostickers</v>
      </c>
      <c r="AE140">
        <f>'Expense Model'!AM111</f>
        <v>0</v>
      </c>
      <c r="AF140">
        <f>'Expense Model'!AN111</f>
        <v>0</v>
      </c>
      <c r="AG140">
        <f>'Expense Model'!AO111</f>
        <v>0</v>
      </c>
      <c r="AH140">
        <f>'Expense Model'!AP111</f>
        <v>0</v>
      </c>
      <c r="AI140">
        <f>'Expense Model'!AQ111</f>
        <v>0</v>
      </c>
      <c r="AJ140">
        <f>'Expense Model'!AR111</f>
        <v>0</v>
      </c>
      <c r="AK140">
        <f>'Expense Model'!AS111</f>
        <v>0</v>
      </c>
      <c r="AL140">
        <f>'Expense Model'!AT111</f>
        <v>0</v>
      </c>
      <c r="AM140">
        <f>'Expense Model'!AU111</f>
        <v>0</v>
      </c>
      <c r="AN140">
        <f>'Expense Model'!AV111</f>
        <v>0</v>
      </c>
    </row>
    <row r="141" spans="1:40">
      <c r="A141" t="str">
        <f>'Expense Model'!I115</f>
        <v>Annualized Cost per User</v>
      </c>
      <c r="B141">
        <f>'Expense Model'!J115</f>
        <v>0</v>
      </c>
      <c r="C141">
        <f>'Expense Model'!K115</f>
        <v>0</v>
      </c>
      <c r="D141">
        <f>'Expense Model'!L115</f>
        <v>0</v>
      </c>
      <c r="E141">
        <f>'Expense Model'!M115</f>
        <v>0</v>
      </c>
      <c r="F141">
        <f>'Expense Model'!N115</f>
        <v>0</v>
      </c>
      <c r="G141">
        <f>'Expense Model'!O115</f>
        <v>0</v>
      </c>
      <c r="H141">
        <f>'Expense Model'!P115</f>
        <v>0</v>
      </c>
      <c r="I141">
        <f>'Expense Model'!Q115</f>
        <v>0</v>
      </c>
      <c r="J141">
        <f>'Expense Model'!R115</f>
        <v>1.024641975308642</v>
      </c>
      <c r="K141">
        <f>'Expense Model'!S115</f>
        <v>1.866574712643678</v>
      </c>
      <c r="L141">
        <f>'Expense Model'!T115</f>
        <v>2.3749524815205914</v>
      </c>
      <c r="M141">
        <f>'Expense Model'!U115</f>
        <v>2.4440377358490566</v>
      </c>
      <c r="N141">
        <f>'Expense Model'!V115</f>
        <v>2.4843606557377047</v>
      </c>
      <c r="O141">
        <f>'Expense Model'!W115</f>
        <v>2.6505454545454548</v>
      </c>
      <c r="P141">
        <f>'Expense Model'!X115</f>
        <v>3.3406535947712417</v>
      </c>
      <c r="Q141">
        <f>'Expense Model'!Y115</f>
        <v>3.8749210360075801</v>
      </c>
      <c r="R141">
        <f>'Expense Model'!Z115</f>
        <v>3.9363373493975904</v>
      </c>
      <c r="S141">
        <f>'Expense Model'!AA115</f>
        <v>3.497655172413793</v>
      </c>
      <c r="T141">
        <f>'Expense Model'!AB115</f>
        <v>4.735056179775281</v>
      </c>
      <c r="U141">
        <f>'Expense Model'!AC115</f>
        <v>4.0908235294117645</v>
      </c>
      <c r="V141">
        <f>'Expense Model'!AD115</f>
        <v>3.5320469998807114</v>
      </c>
      <c r="W141">
        <f>'Expense Model'!AE115</f>
        <v>3.955586087215309</v>
      </c>
      <c r="X141">
        <f>'Expense Model'!AF115</f>
        <v>4.5501490005059209</v>
      </c>
      <c r="Y141">
        <f>'Expense Model'!AG115</f>
        <v>4.7501085289910492</v>
      </c>
      <c r="Z141">
        <f>'Expense Model'!AH115</f>
        <v>0</v>
      </c>
      <c r="AA141">
        <f>'Expense Model'!AI115</f>
        <v>0</v>
      </c>
      <c r="AB141">
        <f>'Expense Model'!AJ115</f>
        <v>0</v>
      </c>
      <c r="AC141">
        <f>'Expense Model'!AK115</f>
        <v>0</v>
      </c>
      <c r="AD141">
        <f>'Expense Model'!AL115</f>
        <v>0</v>
      </c>
      <c r="AE141">
        <f>'Expense Model'!AM115</f>
        <v>0</v>
      </c>
      <c r="AF141">
        <f>'Expense Model'!AN115</f>
        <v>0</v>
      </c>
      <c r="AG141">
        <f>'Expense Model'!AO115</f>
        <v>0</v>
      </c>
      <c r="AH141">
        <f>'Expense Model'!AP115</f>
        <v>0</v>
      </c>
      <c r="AI141">
        <f>'Expense Model'!AQ115</f>
        <v>0</v>
      </c>
      <c r="AJ141">
        <f>'Expense Model'!AR115</f>
        <v>0</v>
      </c>
      <c r="AK141">
        <f>'Expense Model'!AS115</f>
        <v>0</v>
      </c>
      <c r="AL141">
        <f>'Expense Model'!AT115</f>
        <v>0</v>
      </c>
      <c r="AM141">
        <f>'Expense Model'!AU115</f>
        <v>0</v>
      </c>
      <c r="AN141">
        <f>'Expense Model'!AV115</f>
        <v>0</v>
      </c>
    </row>
    <row r="142" spans="1:40">
      <c r="A142" t="str">
        <f>'Expense Model'!I116</f>
        <v xml:space="preserve">Y/Y % Change </v>
      </c>
      <c r="B142">
        <f>'Expense Model'!J116</f>
        <v>0</v>
      </c>
      <c r="C142">
        <f>'Expense Model'!K116</f>
        <v>0</v>
      </c>
      <c r="D142">
        <f>'Expense Model'!L116</f>
        <v>0</v>
      </c>
      <c r="E142">
        <f>'Expense Model'!M116</f>
        <v>0</v>
      </c>
      <c r="F142">
        <f>'Expense Model'!N116</f>
        <v>0</v>
      </c>
      <c r="G142">
        <f>'Expense Model'!O116</f>
        <v>0</v>
      </c>
      <c r="H142">
        <f>'Expense Model'!P116</f>
        <v>0</v>
      </c>
      <c r="I142">
        <f>'Expense Model'!Q116</f>
        <v>0</v>
      </c>
      <c r="J142">
        <f>'Expense Model'!R116</f>
        <v>0</v>
      </c>
      <c r="K142">
        <f>'Expense Model'!S116</f>
        <v>0</v>
      </c>
      <c r="L142">
        <f>'Expense Model'!T116</f>
        <v>0</v>
      </c>
      <c r="M142">
        <f>'Expense Model'!U116</f>
        <v>0</v>
      </c>
      <c r="N142">
        <f>'Expense Model'!V116</f>
        <v>1.4246133923894413</v>
      </c>
      <c r="O142">
        <f>'Expense Model'!W116</f>
        <v>0.42000501592107109</v>
      </c>
      <c r="P142">
        <f>'Expense Model'!X116</f>
        <v>0.40661913059934096</v>
      </c>
      <c r="Q142">
        <f>'Expense Model'!Y116</f>
        <v>0.58545875915513879</v>
      </c>
      <c r="R142">
        <f>'Expense Model'!Z116</f>
        <v>0.58444682349420662</v>
      </c>
      <c r="S142">
        <f>'Expense Model'!AA116</f>
        <v>0.31959826096006716</v>
      </c>
      <c r="T142">
        <f>'Expense Model'!AB116</f>
        <v>0.41740412330884724</v>
      </c>
      <c r="U142">
        <f>'Expense Model'!AC116</f>
        <v>5.5717907900036501E-2</v>
      </c>
      <c r="V142">
        <f>'Expense Model'!AD116</f>
        <v>-0.10270724118164076</v>
      </c>
      <c r="W142">
        <f>'Expense Model'!AE116</f>
        <v>0.13092511760828907</v>
      </c>
      <c r="X142">
        <f>'Expense Model'!AF116</f>
        <v>-3.9050683296884436E-2</v>
      </c>
      <c r="Y142">
        <f>'Expense Model'!AG116</f>
        <v>0.1611619261596664</v>
      </c>
      <c r="Z142">
        <f>'Expense Model'!AH116</f>
        <v>0</v>
      </c>
      <c r="AA142">
        <f>'Expense Model'!AI116</f>
        <v>0</v>
      </c>
      <c r="AB142">
        <f>'Expense Model'!AJ116</f>
        <v>0</v>
      </c>
      <c r="AC142">
        <f>'Expense Model'!AK116</f>
        <v>0</v>
      </c>
      <c r="AD142">
        <f>'Expense Model'!AL116</f>
        <v>0</v>
      </c>
      <c r="AE142">
        <f>'Expense Model'!AM116</f>
        <v>0</v>
      </c>
      <c r="AF142">
        <f>'Expense Model'!AN116</f>
        <v>0</v>
      </c>
      <c r="AG142">
        <f>'Expense Model'!AO116</f>
        <v>0</v>
      </c>
      <c r="AH142">
        <f>'Expense Model'!AP116</f>
        <v>0</v>
      </c>
      <c r="AI142">
        <f>'Expense Model'!AQ116</f>
        <v>0</v>
      </c>
      <c r="AJ142">
        <f>'Expense Model'!AR116</f>
        <v>0</v>
      </c>
      <c r="AK142">
        <f>'Expense Model'!AS116</f>
        <v>0</v>
      </c>
      <c r="AL142">
        <f>'Expense Model'!AT116</f>
        <v>0</v>
      </c>
      <c r="AM142">
        <f>'Expense Model'!AU116</f>
        <v>0</v>
      </c>
      <c r="AN142">
        <f>'Expense Model'!AV116</f>
        <v>0</v>
      </c>
    </row>
    <row r="143" spans="1:40">
      <c r="A143" t="str">
        <f>'Expense Model'!I117</f>
        <v xml:space="preserve">Q/Q % Change </v>
      </c>
      <c r="B143">
        <f>'Expense Model'!J117</f>
        <v>0</v>
      </c>
      <c r="C143">
        <f>'Expense Model'!K117</f>
        <v>0</v>
      </c>
      <c r="D143">
        <f>'Expense Model'!L117</f>
        <v>0</v>
      </c>
      <c r="E143">
        <f>'Expense Model'!M117</f>
        <v>0</v>
      </c>
      <c r="F143">
        <f>'Expense Model'!N117</f>
        <v>0</v>
      </c>
      <c r="G143">
        <f>'Expense Model'!O117</f>
        <v>0</v>
      </c>
      <c r="H143">
        <f>'Expense Model'!P117</f>
        <v>0</v>
      </c>
      <c r="I143">
        <f>'Expense Model'!Q117</f>
        <v>0</v>
      </c>
      <c r="J143">
        <f>'Expense Model'!R117</f>
        <v>0</v>
      </c>
      <c r="K143">
        <f>'Expense Model'!S117</f>
        <v>0.82168480076314432</v>
      </c>
      <c r="L143">
        <f>'Expense Model'!T117</f>
        <v>0.27235865000918436</v>
      </c>
      <c r="M143">
        <f>'Expense Model'!U117</f>
        <v>2.908911014684068E-2</v>
      </c>
      <c r="N143">
        <f>'Expense Model'!V117</f>
        <v>1.6498484985396411E-2</v>
      </c>
      <c r="O143">
        <f>'Expense Model'!W117</f>
        <v>6.6892380711287336E-2</v>
      </c>
      <c r="P143">
        <f>'Expense Model'!X117</f>
        <v>0.2603645747867902</v>
      </c>
      <c r="Q143">
        <f>'Expense Model'!Y117</f>
        <v>0.15992901570895235</v>
      </c>
      <c r="R143">
        <f>'Expense Model'!Z117</f>
        <v>1.5849694179391305E-2</v>
      </c>
      <c r="S143">
        <f>'Expense Model'!AA117</f>
        <v>-0.11144425338720843</v>
      </c>
      <c r="T143">
        <f>'Expense Model'!AB117</f>
        <v>0.35378016024019199</v>
      </c>
      <c r="U143">
        <f>'Expense Model'!AC117</f>
        <v>-0.13605596763882344</v>
      </c>
      <c r="V143">
        <f>'Expense Model'!AD117</f>
        <v>-0.136592675170078</v>
      </c>
      <c r="W143">
        <f>'Expense Model'!AE117</f>
        <v>0.11991320821860585</v>
      </c>
      <c r="X143">
        <f>'Expense Model'!AF117</f>
        <v>0.15030968867351291</v>
      </c>
      <c r="Y143">
        <f>'Expense Model'!AG117</f>
        <v>4.3945710011451311E-2</v>
      </c>
      <c r="Z143">
        <f>'Expense Model'!AH117</f>
        <v>0</v>
      </c>
      <c r="AA143">
        <f>'Expense Model'!AI117</f>
        <v>0</v>
      </c>
      <c r="AB143">
        <f>'Expense Model'!AJ117</f>
        <v>0</v>
      </c>
      <c r="AC143">
        <f>'Expense Model'!AK117</f>
        <v>0</v>
      </c>
      <c r="AD143">
        <f>'Expense Model'!AL117</f>
        <v>0</v>
      </c>
      <c r="AE143">
        <f>'Expense Model'!AM117</f>
        <v>0</v>
      </c>
      <c r="AF143">
        <f>'Expense Model'!AN117</f>
        <v>0</v>
      </c>
      <c r="AG143">
        <f>'Expense Model'!AO117</f>
        <v>0</v>
      </c>
      <c r="AH143">
        <f>'Expense Model'!AP117</f>
        <v>0</v>
      </c>
      <c r="AI143">
        <f>'Expense Model'!AQ117</f>
        <v>0</v>
      </c>
      <c r="AJ143">
        <f>'Expense Model'!AR117</f>
        <v>0</v>
      </c>
      <c r="AK143">
        <f>'Expense Model'!AS117</f>
        <v>0</v>
      </c>
      <c r="AL143">
        <f>'Expense Model'!AT117</f>
        <v>0</v>
      </c>
      <c r="AM143">
        <f>'Expense Model'!AU117</f>
        <v>0</v>
      </c>
      <c r="AN143">
        <f>'Expense Model'!AV117</f>
        <v>0</v>
      </c>
    </row>
    <row r="144" spans="1:40">
      <c r="A144">
        <f>'Expense Model'!I118</f>
        <v>0</v>
      </c>
      <c r="B144">
        <f>'Expense Model'!J118</f>
        <v>0</v>
      </c>
      <c r="C144">
        <f>'Expense Model'!K118</f>
        <v>0</v>
      </c>
      <c r="D144">
        <f>'Expense Model'!L118</f>
        <v>0</v>
      </c>
      <c r="E144">
        <f>'Expense Model'!M118</f>
        <v>0</v>
      </c>
      <c r="F144">
        <f>'Expense Model'!N118</f>
        <v>0</v>
      </c>
      <c r="G144">
        <f>'Expense Model'!O118</f>
        <v>0</v>
      </c>
      <c r="H144">
        <f>'Expense Model'!P118</f>
        <v>0</v>
      </c>
      <c r="I144">
        <f>'Expense Model'!Q118</f>
        <v>0</v>
      </c>
      <c r="J144">
        <f>'Expense Model'!R118</f>
        <v>0</v>
      </c>
      <c r="K144">
        <f>'Expense Model'!S118</f>
        <v>0</v>
      </c>
      <c r="L144">
        <f>'Expense Model'!T118</f>
        <v>0</v>
      </c>
      <c r="M144">
        <f>'Expense Model'!U118</f>
        <v>0</v>
      </c>
      <c r="N144">
        <f>'Expense Model'!V118</f>
        <v>0</v>
      </c>
      <c r="O144">
        <f>'Expense Model'!W118</f>
        <v>0</v>
      </c>
      <c r="P144">
        <f>'Expense Model'!X118</f>
        <v>0</v>
      </c>
      <c r="Q144">
        <f>'Expense Model'!Y118</f>
        <v>0</v>
      </c>
      <c r="R144">
        <f>'Expense Model'!Z118</f>
        <v>0</v>
      </c>
      <c r="S144">
        <f>'Expense Model'!AA118</f>
        <v>0</v>
      </c>
      <c r="T144">
        <f>'Expense Model'!AB118</f>
        <v>0</v>
      </c>
      <c r="U144">
        <f>'Expense Model'!AC118</f>
        <v>0</v>
      </c>
      <c r="V144">
        <f>'Expense Model'!AD118</f>
        <v>0</v>
      </c>
      <c r="W144">
        <f>'Expense Model'!AE118</f>
        <v>0</v>
      </c>
      <c r="X144">
        <f>'Expense Model'!AF118</f>
        <v>0</v>
      </c>
      <c r="Y144">
        <f>'Expense Model'!AG118</f>
        <v>0</v>
      </c>
      <c r="Z144">
        <f>'Expense Model'!AH118</f>
        <v>0</v>
      </c>
      <c r="AA144">
        <f>'Expense Model'!AI118</f>
        <v>0</v>
      </c>
      <c r="AB144">
        <f>'Expense Model'!AJ118</f>
        <v>0</v>
      </c>
      <c r="AC144">
        <f>'Expense Model'!AK118</f>
        <v>0</v>
      </c>
      <c r="AD144">
        <f>'Expense Model'!AL118</f>
        <v>0</v>
      </c>
      <c r="AE144">
        <f>'Expense Model'!AM118</f>
        <v>0</v>
      </c>
      <c r="AF144">
        <f>'Expense Model'!AN118</f>
        <v>0</v>
      </c>
      <c r="AG144">
        <f>'Expense Model'!AO118</f>
        <v>0</v>
      </c>
      <c r="AH144">
        <f>'Expense Model'!AP118</f>
        <v>0</v>
      </c>
      <c r="AI144">
        <f>'Expense Model'!AQ118</f>
        <v>0</v>
      </c>
      <c r="AJ144">
        <f>'Expense Model'!AR118</f>
        <v>0</v>
      </c>
      <c r="AK144">
        <f>'Expense Model'!AS118</f>
        <v>0</v>
      </c>
      <c r="AL144">
        <f>'Expense Model'!AT118</f>
        <v>0</v>
      </c>
      <c r="AM144">
        <f>'Expense Model'!AU118</f>
        <v>0</v>
      </c>
      <c r="AN144">
        <f>'Expense Model'!AV118</f>
        <v>0</v>
      </c>
    </row>
    <row r="145" spans="1:40">
      <c r="A145">
        <f>'Expense Model'!I119</f>
        <v>0</v>
      </c>
      <c r="B145">
        <f>'Expense Model'!J119</f>
        <v>0</v>
      </c>
      <c r="C145">
        <f>'Expense Model'!K119</f>
        <v>0</v>
      </c>
      <c r="D145">
        <f>'Expense Model'!L119</f>
        <v>0</v>
      </c>
      <c r="E145">
        <f>'Expense Model'!M119</f>
        <v>0</v>
      </c>
      <c r="F145">
        <f>'Expense Model'!N119</f>
        <v>0</v>
      </c>
      <c r="G145">
        <f>'Expense Model'!O119</f>
        <v>0</v>
      </c>
      <c r="H145">
        <f>'Expense Model'!P119</f>
        <v>0</v>
      </c>
      <c r="I145">
        <f>'Expense Model'!Q119</f>
        <v>0</v>
      </c>
      <c r="J145">
        <f>'Expense Model'!R119</f>
        <v>0</v>
      </c>
      <c r="K145">
        <f>'Expense Model'!S119</f>
        <v>0</v>
      </c>
      <c r="L145">
        <f>'Expense Model'!T119</f>
        <v>0</v>
      </c>
      <c r="M145">
        <f>'Expense Model'!U119</f>
        <v>0</v>
      </c>
      <c r="N145">
        <f>'Expense Model'!V119</f>
        <v>0</v>
      </c>
      <c r="O145">
        <f>'Expense Model'!W119</f>
        <v>0</v>
      </c>
      <c r="P145">
        <f>'Expense Model'!X119</f>
        <v>0</v>
      </c>
      <c r="Q145">
        <f>'Expense Model'!Y119</f>
        <v>0</v>
      </c>
      <c r="R145">
        <f>'Expense Model'!Z119</f>
        <v>0</v>
      </c>
      <c r="S145">
        <f>'Expense Model'!AA119</f>
        <v>0</v>
      </c>
      <c r="T145">
        <f>'Expense Model'!AB119</f>
        <v>0</v>
      </c>
      <c r="U145">
        <f>'Expense Model'!AC119</f>
        <v>0</v>
      </c>
      <c r="V145">
        <f>'Expense Model'!AD119</f>
        <v>0</v>
      </c>
      <c r="W145">
        <f>'Expense Model'!AE119</f>
        <v>0</v>
      </c>
      <c r="X145">
        <f>'Expense Model'!AF119</f>
        <v>0</v>
      </c>
      <c r="Y145">
        <f>'Expense Model'!AG119</f>
        <v>0</v>
      </c>
      <c r="Z145">
        <f>'Expense Model'!AH119</f>
        <v>0</v>
      </c>
      <c r="AA145">
        <f>'Expense Model'!AI119</f>
        <v>0</v>
      </c>
      <c r="AB145">
        <f>'Expense Model'!AJ119</f>
        <v>0</v>
      </c>
      <c r="AC145">
        <f>'Expense Model'!AK119</f>
        <v>0</v>
      </c>
      <c r="AD145">
        <f>'Expense Model'!AL119</f>
        <v>0</v>
      </c>
      <c r="AE145">
        <f>'Expense Model'!AM119</f>
        <v>0</v>
      </c>
      <c r="AF145">
        <f>'Expense Model'!AN119</f>
        <v>0</v>
      </c>
      <c r="AG145">
        <f>'Expense Model'!AO119</f>
        <v>0</v>
      </c>
      <c r="AH145">
        <f>'Expense Model'!AP119</f>
        <v>0</v>
      </c>
      <c r="AI145">
        <f>'Expense Model'!AQ119</f>
        <v>0</v>
      </c>
      <c r="AJ145">
        <f>'Expense Model'!AR119</f>
        <v>0</v>
      </c>
      <c r="AK145">
        <f>'Expense Model'!AS119</f>
        <v>0</v>
      </c>
      <c r="AL145">
        <f>'Expense Model'!AT119</f>
        <v>0</v>
      </c>
      <c r="AM145">
        <f>'Expense Model'!AU119</f>
        <v>0</v>
      </c>
      <c r="AN145">
        <f>'Expense Model'!AV119</f>
        <v>0</v>
      </c>
    </row>
    <row r="146" spans="1:40">
      <c r="A146">
        <f>'Expense Model'!I120</f>
        <v>0</v>
      </c>
      <c r="B146">
        <f>'Expense Model'!J120</f>
        <v>0</v>
      </c>
      <c r="C146">
        <f>'Expense Model'!K120</f>
        <v>0</v>
      </c>
      <c r="D146">
        <f>'Expense Model'!L120</f>
        <v>0</v>
      </c>
      <c r="E146">
        <f>'Expense Model'!M120</f>
        <v>0</v>
      </c>
      <c r="F146">
        <f>'Expense Model'!N120</f>
        <v>0</v>
      </c>
      <c r="G146">
        <f>'Expense Model'!O120</f>
        <v>0</v>
      </c>
      <c r="H146">
        <f>'Expense Model'!P120</f>
        <v>0</v>
      </c>
      <c r="I146">
        <f>'Expense Model'!Q120</f>
        <v>0</v>
      </c>
      <c r="J146">
        <f>'Expense Model'!R120</f>
        <v>0</v>
      </c>
      <c r="K146">
        <f>'Expense Model'!S120</f>
        <v>0</v>
      </c>
      <c r="L146">
        <f>'Expense Model'!T120</f>
        <v>0</v>
      </c>
      <c r="M146">
        <f>'Expense Model'!U120</f>
        <v>0</v>
      </c>
      <c r="N146">
        <f>'Expense Model'!V120</f>
        <v>0</v>
      </c>
      <c r="O146">
        <f>'Expense Model'!W120</f>
        <v>0</v>
      </c>
      <c r="P146">
        <f>'Expense Model'!X120</f>
        <v>0</v>
      </c>
      <c r="Q146">
        <f>'Expense Model'!Y120</f>
        <v>0</v>
      </c>
      <c r="R146">
        <f>'Expense Model'!Z120</f>
        <v>0</v>
      </c>
      <c r="S146">
        <f>'Expense Model'!AA120</f>
        <v>0</v>
      </c>
      <c r="T146">
        <f>'Expense Model'!AB120</f>
        <v>0</v>
      </c>
      <c r="U146">
        <f>'Expense Model'!AC120</f>
        <v>0</v>
      </c>
      <c r="V146">
        <f>'Expense Model'!AD120</f>
        <v>0</v>
      </c>
      <c r="W146">
        <f>'Expense Model'!AE120</f>
        <v>0</v>
      </c>
      <c r="X146">
        <f>'Expense Model'!AF120</f>
        <v>0</v>
      </c>
      <c r="Y146">
        <f>'Expense Model'!AG120</f>
        <v>0</v>
      </c>
      <c r="Z146">
        <f>'Expense Model'!AH120</f>
        <v>0</v>
      </c>
      <c r="AA146">
        <f>'Expense Model'!AI120</f>
        <v>0</v>
      </c>
      <c r="AB146">
        <f>'Expense Model'!AJ120</f>
        <v>0</v>
      </c>
      <c r="AC146">
        <f>'Expense Model'!AK120</f>
        <v>0</v>
      </c>
      <c r="AD146">
        <f>'Expense Model'!AL120</f>
        <v>0</v>
      </c>
      <c r="AE146">
        <f>'Expense Model'!AM120</f>
        <v>0</v>
      </c>
      <c r="AF146">
        <f>'Expense Model'!AN120</f>
        <v>0</v>
      </c>
      <c r="AG146">
        <f>'Expense Model'!AO120</f>
        <v>0</v>
      </c>
      <c r="AH146">
        <f>'Expense Model'!AP120</f>
        <v>0</v>
      </c>
      <c r="AI146">
        <f>'Expense Model'!AQ120</f>
        <v>0</v>
      </c>
      <c r="AJ146">
        <f>'Expense Model'!AR120</f>
        <v>0</v>
      </c>
      <c r="AK146">
        <f>'Expense Model'!AS120</f>
        <v>0</v>
      </c>
      <c r="AL146">
        <f>'Expense Model'!AT120</f>
        <v>0</v>
      </c>
      <c r="AM146">
        <f>'Expense Model'!AU120</f>
        <v>0</v>
      </c>
      <c r="AN146">
        <f>'Expense Model'!AV120</f>
        <v>0</v>
      </c>
    </row>
    <row r="147" spans="1:40">
      <c r="A147" t="str">
        <f>'Expense Model'!I121</f>
        <v xml:space="preserve">Gross Profit </v>
      </c>
      <c r="B147">
        <f>'Expense Model'!J121</f>
        <v>0</v>
      </c>
      <c r="C147">
        <f>'Expense Model'!K121</f>
        <v>0</v>
      </c>
      <c r="D147">
        <f>'Expense Model'!L121</f>
        <v>0</v>
      </c>
      <c r="E147">
        <f>'Expense Model'!M121</f>
        <v>0</v>
      </c>
      <c r="F147">
        <f>'Expense Model'!N121</f>
        <v>0</v>
      </c>
      <c r="G147">
        <f>'Expense Model'!O121</f>
        <v>0</v>
      </c>
      <c r="H147">
        <f>'Expense Model'!P121</f>
        <v>0</v>
      </c>
      <c r="I147">
        <f>'Expense Model'!Q121</f>
        <v>0</v>
      </c>
      <c r="J147">
        <f>'Expense Model'!R121</f>
        <v>-16.829000000000001</v>
      </c>
      <c r="K147">
        <f>'Expense Model'!S121</f>
        <v>-35.298000000000002</v>
      </c>
      <c r="L147">
        <f>'Expense Model'!T121</f>
        <v>-39.501999999999995</v>
      </c>
      <c r="M147">
        <f>'Expense Model'!U121</f>
        <v>-32.048999999999992</v>
      </c>
      <c r="N147">
        <f>'Expense Model'!V121</f>
        <v>-36.974999999999994</v>
      </c>
      <c r="O147">
        <f>'Expense Model'!W121</f>
        <v>-22.959000000000003</v>
      </c>
      <c r="P147">
        <f>'Expense Model'!X121</f>
        <v>0.42400000000000659</v>
      </c>
      <c r="Q147">
        <f>'Expense Model'!Y121</f>
        <v>12.331999999999994</v>
      </c>
      <c r="R147">
        <f>'Expense Model'!Z121</f>
        <v>-13.710000000000008</v>
      </c>
      <c r="S147">
        <f>'Expense Model'!AA121</f>
        <v>29.522999999999996</v>
      </c>
      <c r="T147">
        <f>'Expense Model'!AB121</f>
        <v>-2.7729999999999961</v>
      </c>
      <c r="U147">
        <f>'Expense Model'!AC121</f>
        <v>94.446999999999974</v>
      </c>
      <c r="V147">
        <f>'Expense Model'!AD121</f>
        <v>77.766361445783133</v>
      </c>
      <c r="W147">
        <f>'Expense Model'!AE121</f>
        <v>95.934141264367781</v>
      </c>
      <c r="X147">
        <f>'Expense Model'!AF121</f>
        <v>104.5779549297753</v>
      </c>
      <c r="Y147">
        <f>'Expense Model'!AG121</f>
        <v>172.68251267981285</v>
      </c>
      <c r="Z147">
        <f>'Expense Model'!AH121</f>
        <v>0</v>
      </c>
      <c r="AA147">
        <f>'Expense Model'!AI121</f>
        <v>0</v>
      </c>
      <c r="AB147">
        <f>'Expense Model'!AJ121</f>
        <v>0</v>
      </c>
      <c r="AC147">
        <f>'Expense Model'!AK121</f>
        <v>-123.67799999999997</v>
      </c>
      <c r="AD147">
        <f>'Expense Model'!AL121</f>
        <v>-47.177999999999997</v>
      </c>
      <c r="AE147">
        <f>'Expense Model'!AM121</f>
        <v>107.48699999999997</v>
      </c>
      <c r="AF147">
        <f>'Expense Model'!AN121</f>
        <v>450.96097031973898</v>
      </c>
      <c r="AG147">
        <f>'Expense Model'!AO121</f>
        <v>912.69667052167279</v>
      </c>
      <c r="AH147">
        <f>'Expense Model'!AP121</f>
        <v>1509.6984380237786</v>
      </c>
      <c r="AI147">
        <f>'Expense Model'!AQ121</f>
        <v>2263.5844461679717</v>
      </c>
      <c r="AJ147">
        <f>'Expense Model'!AR121</f>
        <v>3134.2555992232778</v>
      </c>
      <c r="AK147">
        <f>'Expense Model'!AS121</f>
        <v>4038.2036234279885</v>
      </c>
      <c r="AL147">
        <f>'Expense Model'!AT121</f>
        <v>4926.3197973784681</v>
      </c>
      <c r="AM147">
        <f>'Expense Model'!AU121</f>
        <v>5799.3527007501079</v>
      </c>
      <c r="AN147">
        <f>'Expense Model'!AV121</f>
        <v>0</v>
      </c>
    </row>
    <row r="148" spans="1:40">
      <c r="A148" t="str">
        <f>'Expense Model'!I122</f>
        <v>Gross Margin</v>
      </c>
      <c r="B148">
        <f>'Expense Model'!J122</f>
        <v>0</v>
      </c>
      <c r="C148">
        <f>'Expense Model'!K122</f>
        <v>0</v>
      </c>
      <c r="D148">
        <f>'Expense Model'!L122</f>
        <v>0</v>
      </c>
      <c r="E148">
        <f>'Expense Model'!M122</f>
        <v>0</v>
      </c>
      <c r="F148">
        <f>'Expense Model'!N122</f>
        <v>0</v>
      </c>
      <c r="G148">
        <f>'Expense Model'!O122</f>
        <v>0</v>
      </c>
      <c r="H148">
        <f>'Expense Model'!P122</f>
        <v>0</v>
      </c>
      <c r="I148">
        <f>'Expense Model'!Q122</f>
        <v>0</v>
      </c>
      <c r="J148">
        <f>'Expense Model'!R122</f>
        <v>-4.2931122448979595</v>
      </c>
      <c r="K148">
        <f>'Expense Model'!S122</f>
        <v>-6.66</v>
      </c>
      <c r="L148">
        <f>'Expense Model'!T122</f>
        <v>-2.36185351270553</v>
      </c>
      <c r="M148">
        <f>'Expense Model'!U122</f>
        <v>-0.97955253988630075</v>
      </c>
      <c r="N148">
        <f>'Expense Model'!V122</f>
        <v>-0.95301304190937663</v>
      </c>
      <c r="O148">
        <f>'Expense Model'!W122</f>
        <v>-0.31977213849967967</v>
      </c>
      <c r="P148">
        <f>'Expense Model'!X122</f>
        <v>3.307229103616163E-3</v>
      </c>
      <c r="Q148">
        <f>'Expense Model'!Y122</f>
        <v>7.4431742736084758E-2</v>
      </c>
      <c r="R148">
        <f>'Expense Model'!Z122</f>
        <v>-9.1614989842831229E-2</v>
      </c>
      <c r="S148">
        <f>'Expense Model'!AA122</f>
        <v>0.16250805026669088</v>
      </c>
      <c r="T148">
        <f>'Expense Model'!AB122</f>
        <v>-1.3335769968788604E-2</v>
      </c>
      <c r="U148">
        <f>'Expense Model'!AC122</f>
        <v>0.33058912889010222</v>
      </c>
      <c r="V148">
        <f>'Expense Model'!AD122</f>
        <v>0.31231470460153871</v>
      </c>
      <c r="W148">
        <f>'Expense Model'!AE122</f>
        <v>0.32520047886226366</v>
      </c>
      <c r="X148">
        <f>'Expense Model'!AF122</f>
        <v>0.30668021973541143</v>
      </c>
      <c r="Y148">
        <f>'Expense Model'!AG122</f>
        <v>0.4034638146724599</v>
      </c>
      <c r="Z148">
        <f>'Expense Model'!AH122</f>
        <v>0</v>
      </c>
      <c r="AA148">
        <f>'Expense Model'!AI122</f>
        <v>0</v>
      </c>
      <c r="AB148">
        <f>'Expense Model'!AJ122</f>
        <v>0</v>
      </c>
      <c r="AC148">
        <f>'Expense Model'!AK122</f>
        <v>-2.1082794947411481</v>
      </c>
      <c r="AD148">
        <f>'Expense Model'!AL122</f>
        <v>-0.11663807042093344</v>
      </c>
      <c r="AE148">
        <f>'Expense Model'!AM122</f>
        <v>0.13029532734750873</v>
      </c>
      <c r="AF148">
        <f>'Expense Model'!AN122</f>
        <v>0.34345846939812563</v>
      </c>
      <c r="AG148">
        <f>'Expense Model'!AO122</f>
        <v>0.4634472366167896</v>
      </c>
      <c r="AH148">
        <f>'Expense Model'!AP122</f>
        <v>0.53824022124586146</v>
      </c>
      <c r="AI148">
        <f>'Expense Model'!AQ122</f>
        <v>0.59366060727387471</v>
      </c>
      <c r="AJ148">
        <f>'Expense Model'!AR122</f>
        <v>0.63140230013532084</v>
      </c>
      <c r="AK148">
        <f>'Expense Model'!AS122</f>
        <v>0.655173070029474</v>
      </c>
      <c r="AL148">
        <f>'Expense Model'!AT122</f>
        <v>0.66971209769600393</v>
      </c>
      <c r="AM148">
        <f>'Expense Model'!AU122</f>
        <v>0.67863384361703671</v>
      </c>
      <c r="AN148">
        <f>'Expense Model'!AV122</f>
        <v>0</v>
      </c>
    </row>
    <row r="149" spans="1:40">
      <c r="A149" t="str">
        <f>'Expense Model'!I123</f>
        <v>Y/Y Change in bp</v>
      </c>
      <c r="B149">
        <f>'Expense Model'!J123</f>
        <v>0</v>
      </c>
      <c r="C149">
        <f>'Expense Model'!K123</f>
        <v>0</v>
      </c>
      <c r="D149">
        <f>'Expense Model'!L123</f>
        <v>0</v>
      </c>
      <c r="E149">
        <f>'Expense Model'!M123</f>
        <v>0</v>
      </c>
      <c r="F149">
        <f>'Expense Model'!N123</f>
        <v>0</v>
      </c>
      <c r="G149">
        <f>'Expense Model'!O123</f>
        <v>0</v>
      </c>
      <c r="H149">
        <f>'Expense Model'!P123</f>
        <v>0</v>
      </c>
      <c r="I149">
        <f>'Expense Model'!Q123</f>
        <v>0</v>
      </c>
      <c r="J149">
        <f>'Expense Model'!R123</f>
        <v>0</v>
      </c>
      <c r="K149">
        <f>'Expense Model'!S123</f>
        <v>0</v>
      </c>
      <c r="L149">
        <f>'Expense Model'!T123</f>
        <v>0</v>
      </c>
      <c r="M149">
        <f>'Expense Model'!U123</f>
        <v>0</v>
      </c>
      <c r="N149">
        <f>'Expense Model'!V123</f>
        <v>33400.992029885827</v>
      </c>
      <c r="O149">
        <f>'Expense Model'!W123</f>
        <v>63402.278615003204</v>
      </c>
      <c r="P149">
        <f>'Expense Model'!X123</f>
        <v>23651.607418091462</v>
      </c>
      <c r="Q149">
        <f>'Expense Model'!Y123</f>
        <v>10539.842826223856</v>
      </c>
      <c r="R149">
        <f>'Expense Model'!Z123</f>
        <v>8613.9805206654546</v>
      </c>
      <c r="S149">
        <f>'Expense Model'!AA123</f>
        <v>4822.8018876637061</v>
      </c>
      <c r="T149">
        <f>'Expense Model'!AB123</f>
        <v>-166.42999072404768</v>
      </c>
      <c r="U149">
        <f>'Expense Model'!AC123</f>
        <v>2561.5738615401747</v>
      </c>
      <c r="V149">
        <f>'Expense Model'!AD123</f>
        <v>4039.2969444436994</v>
      </c>
      <c r="W149">
        <f>'Expense Model'!AE123</f>
        <v>1626.9242859557278</v>
      </c>
      <c r="X149">
        <f>'Expense Model'!AF123</f>
        <v>3200.1598970420005</v>
      </c>
      <c r="Y149">
        <f>'Expense Model'!AG123</f>
        <v>728.74685782357676</v>
      </c>
      <c r="Z149">
        <f>'Expense Model'!AH123</f>
        <v>0</v>
      </c>
      <c r="AA149">
        <f>'Expense Model'!AI123</f>
        <v>0</v>
      </c>
      <c r="AB149">
        <f>'Expense Model'!AJ123</f>
        <v>0</v>
      </c>
      <c r="AC149">
        <f>'Expense Model'!AK123</f>
        <v>0</v>
      </c>
      <c r="AD149">
        <f>'Expense Model'!AL123</f>
        <v>19916.414243202144</v>
      </c>
      <c r="AE149">
        <f>'Expense Model'!AM123</f>
        <v>2469.3339776844218</v>
      </c>
      <c r="AF149">
        <f>'Expense Model'!AN123</f>
        <v>2131.631420506169</v>
      </c>
      <c r="AG149">
        <f>'Expense Model'!AO123</f>
        <v>1199.8876721866397</v>
      </c>
      <c r="AH149">
        <f>'Expense Model'!AP123</f>
        <v>747.92984629071861</v>
      </c>
      <c r="AI149">
        <f>'Expense Model'!AQ123</f>
        <v>554.20386028013252</v>
      </c>
      <c r="AJ149">
        <f>'Expense Model'!AR123</f>
        <v>377.41692861446131</v>
      </c>
      <c r="AK149">
        <f>'Expense Model'!AS123</f>
        <v>237.70769894153165</v>
      </c>
      <c r="AL149">
        <f>'Expense Model'!AT123</f>
        <v>145.39027666529924</v>
      </c>
      <c r="AM149">
        <f>'Expense Model'!AU123</f>
        <v>89.21745921032786</v>
      </c>
      <c r="AN149">
        <f>'Expense Model'!AV123</f>
        <v>0</v>
      </c>
    </row>
    <row r="150" spans="1:40">
      <c r="A150" t="str">
        <f>'Expense Model'!I124</f>
        <v>Q/Q Change in bp</v>
      </c>
      <c r="B150">
        <f>'Expense Model'!J124</f>
        <v>0</v>
      </c>
      <c r="C150">
        <f>'Expense Model'!K124</f>
        <v>0</v>
      </c>
      <c r="D150">
        <f>'Expense Model'!L124</f>
        <v>0</v>
      </c>
      <c r="E150">
        <f>'Expense Model'!M124</f>
        <v>0</v>
      </c>
      <c r="F150">
        <f>'Expense Model'!N124</f>
        <v>0</v>
      </c>
      <c r="G150">
        <f>'Expense Model'!O124</f>
        <v>0</v>
      </c>
      <c r="H150">
        <f>'Expense Model'!P124</f>
        <v>0</v>
      </c>
      <c r="I150">
        <f>'Expense Model'!Q124</f>
        <v>0</v>
      </c>
      <c r="J150">
        <f>'Expense Model'!R124</f>
        <v>0</v>
      </c>
      <c r="K150">
        <f>'Expense Model'!S124</f>
        <v>-23668.877551020407</v>
      </c>
      <c r="L150">
        <f>'Expense Model'!T124</f>
        <v>42981.464872944707</v>
      </c>
      <c r="M150">
        <f>'Expense Model'!U124</f>
        <v>13823.009728192292</v>
      </c>
      <c r="N150">
        <f>'Expense Model'!V124</f>
        <v>265.39497976924122</v>
      </c>
      <c r="O150">
        <f>'Expense Model'!W124</f>
        <v>6332.4090340969697</v>
      </c>
      <c r="P150">
        <f>'Expense Model'!X124</f>
        <v>3230.793676032958</v>
      </c>
      <c r="Q150">
        <f>'Expense Model'!Y124</f>
        <v>711.24513632468597</v>
      </c>
      <c r="R150">
        <f>'Expense Model'!Z124</f>
        <v>-1660.46732578916</v>
      </c>
      <c r="S150">
        <f>'Expense Model'!AA124</f>
        <v>2541.2304010952212</v>
      </c>
      <c r="T150">
        <f>'Expense Model'!AB124</f>
        <v>-1758.4382023547948</v>
      </c>
      <c r="U150">
        <f>'Expense Model'!AC124</f>
        <v>3439.2489885889081</v>
      </c>
      <c r="V150">
        <f>'Expense Model'!AD124</f>
        <v>-182.74424288563517</v>
      </c>
      <c r="W150">
        <f>'Expense Model'!AE124</f>
        <v>128.85774260724958</v>
      </c>
      <c r="X150">
        <f>'Expense Model'!AF124</f>
        <v>-185.20259126852235</v>
      </c>
      <c r="Y150">
        <f>'Expense Model'!AG124</f>
        <v>967.83594937048463</v>
      </c>
      <c r="Z150">
        <f>'Expense Model'!AH124</f>
        <v>0</v>
      </c>
      <c r="AA150">
        <f>'Expense Model'!AI124</f>
        <v>0</v>
      </c>
      <c r="AB150">
        <f>'Expense Model'!AJ124</f>
        <v>0</v>
      </c>
      <c r="AC150">
        <f>'Expense Model'!AK124</f>
        <v>0</v>
      </c>
      <c r="AD150">
        <f>'Expense Model'!AL124</f>
        <v>0</v>
      </c>
      <c r="AE150">
        <f>'Expense Model'!AM124</f>
        <v>0</v>
      </c>
      <c r="AF150">
        <f>'Expense Model'!AN124</f>
        <v>0</v>
      </c>
      <c r="AG150">
        <f>'Expense Model'!AO124</f>
        <v>0</v>
      </c>
      <c r="AH150">
        <f>'Expense Model'!AP124</f>
        <v>0</v>
      </c>
      <c r="AI150">
        <f>'Expense Model'!AQ124</f>
        <v>0</v>
      </c>
      <c r="AJ150">
        <f>'Expense Model'!AR124</f>
        <v>0</v>
      </c>
      <c r="AK150">
        <f>'Expense Model'!AS124</f>
        <v>0</v>
      </c>
      <c r="AL150">
        <f>'Expense Model'!AT124</f>
        <v>0</v>
      </c>
      <c r="AM150">
        <f>'Expense Model'!AU124</f>
        <v>0</v>
      </c>
      <c r="AN150">
        <f>'Expense Model'!AV124</f>
        <v>0</v>
      </c>
    </row>
    <row r="153" spans="1:40">
      <c r="A153" t="str">
        <f>'Expense Model'!I126</f>
        <v>R&amp;D Expense</v>
      </c>
      <c r="B153">
        <f>'Expense Model'!J126</f>
        <v>0</v>
      </c>
      <c r="C153">
        <f>'Expense Model'!K126</f>
        <v>0</v>
      </c>
      <c r="D153">
        <f>'Expense Model'!L126</f>
        <v>0</v>
      </c>
      <c r="E153">
        <f>'Expense Model'!M126</f>
        <v>0</v>
      </c>
      <c r="F153">
        <f>'Expense Model'!N126</f>
        <v>0</v>
      </c>
      <c r="G153">
        <f>'Expense Model'!O126</f>
        <v>0</v>
      </c>
      <c r="H153">
        <f>'Expense Model'!P126</f>
        <v>0</v>
      </c>
      <c r="I153">
        <f>'Expense Model'!Q126</f>
        <v>0</v>
      </c>
      <c r="J153">
        <f>'Expense Model'!R126</f>
        <v>0</v>
      </c>
      <c r="K153">
        <f>'Expense Model'!S126</f>
        <v>0</v>
      </c>
      <c r="L153">
        <f>'Expense Model'!T126</f>
        <v>0</v>
      </c>
      <c r="M153">
        <f>'Expense Model'!U126</f>
        <v>0</v>
      </c>
      <c r="N153">
        <f>'Expense Model'!V126</f>
        <v>0</v>
      </c>
      <c r="O153">
        <f>'Expense Model'!W126</f>
        <v>0</v>
      </c>
      <c r="P153">
        <f>'Expense Model'!X126</f>
        <v>0</v>
      </c>
      <c r="Q153">
        <f>'Expense Model'!Y126</f>
        <v>0</v>
      </c>
      <c r="R153">
        <f>'Expense Model'!Z126</f>
        <v>0</v>
      </c>
      <c r="S153">
        <f>'Expense Model'!AA126</f>
        <v>0</v>
      </c>
      <c r="T153">
        <f>'Expense Model'!AB126</f>
        <v>0</v>
      </c>
      <c r="U153">
        <f>'Expense Model'!AC126</f>
        <v>0</v>
      </c>
      <c r="V153">
        <f>'Expense Model'!AD126</f>
        <v>0</v>
      </c>
      <c r="W153">
        <f>'Expense Model'!AE126</f>
        <v>0</v>
      </c>
      <c r="X153">
        <f>'Expense Model'!AF126</f>
        <v>0</v>
      </c>
      <c r="Y153">
        <f>'Expense Model'!AG126</f>
        <v>0</v>
      </c>
      <c r="Z153">
        <f>'Expense Model'!AH126</f>
        <v>0</v>
      </c>
      <c r="AA153">
        <f>'Expense Model'!AI126</f>
        <v>0</v>
      </c>
      <c r="AB153">
        <f>'Expense Model'!AJ126</f>
        <v>0</v>
      </c>
      <c r="AC153">
        <f>'Expense Model'!AK126</f>
        <v>0</v>
      </c>
      <c r="AD153">
        <f>'Expense Model'!AL126</f>
        <v>0</v>
      </c>
      <c r="AE153">
        <f>'Expense Model'!AM126</f>
        <v>0</v>
      </c>
      <c r="AF153">
        <f>'Expense Model'!AN126</f>
        <v>0</v>
      </c>
      <c r="AG153">
        <f>'Expense Model'!AO126</f>
        <v>0</v>
      </c>
      <c r="AH153">
        <f>'Expense Model'!AP126</f>
        <v>0</v>
      </c>
      <c r="AI153">
        <f>'Expense Model'!AQ126</f>
        <v>0</v>
      </c>
      <c r="AJ153">
        <f>'Expense Model'!AR126</f>
        <v>0</v>
      </c>
      <c r="AK153">
        <f>'Expense Model'!AS126</f>
        <v>0</v>
      </c>
      <c r="AL153">
        <f>'Expense Model'!AT126</f>
        <v>0</v>
      </c>
      <c r="AM153">
        <f>'Expense Model'!AU126</f>
        <v>0</v>
      </c>
      <c r="AN153">
        <f>'Expense Model'!AV126</f>
        <v>0</v>
      </c>
    </row>
    <row r="154" spans="1:40">
      <c r="A154" t="str">
        <f>'Expense Model'!I127</f>
        <v>GAAP R&amp;D Expense</v>
      </c>
      <c r="B154">
        <f>'Expense Model'!J127</f>
        <v>0</v>
      </c>
      <c r="C154">
        <f>'Expense Model'!K127</f>
        <v>0</v>
      </c>
      <c r="D154">
        <f>'Expense Model'!L127</f>
        <v>0</v>
      </c>
      <c r="E154">
        <f>'Expense Model'!M127</f>
        <v>0</v>
      </c>
      <c r="F154">
        <f>'Expense Model'!N127</f>
        <v>0</v>
      </c>
      <c r="G154">
        <f>'Expense Model'!O127</f>
        <v>0</v>
      </c>
      <c r="H154">
        <f>'Expense Model'!P127</f>
        <v>0</v>
      </c>
      <c r="I154">
        <f>'Expense Model'!Q127</f>
        <v>0</v>
      </c>
      <c r="J154">
        <f>'Expense Model'!R127</f>
        <v>16.587</v>
      </c>
      <c r="K154">
        <f>'Expense Model'!S127</f>
        <v>17.259</v>
      </c>
      <c r="L154">
        <f>'Expense Model'!T127</f>
        <v>18.989000000000001</v>
      </c>
      <c r="M154">
        <f>'Expense Model'!U127</f>
        <v>29.4</v>
      </c>
      <c r="N154">
        <f>'Expense Model'!V127</f>
        <v>28.097999999999999</v>
      </c>
      <c r="O154">
        <f>'Expense Model'!W127</f>
        <v>36.052</v>
      </c>
      <c r="P154">
        <f>'Expense Model'!X127</f>
        <v>54.561999999999998</v>
      </c>
      <c r="Q154">
        <f>'Expense Model'!Y127</f>
        <v>64.963999999999999</v>
      </c>
      <c r="R154">
        <f>'Expense Model'!Z127</f>
        <v>805.84799999999996</v>
      </c>
      <c r="S154">
        <f>'Expense Model'!AA127</f>
        <v>255.73500000000001</v>
      </c>
      <c r="T154">
        <f>'Expense Model'!AB127</f>
        <v>239.44200000000001</v>
      </c>
      <c r="U154">
        <f>'Expense Model'!AC127</f>
        <v>233.83799999999999</v>
      </c>
      <c r="V154">
        <f>'Expense Model'!AD127</f>
        <v>193.83799999999999</v>
      </c>
      <c r="W154">
        <f>'Expense Model'!AE127</f>
        <v>185.73500000000001</v>
      </c>
      <c r="X154">
        <f>'Expense Model'!AF127</f>
        <v>169.44200000000001</v>
      </c>
      <c r="Y154">
        <f>'Expense Model'!AG127</f>
        <v>163.83799999999999</v>
      </c>
      <c r="Z154">
        <f>'Expense Model'!AH127</f>
        <v>0</v>
      </c>
      <c r="AA154">
        <f>'Expense Model'!AI127</f>
        <v>0</v>
      </c>
      <c r="AB154">
        <f>'Expense Model'!AJ127</f>
        <v>0</v>
      </c>
      <c r="AC154">
        <f>'Expense Model'!AK127</f>
        <v>82.235000000000014</v>
      </c>
      <c r="AD154">
        <f>'Expense Model'!AL127</f>
        <v>183.67599999999999</v>
      </c>
      <c r="AE154">
        <f>'Expense Model'!AM127</f>
        <v>1534.8630000000001</v>
      </c>
      <c r="AF154">
        <f>'Expense Model'!AN127</f>
        <v>712.85299999999995</v>
      </c>
      <c r="AG154">
        <f>'Expense Model'!AO127</f>
        <v>762.85299999999995</v>
      </c>
      <c r="AH154">
        <f>'Expense Model'!AP127</f>
        <v>912.85299999999995</v>
      </c>
      <c r="AI154">
        <f>'Expense Model'!AQ127</f>
        <v>1087.8530000000001</v>
      </c>
      <c r="AJ154">
        <f>'Expense Model'!AR127</f>
        <v>1262.8530000000001</v>
      </c>
      <c r="AK154">
        <f>'Expense Model'!AS127</f>
        <v>1437.8530000000001</v>
      </c>
      <c r="AL154">
        <f>'Expense Model'!AT127</f>
        <v>1612.8530000000001</v>
      </c>
      <c r="AM154">
        <f>'Expense Model'!AU127</f>
        <v>1787.8530000000001</v>
      </c>
      <c r="AN154">
        <f>'Expense Model'!AV127</f>
        <v>0</v>
      </c>
    </row>
    <row r="155" spans="1:40">
      <c r="A155" t="str">
        <f>'Expense Model'!I128</f>
        <v>Y/Y Abs Change</v>
      </c>
      <c r="B155">
        <f>'Expense Model'!J128</f>
        <v>0</v>
      </c>
      <c r="C155">
        <f>'Expense Model'!K128</f>
        <v>0</v>
      </c>
      <c r="D155">
        <f>'Expense Model'!L128</f>
        <v>0</v>
      </c>
      <c r="E155">
        <f>'Expense Model'!M128</f>
        <v>0</v>
      </c>
      <c r="F155">
        <f>'Expense Model'!N128</f>
        <v>0</v>
      </c>
      <c r="G155">
        <f>'Expense Model'!O128</f>
        <v>0</v>
      </c>
      <c r="H155">
        <f>'Expense Model'!P128</f>
        <v>0</v>
      </c>
      <c r="I155">
        <f>'Expense Model'!Q128</f>
        <v>0</v>
      </c>
      <c r="J155">
        <f>'Expense Model'!R128</f>
        <v>0</v>
      </c>
      <c r="K155">
        <f>'Expense Model'!S128</f>
        <v>0</v>
      </c>
      <c r="L155">
        <f>'Expense Model'!T128</f>
        <v>0</v>
      </c>
      <c r="M155">
        <f>'Expense Model'!U128</f>
        <v>0</v>
      </c>
      <c r="N155">
        <f>'Expense Model'!V128</f>
        <v>11.510999999999999</v>
      </c>
      <c r="O155">
        <f>'Expense Model'!W128</f>
        <v>18.792999999999999</v>
      </c>
      <c r="P155">
        <f>'Expense Model'!X128</f>
        <v>35.572999999999993</v>
      </c>
      <c r="Q155">
        <f>'Expense Model'!Y128</f>
        <v>35.564</v>
      </c>
      <c r="R155">
        <f>'Expense Model'!Z128</f>
        <v>777.75</v>
      </c>
      <c r="S155">
        <f>'Expense Model'!AA128</f>
        <v>219.68300000000002</v>
      </c>
      <c r="T155">
        <f>'Expense Model'!AB128</f>
        <v>184.88</v>
      </c>
      <c r="U155">
        <f>'Expense Model'!AC128</f>
        <v>168.874</v>
      </c>
      <c r="V155">
        <f>'Expense Model'!AD128</f>
        <v>-612.01</v>
      </c>
      <c r="W155">
        <f>'Expense Model'!AE128</f>
        <v>-70</v>
      </c>
      <c r="X155">
        <f>'Expense Model'!AF128</f>
        <v>-70</v>
      </c>
      <c r="Y155">
        <f>'Expense Model'!AG128</f>
        <v>-70</v>
      </c>
      <c r="Z155">
        <f>'Expense Model'!AH128</f>
        <v>0</v>
      </c>
      <c r="AA155">
        <f>'Expense Model'!AI128</f>
        <v>0</v>
      </c>
      <c r="AB155">
        <f>'Expense Model'!AJ128</f>
        <v>0</v>
      </c>
      <c r="AC155">
        <f>'Expense Model'!AK128</f>
        <v>0</v>
      </c>
      <c r="AD155">
        <f>'Expense Model'!AL128</f>
        <v>101.44099999999997</v>
      </c>
      <c r="AE155">
        <f>'Expense Model'!AM128</f>
        <v>1351.1870000000001</v>
      </c>
      <c r="AF155">
        <f>'Expense Model'!AN128</f>
        <v>-822.0100000000001</v>
      </c>
      <c r="AG155">
        <f>'Expense Model'!AO128</f>
        <v>50</v>
      </c>
      <c r="AH155">
        <f>'Expense Model'!AP128</f>
        <v>150</v>
      </c>
      <c r="AI155">
        <f>'Expense Model'!AQ128</f>
        <v>175</v>
      </c>
      <c r="AJ155">
        <f>'Expense Model'!AR128</f>
        <v>175</v>
      </c>
      <c r="AK155">
        <f>'Expense Model'!AS128</f>
        <v>175</v>
      </c>
      <c r="AL155">
        <f>'Expense Model'!AT128</f>
        <v>175</v>
      </c>
      <c r="AM155">
        <f>'Expense Model'!AU128</f>
        <v>175</v>
      </c>
      <c r="AN155">
        <f>'Expense Model'!AV128</f>
        <v>0</v>
      </c>
    </row>
    <row r="156" spans="1:40">
      <c r="A156" t="str">
        <f>'Expense Model'!I129</f>
        <v>Q/Q Abs Change</v>
      </c>
      <c r="B156">
        <f>'Expense Model'!J129</f>
        <v>0</v>
      </c>
      <c r="C156">
        <f>'Expense Model'!K129</f>
        <v>0</v>
      </c>
      <c r="D156">
        <f>'Expense Model'!L129</f>
        <v>0</v>
      </c>
      <c r="E156">
        <f>'Expense Model'!M129</f>
        <v>0</v>
      </c>
      <c r="F156">
        <f>'Expense Model'!N129</f>
        <v>0</v>
      </c>
      <c r="G156">
        <f>'Expense Model'!O129</f>
        <v>0</v>
      </c>
      <c r="H156">
        <f>'Expense Model'!P129</f>
        <v>0</v>
      </c>
      <c r="I156">
        <f>'Expense Model'!Q129</f>
        <v>0</v>
      </c>
      <c r="J156">
        <f>'Expense Model'!R129</f>
        <v>0</v>
      </c>
      <c r="K156">
        <f>'Expense Model'!S129</f>
        <v>0.6720000000000006</v>
      </c>
      <c r="L156">
        <f>'Expense Model'!T129</f>
        <v>1.7300000000000004</v>
      </c>
      <c r="M156">
        <f>'Expense Model'!U129</f>
        <v>10.410999999999998</v>
      </c>
      <c r="N156">
        <f>'Expense Model'!V129</f>
        <v>-1.3019999999999996</v>
      </c>
      <c r="O156">
        <f>'Expense Model'!W129</f>
        <v>7.9540000000000006</v>
      </c>
      <c r="P156">
        <f>'Expense Model'!X129</f>
        <v>18.509999999999998</v>
      </c>
      <c r="Q156">
        <f>'Expense Model'!Y129</f>
        <v>10.402000000000001</v>
      </c>
      <c r="R156">
        <f>'Expense Model'!Z129</f>
        <v>740.88400000000001</v>
      </c>
      <c r="S156">
        <f>'Expense Model'!AA129</f>
        <v>-550.11299999999994</v>
      </c>
      <c r="T156">
        <f>'Expense Model'!AB129</f>
        <v>-16.293000000000006</v>
      </c>
      <c r="U156">
        <f>'Expense Model'!AC129</f>
        <v>-5.6040000000000134</v>
      </c>
      <c r="V156">
        <f>'Expense Model'!AD129</f>
        <v>-40</v>
      </c>
      <c r="W156">
        <f>'Expense Model'!AE129</f>
        <v>-8.1029999999999802</v>
      </c>
      <c r="X156">
        <f>'Expense Model'!AF129</f>
        <v>-16.293000000000006</v>
      </c>
      <c r="Y156">
        <f>'Expense Model'!AG129</f>
        <v>-5.6040000000000134</v>
      </c>
      <c r="Z156">
        <f>'Expense Model'!AH129</f>
        <v>0</v>
      </c>
      <c r="AA156">
        <f>'Expense Model'!AI129</f>
        <v>0</v>
      </c>
      <c r="AB156">
        <f>'Expense Model'!AJ129</f>
        <v>0</v>
      </c>
      <c r="AC156">
        <f>'Expense Model'!AK129</f>
        <v>0</v>
      </c>
      <c r="AD156">
        <f>'Expense Model'!AL129</f>
        <v>0</v>
      </c>
      <c r="AE156">
        <f>'Expense Model'!AM129</f>
        <v>0</v>
      </c>
      <c r="AF156">
        <f>'Expense Model'!AN129</f>
        <v>0</v>
      </c>
      <c r="AG156">
        <f>'Expense Model'!AO129</f>
        <v>0</v>
      </c>
      <c r="AH156">
        <f>'Expense Model'!AP129</f>
        <v>0</v>
      </c>
      <c r="AI156">
        <f>'Expense Model'!AQ129</f>
        <v>0</v>
      </c>
      <c r="AJ156">
        <f>'Expense Model'!AR129</f>
        <v>0</v>
      </c>
      <c r="AK156">
        <f>'Expense Model'!AS129</f>
        <v>0</v>
      </c>
      <c r="AL156">
        <f>'Expense Model'!AT129</f>
        <v>0</v>
      </c>
      <c r="AM156">
        <f>'Expense Model'!AU129</f>
        <v>0</v>
      </c>
      <c r="AN156">
        <f>'Expense Model'!AV129</f>
        <v>0</v>
      </c>
    </row>
    <row r="157" spans="1:40">
      <c r="A157" t="str">
        <f>'Expense Model'!I130</f>
        <v xml:space="preserve">Y/Y % Change </v>
      </c>
      <c r="B157">
        <f>'Expense Model'!J130</f>
        <v>0</v>
      </c>
      <c r="C157">
        <f>'Expense Model'!K130</f>
        <v>0</v>
      </c>
      <c r="D157">
        <f>'Expense Model'!L130</f>
        <v>0</v>
      </c>
      <c r="E157">
        <f>'Expense Model'!M130</f>
        <v>0</v>
      </c>
      <c r="F157">
        <f>'Expense Model'!N130</f>
        <v>0</v>
      </c>
      <c r="G157">
        <f>'Expense Model'!O130</f>
        <v>0</v>
      </c>
      <c r="H157">
        <f>'Expense Model'!P130</f>
        <v>0</v>
      </c>
      <c r="I157">
        <f>'Expense Model'!Q130</f>
        <v>0</v>
      </c>
      <c r="J157">
        <f>'Expense Model'!R130</f>
        <v>0</v>
      </c>
      <c r="K157">
        <f>'Expense Model'!S130</f>
        <v>0</v>
      </c>
      <c r="L157">
        <f>'Expense Model'!T130</f>
        <v>0</v>
      </c>
      <c r="M157">
        <f>'Expense Model'!U130</f>
        <v>0</v>
      </c>
      <c r="N157">
        <f>'Expense Model'!V130</f>
        <v>0.69397721106890931</v>
      </c>
      <c r="O157">
        <f>'Expense Model'!W130</f>
        <v>1.088881163450953</v>
      </c>
      <c r="P157">
        <f>'Expense Model'!X130</f>
        <v>1.8733477276317867</v>
      </c>
      <c r="Q157">
        <f>'Expense Model'!Y130</f>
        <v>1.2096598639455785</v>
      </c>
      <c r="R157">
        <f>'Expense Model'!Z130</f>
        <v>27.679906043134743</v>
      </c>
      <c r="S157">
        <f>'Expense Model'!AA130</f>
        <v>6.093503827804283</v>
      </c>
      <c r="T157">
        <f>'Expense Model'!AB130</f>
        <v>3.3884388402184671</v>
      </c>
      <c r="U157">
        <f>'Expense Model'!AC130</f>
        <v>2.5995012622375469</v>
      </c>
      <c r="V157">
        <f>'Expense Model'!AD130</f>
        <v>-0.7594608412504591</v>
      </c>
      <c r="W157">
        <f>'Expense Model'!AE130</f>
        <v>-0.27372084384225859</v>
      </c>
      <c r="X157">
        <f>'Expense Model'!AF130</f>
        <v>-0.29234637198152369</v>
      </c>
      <c r="Y157">
        <f>'Expense Model'!AG130</f>
        <v>-0.29935254321367788</v>
      </c>
      <c r="Z157">
        <f>'Expense Model'!AH130</f>
        <v>0</v>
      </c>
      <c r="AA157">
        <f>'Expense Model'!AI130</f>
        <v>0</v>
      </c>
      <c r="AB157">
        <f>'Expense Model'!AJ130</f>
        <v>0</v>
      </c>
      <c r="AC157">
        <f>'Expense Model'!AK130</f>
        <v>0</v>
      </c>
      <c r="AD157">
        <f>'Expense Model'!AL130</f>
        <v>1.2335501915242895</v>
      </c>
      <c r="AE157">
        <f>'Expense Model'!AM130</f>
        <v>7.3563612012456723</v>
      </c>
      <c r="AF157">
        <f>'Expense Model'!AN130</f>
        <v>-0.53555919974616639</v>
      </c>
      <c r="AG157">
        <f>'Expense Model'!AO130</f>
        <v>7.0140688192376288E-2</v>
      </c>
      <c r="AH157">
        <f>'Expense Model'!AP130</f>
        <v>0.19663028132549787</v>
      </c>
      <c r="AI157">
        <f>'Expense Model'!AQ130</f>
        <v>0.19170666032756656</v>
      </c>
      <c r="AJ157">
        <f>'Expense Model'!AR130</f>
        <v>0.16086732306662754</v>
      </c>
      <c r="AK157">
        <f>'Expense Model'!AS130</f>
        <v>0.13857511523510646</v>
      </c>
      <c r="AL157">
        <f>'Expense Model'!AT130</f>
        <v>0.12170924287809681</v>
      </c>
      <c r="AM157">
        <f>'Expense Model'!AU130</f>
        <v>0.10850337879521565</v>
      </c>
      <c r="AN157">
        <f>'Expense Model'!AV130</f>
        <v>0</v>
      </c>
    </row>
    <row r="158" spans="1:40">
      <c r="A158" t="str">
        <f>'Expense Model'!I131</f>
        <v xml:space="preserve">Q/Q % Change </v>
      </c>
      <c r="B158">
        <f>'Expense Model'!J131</f>
        <v>0</v>
      </c>
      <c r="C158">
        <f>'Expense Model'!K131</f>
        <v>0</v>
      </c>
      <c r="D158">
        <f>'Expense Model'!L131</f>
        <v>0</v>
      </c>
      <c r="E158">
        <f>'Expense Model'!M131</f>
        <v>0</v>
      </c>
      <c r="F158">
        <f>'Expense Model'!N131</f>
        <v>0</v>
      </c>
      <c r="G158">
        <f>'Expense Model'!O131</f>
        <v>0</v>
      </c>
      <c r="H158">
        <f>'Expense Model'!P131</f>
        <v>0</v>
      </c>
      <c r="I158">
        <f>'Expense Model'!Q131</f>
        <v>0</v>
      </c>
      <c r="J158">
        <f>'Expense Model'!R131</f>
        <v>0</v>
      </c>
      <c r="K158">
        <f>'Expense Model'!S131</f>
        <v>4.0513655272201188E-2</v>
      </c>
      <c r="L158">
        <f>'Expense Model'!T131</f>
        <v>0.10023755721652483</v>
      </c>
      <c r="M158">
        <f>'Expense Model'!U131</f>
        <v>0.54826478487545405</v>
      </c>
      <c r="N158">
        <f>'Expense Model'!V131</f>
        <v>-4.4285714285714262E-2</v>
      </c>
      <c r="O158">
        <f>'Expense Model'!W131</f>
        <v>0.28308064630934582</v>
      </c>
      <c r="P158">
        <f>'Expense Model'!X131</f>
        <v>0.51342505270165306</v>
      </c>
      <c r="Q158">
        <f>'Expense Model'!Y131</f>
        <v>0.19064550419706028</v>
      </c>
      <c r="R158">
        <f>'Expense Model'!Z131</f>
        <v>11.404531740656363</v>
      </c>
      <c r="S158">
        <f>'Expense Model'!AA131</f>
        <v>-0.6826510706733776</v>
      </c>
      <c r="T158">
        <f>'Expense Model'!AB131</f>
        <v>-6.3710481553170273E-2</v>
      </c>
      <c r="U158">
        <f>'Expense Model'!AC131</f>
        <v>-2.3404415265492307E-2</v>
      </c>
      <c r="V158">
        <f>'Expense Model'!AD131</f>
        <v>-0.17105859612210161</v>
      </c>
      <c r="W158">
        <f>'Expense Model'!AE131</f>
        <v>-4.1802948854197775E-2</v>
      </c>
      <c r="X158">
        <f>'Expense Model'!AF131</f>
        <v>-8.7721754112041417E-2</v>
      </c>
      <c r="Y158">
        <f>'Expense Model'!AG131</f>
        <v>-3.3073264007743131E-2</v>
      </c>
      <c r="Z158">
        <f>'Expense Model'!AH131</f>
        <v>0</v>
      </c>
      <c r="AA158">
        <f>'Expense Model'!AI131</f>
        <v>0</v>
      </c>
      <c r="AB158">
        <f>'Expense Model'!AJ131</f>
        <v>0</v>
      </c>
      <c r="AC158">
        <f>'Expense Model'!AK131</f>
        <v>0</v>
      </c>
      <c r="AD158">
        <f>'Expense Model'!AL131</f>
        <v>0</v>
      </c>
      <c r="AE158">
        <f>'Expense Model'!AM131</f>
        <v>0</v>
      </c>
      <c r="AF158">
        <f>'Expense Model'!AN131</f>
        <v>0</v>
      </c>
      <c r="AG158">
        <f>'Expense Model'!AO131</f>
        <v>0</v>
      </c>
      <c r="AH158">
        <f>'Expense Model'!AP131</f>
        <v>0</v>
      </c>
      <c r="AI158">
        <f>'Expense Model'!AQ131</f>
        <v>0</v>
      </c>
      <c r="AJ158">
        <f>'Expense Model'!AR131</f>
        <v>0</v>
      </c>
      <c r="AK158">
        <f>'Expense Model'!AS131</f>
        <v>0</v>
      </c>
      <c r="AL158">
        <f>'Expense Model'!AT131</f>
        <v>0</v>
      </c>
      <c r="AM158">
        <f>'Expense Model'!AU131</f>
        <v>0</v>
      </c>
      <c r="AN158">
        <f>'Expense Model'!AV131</f>
        <v>0</v>
      </c>
    </row>
    <row r="159" spans="1:40">
      <c r="A159" t="str">
        <f>'Expense Model'!I132</f>
        <v xml:space="preserve">% of Revenue </v>
      </c>
      <c r="B159">
        <f>'Expense Model'!J132</f>
        <v>0</v>
      </c>
      <c r="C159">
        <f>'Expense Model'!K132</f>
        <v>0</v>
      </c>
      <c r="D159">
        <f>'Expense Model'!L132</f>
        <v>0</v>
      </c>
      <c r="E159">
        <f>'Expense Model'!M132</f>
        <v>0</v>
      </c>
      <c r="F159">
        <f>'Expense Model'!N132</f>
        <v>0</v>
      </c>
      <c r="G159">
        <f>'Expense Model'!O132</f>
        <v>0</v>
      </c>
      <c r="H159">
        <f>'Expense Model'!P132</f>
        <v>0</v>
      </c>
      <c r="I159">
        <f>'Expense Model'!Q132</f>
        <v>0</v>
      </c>
      <c r="J159">
        <f>'Expense Model'!R132</f>
        <v>4.2313775510204081</v>
      </c>
      <c r="K159">
        <f>'Expense Model'!S132</f>
        <v>3.2564150943396228</v>
      </c>
      <c r="L159">
        <f>'Expense Model'!T132</f>
        <v>1.1353662182361735</v>
      </c>
      <c r="M159">
        <f>'Expense Model'!U132</f>
        <v>0.89858793324775343</v>
      </c>
      <c r="N159">
        <f>'Expense Model'!V132</f>
        <v>0.72421258827774626</v>
      </c>
      <c r="O159">
        <f>'Expense Model'!W132</f>
        <v>0.50213097857879052</v>
      </c>
      <c r="P159">
        <f>'Expense Model'!X132</f>
        <v>0.42558734516863744</v>
      </c>
      <c r="Q159">
        <f>'Expense Model'!Y132</f>
        <v>0.39210052993083139</v>
      </c>
      <c r="R159">
        <f>'Expense Model'!Z132</f>
        <v>5.3849566983855448</v>
      </c>
      <c r="S159">
        <f>'Expense Model'!AA132</f>
        <v>1.407682018594052</v>
      </c>
      <c r="T159">
        <f>'Expense Model'!AB132</f>
        <v>1.1515122368794395</v>
      </c>
      <c r="U159">
        <f>'Expense Model'!AC132</f>
        <v>0.81849397780134625</v>
      </c>
      <c r="V159">
        <f>'Expense Model'!AD132</f>
        <v>0.77846586345381519</v>
      </c>
      <c r="W159">
        <f>'Expense Model'!AE132</f>
        <v>0.62961016949152548</v>
      </c>
      <c r="X159">
        <f>'Expense Model'!AF132</f>
        <v>0.49689736070381235</v>
      </c>
      <c r="Y159">
        <f>'Expense Model'!AG132</f>
        <v>0.38279906542056075</v>
      </c>
      <c r="Z159">
        <f>'Expense Model'!AH132</f>
        <v>0</v>
      </c>
      <c r="AA159">
        <f>'Expense Model'!AI132</f>
        <v>0</v>
      </c>
      <c r="AB159">
        <f>'Expense Model'!AJ132</f>
        <v>0</v>
      </c>
      <c r="AC159">
        <f>'Expense Model'!AK132</f>
        <v>1.4018205683309755</v>
      </c>
      <c r="AD159">
        <f>'Expense Model'!AL132</f>
        <v>0.45410178944922147</v>
      </c>
      <c r="AE159">
        <f>'Expense Model'!AM132</f>
        <v>1.86055501612827</v>
      </c>
      <c r="AF159">
        <f>'Expense Model'!AN132</f>
        <v>0.54291926884996189</v>
      </c>
      <c r="AG159">
        <f>'Expense Model'!AO132</f>
        <v>0.38735992604503822</v>
      </c>
      <c r="AH159">
        <f>'Expense Model'!AP132</f>
        <v>0.32545188383987023</v>
      </c>
      <c r="AI159">
        <f>'Expense Model'!AQ132</f>
        <v>0.28530655160579904</v>
      </c>
      <c r="AJ159">
        <f>'Expense Model'!AR132</f>
        <v>0.25440435972432879</v>
      </c>
      <c r="AK159">
        <f>'Expense Model'!AS132</f>
        <v>0.23328258109515523</v>
      </c>
      <c r="AL159">
        <f>'Expense Model'!AT132</f>
        <v>0.21926046426788845</v>
      </c>
      <c r="AM159">
        <f>'Expense Model'!AU132</f>
        <v>0.20921258213098817</v>
      </c>
      <c r="AN159">
        <f>'Expense Model'!AV132</f>
        <v>0</v>
      </c>
    </row>
    <row r="160" spans="1:40">
      <c r="A160" t="str">
        <f>'Expense Model'!I133</f>
        <v>Y/Y Change in bp</v>
      </c>
      <c r="B160">
        <f>'Expense Model'!J133</f>
        <v>0</v>
      </c>
      <c r="C160">
        <f>'Expense Model'!K133</f>
        <v>0</v>
      </c>
      <c r="D160">
        <f>'Expense Model'!L133</f>
        <v>0</v>
      </c>
      <c r="E160">
        <f>'Expense Model'!M133</f>
        <v>0</v>
      </c>
      <c r="F160">
        <f>'Expense Model'!N133</f>
        <v>0</v>
      </c>
      <c r="G160">
        <f>'Expense Model'!O133</f>
        <v>0</v>
      </c>
      <c r="H160">
        <f>'Expense Model'!P133</f>
        <v>0</v>
      </c>
      <c r="I160">
        <f>'Expense Model'!Q133</f>
        <v>0</v>
      </c>
      <c r="J160">
        <f>'Expense Model'!R133</f>
        <v>0</v>
      </c>
      <c r="K160">
        <f>'Expense Model'!S133</f>
        <v>0</v>
      </c>
      <c r="L160">
        <f>'Expense Model'!T133</f>
        <v>0</v>
      </c>
      <c r="M160">
        <f>'Expense Model'!U133</f>
        <v>0</v>
      </c>
      <c r="N160">
        <f>'Expense Model'!V133</f>
        <v>-35071.649627426617</v>
      </c>
      <c r="O160">
        <f>'Expense Model'!W133</f>
        <v>-27542.841157608324</v>
      </c>
      <c r="P160">
        <f>'Expense Model'!X133</f>
        <v>-7097.788730675361</v>
      </c>
      <c r="Q160">
        <f>'Expense Model'!Y133</f>
        <v>-5064.8740331692197</v>
      </c>
      <c r="R160">
        <f>'Expense Model'!Z133</f>
        <v>46607.441101077988</v>
      </c>
      <c r="S160">
        <f>'Expense Model'!AA133</f>
        <v>9055.5104001526142</v>
      </c>
      <c r="T160">
        <f>'Expense Model'!AB133</f>
        <v>7259.2489171080206</v>
      </c>
      <c r="U160">
        <f>'Expense Model'!AC133</f>
        <v>4263.9344787051486</v>
      </c>
      <c r="V160">
        <f>'Expense Model'!AD133</f>
        <v>-46064.908349317302</v>
      </c>
      <c r="W160">
        <f>'Expense Model'!AE133</f>
        <v>-7780.7184910252645</v>
      </c>
      <c r="X160">
        <f>'Expense Model'!AF133</f>
        <v>-6546.1487617562716</v>
      </c>
      <c r="Y160">
        <f>'Expense Model'!AG133</f>
        <v>-4356.9491238078554</v>
      </c>
      <c r="Z160">
        <f>'Expense Model'!AH133</f>
        <v>0</v>
      </c>
      <c r="AA160">
        <f>'Expense Model'!AI133</f>
        <v>0</v>
      </c>
      <c r="AB160">
        <f>'Expense Model'!AJ133</f>
        <v>0</v>
      </c>
      <c r="AC160">
        <f>'Expense Model'!AK133</f>
        <v>0</v>
      </c>
      <c r="AD160">
        <f>'Expense Model'!AL133</f>
        <v>-9477.1877888175404</v>
      </c>
      <c r="AE160">
        <f>'Expense Model'!AM133</f>
        <v>14064.532266790486</v>
      </c>
      <c r="AF160">
        <f>'Expense Model'!AN133</f>
        <v>-13176.357472783082</v>
      </c>
      <c r="AG160">
        <f>'Expense Model'!AO133</f>
        <v>-1555.5934280492368</v>
      </c>
      <c r="AH160">
        <f>'Expense Model'!AP133</f>
        <v>-619.08042205167988</v>
      </c>
      <c r="AI160">
        <f>'Expense Model'!AQ133</f>
        <v>-401.45332234071185</v>
      </c>
      <c r="AJ160">
        <f>'Expense Model'!AR133</f>
        <v>-309.02191881470253</v>
      </c>
      <c r="AK160">
        <f>'Expense Model'!AS133</f>
        <v>-211.21778629173554</v>
      </c>
      <c r="AL160">
        <f>'Expense Model'!AT133</f>
        <v>-140.22116827266785</v>
      </c>
      <c r="AM160">
        <f>'Expense Model'!AU133</f>
        <v>-100.47882136900277</v>
      </c>
      <c r="AN160">
        <f>'Expense Model'!AV133</f>
        <v>0</v>
      </c>
    </row>
    <row r="161" spans="1:40">
      <c r="A161" t="str">
        <f>'Expense Model'!I134</f>
        <v>Q/Q Change in bp</v>
      </c>
      <c r="B161">
        <f>'Expense Model'!J134</f>
        <v>0</v>
      </c>
      <c r="C161">
        <f>'Expense Model'!K134</f>
        <v>0</v>
      </c>
      <c r="D161">
        <f>'Expense Model'!L134</f>
        <v>0</v>
      </c>
      <c r="E161">
        <f>'Expense Model'!M134</f>
        <v>0</v>
      </c>
      <c r="F161">
        <f>'Expense Model'!N134</f>
        <v>0</v>
      </c>
      <c r="G161">
        <f>'Expense Model'!O134</f>
        <v>0</v>
      </c>
      <c r="H161">
        <f>'Expense Model'!P134</f>
        <v>0</v>
      </c>
      <c r="I161">
        <f>'Expense Model'!Q134</f>
        <v>0</v>
      </c>
      <c r="J161">
        <f>'Expense Model'!R134</f>
        <v>0</v>
      </c>
      <c r="K161">
        <f>'Expense Model'!S134</f>
        <v>-9749.6245668078536</v>
      </c>
      <c r="L161">
        <f>'Expense Model'!T134</f>
        <v>-21210.488761034492</v>
      </c>
      <c r="M161">
        <f>'Expense Model'!U134</f>
        <v>-2367.7828498842</v>
      </c>
      <c r="N161">
        <f>'Expense Model'!V134</f>
        <v>-1743.7534497000718</v>
      </c>
      <c r="O161">
        <f>'Expense Model'!W134</f>
        <v>-2220.8160969895575</v>
      </c>
      <c r="P161">
        <f>'Expense Model'!X134</f>
        <v>-765.43633410153075</v>
      </c>
      <c r="Q161">
        <f>'Expense Model'!Y134</f>
        <v>-334.86815237806059</v>
      </c>
      <c r="R161">
        <f>'Expense Model'!Z134</f>
        <v>49928.56168454713</v>
      </c>
      <c r="S161">
        <f>'Expense Model'!AA134</f>
        <v>-39772.74679791493</v>
      </c>
      <c r="T161">
        <f>'Expense Model'!AB134</f>
        <v>-2561.6978171461246</v>
      </c>
      <c r="U161">
        <f>'Expense Model'!AC134</f>
        <v>-3330.1825907809325</v>
      </c>
      <c r="V161">
        <f>'Expense Model'!AD134</f>
        <v>-400.28114347531061</v>
      </c>
      <c r="W161">
        <f>'Expense Model'!AE134</f>
        <v>-1488.5569396228971</v>
      </c>
      <c r="X161">
        <f>'Expense Model'!AF134</f>
        <v>-1327.1280878771313</v>
      </c>
      <c r="Y161">
        <f>'Expense Model'!AG134</f>
        <v>-1140.982952832516</v>
      </c>
      <c r="Z161">
        <f>'Expense Model'!AH134</f>
        <v>0</v>
      </c>
      <c r="AA161">
        <f>'Expense Model'!AI134</f>
        <v>0</v>
      </c>
      <c r="AB161">
        <f>'Expense Model'!AJ134</f>
        <v>0</v>
      </c>
      <c r="AC161">
        <f>'Expense Model'!AK134</f>
        <v>0</v>
      </c>
      <c r="AD161">
        <f>'Expense Model'!AL134</f>
        <v>0</v>
      </c>
      <c r="AE161">
        <f>'Expense Model'!AM134</f>
        <v>0</v>
      </c>
      <c r="AF161">
        <f>'Expense Model'!AN134</f>
        <v>0</v>
      </c>
      <c r="AG161">
        <f>'Expense Model'!AO134</f>
        <v>0</v>
      </c>
      <c r="AH161">
        <f>'Expense Model'!AP134</f>
        <v>0</v>
      </c>
      <c r="AI161">
        <f>'Expense Model'!AQ134</f>
        <v>0</v>
      </c>
      <c r="AJ161">
        <f>'Expense Model'!AR134</f>
        <v>0</v>
      </c>
      <c r="AK161">
        <f>'Expense Model'!AS134</f>
        <v>0</v>
      </c>
      <c r="AL161">
        <f>'Expense Model'!AT134</f>
        <v>0</v>
      </c>
      <c r="AM161">
        <f>'Expense Model'!AU134</f>
        <v>0</v>
      </c>
      <c r="AN161">
        <f>'Expense Model'!AV134</f>
        <v>0</v>
      </c>
    </row>
    <row r="162" spans="1:40">
      <c r="A162">
        <f>'Expense Model'!I135</f>
        <v>0</v>
      </c>
      <c r="B162">
        <f>'Expense Model'!J135</f>
        <v>0</v>
      </c>
      <c r="C162">
        <f>'Expense Model'!K135</f>
        <v>0</v>
      </c>
      <c r="D162">
        <f>'Expense Model'!L135</f>
        <v>0</v>
      </c>
      <c r="E162">
        <f>'Expense Model'!M135</f>
        <v>0</v>
      </c>
      <c r="F162">
        <f>'Expense Model'!N135</f>
        <v>0</v>
      </c>
      <c r="G162">
        <f>'Expense Model'!O135</f>
        <v>0</v>
      </c>
      <c r="H162">
        <f>'Expense Model'!P135</f>
        <v>0</v>
      </c>
      <c r="I162">
        <f>'Expense Model'!Q135</f>
        <v>0</v>
      </c>
      <c r="J162">
        <f>'Expense Model'!R135</f>
        <v>0</v>
      </c>
      <c r="K162">
        <f>'Expense Model'!S135</f>
        <v>0</v>
      </c>
      <c r="L162">
        <f>'Expense Model'!T135</f>
        <v>0</v>
      </c>
      <c r="M162">
        <f>'Expense Model'!U135</f>
        <v>0</v>
      </c>
      <c r="N162">
        <f>'Expense Model'!V135</f>
        <v>0</v>
      </c>
      <c r="O162">
        <f>'Expense Model'!W135</f>
        <v>0</v>
      </c>
      <c r="P162">
        <f>'Expense Model'!X135</f>
        <v>0</v>
      </c>
      <c r="Q162">
        <f>'Expense Model'!Y135</f>
        <v>0</v>
      </c>
      <c r="R162">
        <f>'Expense Model'!Z135</f>
        <v>0</v>
      </c>
      <c r="S162">
        <f>'Expense Model'!AA135</f>
        <v>0</v>
      </c>
      <c r="T162">
        <f>'Expense Model'!AB135</f>
        <v>0</v>
      </c>
      <c r="U162">
        <f>'Expense Model'!AC135</f>
        <v>0</v>
      </c>
      <c r="V162">
        <f>'Expense Model'!AD135</f>
        <v>60.669928755402339</v>
      </c>
      <c r="W162">
        <f>'Expense Model'!AE135</f>
        <v>22.18267935565548</v>
      </c>
      <c r="X162">
        <f>'Expense Model'!AF135</f>
        <v>4.8656793556554732</v>
      </c>
      <c r="Y162">
        <f>'Expense Model'!AG135</f>
        <v>-10.334320644344544</v>
      </c>
      <c r="Z162">
        <f>'Expense Model'!AH135</f>
        <v>0</v>
      </c>
      <c r="AA162">
        <f>'Expense Model'!AI135</f>
        <v>0</v>
      </c>
      <c r="AB162">
        <f>'Expense Model'!AJ135</f>
        <v>0</v>
      </c>
      <c r="AC162">
        <f>'Expense Model'!AK135</f>
        <v>0</v>
      </c>
      <c r="AD162">
        <f>'Expense Model'!AL135</f>
        <v>0</v>
      </c>
      <c r="AE162">
        <f>'Expense Model'!AM135</f>
        <v>0</v>
      </c>
      <c r="AF162">
        <f>'Expense Model'!AN135</f>
        <v>0</v>
      </c>
      <c r="AG162">
        <f>'Expense Model'!AO135</f>
        <v>0</v>
      </c>
      <c r="AH162">
        <f>'Expense Model'!AP135</f>
        <v>0</v>
      </c>
      <c r="AI162">
        <f>'Expense Model'!AQ135</f>
        <v>0</v>
      </c>
      <c r="AJ162">
        <f>'Expense Model'!AR135</f>
        <v>0</v>
      </c>
      <c r="AK162">
        <f>'Expense Model'!AS135</f>
        <v>0</v>
      </c>
      <c r="AL162">
        <f>'Expense Model'!AT135</f>
        <v>0</v>
      </c>
      <c r="AM162">
        <f>'Expense Model'!AU135</f>
        <v>0</v>
      </c>
      <c r="AN162">
        <f>'Expense Model'!AV135</f>
        <v>0</v>
      </c>
    </row>
    <row r="163" spans="1:40">
      <c r="A163">
        <f>'Expense Model'!I136</f>
        <v>0</v>
      </c>
      <c r="B163">
        <f>'Expense Model'!J136</f>
        <v>0</v>
      </c>
      <c r="C163">
        <f>'Expense Model'!K136</f>
        <v>0</v>
      </c>
      <c r="D163">
        <f>'Expense Model'!L136</f>
        <v>0</v>
      </c>
      <c r="E163">
        <f>'Expense Model'!M136</f>
        <v>0</v>
      </c>
      <c r="F163">
        <f>'Expense Model'!N136</f>
        <v>0</v>
      </c>
      <c r="G163">
        <f>'Expense Model'!O136</f>
        <v>0</v>
      </c>
      <c r="H163">
        <f>'Expense Model'!P136</f>
        <v>0</v>
      </c>
      <c r="I163">
        <f>'Expense Model'!Q136</f>
        <v>0</v>
      </c>
      <c r="J163">
        <f>'Expense Model'!R136</f>
        <v>0</v>
      </c>
      <c r="K163">
        <f>'Expense Model'!S136</f>
        <v>0</v>
      </c>
      <c r="L163">
        <f>'Expense Model'!T136</f>
        <v>0</v>
      </c>
      <c r="M163">
        <f>'Expense Model'!U136</f>
        <v>0</v>
      </c>
      <c r="N163">
        <f>'Expense Model'!V136</f>
        <v>0</v>
      </c>
      <c r="O163">
        <f>'Expense Model'!W136</f>
        <v>0</v>
      </c>
      <c r="P163">
        <f>'Expense Model'!X136</f>
        <v>0</v>
      </c>
      <c r="Q163">
        <f>'Expense Model'!Y136</f>
        <v>0</v>
      </c>
      <c r="R163">
        <f>'Expense Model'!Z136</f>
        <v>0</v>
      </c>
      <c r="S163">
        <f>'Expense Model'!AA136</f>
        <v>0</v>
      </c>
      <c r="T163">
        <f>'Expense Model'!AB136</f>
        <v>0</v>
      </c>
      <c r="U163">
        <f>'Expense Model'!AC136</f>
        <v>0</v>
      </c>
      <c r="V163">
        <f>'Expense Model'!AD136</f>
        <v>0</v>
      </c>
      <c r="W163">
        <f>'Expense Model'!AE136</f>
        <v>0</v>
      </c>
      <c r="X163">
        <f>'Expense Model'!AF136</f>
        <v>0</v>
      </c>
      <c r="Y163">
        <f>'Expense Model'!AG136</f>
        <v>0</v>
      </c>
      <c r="Z163">
        <f>'Expense Model'!AH136</f>
        <v>0</v>
      </c>
      <c r="AA163">
        <f>'Expense Model'!AI136</f>
        <v>0</v>
      </c>
      <c r="AB163">
        <f>'Expense Model'!AJ136</f>
        <v>0</v>
      </c>
      <c r="AC163">
        <f>'Expense Model'!AK136</f>
        <v>0</v>
      </c>
      <c r="AD163">
        <f>'Expense Model'!AL136</f>
        <v>0</v>
      </c>
      <c r="AE163">
        <f>'Expense Model'!AM136</f>
        <v>0</v>
      </c>
      <c r="AF163">
        <f>'Expense Model'!AN136</f>
        <v>0</v>
      </c>
      <c r="AG163">
        <f>'Expense Model'!AO136</f>
        <v>0</v>
      </c>
      <c r="AH163">
        <f>'Expense Model'!AP136</f>
        <v>0</v>
      </c>
      <c r="AI163">
        <f>'Expense Model'!AQ136</f>
        <v>0</v>
      </c>
      <c r="AJ163">
        <f>'Expense Model'!AR136</f>
        <v>0</v>
      </c>
      <c r="AK163">
        <f>'Expense Model'!AS136</f>
        <v>0</v>
      </c>
      <c r="AL163">
        <f>'Expense Model'!AT136</f>
        <v>0</v>
      </c>
      <c r="AM163">
        <f>'Expense Model'!AU136</f>
        <v>0</v>
      </c>
      <c r="AN163">
        <f>'Expense Model'!AV136</f>
        <v>0</v>
      </c>
    </row>
    <row r="164" spans="1:40">
      <c r="A164" t="str">
        <f>'Expense Model'!I137</f>
        <v>Sales &amp; Marketing</v>
      </c>
      <c r="B164">
        <f>'Expense Model'!J137</f>
        <v>0</v>
      </c>
      <c r="C164">
        <f>'Expense Model'!K137</f>
        <v>0</v>
      </c>
      <c r="D164">
        <f>'Expense Model'!L137</f>
        <v>0</v>
      </c>
      <c r="E164">
        <f>'Expense Model'!M137</f>
        <v>0</v>
      </c>
      <c r="F164">
        <f>'Expense Model'!N137</f>
        <v>0</v>
      </c>
      <c r="G164">
        <f>'Expense Model'!O137</f>
        <v>0</v>
      </c>
      <c r="H164">
        <f>'Expense Model'!P137</f>
        <v>0</v>
      </c>
      <c r="I164">
        <f>'Expense Model'!Q137</f>
        <v>0</v>
      </c>
      <c r="J164" t="str">
        <f>'Expense Model'!R137</f>
        <v>s</v>
      </c>
      <c r="K164">
        <f>'Expense Model'!S137</f>
        <v>0</v>
      </c>
      <c r="L164">
        <f>'Expense Model'!T137</f>
        <v>0</v>
      </c>
      <c r="M164">
        <f>'Expense Model'!U137</f>
        <v>0</v>
      </c>
      <c r="N164">
        <f>'Expense Model'!V137</f>
        <v>0</v>
      </c>
      <c r="O164">
        <f>'Expense Model'!W137</f>
        <v>0</v>
      </c>
      <c r="P164">
        <f>'Expense Model'!X137</f>
        <v>0</v>
      </c>
      <c r="Q164">
        <f>'Expense Model'!Y137</f>
        <v>0</v>
      </c>
      <c r="R164">
        <f>'Expense Model'!Z137</f>
        <v>0</v>
      </c>
      <c r="S164">
        <f>'Expense Model'!AA137</f>
        <v>0</v>
      </c>
      <c r="T164">
        <f>'Expense Model'!AB137</f>
        <v>0</v>
      </c>
      <c r="U164">
        <f>'Expense Model'!AC137</f>
        <v>0</v>
      </c>
      <c r="V164">
        <f>'Expense Model'!AD137</f>
        <v>0</v>
      </c>
      <c r="W164">
        <f>'Expense Model'!AE137</f>
        <v>0</v>
      </c>
      <c r="X164">
        <f>'Expense Model'!AF137</f>
        <v>0</v>
      </c>
      <c r="Y164">
        <f>'Expense Model'!AG137</f>
        <v>0</v>
      </c>
      <c r="Z164">
        <f>'Expense Model'!AH137</f>
        <v>0</v>
      </c>
      <c r="AA164">
        <f>'Expense Model'!AI137</f>
        <v>0</v>
      </c>
      <c r="AB164">
        <f>'Expense Model'!AJ137</f>
        <v>0</v>
      </c>
      <c r="AC164">
        <f>'Expense Model'!AK137</f>
        <v>0</v>
      </c>
      <c r="AD164">
        <f>'Expense Model'!AL137</f>
        <v>0</v>
      </c>
      <c r="AE164">
        <f>'Expense Model'!AM137</f>
        <v>0</v>
      </c>
      <c r="AF164">
        <f>'Expense Model'!AN137</f>
        <v>0</v>
      </c>
      <c r="AG164">
        <f>'Expense Model'!AO137</f>
        <v>0</v>
      </c>
      <c r="AH164">
        <f>'Expense Model'!AP137</f>
        <v>0</v>
      </c>
      <c r="AI164">
        <f>'Expense Model'!AQ137</f>
        <v>0</v>
      </c>
      <c r="AJ164">
        <f>'Expense Model'!AR137</f>
        <v>0</v>
      </c>
      <c r="AK164">
        <f>'Expense Model'!AS137</f>
        <v>0</v>
      </c>
      <c r="AL164">
        <f>'Expense Model'!AT137</f>
        <v>0</v>
      </c>
      <c r="AM164">
        <f>'Expense Model'!AU137</f>
        <v>0</v>
      </c>
      <c r="AN164">
        <f>'Expense Model'!AV137</f>
        <v>0</v>
      </c>
    </row>
    <row r="165" spans="1:40">
      <c r="A165" t="str">
        <f>'Expense Model'!I138</f>
        <v>GAAP S&amp;M Expense</v>
      </c>
      <c r="B165">
        <f>'Expense Model'!J138</f>
        <v>0</v>
      </c>
      <c r="C165">
        <f>'Expense Model'!K138</f>
        <v>0</v>
      </c>
      <c r="D165">
        <f>'Expense Model'!L138</f>
        <v>0</v>
      </c>
      <c r="E165">
        <f>'Expense Model'!M138</f>
        <v>0</v>
      </c>
      <c r="F165">
        <f>'Expense Model'!N138</f>
        <v>0</v>
      </c>
      <c r="G165">
        <f>'Expense Model'!O138</f>
        <v>0</v>
      </c>
      <c r="H165">
        <f>'Expense Model'!P138</f>
        <v>0</v>
      </c>
      <c r="I165">
        <f>'Expense Model'!Q138</f>
        <v>0</v>
      </c>
      <c r="J165">
        <f>'Expense Model'!R138</f>
        <v>3.4529999999999998</v>
      </c>
      <c r="K165">
        <f>'Expense Model'!S138</f>
        <v>5.8719999999999999</v>
      </c>
      <c r="L165">
        <f>'Expense Model'!T138</f>
        <v>8.2059999999999995</v>
      </c>
      <c r="M165">
        <f>'Expense Model'!U138</f>
        <v>9.6850000000000005</v>
      </c>
      <c r="N165">
        <f>'Expense Model'!V138</f>
        <v>14.737</v>
      </c>
      <c r="O165">
        <f>'Expense Model'!W138</f>
        <v>24.587</v>
      </c>
      <c r="P165">
        <f>'Expense Model'!X138</f>
        <v>34.658000000000001</v>
      </c>
      <c r="Q165">
        <f>'Expense Model'!Y138</f>
        <v>50.389000000000003</v>
      </c>
      <c r="R165">
        <f>'Expense Model'!Z138</f>
        <v>219.733</v>
      </c>
      <c r="S165">
        <f>'Expense Model'!AA138</f>
        <v>90.903000000000006</v>
      </c>
      <c r="T165">
        <f>'Expense Model'!AB138</f>
        <v>101.511</v>
      </c>
      <c r="U165">
        <f>'Expense Model'!AC138</f>
        <v>110.458</v>
      </c>
      <c r="V165">
        <f>'Expense Model'!AD138</f>
        <v>100.458</v>
      </c>
      <c r="W165">
        <f>'Expense Model'!AE138</f>
        <v>100.90300000000001</v>
      </c>
      <c r="X165">
        <f>'Expense Model'!AF138</f>
        <v>111.511</v>
      </c>
      <c r="Y165">
        <f>'Expense Model'!AG138</f>
        <v>135.458</v>
      </c>
      <c r="Z165">
        <f>'Expense Model'!AH138</f>
        <v>0</v>
      </c>
      <c r="AA165">
        <f>'Expense Model'!AI138</f>
        <v>0</v>
      </c>
      <c r="AB165">
        <f>'Expense Model'!AJ138</f>
        <v>0</v>
      </c>
      <c r="AC165">
        <f>'Expense Model'!AK138</f>
        <v>27.216000000000001</v>
      </c>
      <c r="AD165">
        <f>'Expense Model'!AL138</f>
        <v>124.37100000000001</v>
      </c>
      <c r="AE165">
        <f>'Expense Model'!AM138</f>
        <v>522.60500000000002</v>
      </c>
      <c r="AF165">
        <f>'Expense Model'!AN138</f>
        <v>448.32999999999993</v>
      </c>
      <c r="AG165">
        <f>'Expense Model'!AO138</f>
        <v>548.32999999999993</v>
      </c>
      <c r="AH165">
        <f>'Expense Model'!AP138</f>
        <v>678.32999999999993</v>
      </c>
      <c r="AI165">
        <f>'Expense Model'!AQ138</f>
        <v>818.32999999999993</v>
      </c>
      <c r="AJ165">
        <f>'Expense Model'!AR138</f>
        <v>958.32999999999993</v>
      </c>
      <c r="AK165">
        <f>'Expense Model'!AS138</f>
        <v>1098.33</v>
      </c>
      <c r="AL165">
        <f>'Expense Model'!AT138</f>
        <v>1238.33</v>
      </c>
      <c r="AM165">
        <f>'Expense Model'!AU138</f>
        <v>1378.33</v>
      </c>
      <c r="AN165">
        <f>'Expense Model'!AV138</f>
        <v>0</v>
      </c>
    </row>
    <row r="166" spans="1:40">
      <c r="A166" t="str">
        <f>'Expense Model'!I139</f>
        <v>Y/Y Abs Change</v>
      </c>
      <c r="B166">
        <f>'Expense Model'!J139</f>
        <v>0</v>
      </c>
      <c r="C166">
        <f>'Expense Model'!K139</f>
        <v>0</v>
      </c>
      <c r="D166">
        <f>'Expense Model'!L139</f>
        <v>0</v>
      </c>
      <c r="E166">
        <f>'Expense Model'!M139</f>
        <v>0</v>
      </c>
      <c r="F166">
        <f>'Expense Model'!N139</f>
        <v>0</v>
      </c>
      <c r="G166">
        <f>'Expense Model'!O139</f>
        <v>0</v>
      </c>
      <c r="H166">
        <f>'Expense Model'!P139</f>
        <v>0</v>
      </c>
      <c r="I166">
        <f>'Expense Model'!Q139</f>
        <v>0</v>
      </c>
      <c r="J166">
        <f>'Expense Model'!R139</f>
        <v>0</v>
      </c>
      <c r="K166">
        <f>'Expense Model'!S139</f>
        <v>0</v>
      </c>
      <c r="L166">
        <f>'Expense Model'!T139</f>
        <v>0</v>
      </c>
      <c r="M166">
        <f>'Expense Model'!U139</f>
        <v>0</v>
      </c>
      <c r="N166">
        <f>'Expense Model'!V139</f>
        <v>11.284000000000001</v>
      </c>
      <c r="O166">
        <f>'Expense Model'!W139</f>
        <v>18.715</v>
      </c>
      <c r="P166">
        <f>'Expense Model'!X139</f>
        <v>26.452000000000002</v>
      </c>
      <c r="Q166">
        <f>'Expense Model'!Y139</f>
        <v>40.704000000000001</v>
      </c>
      <c r="R166">
        <f>'Expense Model'!Z139</f>
        <v>204.99600000000001</v>
      </c>
      <c r="S166">
        <f>'Expense Model'!AA139</f>
        <v>66.316000000000003</v>
      </c>
      <c r="T166">
        <f>'Expense Model'!AB139</f>
        <v>66.852999999999994</v>
      </c>
      <c r="U166">
        <f>'Expense Model'!AC139</f>
        <v>60.068999999999996</v>
      </c>
      <c r="V166">
        <f>'Expense Model'!AD139</f>
        <v>-119.27500000000001</v>
      </c>
      <c r="W166">
        <f>'Expense Model'!AE139</f>
        <v>10</v>
      </c>
      <c r="X166">
        <f>'Expense Model'!AF139</f>
        <v>10</v>
      </c>
      <c r="Y166">
        <f>'Expense Model'!AG139</f>
        <v>25</v>
      </c>
      <c r="Z166">
        <f>'Expense Model'!AH139</f>
        <v>0</v>
      </c>
      <c r="AA166">
        <f>'Expense Model'!AI139</f>
        <v>0</v>
      </c>
      <c r="AB166">
        <f>'Expense Model'!AJ139</f>
        <v>0</v>
      </c>
      <c r="AC166">
        <f>'Expense Model'!AK139</f>
        <v>0</v>
      </c>
      <c r="AD166">
        <f>'Expense Model'!AL139</f>
        <v>97.155000000000001</v>
      </c>
      <c r="AE166">
        <f>'Expense Model'!AM139</f>
        <v>398.23400000000004</v>
      </c>
      <c r="AF166">
        <f>'Expense Model'!AN139</f>
        <v>-74.275000000000091</v>
      </c>
      <c r="AG166">
        <f>'Expense Model'!AO139</f>
        <v>100</v>
      </c>
      <c r="AH166">
        <f>'Expense Model'!AP139</f>
        <v>130</v>
      </c>
      <c r="AI166">
        <f>'Expense Model'!AQ139</f>
        <v>140</v>
      </c>
      <c r="AJ166">
        <f>'Expense Model'!AR139</f>
        <v>140</v>
      </c>
      <c r="AK166">
        <f>'Expense Model'!AS139</f>
        <v>140</v>
      </c>
      <c r="AL166">
        <f>'Expense Model'!AT139</f>
        <v>140</v>
      </c>
      <c r="AM166">
        <f>'Expense Model'!AU139</f>
        <v>140</v>
      </c>
      <c r="AN166">
        <f>'Expense Model'!AV139</f>
        <v>0</v>
      </c>
    </row>
    <row r="167" spans="1:40">
      <c r="A167" t="str">
        <f>'Expense Model'!I140</f>
        <v>Q/Q Abs Change</v>
      </c>
      <c r="B167">
        <f>'Expense Model'!J140</f>
        <v>0</v>
      </c>
      <c r="C167">
        <f>'Expense Model'!K140</f>
        <v>0</v>
      </c>
      <c r="D167">
        <f>'Expense Model'!L140</f>
        <v>0</v>
      </c>
      <c r="E167">
        <f>'Expense Model'!M140</f>
        <v>0</v>
      </c>
      <c r="F167">
        <f>'Expense Model'!N140</f>
        <v>0</v>
      </c>
      <c r="G167">
        <f>'Expense Model'!O140</f>
        <v>0</v>
      </c>
      <c r="H167">
        <f>'Expense Model'!P140</f>
        <v>0</v>
      </c>
      <c r="I167">
        <f>'Expense Model'!Q140</f>
        <v>0</v>
      </c>
      <c r="J167">
        <f>'Expense Model'!R140</f>
        <v>0</v>
      </c>
      <c r="K167">
        <f>'Expense Model'!S140</f>
        <v>2.419</v>
      </c>
      <c r="L167">
        <f>'Expense Model'!T140</f>
        <v>2.3339999999999996</v>
      </c>
      <c r="M167">
        <f>'Expense Model'!U140</f>
        <v>1.479000000000001</v>
      </c>
      <c r="N167">
        <f>'Expense Model'!V140</f>
        <v>5.0519999999999996</v>
      </c>
      <c r="O167">
        <f>'Expense Model'!W140</f>
        <v>9.85</v>
      </c>
      <c r="P167">
        <f>'Expense Model'!X140</f>
        <v>10.071000000000002</v>
      </c>
      <c r="Q167">
        <f>'Expense Model'!Y140</f>
        <v>15.731000000000002</v>
      </c>
      <c r="R167">
        <f>'Expense Model'!Z140</f>
        <v>169.34399999999999</v>
      </c>
      <c r="S167">
        <f>'Expense Model'!AA140</f>
        <v>-128.82999999999998</v>
      </c>
      <c r="T167">
        <f>'Expense Model'!AB140</f>
        <v>10.60799999999999</v>
      </c>
      <c r="U167">
        <f>'Expense Model'!AC140</f>
        <v>8.9470000000000027</v>
      </c>
      <c r="V167">
        <f>'Expense Model'!AD140</f>
        <v>-10</v>
      </c>
      <c r="W167">
        <f>'Expense Model'!AE140</f>
        <v>0.44500000000000739</v>
      </c>
      <c r="X167">
        <f>'Expense Model'!AF140</f>
        <v>10.60799999999999</v>
      </c>
      <c r="Y167">
        <f>'Expense Model'!AG140</f>
        <v>23.947000000000003</v>
      </c>
      <c r="Z167">
        <f>'Expense Model'!AH140</f>
        <v>0</v>
      </c>
      <c r="AA167">
        <f>'Expense Model'!AI140</f>
        <v>0</v>
      </c>
      <c r="AB167">
        <f>'Expense Model'!AJ140</f>
        <v>0</v>
      </c>
      <c r="AC167">
        <f>'Expense Model'!AK140</f>
        <v>0</v>
      </c>
      <c r="AD167">
        <f>'Expense Model'!AL140</f>
        <v>0</v>
      </c>
      <c r="AE167">
        <f>'Expense Model'!AM140</f>
        <v>0</v>
      </c>
      <c r="AF167">
        <f>'Expense Model'!AN140</f>
        <v>0</v>
      </c>
      <c r="AG167">
        <f>'Expense Model'!AO140</f>
        <v>0</v>
      </c>
      <c r="AH167">
        <f>'Expense Model'!AP140</f>
        <v>0</v>
      </c>
      <c r="AI167">
        <f>'Expense Model'!AQ140</f>
        <v>0</v>
      </c>
      <c r="AJ167">
        <f>'Expense Model'!AR140</f>
        <v>0</v>
      </c>
      <c r="AK167">
        <f>'Expense Model'!AS140</f>
        <v>0</v>
      </c>
      <c r="AL167">
        <f>'Expense Model'!AT140</f>
        <v>0</v>
      </c>
      <c r="AM167">
        <f>'Expense Model'!AU140</f>
        <v>0</v>
      </c>
      <c r="AN167">
        <f>'Expense Model'!AV140</f>
        <v>0</v>
      </c>
    </row>
    <row r="168" spans="1:40">
      <c r="A168" t="str">
        <f>'Expense Model'!I141</f>
        <v xml:space="preserve">Y/Y % Change </v>
      </c>
      <c r="B168">
        <f>'Expense Model'!J141</f>
        <v>0</v>
      </c>
      <c r="C168">
        <f>'Expense Model'!K141</f>
        <v>0</v>
      </c>
      <c r="D168">
        <f>'Expense Model'!L141</f>
        <v>0</v>
      </c>
      <c r="E168">
        <f>'Expense Model'!M141</f>
        <v>0</v>
      </c>
      <c r="F168">
        <f>'Expense Model'!N141</f>
        <v>0</v>
      </c>
      <c r="G168">
        <f>'Expense Model'!O141</f>
        <v>0</v>
      </c>
      <c r="H168">
        <f>'Expense Model'!P141</f>
        <v>0</v>
      </c>
      <c r="I168">
        <f>'Expense Model'!Q141</f>
        <v>0</v>
      </c>
      <c r="J168">
        <f>'Expense Model'!R141</f>
        <v>0</v>
      </c>
      <c r="K168">
        <f>'Expense Model'!S141</f>
        <v>0</v>
      </c>
      <c r="L168">
        <f>'Expense Model'!T141</f>
        <v>0</v>
      </c>
      <c r="M168">
        <f>'Expense Model'!U141</f>
        <v>0</v>
      </c>
      <c r="N168">
        <f>'Expense Model'!V141</f>
        <v>3.2678830002896033</v>
      </c>
      <c r="O168">
        <f>'Expense Model'!W141</f>
        <v>3.1871594005449593</v>
      </c>
      <c r="P168">
        <f>'Expense Model'!X141</f>
        <v>3.2234950036558621</v>
      </c>
      <c r="Q168">
        <f>'Expense Model'!Y141</f>
        <v>4.2027878162106349</v>
      </c>
      <c r="R168">
        <f>'Expense Model'!Z141</f>
        <v>13.910293818280518</v>
      </c>
      <c r="S168">
        <f>'Expense Model'!AA141</f>
        <v>2.6971977061048524</v>
      </c>
      <c r="T168">
        <f>'Expense Model'!AB141</f>
        <v>1.9289341566160769</v>
      </c>
      <c r="U168">
        <f>'Expense Model'!AC141</f>
        <v>1.1921054198336938</v>
      </c>
      <c r="V168">
        <f>'Expense Model'!AD141</f>
        <v>-0.54281787442031915</v>
      </c>
      <c r="W168">
        <f>'Expense Model'!AE141</f>
        <v>0.11000737049382314</v>
      </c>
      <c r="X168">
        <f>'Expense Model'!AF141</f>
        <v>9.8511491365467885E-2</v>
      </c>
      <c r="Y168">
        <f>'Expense Model'!AG141</f>
        <v>0.22633036991435662</v>
      </c>
      <c r="Z168">
        <f>'Expense Model'!AH141</f>
        <v>0</v>
      </c>
      <c r="AA168">
        <f>'Expense Model'!AI141</f>
        <v>0</v>
      </c>
      <c r="AB168">
        <f>'Expense Model'!AJ141</f>
        <v>0</v>
      </c>
      <c r="AC168">
        <f>'Expense Model'!AK141</f>
        <v>0</v>
      </c>
      <c r="AD168">
        <f>'Expense Model'!AL141</f>
        <v>3.5697751322751321</v>
      </c>
      <c r="AE168">
        <f>'Expense Model'!AM141</f>
        <v>3.2019843854274708</v>
      </c>
      <c r="AF168">
        <f>'Expense Model'!AN141</f>
        <v>-0.14212454913366712</v>
      </c>
      <c r="AG168">
        <f>'Expense Model'!AO141</f>
        <v>0.22304998550175092</v>
      </c>
      <c r="AH168">
        <f>'Expense Model'!AP141</f>
        <v>0.23708350810643219</v>
      </c>
      <c r="AI168">
        <f>'Expense Model'!AQ141</f>
        <v>0.20638922058585063</v>
      </c>
      <c r="AJ168">
        <f>'Expense Model'!AR141</f>
        <v>0.17108012659929361</v>
      </c>
      <c r="AK168">
        <f>'Expense Model'!AS141</f>
        <v>0.14608746465205091</v>
      </c>
      <c r="AL168">
        <f>'Expense Model'!AT141</f>
        <v>0.12746624420711439</v>
      </c>
      <c r="AM168">
        <f>'Expense Model'!AU141</f>
        <v>0.11305548601745907</v>
      </c>
      <c r="AN168">
        <f>'Expense Model'!AV141</f>
        <v>0</v>
      </c>
    </row>
    <row r="169" spans="1:40">
      <c r="A169" t="str">
        <f>'Expense Model'!I142</f>
        <v xml:space="preserve">Q/Q % Change </v>
      </c>
      <c r="B169">
        <f>'Expense Model'!J142</f>
        <v>0</v>
      </c>
      <c r="C169">
        <f>'Expense Model'!K142</f>
        <v>0</v>
      </c>
      <c r="D169">
        <f>'Expense Model'!L142</f>
        <v>0</v>
      </c>
      <c r="E169">
        <f>'Expense Model'!M142</f>
        <v>0</v>
      </c>
      <c r="F169">
        <f>'Expense Model'!N142</f>
        <v>0</v>
      </c>
      <c r="G169">
        <f>'Expense Model'!O142</f>
        <v>0</v>
      </c>
      <c r="H169">
        <f>'Expense Model'!P142</f>
        <v>0</v>
      </c>
      <c r="I169">
        <f>'Expense Model'!Q142</f>
        <v>0</v>
      </c>
      <c r="J169">
        <f>'Expense Model'!R142</f>
        <v>0</v>
      </c>
      <c r="K169">
        <f>'Expense Model'!S142</f>
        <v>0.70055024616275707</v>
      </c>
      <c r="L169">
        <f>'Expense Model'!T142</f>
        <v>0.39747956403269757</v>
      </c>
      <c r="M169">
        <f>'Expense Model'!U142</f>
        <v>0.18023397514014139</v>
      </c>
      <c r="N169">
        <f>'Expense Model'!V142</f>
        <v>0.52163138874548265</v>
      </c>
      <c r="O169">
        <f>'Expense Model'!W142</f>
        <v>0.66838569586754426</v>
      </c>
      <c r="P169">
        <f>'Expense Model'!X142</f>
        <v>0.40960670272908462</v>
      </c>
      <c r="Q169">
        <f>'Expense Model'!Y142</f>
        <v>0.45389231923365458</v>
      </c>
      <c r="R169">
        <f>'Expense Model'!Z142</f>
        <v>3.3607334934211828</v>
      </c>
      <c r="S169">
        <f>'Expense Model'!AA142</f>
        <v>-0.58630246708505318</v>
      </c>
      <c r="T169">
        <f>'Expense Model'!AB142</f>
        <v>0.11669581861984746</v>
      </c>
      <c r="U169">
        <f>'Expense Model'!AC142</f>
        <v>8.8138231324684124E-2</v>
      </c>
      <c r="V169">
        <f>'Expense Model'!AD142</f>
        <v>-9.0532147965742604E-2</v>
      </c>
      <c r="W169">
        <f>'Expense Model'!AE142</f>
        <v>4.4297119194092183E-3</v>
      </c>
      <c r="X169">
        <f>'Expense Model'!AF142</f>
        <v>0.10513067004945342</v>
      </c>
      <c r="Y169">
        <f>'Expense Model'!AG142</f>
        <v>0.21475011433849578</v>
      </c>
      <c r="Z169">
        <f>'Expense Model'!AH142</f>
        <v>0</v>
      </c>
      <c r="AA169">
        <f>'Expense Model'!AI142</f>
        <v>0</v>
      </c>
      <c r="AB169">
        <f>'Expense Model'!AJ142</f>
        <v>0</v>
      </c>
      <c r="AC169">
        <f>'Expense Model'!AK142</f>
        <v>0</v>
      </c>
      <c r="AD169">
        <f>'Expense Model'!AL142</f>
        <v>0</v>
      </c>
      <c r="AE169">
        <f>'Expense Model'!AM142</f>
        <v>0</v>
      </c>
      <c r="AF169">
        <f>'Expense Model'!AN142</f>
        <v>0</v>
      </c>
      <c r="AG169">
        <f>'Expense Model'!AO142</f>
        <v>0</v>
      </c>
      <c r="AH169">
        <f>'Expense Model'!AP142</f>
        <v>0</v>
      </c>
      <c r="AI169">
        <f>'Expense Model'!AQ142</f>
        <v>0</v>
      </c>
      <c r="AJ169">
        <f>'Expense Model'!AR142</f>
        <v>0</v>
      </c>
      <c r="AK169">
        <f>'Expense Model'!AS142</f>
        <v>0</v>
      </c>
      <c r="AL169">
        <f>'Expense Model'!AT142</f>
        <v>0</v>
      </c>
      <c r="AM169">
        <f>'Expense Model'!AU142</f>
        <v>0</v>
      </c>
      <c r="AN169">
        <f>'Expense Model'!AV142</f>
        <v>0</v>
      </c>
    </row>
    <row r="170" spans="1:40">
      <c r="A170" t="str">
        <f>'Expense Model'!I143</f>
        <v xml:space="preserve">% of Revenue </v>
      </c>
      <c r="B170">
        <f>'Expense Model'!J143</f>
        <v>0</v>
      </c>
      <c r="C170">
        <f>'Expense Model'!K143</f>
        <v>0</v>
      </c>
      <c r="D170">
        <f>'Expense Model'!L143</f>
        <v>0</v>
      </c>
      <c r="E170">
        <f>'Expense Model'!M143</f>
        <v>0</v>
      </c>
      <c r="F170">
        <f>'Expense Model'!N143</f>
        <v>0</v>
      </c>
      <c r="G170">
        <f>'Expense Model'!O143</f>
        <v>0</v>
      </c>
      <c r="H170">
        <f>'Expense Model'!P143</f>
        <v>0</v>
      </c>
      <c r="I170">
        <f>'Expense Model'!Q143</f>
        <v>0</v>
      </c>
      <c r="J170">
        <f>'Expense Model'!R143</f>
        <v>0.88086734693877544</v>
      </c>
      <c r="K170">
        <f>'Expense Model'!S143</f>
        <v>1.1079245283018868</v>
      </c>
      <c r="L170">
        <f>'Expense Model'!T143</f>
        <v>0.49064275037369198</v>
      </c>
      <c r="M170">
        <f>'Expense Model'!U143</f>
        <v>0.29601442630967661</v>
      </c>
      <c r="N170">
        <f>'Expense Model'!V143</f>
        <v>0.37983916696736941</v>
      </c>
      <c r="O170">
        <f>'Expense Model'!W143</f>
        <v>0.34244686481517589</v>
      </c>
      <c r="P170">
        <f>'Expense Model'!X143</f>
        <v>0.27033477894605473</v>
      </c>
      <c r="Q170">
        <f>'Expense Model'!Y143</f>
        <v>0.30413080479472726</v>
      </c>
      <c r="R170">
        <f>'Expense Model'!Z143</f>
        <v>1.46833235325564</v>
      </c>
      <c r="S170">
        <f>'Expense Model'!AA143</f>
        <v>0.50037155077034867</v>
      </c>
      <c r="T170">
        <f>'Expense Model'!AB143</f>
        <v>0.48818151651702191</v>
      </c>
      <c r="U170">
        <f>'Expense Model'!AC143</f>
        <v>0.38663180406940317</v>
      </c>
      <c r="V170">
        <f>'Expense Model'!AD143</f>
        <v>0.4034457831325301</v>
      </c>
      <c r="W170">
        <f>'Expense Model'!AE143</f>
        <v>0.34204406779661017</v>
      </c>
      <c r="X170">
        <f>'Expense Model'!AF143</f>
        <v>0.32701173020527857</v>
      </c>
      <c r="Y170">
        <f>'Expense Model'!AG143</f>
        <v>0.31649065420560746</v>
      </c>
      <c r="Z170">
        <f>'Expense Model'!AH143</f>
        <v>0</v>
      </c>
      <c r="AA170">
        <f>'Expense Model'!AI143</f>
        <v>0</v>
      </c>
      <c r="AB170">
        <f>'Expense Model'!AJ143</f>
        <v>0</v>
      </c>
      <c r="AC170">
        <f>'Expense Model'!AK143</f>
        <v>0.46393808703953088</v>
      </c>
      <c r="AD170">
        <f>'Expense Model'!AL143</f>
        <v>0.30748216237063708</v>
      </c>
      <c r="AE170">
        <f>'Expense Model'!AM143</f>
        <v>0.63349976786443774</v>
      </c>
      <c r="AF170">
        <f>'Expense Model'!AN143</f>
        <v>0.34145468392993139</v>
      </c>
      <c r="AG170">
        <f>'Expense Model'!AO143</f>
        <v>0.27842987868996488</v>
      </c>
      <c r="AH170">
        <f>'Expense Model'!AP143</f>
        <v>0.24183935021859945</v>
      </c>
      <c r="AI170">
        <f>'Expense Model'!AQ143</f>
        <v>0.21461990763051028</v>
      </c>
      <c r="AJ170">
        <f>'Expense Model'!AR143</f>
        <v>0.19305756889726355</v>
      </c>
      <c r="AK170">
        <f>'Expense Model'!AS143</f>
        <v>0.17819711562603535</v>
      </c>
      <c r="AL170">
        <f>'Expense Model'!AT143</f>
        <v>0.16834566492845551</v>
      </c>
      <c r="AM170">
        <f>'Expense Model'!AU143</f>
        <v>0.16129065327440506</v>
      </c>
      <c r="AN170">
        <f>'Expense Model'!AV143</f>
        <v>0</v>
      </c>
    </row>
    <row r="171" spans="1:40">
      <c r="A171" t="str">
        <f>'Expense Model'!I144</f>
        <v>Y/Y Change in bp</v>
      </c>
      <c r="B171">
        <f>'Expense Model'!J144</f>
        <v>0</v>
      </c>
      <c r="C171">
        <f>'Expense Model'!K144</f>
        <v>0</v>
      </c>
      <c r="D171">
        <f>'Expense Model'!L144</f>
        <v>0</v>
      </c>
      <c r="E171">
        <f>'Expense Model'!M144</f>
        <v>0</v>
      </c>
      <c r="F171">
        <f>'Expense Model'!N144</f>
        <v>0</v>
      </c>
      <c r="G171">
        <f>'Expense Model'!O144</f>
        <v>0</v>
      </c>
      <c r="H171">
        <f>'Expense Model'!P144</f>
        <v>0</v>
      </c>
      <c r="I171">
        <f>'Expense Model'!Q144</f>
        <v>0</v>
      </c>
      <c r="J171">
        <f>'Expense Model'!R144</f>
        <v>0</v>
      </c>
      <c r="K171">
        <f>'Expense Model'!S144</f>
        <v>0</v>
      </c>
      <c r="L171">
        <f>'Expense Model'!T144</f>
        <v>0</v>
      </c>
      <c r="M171">
        <f>'Expense Model'!U144</f>
        <v>0</v>
      </c>
      <c r="N171">
        <f>'Expense Model'!V144</f>
        <v>-5010.2817997140601</v>
      </c>
      <c r="O171">
        <f>'Expense Model'!W144</f>
        <v>-7654.7766348671084</v>
      </c>
      <c r="P171">
        <f>'Expense Model'!X144</f>
        <v>-2203.0797142763727</v>
      </c>
      <c r="Q171">
        <f>'Expense Model'!Y144</f>
        <v>81.16378485050646</v>
      </c>
      <c r="R171">
        <f>'Expense Model'!Z144</f>
        <v>10884.931862882708</v>
      </c>
      <c r="S171">
        <f>'Expense Model'!AA144</f>
        <v>1579.2468595517278</v>
      </c>
      <c r="T171">
        <f>'Expense Model'!AB144</f>
        <v>2178.4673757096716</v>
      </c>
      <c r="U171">
        <f>'Expense Model'!AC144</f>
        <v>825.00999274675917</v>
      </c>
      <c r="V171">
        <f>'Expense Model'!AD144</f>
        <v>-10648.865701231101</v>
      </c>
      <c r="W171">
        <f>'Expense Model'!AE144</f>
        <v>-1583.2748297373851</v>
      </c>
      <c r="X171">
        <f>'Expense Model'!AF144</f>
        <v>-1611.6978631174334</v>
      </c>
      <c r="Y171">
        <f>'Expense Model'!AG144</f>
        <v>-701.41149863795715</v>
      </c>
      <c r="Z171">
        <f>'Expense Model'!AH144</f>
        <v>0</v>
      </c>
      <c r="AA171">
        <f>'Expense Model'!AI144</f>
        <v>0</v>
      </c>
      <c r="AB171">
        <f>'Expense Model'!AJ144</f>
        <v>0</v>
      </c>
      <c r="AC171">
        <f>'Expense Model'!AK144</f>
        <v>0</v>
      </c>
      <c r="AD171">
        <f>'Expense Model'!AL144</f>
        <v>-1564.5592466889379</v>
      </c>
      <c r="AE171">
        <f>'Expense Model'!AM144</f>
        <v>3260.1760549380065</v>
      </c>
      <c r="AF171">
        <f>'Expense Model'!AN144</f>
        <v>-2920.4508393450633</v>
      </c>
      <c r="AG171">
        <f>'Expense Model'!AO144</f>
        <v>-630.24805239966508</v>
      </c>
      <c r="AH171">
        <f>'Expense Model'!AP144</f>
        <v>-365.90528471365428</v>
      </c>
      <c r="AI171">
        <f>'Expense Model'!AQ144</f>
        <v>-272.19442588089169</v>
      </c>
      <c r="AJ171">
        <f>'Expense Model'!AR144</f>
        <v>-215.62338733246727</v>
      </c>
      <c r="AK171">
        <f>'Expense Model'!AS144</f>
        <v>-148.60453271228204</v>
      </c>
      <c r="AL171">
        <f>'Expense Model'!AT144</f>
        <v>-98.514506975798383</v>
      </c>
      <c r="AM171">
        <f>'Expense Model'!AU144</f>
        <v>-70.550116540504533</v>
      </c>
      <c r="AN171">
        <f>'Expense Model'!AV144</f>
        <v>0</v>
      </c>
    </row>
    <row r="172" spans="1:40">
      <c r="A172" t="str">
        <f>'Expense Model'!I145</f>
        <v>Q/Q Change in bp</v>
      </c>
      <c r="B172">
        <f>'Expense Model'!J145</f>
        <v>0</v>
      </c>
      <c r="C172">
        <f>'Expense Model'!K145</f>
        <v>0</v>
      </c>
      <c r="D172">
        <f>'Expense Model'!L145</f>
        <v>0</v>
      </c>
      <c r="E172">
        <f>'Expense Model'!M145</f>
        <v>0</v>
      </c>
      <c r="F172">
        <f>'Expense Model'!N145</f>
        <v>0</v>
      </c>
      <c r="G172">
        <f>'Expense Model'!O145</f>
        <v>0</v>
      </c>
      <c r="H172">
        <f>'Expense Model'!P145</f>
        <v>0</v>
      </c>
      <c r="I172">
        <f>'Expense Model'!Q145</f>
        <v>0</v>
      </c>
      <c r="J172">
        <f>'Expense Model'!R145</f>
        <v>0</v>
      </c>
      <c r="K172">
        <f>'Expense Model'!S145</f>
        <v>2270.5718136311139</v>
      </c>
      <c r="L172">
        <f>'Expense Model'!T145</f>
        <v>-6172.8177792819479</v>
      </c>
      <c r="M172">
        <f>'Expense Model'!U145</f>
        <v>-1946.2832406401537</v>
      </c>
      <c r="N172">
        <f>'Expense Model'!V145</f>
        <v>838.24740657692803</v>
      </c>
      <c r="O172">
        <f>'Expense Model'!W145</f>
        <v>-373.92302152193525</v>
      </c>
      <c r="P172">
        <f>'Expense Model'!X145</f>
        <v>-721.12085869121154</v>
      </c>
      <c r="Q172">
        <f>'Expense Model'!Y145</f>
        <v>337.96025848672531</v>
      </c>
      <c r="R172">
        <f>'Expense Model'!Z145</f>
        <v>11642.015484609128</v>
      </c>
      <c r="S172">
        <f>'Expense Model'!AA145</f>
        <v>-9679.6080248529142</v>
      </c>
      <c r="T172">
        <f>'Expense Model'!AB145</f>
        <v>-121.90034253326765</v>
      </c>
      <c r="U172">
        <f>'Expense Model'!AC145</f>
        <v>-1015.4971244761873</v>
      </c>
      <c r="V172">
        <f>'Expense Model'!AD145</f>
        <v>168.13979063126928</v>
      </c>
      <c r="W172">
        <f>'Expense Model'!AE145</f>
        <v>-614.01715335919926</v>
      </c>
      <c r="X172">
        <f>'Expense Model'!AF145</f>
        <v>-150.32337591331603</v>
      </c>
      <c r="Y172">
        <f>'Expense Model'!AG145</f>
        <v>-105.21075999671115</v>
      </c>
      <c r="Z172">
        <f>'Expense Model'!AH145</f>
        <v>0</v>
      </c>
      <c r="AA172">
        <f>'Expense Model'!AI145</f>
        <v>0</v>
      </c>
      <c r="AB172">
        <f>'Expense Model'!AJ145</f>
        <v>0</v>
      </c>
      <c r="AC172">
        <f>'Expense Model'!AK145</f>
        <v>0</v>
      </c>
      <c r="AD172">
        <f>'Expense Model'!AL145</f>
        <v>0</v>
      </c>
      <c r="AE172">
        <f>'Expense Model'!AM145</f>
        <v>0</v>
      </c>
      <c r="AF172">
        <f>'Expense Model'!AN145</f>
        <v>0</v>
      </c>
      <c r="AG172">
        <f>'Expense Model'!AO145</f>
        <v>0</v>
      </c>
      <c r="AH172">
        <f>'Expense Model'!AP145</f>
        <v>0</v>
      </c>
      <c r="AI172">
        <f>'Expense Model'!AQ145</f>
        <v>0</v>
      </c>
      <c r="AJ172">
        <f>'Expense Model'!AR145</f>
        <v>0</v>
      </c>
      <c r="AK172">
        <f>'Expense Model'!AS145</f>
        <v>0</v>
      </c>
      <c r="AL172">
        <f>'Expense Model'!AT145</f>
        <v>0</v>
      </c>
      <c r="AM172">
        <f>'Expense Model'!AU145</f>
        <v>0</v>
      </c>
      <c r="AN172">
        <f>'Expense Model'!AV145</f>
        <v>0</v>
      </c>
    </row>
    <row r="173" spans="1:40">
      <c r="A173">
        <f>'Expense Model'!I146</f>
        <v>0</v>
      </c>
      <c r="B173">
        <f>'Expense Model'!J146</f>
        <v>0</v>
      </c>
      <c r="C173">
        <f>'Expense Model'!K146</f>
        <v>0</v>
      </c>
      <c r="D173">
        <f>'Expense Model'!L146</f>
        <v>0</v>
      </c>
      <c r="E173">
        <f>'Expense Model'!M146</f>
        <v>0</v>
      </c>
      <c r="F173">
        <f>'Expense Model'!N146</f>
        <v>0</v>
      </c>
      <c r="G173">
        <f>'Expense Model'!O146</f>
        <v>0</v>
      </c>
      <c r="H173">
        <f>'Expense Model'!P146</f>
        <v>0</v>
      </c>
      <c r="I173">
        <f>'Expense Model'!Q146</f>
        <v>0</v>
      </c>
      <c r="J173">
        <f>'Expense Model'!R146</f>
        <v>0</v>
      </c>
      <c r="K173">
        <f>'Expense Model'!S146</f>
        <v>0</v>
      </c>
      <c r="L173">
        <f>'Expense Model'!T146</f>
        <v>0</v>
      </c>
      <c r="M173">
        <f>'Expense Model'!U146</f>
        <v>0</v>
      </c>
      <c r="N173">
        <f>'Expense Model'!V146</f>
        <v>0</v>
      </c>
      <c r="O173">
        <f>'Expense Model'!W146</f>
        <v>0</v>
      </c>
      <c r="P173">
        <f>'Expense Model'!X146</f>
        <v>0</v>
      </c>
      <c r="Q173">
        <f>'Expense Model'!Y146</f>
        <v>0</v>
      </c>
      <c r="R173">
        <f>'Expense Model'!Z146</f>
        <v>0</v>
      </c>
      <c r="S173">
        <f>'Expense Model'!AA146</f>
        <v>0</v>
      </c>
      <c r="T173">
        <f>'Expense Model'!AB146</f>
        <v>28.152999999999999</v>
      </c>
      <c r="U173">
        <f>'Expense Model'!AC146</f>
        <v>24.882000000000005</v>
      </c>
      <c r="V173">
        <f>'Expense Model'!AD146</f>
        <v>0</v>
      </c>
      <c r="W173">
        <f>'Expense Model'!AE146</f>
        <v>0</v>
      </c>
      <c r="X173">
        <f>'Expense Model'!AF146</f>
        <v>0</v>
      </c>
      <c r="Y173">
        <f>'Expense Model'!AG146</f>
        <v>0</v>
      </c>
      <c r="Z173">
        <f>'Expense Model'!AH146</f>
        <v>0</v>
      </c>
      <c r="AA173">
        <f>'Expense Model'!AI146</f>
        <v>0</v>
      </c>
      <c r="AB173">
        <f>'Expense Model'!AJ146</f>
        <v>0</v>
      </c>
      <c r="AC173">
        <f>'Expense Model'!AK146</f>
        <v>0</v>
      </c>
      <c r="AD173">
        <f>'Expense Model'!AL146</f>
        <v>0</v>
      </c>
      <c r="AE173">
        <f>'Expense Model'!AM146</f>
        <v>0</v>
      </c>
      <c r="AF173">
        <f>'Expense Model'!AN146</f>
        <v>0</v>
      </c>
      <c r="AG173">
        <f>'Expense Model'!AO135</f>
        <v>0</v>
      </c>
      <c r="AH173">
        <f>'Expense Model'!AP146</f>
        <v>0</v>
      </c>
      <c r="AI173">
        <f>'Expense Model'!AQ146</f>
        <v>0</v>
      </c>
      <c r="AJ173">
        <f>'Expense Model'!AR146</f>
        <v>0</v>
      </c>
      <c r="AK173">
        <f>'Expense Model'!AS146</f>
        <v>0</v>
      </c>
      <c r="AL173">
        <f>'Expense Model'!AT146</f>
        <v>0</v>
      </c>
      <c r="AM173">
        <f>'Expense Model'!AU146</f>
        <v>0</v>
      </c>
      <c r="AN173">
        <f>'Expense Model'!AV146</f>
        <v>0</v>
      </c>
    </row>
    <row r="174" spans="1:40">
      <c r="A174" t="str">
        <f>'Expense Model'!I147</f>
        <v>G&amp;A Expense</v>
      </c>
      <c r="B174">
        <f>'Expense Model'!J147</f>
        <v>0</v>
      </c>
      <c r="C174">
        <f>'Expense Model'!K147</f>
        <v>0</v>
      </c>
      <c r="D174">
        <f>'Expense Model'!L147</f>
        <v>0</v>
      </c>
      <c r="E174">
        <f>'Expense Model'!M147</f>
        <v>0</v>
      </c>
      <c r="F174">
        <f>'Expense Model'!N147</f>
        <v>0</v>
      </c>
      <c r="G174">
        <f>'Expense Model'!O147</f>
        <v>0</v>
      </c>
      <c r="H174">
        <f>'Expense Model'!P147</f>
        <v>0</v>
      </c>
      <c r="I174">
        <f>'Expense Model'!Q147</f>
        <v>0</v>
      </c>
      <c r="J174">
        <f>'Expense Model'!R147</f>
        <v>0</v>
      </c>
      <c r="K174">
        <f>'Expense Model'!S147</f>
        <v>0</v>
      </c>
      <c r="L174">
        <f>'Expense Model'!T147</f>
        <v>0</v>
      </c>
      <c r="M174">
        <f>'Expense Model'!U147</f>
        <v>0</v>
      </c>
      <c r="N174">
        <f>'Expense Model'!V147</f>
        <v>0</v>
      </c>
      <c r="O174">
        <f>'Expense Model'!W147</f>
        <v>0</v>
      </c>
      <c r="P174">
        <f>'Expense Model'!X147</f>
        <v>0</v>
      </c>
      <c r="Q174">
        <f>'Expense Model'!Y147</f>
        <v>0</v>
      </c>
      <c r="R174">
        <f>'Expense Model'!Z147</f>
        <v>0</v>
      </c>
      <c r="S174">
        <f>'Expense Model'!AA147</f>
        <v>0</v>
      </c>
      <c r="T174">
        <f>'Expense Model'!AB147</f>
        <v>0</v>
      </c>
      <c r="U174">
        <f>'Expense Model'!AC147</f>
        <v>0</v>
      </c>
      <c r="V174">
        <f>'Expense Model'!AD147</f>
        <v>0</v>
      </c>
      <c r="W174">
        <f>'Expense Model'!AE147</f>
        <v>0</v>
      </c>
      <c r="X174">
        <f>'Expense Model'!AF147</f>
        <v>0</v>
      </c>
      <c r="Y174">
        <f>'Expense Model'!AG147</f>
        <v>0</v>
      </c>
      <c r="Z174">
        <f>'Expense Model'!AH147</f>
        <v>0</v>
      </c>
      <c r="AA174">
        <f>'Expense Model'!AI147</f>
        <v>0</v>
      </c>
      <c r="AB174">
        <f>'Expense Model'!AJ147</f>
        <v>0</v>
      </c>
      <c r="AC174">
        <f>'Expense Model'!AK147</f>
        <v>0</v>
      </c>
      <c r="AD174">
        <f>'Expense Model'!AL147</f>
        <v>0</v>
      </c>
      <c r="AE174">
        <f>'Expense Model'!AM147</f>
        <v>0</v>
      </c>
      <c r="AF174">
        <f>'Expense Model'!AN147</f>
        <v>0</v>
      </c>
      <c r="AG174">
        <f>'Expense Model'!AO147</f>
        <v>0</v>
      </c>
      <c r="AH174">
        <f>'Expense Model'!AP147</f>
        <v>0</v>
      </c>
      <c r="AI174">
        <f>'Expense Model'!AQ147</f>
        <v>0</v>
      </c>
      <c r="AJ174">
        <f>'Expense Model'!AR147</f>
        <v>0</v>
      </c>
      <c r="AK174">
        <f>'Expense Model'!AS147</f>
        <v>0</v>
      </c>
      <c r="AL174">
        <f>'Expense Model'!AT147</f>
        <v>0</v>
      </c>
      <c r="AM174">
        <f>'Expense Model'!AU147</f>
        <v>0</v>
      </c>
      <c r="AN174">
        <f>'Expense Model'!AV147</f>
        <v>0</v>
      </c>
    </row>
    <row r="175" spans="1:40">
      <c r="A175" t="str">
        <f>'Expense Model'!I148</f>
        <v>GAAP G&amp;A Expense</v>
      </c>
      <c r="B175">
        <f>'Expense Model'!J148</f>
        <v>0</v>
      </c>
      <c r="C175">
        <f>'Expense Model'!K148</f>
        <v>0</v>
      </c>
      <c r="D175">
        <f>'Expense Model'!L148</f>
        <v>0</v>
      </c>
      <c r="E175">
        <f>'Expense Model'!M148</f>
        <v>0</v>
      </c>
      <c r="F175">
        <f>'Expense Model'!N148</f>
        <v>0</v>
      </c>
      <c r="G175">
        <f>'Expense Model'!O148</f>
        <v>0</v>
      </c>
      <c r="H175">
        <f>'Expense Model'!P148</f>
        <v>0</v>
      </c>
      <c r="I175">
        <f>'Expense Model'!Q148</f>
        <v>0</v>
      </c>
      <c r="J175">
        <f>'Expense Model'!R148</f>
        <v>61.976999999999997</v>
      </c>
      <c r="K175">
        <f>'Expense Model'!S148</f>
        <v>29.391999999999999</v>
      </c>
      <c r="L175">
        <f>'Expense Model'!T148</f>
        <v>30.204999999999998</v>
      </c>
      <c r="M175">
        <f>'Expense Model'!U148</f>
        <v>27.026</v>
      </c>
      <c r="N175">
        <f>'Expense Model'!V148</f>
        <v>24.010999999999999</v>
      </c>
      <c r="O175">
        <f>'Expense Model'!W148</f>
        <v>32.261000000000003</v>
      </c>
      <c r="P175">
        <f>'Expense Model'!X148</f>
        <v>42.171999999999997</v>
      </c>
      <c r="Q175">
        <f>'Expense Model'!Y148</f>
        <v>66.715999999999994</v>
      </c>
      <c r="R175">
        <f>'Expense Model'!Z148</f>
        <v>1174.4760000000001</v>
      </c>
      <c r="S175">
        <f>'Expense Model'!AA148</f>
        <v>131.90299999999999</v>
      </c>
      <c r="T175">
        <f>'Expense Model'!AB148</f>
        <v>118.101</v>
      </c>
      <c r="U175">
        <f>'Expense Model'!AC148</f>
        <v>111.11499999999999</v>
      </c>
      <c r="V175">
        <f>'Expense Model'!AD148</f>
        <v>71.114999999999995</v>
      </c>
      <c r="W175">
        <f>'Expense Model'!AE148</f>
        <v>116.90299999999999</v>
      </c>
      <c r="X175">
        <f>'Expense Model'!AF148</f>
        <v>144.19804457152836</v>
      </c>
      <c r="Y175">
        <f>'Expense Model'!AG148</f>
        <v>132.21204457152834</v>
      </c>
      <c r="Z175">
        <f>'Expense Model'!AH148</f>
        <v>0</v>
      </c>
      <c r="AA175">
        <f>'Expense Model'!AI148</f>
        <v>0</v>
      </c>
      <c r="AB175">
        <f>'Expense Model'!AJ148</f>
        <v>0</v>
      </c>
      <c r="AC175">
        <f>'Expense Model'!AK148</f>
        <v>148.6</v>
      </c>
      <c r="AD175">
        <f>'Expense Model'!AL148</f>
        <v>165.16</v>
      </c>
      <c r="AE175">
        <f>'Expense Model'!AM148</f>
        <v>1535.595</v>
      </c>
      <c r="AF175">
        <f>'Expense Model'!AN148</f>
        <v>464.42808914305664</v>
      </c>
      <c r="AG175">
        <f>'Expense Model'!AO148</f>
        <v>514.4280891430567</v>
      </c>
      <c r="AH175">
        <f>'Expense Model'!AP148</f>
        <v>594.4280891430567</v>
      </c>
      <c r="AI175">
        <f>'Expense Model'!AQ148</f>
        <v>674.4280891430567</v>
      </c>
      <c r="AJ175">
        <f>'Expense Model'!AR148</f>
        <v>754.4280891430567</v>
      </c>
      <c r="AK175">
        <f>'Expense Model'!AS148</f>
        <v>834.4280891430567</v>
      </c>
      <c r="AL175">
        <f>'Expense Model'!AT148</f>
        <v>914.4280891430567</v>
      </c>
      <c r="AM175">
        <f>'Expense Model'!AU148</f>
        <v>994.4280891430567</v>
      </c>
      <c r="AN175">
        <f>'Expense Model'!AV148</f>
        <v>0</v>
      </c>
    </row>
    <row r="176" spans="1:40">
      <c r="A176" t="str">
        <f>'Expense Model'!I149</f>
        <v>Y/Y Abs Change</v>
      </c>
      <c r="B176">
        <f>'Expense Model'!J149</f>
        <v>0</v>
      </c>
      <c r="C176">
        <f>'Expense Model'!K149</f>
        <v>0</v>
      </c>
      <c r="D176">
        <f>'Expense Model'!L149</f>
        <v>0</v>
      </c>
      <c r="E176">
        <f>'Expense Model'!M149</f>
        <v>0</v>
      </c>
      <c r="F176">
        <f>'Expense Model'!N149</f>
        <v>0</v>
      </c>
      <c r="G176">
        <f>'Expense Model'!O149</f>
        <v>0</v>
      </c>
      <c r="H176">
        <f>'Expense Model'!P149</f>
        <v>0</v>
      </c>
      <c r="I176">
        <f>'Expense Model'!Q149</f>
        <v>0</v>
      </c>
      <c r="J176">
        <f>'Expense Model'!R149</f>
        <v>0</v>
      </c>
      <c r="K176">
        <f>'Expense Model'!S149</f>
        <v>0</v>
      </c>
      <c r="L176">
        <f>'Expense Model'!T149</f>
        <v>0</v>
      </c>
      <c r="M176">
        <f>'Expense Model'!U149</f>
        <v>0</v>
      </c>
      <c r="N176">
        <f>'Expense Model'!V149</f>
        <v>-37.965999999999994</v>
      </c>
      <c r="O176">
        <f>'Expense Model'!W149</f>
        <v>2.8690000000000033</v>
      </c>
      <c r="P176">
        <f>'Expense Model'!X149</f>
        <v>11.966999999999999</v>
      </c>
      <c r="Q176">
        <f>'Expense Model'!Y149</f>
        <v>39.69</v>
      </c>
      <c r="R176">
        <f>'Expense Model'!Z149</f>
        <v>1150.4650000000001</v>
      </c>
      <c r="S176">
        <f>'Expense Model'!AA149</f>
        <v>99.641999999999996</v>
      </c>
      <c r="T176">
        <f>'Expense Model'!AB149</f>
        <v>75.929000000000002</v>
      </c>
      <c r="U176">
        <f>'Expense Model'!AC149</f>
        <v>44.399000000000001</v>
      </c>
      <c r="V176">
        <f>'Expense Model'!AD149</f>
        <v>-1103.3610000000001</v>
      </c>
      <c r="W176">
        <f>'Expense Model'!AE149</f>
        <v>-15</v>
      </c>
      <c r="X176">
        <f>'Expense Model'!AF149</f>
        <v>15</v>
      </c>
      <c r="Y176">
        <f>'Expense Model'!AG149</f>
        <v>10</v>
      </c>
      <c r="Z176">
        <f>'Expense Model'!AH149</f>
        <v>0</v>
      </c>
      <c r="AA176">
        <f>'Expense Model'!AI149</f>
        <v>0</v>
      </c>
      <c r="AB176">
        <f>'Expense Model'!AJ149</f>
        <v>0</v>
      </c>
      <c r="AC176">
        <f>'Expense Model'!AK149</f>
        <v>0</v>
      </c>
      <c r="AD176">
        <f>'Expense Model'!AL149</f>
        <v>16.560000000000002</v>
      </c>
      <c r="AE176">
        <f>'Expense Model'!AM149</f>
        <v>1370.4349999999999</v>
      </c>
      <c r="AF176">
        <f>'Expense Model'!AN149</f>
        <v>-1071.1669108569433</v>
      </c>
      <c r="AG176">
        <f>'Expense Model'!AO149</f>
        <v>50</v>
      </c>
      <c r="AH176">
        <f>'Expense Model'!AP149</f>
        <v>80</v>
      </c>
      <c r="AI176">
        <f>'Expense Model'!AQ149</f>
        <v>80</v>
      </c>
      <c r="AJ176">
        <f>'Expense Model'!AR149</f>
        <v>80</v>
      </c>
      <c r="AK176">
        <f>'Expense Model'!AS149</f>
        <v>80</v>
      </c>
      <c r="AL176">
        <f>'Expense Model'!AT149</f>
        <v>80</v>
      </c>
      <c r="AM176">
        <f>'Expense Model'!AU149</f>
        <v>80</v>
      </c>
      <c r="AN176">
        <f>'Expense Model'!AV149</f>
        <v>0</v>
      </c>
    </row>
    <row r="177" spans="1:40">
      <c r="A177" t="str">
        <f>'Expense Model'!I150</f>
        <v>Q/Q Abs Change</v>
      </c>
      <c r="B177">
        <f>'Expense Model'!J150</f>
        <v>0</v>
      </c>
      <c r="C177">
        <f>'Expense Model'!K150</f>
        <v>0</v>
      </c>
      <c r="D177">
        <f>'Expense Model'!L150</f>
        <v>0</v>
      </c>
      <c r="E177">
        <f>'Expense Model'!M150</f>
        <v>0</v>
      </c>
      <c r="F177">
        <f>'Expense Model'!N150</f>
        <v>0</v>
      </c>
      <c r="G177">
        <f>'Expense Model'!O150</f>
        <v>0</v>
      </c>
      <c r="H177">
        <f>'Expense Model'!P150</f>
        <v>0</v>
      </c>
      <c r="I177">
        <f>'Expense Model'!Q150</f>
        <v>0</v>
      </c>
      <c r="J177">
        <f>'Expense Model'!R150</f>
        <v>0</v>
      </c>
      <c r="K177">
        <f>'Expense Model'!S150</f>
        <v>-32.584999999999994</v>
      </c>
      <c r="L177">
        <f>'Expense Model'!T150</f>
        <v>0.81299999999999883</v>
      </c>
      <c r="M177">
        <f>'Expense Model'!U150</f>
        <v>-3.1789999999999985</v>
      </c>
      <c r="N177">
        <f>'Expense Model'!V150</f>
        <v>-3.0150000000000006</v>
      </c>
      <c r="O177">
        <f>'Expense Model'!W150</f>
        <v>8.2500000000000036</v>
      </c>
      <c r="P177">
        <f>'Expense Model'!X150</f>
        <v>9.9109999999999943</v>
      </c>
      <c r="Q177">
        <f>'Expense Model'!Y150</f>
        <v>24.543999999999997</v>
      </c>
      <c r="R177">
        <f>'Expense Model'!Z150</f>
        <v>1107.7600000000002</v>
      </c>
      <c r="S177">
        <f>'Expense Model'!AA150</f>
        <v>-1042.5730000000001</v>
      </c>
      <c r="T177">
        <f>'Expense Model'!AB150</f>
        <v>-13.801999999999992</v>
      </c>
      <c r="U177">
        <f>'Expense Model'!AC150</f>
        <v>-6.9860000000000042</v>
      </c>
      <c r="V177">
        <f>'Expense Model'!AD150</f>
        <v>-40</v>
      </c>
      <c r="W177">
        <f>'Expense Model'!AE150</f>
        <v>45.787999999999997</v>
      </c>
      <c r="X177">
        <f>'Expense Model'!AF150</f>
        <v>27.295044571528365</v>
      </c>
      <c r="Y177">
        <f>'Expense Model'!AG150</f>
        <v>-11.986000000000018</v>
      </c>
      <c r="Z177">
        <f>'Expense Model'!AH150</f>
        <v>0</v>
      </c>
      <c r="AA177">
        <f>'Expense Model'!AI150</f>
        <v>0</v>
      </c>
      <c r="AB177">
        <f>'Expense Model'!AJ150</f>
        <v>0</v>
      </c>
      <c r="AC177">
        <f>'Expense Model'!AK150</f>
        <v>0</v>
      </c>
      <c r="AD177">
        <f>'Expense Model'!AL150</f>
        <v>0</v>
      </c>
      <c r="AE177">
        <f>'Expense Model'!AM150</f>
        <v>0</v>
      </c>
      <c r="AF177">
        <f>'Expense Model'!AN150</f>
        <v>0</v>
      </c>
      <c r="AG177">
        <f>'Expense Model'!AO150</f>
        <v>0</v>
      </c>
      <c r="AH177">
        <f>'Expense Model'!AP150</f>
        <v>0</v>
      </c>
      <c r="AI177">
        <f>'Expense Model'!AQ150</f>
        <v>0</v>
      </c>
      <c r="AJ177">
        <f>'Expense Model'!AR150</f>
        <v>0</v>
      </c>
      <c r="AK177">
        <f>'Expense Model'!AS150</f>
        <v>0</v>
      </c>
      <c r="AL177">
        <f>'Expense Model'!AT150</f>
        <v>0</v>
      </c>
      <c r="AM177">
        <f>'Expense Model'!AU150</f>
        <v>0</v>
      </c>
      <c r="AN177">
        <f>'Expense Model'!AV150</f>
        <v>0</v>
      </c>
    </row>
    <row r="178" spans="1:40">
      <c r="A178" t="str">
        <f>'Expense Model'!I151</f>
        <v xml:space="preserve">Y/Y % Change </v>
      </c>
      <c r="B178">
        <f>'Expense Model'!J151</f>
        <v>0</v>
      </c>
      <c r="C178">
        <f>'Expense Model'!K151</f>
        <v>0</v>
      </c>
      <c r="D178">
        <f>'Expense Model'!L151</f>
        <v>0</v>
      </c>
      <c r="E178">
        <f>'Expense Model'!M151</f>
        <v>0</v>
      </c>
      <c r="F178">
        <f>'Expense Model'!N151</f>
        <v>0</v>
      </c>
      <c r="G178">
        <f>'Expense Model'!O151</f>
        <v>0</v>
      </c>
      <c r="H178">
        <f>'Expense Model'!P151</f>
        <v>0</v>
      </c>
      <c r="I178">
        <f>'Expense Model'!Q151</f>
        <v>0</v>
      </c>
      <c r="J178">
        <f>'Expense Model'!R151</f>
        <v>0</v>
      </c>
      <c r="K178">
        <f>'Expense Model'!S151</f>
        <v>0</v>
      </c>
      <c r="L178">
        <f>'Expense Model'!T151</f>
        <v>0</v>
      </c>
      <c r="M178">
        <f>'Expense Model'!U151</f>
        <v>0</v>
      </c>
      <c r="N178">
        <f>'Expense Model'!V151</f>
        <v>-0.61258208690320604</v>
      </c>
      <c r="O178">
        <f>'Expense Model'!W151</f>
        <v>9.7611594991834583E-2</v>
      </c>
      <c r="P178">
        <f>'Expense Model'!X151</f>
        <v>0.39619268333057445</v>
      </c>
      <c r="Q178">
        <f>'Expense Model'!Y151</f>
        <v>1.4685858062606378</v>
      </c>
      <c r="R178">
        <f>'Expense Model'!Z151</f>
        <v>47.914081046187171</v>
      </c>
      <c r="S178">
        <f>'Expense Model'!AA151</f>
        <v>3.0886209354948697</v>
      </c>
      <c r="T178">
        <f>'Expense Model'!AB151</f>
        <v>1.8004600208669261</v>
      </c>
      <c r="U178">
        <f>'Expense Model'!AC151</f>
        <v>0.66549253552371246</v>
      </c>
      <c r="V178">
        <f>'Expense Model'!AD151</f>
        <v>-0.93944959283970042</v>
      </c>
      <c r="W178">
        <f>'Expense Model'!AE151</f>
        <v>-0.11371993055502905</v>
      </c>
      <c r="X178">
        <f>'Expense Model'!AF151</f>
        <v>0.22097225740280235</v>
      </c>
      <c r="Y178">
        <f>'Expense Model'!AG151</f>
        <v>0.18986675580730195</v>
      </c>
      <c r="Z178">
        <f>'Expense Model'!AH151</f>
        <v>0</v>
      </c>
      <c r="AA178">
        <f>'Expense Model'!AI151</f>
        <v>0</v>
      </c>
      <c r="AB178">
        <f>'Expense Model'!AJ151</f>
        <v>0</v>
      </c>
      <c r="AC178">
        <f>'Expense Model'!AK151</f>
        <v>0</v>
      </c>
      <c r="AD178">
        <f>'Expense Model'!AL151</f>
        <v>0.11144010767160162</v>
      </c>
      <c r="AE178">
        <f>'Expense Model'!AM151</f>
        <v>8.297620489222572</v>
      </c>
      <c r="AF178">
        <f>'Expense Model'!AN151</f>
        <v>-0.69755821740559409</v>
      </c>
      <c r="AG178">
        <f>'Expense Model'!AO151</f>
        <v>0.10765929358893422</v>
      </c>
      <c r="AH178">
        <f>'Expense Model'!AP151</f>
        <v>0.15551250347403345</v>
      </c>
      <c r="AI178">
        <f>'Expense Model'!AQ151</f>
        <v>0.13458314211788025</v>
      </c>
      <c r="AJ178">
        <f>'Expense Model'!AR151</f>
        <v>0.11861902149071191</v>
      </c>
      <c r="AK178">
        <f>'Expense Model'!AS151</f>
        <v>0.10604059041713398</v>
      </c>
      <c r="AL178">
        <f>'Expense Model'!AT151</f>
        <v>9.5874049592648003E-2</v>
      </c>
      <c r="AM178">
        <f>'Expense Model'!AU151</f>
        <v>8.7486376402731603E-2</v>
      </c>
      <c r="AN178">
        <f>'Expense Model'!AV151</f>
        <v>0</v>
      </c>
    </row>
    <row r="179" spans="1:40">
      <c r="A179" t="str">
        <f>'Expense Model'!I152</f>
        <v xml:space="preserve">Q/Q % Change </v>
      </c>
      <c r="B179">
        <f>'Expense Model'!J152</f>
        <v>0</v>
      </c>
      <c r="C179">
        <f>'Expense Model'!K152</f>
        <v>0</v>
      </c>
      <c r="D179">
        <f>'Expense Model'!L152</f>
        <v>0</v>
      </c>
      <c r="E179">
        <f>'Expense Model'!M152</f>
        <v>0</v>
      </c>
      <c r="F179">
        <f>'Expense Model'!N152</f>
        <v>0</v>
      </c>
      <c r="G179">
        <f>'Expense Model'!O152</f>
        <v>0</v>
      </c>
      <c r="H179">
        <f>'Expense Model'!P152</f>
        <v>0</v>
      </c>
      <c r="I179">
        <f>'Expense Model'!Q152</f>
        <v>0</v>
      </c>
      <c r="J179">
        <f>'Expense Model'!R152</f>
        <v>0</v>
      </c>
      <c r="K179">
        <f>'Expense Model'!S152</f>
        <v>-0.52575955596430934</v>
      </c>
      <c r="L179">
        <f>'Expense Model'!T152</f>
        <v>2.766058791507886E-2</v>
      </c>
      <c r="M179">
        <f>'Expense Model'!U152</f>
        <v>-0.10524747558351266</v>
      </c>
      <c r="N179">
        <f>'Expense Model'!V152</f>
        <v>-0.11155923925109157</v>
      </c>
      <c r="O179">
        <f>'Expense Model'!W152</f>
        <v>0.34359252009495655</v>
      </c>
      <c r="P179">
        <f>'Expense Model'!X152</f>
        <v>0.30721304361303092</v>
      </c>
      <c r="Q179">
        <f>'Expense Model'!Y152</f>
        <v>0.58199753390875464</v>
      </c>
      <c r="R179">
        <f>'Expense Model'!Z152</f>
        <v>16.604112956412258</v>
      </c>
      <c r="S179">
        <f>'Expense Model'!AA152</f>
        <v>-0.8876920430898545</v>
      </c>
      <c r="T179">
        <f>'Expense Model'!AB152</f>
        <v>-0.10463749876803408</v>
      </c>
      <c r="U179">
        <f>'Expense Model'!AC152</f>
        <v>-5.9152759079093342E-2</v>
      </c>
      <c r="V179">
        <f>'Expense Model'!AD152</f>
        <v>-0.35998740044098454</v>
      </c>
      <c r="W179">
        <f>'Expense Model'!AE152</f>
        <v>0.64385853898614909</v>
      </c>
      <c r="X179">
        <f>'Expense Model'!AF152</f>
        <v>0.23348455190652384</v>
      </c>
      <c r="Y179">
        <f>'Expense Model'!AG152</f>
        <v>-8.3121792917617898E-2</v>
      </c>
      <c r="Z179">
        <f>'Expense Model'!AH152</f>
        <v>0</v>
      </c>
      <c r="AA179">
        <f>'Expense Model'!AI152</f>
        <v>0</v>
      </c>
      <c r="AB179">
        <f>'Expense Model'!AJ152</f>
        <v>0</v>
      </c>
      <c r="AC179">
        <f>'Expense Model'!AK152</f>
        <v>0</v>
      </c>
      <c r="AD179">
        <f>'Expense Model'!AL152</f>
        <v>0</v>
      </c>
      <c r="AE179">
        <f>'Expense Model'!AM152</f>
        <v>0</v>
      </c>
      <c r="AF179">
        <f>'Expense Model'!AN152</f>
        <v>0</v>
      </c>
      <c r="AG179">
        <f>'Expense Model'!AO152</f>
        <v>0</v>
      </c>
      <c r="AH179">
        <f>'Expense Model'!AP152</f>
        <v>0</v>
      </c>
      <c r="AI179">
        <f>'Expense Model'!AQ152</f>
        <v>0</v>
      </c>
      <c r="AJ179">
        <f>'Expense Model'!AR152</f>
        <v>0</v>
      </c>
      <c r="AK179">
        <f>'Expense Model'!AS152</f>
        <v>0</v>
      </c>
      <c r="AL179">
        <f>'Expense Model'!AT152</f>
        <v>0</v>
      </c>
      <c r="AM179">
        <f>'Expense Model'!AU152</f>
        <v>0</v>
      </c>
      <c r="AN179">
        <f>'Expense Model'!AV152</f>
        <v>0</v>
      </c>
    </row>
    <row r="180" spans="1:40">
      <c r="A180" t="str">
        <f>'Expense Model'!I153</f>
        <v xml:space="preserve">% of Revenue </v>
      </c>
      <c r="B180">
        <f>'Expense Model'!J153</f>
        <v>0</v>
      </c>
      <c r="C180">
        <f>'Expense Model'!K153</f>
        <v>0</v>
      </c>
      <c r="D180">
        <f>'Expense Model'!L153</f>
        <v>0</v>
      </c>
      <c r="E180">
        <f>'Expense Model'!M153</f>
        <v>0</v>
      </c>
      <c r="F180">
        <f>'Expense Model'!N153</f>
        <v>0</v>
      </c>
      <c r="G180">
        <f>'Expense Model'!O153</f>
        <v>0</v>
      </c>
      <c r="H180">
        <f>'Expense Model'!P153</f>
        <v>0</v>
      </c>
      <c r="I180">
        <f>'Expense Model'!Q153</f>
        <v>0</v>
      </c>
      <c r="J180">
        <f>'Expense Model'!R153</f>
        <v>15.810459183673469</v>
      </c>
      <c r="K180">
        <f>'Expense Model'!S153</f>
        <v>5.5456603773584909</v>
      </c>
      <c r="L180">
        <f>'Expense Model'!T153</f>
        <v>1.8059790732436469</v>
      </c>
      <c r="M180">
        <f>'Expense Model'!U153</f>
        <v>0.8260284858487682</v>
      </c>
      <c r="N180">
        <f>'Expense Model'!V153</f>
        <v>0.61887210680962934</v>
      </c>
      <c r="O180">
        <f>'Expense Model'!W153</f>
        <v>0.44933006490431493</v>
      </c>
      <c r="P180">
        <f>'Expense Model'!X153</f>
        <v>0.3289444947115534</v>
      </c>
      <c r="Q180">
        <f>'Expense Model'!Y153</f>
        <v>0.40267500392317812</v>
      </c>
      <c r="R180">
        <f>'Expense Model'!Z153</f>
        <v>7.8482572436651354</v>
      </c>
      <c r="S180">
        <f>'Expense Model'!AA153</f>
        <v>0.72605424090801507</v>
      </c>
      <c r="T180">
        <f>'Expense Model'!AB153</f>
        <v>0.5679652971813578</v>
      </c>
      <c r="U180">
        <f>'Expense Model'!AC153</f>
        <v>0.3889314753949169</v>
      </c>
      <c r="V180">
        <f>'Expense Model'!AD153</f>
        <v>0.28560240963855421</v>
      </c>
      <c r="W180">
        <f>'Expense Model'!AE153</f>
        <v>0.39628135593220337</v>
      </c>
      <c r="X180">
        <f>'Expense Model'!AF153</f>
        <v>0.42286816589891013</v>
      </c>
      <c r="Y180">
        <f>'Expense Model'!AG153</f>
        <v>0.30890664619515967</v>
      </c>
      <c r="Z180">
        <f>'Expense Model'!AH153</f>
        <v>0</v>
      </c>
      <c r="AA180">
        <f>'Expense Model'!AI153</f>
        <v>0</v>
      </c>
      <c r="AB180">
        <f>'Expense Model'!AJ153</f>
        <v>0</v>
      </c>
      <c r="AC180">
        <f>'Expense Model'!AK153</f>
        <v>2.5331128650086083</v>
      </c>
      <c r="AD180">
        <f>'Expense Model'!AL153</f>
        <v>0.40832472149564136</v>
      </c>
      <c r="AE180">
        <f>'Expense Model'!AM153</f>
        <v>1.8614423437085204</v>
      </c>
      <c r="AF180">
        <f>'Expense Model'!AN153</f>
        <v>0.35371522402365319</v>
      </c>
      <c r="AG180">
        <f>'Expense Model'!AO153</f>
        <v>0.26121523618042369</v>
      </c>
      <c r="AH180">
        <f>'Expense Model'!AP153</f>
        <v>0.21192650012536754</v>
      </c>
      <c r="AI180">
        <f>'Expense Model'!AQ153</f>
        <v>0.17687936919739516</v>
      </c>
      <c r="AJ180">
        <f>'Expense Model'!AR153</f>
        <v>0.15198110546238411</v>
      </c>
      <c r="AK180">
        <f>'Expense Model'!AS153</f>
        <v>0.13538069494836436</v>
      </c>
      <c r="AL180">
        <f>'Expense Model'!AT153</f>
        <v>0.12431258606029483</v>
      </c>
      <c r="AM180">
        <f>'Expense Model'!AU153</f>
        <v>0.11636687595300249</v>
      </c>
      <c r="AN180">
        <f>'Expense Model'!AV153</f>
        <v>0</v>
      </c>
    </row>
    <row r="181" spans="1:40">
      <c r="A181" t="str">
        <f>'Expense Model'!I154</f>
        <v>Y/Y Change in bp</v>
      </c>
      <c r="B181">
        <f>'Expense Model'!J154</f>
        <v>0</v>
      </c>
      <c r="C181">
        <f>'Expense Model'!K154</f>
        <v>0</v>
      </c>
      <c r="D181">
        <f>'Expense Model'!L154</f>
        <v>0</v>
      </c>
      <c r="E181">
        <f>'Expense Model'!M154</f>
        <v>0</v>
      </c>
      <c r="F181">
        <f>'Expense Model'!N154</f>
        <v>0</v>
      </c>
      <c r="G181">
        <f>'Expense Model'!O154</f>
        <v>0</v>
      </c>
      <c r="H181">
        <f>'Expense Model'!P154</f>
        <v>0</v>
      </c>
      <c r="I181">
        <f>'Expense Model'!Q154</f>
        <v>0</v>
      </c>
      <c r="J181">
        <f>'Expense Model'!R154</f>
        <v>0</v>
      </c>
      <c r="K181">
        <f>'Expense Model'!S154</f>
        <v>0</v>
      </c>
      <c r="L181">
        <f>'Expense Model'!T154</f>
        <v>0</v>
      </c>
      <c r="M181">
        <f>'Expense Model'!U154</f>
        <v>0</v>
      </c>
      <c r="N181">
        <f>'Expense Model'!V154</f>
        <v>-151915.87076863839</v>
      </c>
      <c r="O181">
        <f>'Expense Model'!W154</f>
        <v>-50963.303124541766</v>
      </c>
      <c r="P181">
        <f>'Expense Model'!X154</f>
        <v>-14770.345785320935</v>
      </c>
      <c r="Q181">
        <f>'Expense Model'!Y154</f>
        <v>-4233.5348192559004</v>
      </c>
      <c r="R181">
        <f>'Expense Model'!Z154</f>
        <v>72293.851368555057</v>
      </c>
      <c r="S181">
        <f>'Expense Model'!AA154</f>
        <v>2767.2417600370013</v>
      </c>
      <c r="T181">
        <f>'Expense Model'!AB154</f>
        <v>2390.208024698044</v>
      </c>
      <c r="U181">
        <f>'Expense Model'!AC154</f>
        <v>-137.43528528261217</v>
      </c>
      <c r="V181">
        <f>'Expense Model'!AD154</f>
        <v>-75626.548340265814</v>
      </c>
      <c r="W181">
        <f>'Expense Model'!AE154</f>
        <v>-3297.7288497581171</v>
      </c>
      <c r="X181">
        <f>'Expense Model'!AF154</f>
        <v>-1450.9713128244766</v>
      </c>
      <c r="Y181">
        <f>'Expense Model'!AG154</f>
        <v>-800.24829199757232</v>
      </c>
      <c r="Z181">
        <f>'Expense Model'!AH154</f>
        <v>0</v>
      </c>
      <c r="AA181">
        <f>'Expense Model'!AI154</f>
        <v>0</v>
      </c>
      <c r="AB181">
        <f>'Expense Model'!AJ154</f>
        <v>0</v>
      </c>
      <c r="AC181">
        <f>'Expense Model'!AK154</f>
        <v>0</v>
      </c>
      <c r="AD181">
        <f>'Expense Model'!AL154</f>
        <v>-21247.881435129671</v>
      </c>
      <c r="AE181">
        <f>'Expense Model'!AM154</f>
        <v>14531.17622212879</v>
      </c>
      <c r="AF181">
        <f>'Expense Model'!AN154</f>
        <v>-15077.271196848671</v>
      </c>
      <c r="AG181">
        <f>'Expense Model'!AO154</f>
        <v>-924.99987843229496</v>
      </c>
      <c r="AH181">
        <f>'Expense Model'!AP154</f>
        <v>-492.88736055056154</v>
      </c>
      <c r="AI181">
        <f>'Expense Model'!AQ154</f>
        <v>-350.47130927972376</v>
      </c>
      <c r="AJ181">
        <f>'Expense Model'!AR154</f>
        <v>-248.98263735011056</v>
      </c>
      <c r="AK181">
        <f>'Expense Model'!AS154</f>
        <v>-166.00410514019754</v>
      </c>
      <c r="AL181">
        <f>'Expense Model'!AT154</f>
        <v>-110.68108888069528</v>
      </c>
      <c r="AM181">
        <f>'Expense Model'!AU154</f>
        <v>-79.457101072923365</v>
      </c>
      <c r="AN181">
        <f>'Expense Model'!AV154</f>
        <v>0</v>
      </c>
    </row>
    <row r="182" spans="1:40">
      <c r="A182" t="str">
        <f>'Expense Model'!I155</f>
        <v>Q/Q Change in bp</v>
      </c>
      <c r="B182">
        <f>'Expense Model'!J155</f>
        <v>0</v>
      </c>
      <c r="C182">
        <f>'Expense Model'!K155</f>
        <v>0</v>
      </c>
      <c r="D182">
        <f>'Expense Model'!L155</f>
        <v>0</v>
      </c>
      <c r="E182">
        <f>'Expense Model'!M155</f>
        <v>0</v>
      </c>
      <c r="F182">
        <f>'Expense Model'!N155</f>
        <v>0</v>
      </c>
      <c r="G182">
        <f>'Expense Model'!O155</f>
        <v>0</v>
      </c>
      <c r="H182">
        <f>'Expense Model'!P155</f>
        <v>0</v>
      </c>
      <c r="I182">
        <f>'Expense Model'!Q155</f>
        <v>0</v>
      </c>
      <c r="J182">
        <f>'Expense Model'!R155</f>
        <v>0</v>
      </c>
      <c r="K182">
        <f>'Expense Model'!S155</f>
        <v>-102647.98806314978</v>
      </c>
      <c r="L182">
        <f>'Expense Model'!T155</f>
        <v>-37396.813041148438</v>
      </c>
      <c r="M182">
        <f>'Expense Model'!U155</f>
        <v>-9799.5058739487868</v>
      </c>
      <c r="N182">
        <f>'Expense Model'!V155</f>
        <v>-2071.5637903913885</v>
      </c>
      <c r="O182">
        <f>'Expense Model'!W155</f>
        <v>-1695.4204190531441</v>
      </c>
      <c r="P182">
        <f>'Expense Model'!X155</f>
        <v>-1203.8557019276152</v>
      </c>
      <c r="Q182">
        <f>'Expense Model'!Y155</f>
        <v>737.30509211624712</v>
      </c>
      <c r="R182">
        <f>'Expense Model'!Z155</f>
        <v>74455.822397419572</v>
      </c>
      <c r="S182">
        <f>'Expense Model'!AA155</f>
        <v>-71222.030027571207</v>
      </c>
      <c r="T182">
        <f>'Expense Model'!AB155</f>
        <v>-1580.8894372665727</v>
      </c>
      <c r="U182">
        <f>'Expense Model'!AC155</f>
        <v>-1790.338217864409</v>
      </c>
      <c r="V182">
        <f>'Expense Model'!AD155</f>
        <v>-1033.2906575636268</v>
      </c>
      <c r="W182">
        <f>'Expense Model'!AE155</f>
        <v>1106.7894629364916</v>
      </c>
      <c r="X182">
        <f>'Expense Model'!AF155</f>
        <v>265.86809966706761</v>
      </c>
      <c r="Y182">
        <f>'Expense Model'!AG155</f>
        <v>-1139.6151970375047</v>
      </c>
      <c r="Z182">
        <f>'Expense Model'!AH155</f>
        <v>0</v>
      </c>
      <c r="AA182">
        <f>'Expense Model'!AI155</f>
        <v>0</v>
      </c>
      <c r="AB182">
        <f>'Expense Model'!AJ155</f>
        <v>0</v>
      </c>
      <c r="AC182">
        <f>'Expense Model'!AK155</f>
        <v>0</v>
      </c>
      <c r="AD182">
        <f>'Expense Model'!AL155</f>
        <v>0</v>
      </c>
      <c r="AE182">
        <f>'Expense Model'!AM155</f>
        <v>0</v>
      </c>
      <c r="AF182">
        <f>'Expense Model'!AN155</f>
        <v>0</v>
      </c>
      <c r="AG182">
        <f>'Expense Model'!AO155</f>
        <v>0</v>
      </c>
      <c r="AH182">
        <f>'Expense Model'!AP155</f>
        <v>0</v>
      </c>
      <c r="AI182">
        <f>'Expense Model'!AQ155</f>
        <v>0</v>
      </c>
      <c r="AJ182">
        <f>'Expense Model'!AR155</f>
        <v>0</v>
      </c>
      <c r="AK182">
        <f>'Expense Model'!AS155</f>
        <v>0</v>
      </c>
      <c r="AL182">
        <f>'Expense Model'!AT155</f>
        <v>0</v>
      </c>
      <c r="AM182">
        <f>'Expense Model'!AU155</f>
        <v>0</v>
      </c>
      <c r="AN182">
        <f>'Expense Model'!AV155</f>
        <v>0</v>
      </c>
    </row>
    <row r="183" spans="1:40">
      <c r="A183">
        <f>'Expense Model'!I156</f>
        <v>0</v>
      </c>
      <c r="B183">
        <f>'Expense Model'!J156</f>
        <v>0</v>
      </c>
      <c r="C183">
        <f>'Expense Model'!K156</f>
        <v>0</v>
      </c>
      <c r="D183">
        <f>'Expense Model'!L156</f>
        <v>0</v>
      </c>
      <c r="E183">
        <f>'Expense Model'!M156</f>
        <v>0</v>
      </c>
      <c r="F183">
        <f>'Expense Model'!N156</f>
        <v>0</v>
      </c>
      <c r="G183">
        <f>'Expense Model'!O156</f>
        <v>0</v>
      </c>
      <c r="H183">
        <f>'Expense Model'!P156</f>
        <v>0</v>
      </c>
      <c r="I183">
        <f>'Expense Model'!Q156</f>
        <v>0</v>
      </c>
      <c r="J183">
        <f>'Expense Model'!R156</f>
        <v>0</v>
      </c>
      <c r="K183">
        <f>'Expense Model'!S156</f>
        <v>0</v>
      </c>
      <c r="L183">
        <f>'Expense Model'!T156</f>
        <v>0</v>
      </c>
      <c r="M183">
        <f>'Expense Model'!U156</f>
        <v>0</v>
      </c>
      <c r="N183">
        <f>'Expense Model'!V156</f>
        <v>0</v>
      </c>
      <c r="O183">
        <f>'Expense Model'!W156</f>
        <v>0</v>
      </c>
      <c r="P183">
        <f>'Expense Model'!X156</f>
        <v>0</v>
      </c>
      <c r="Q183">
        <f>'Expense Model'!Y156</f>
        <v>0</v>
      </c>
      <c r="R183">
        <f>'Expense Model'!Z156</f>
        <v>0</v>
      </c>
      <c r="S183">
        <f>'Expense Model'!AA156</f>
        <v>0</v>
      </c>
      <c r="T183">
        <f>'Expense Model'!AB156</f>
        <v>0</v>
      </c>
      <c r="U183">
        <f>'Expense Model'!AC156</f>
        <v>0</v>
      </c>
      <c r="V183">
        <f>'Expense Model'!AD156</f>
        <v>0</v>
      </c>
      <c r="W183">
        <f>'Expense Model'!AE156</f>
        <v>0</v>
      </c>
      <c r="X183">
        <f>'Expense Model'!AF156</f>
        <v>0</v>
      </c>
      <c r="Y183">
        <f>'Expense Model'!AG156</f>
        <v>0</v>
      </c>
      <c r="Z183">
        <f>'Expense Model'!AH156</f>
        <v>0</v>
      </c>
      <c r="AA183">
        <f>'Expense Model'!AI156</f>
        <v>0</v>
      </c>
      <c r="AB183">
        <f>'Expense Model'!AJ156</f>
        <v>0</v>
      </c>
      <c r="AC183">
        <f>'Expense Model'!AK156</f>
        <v>0</v>
      </c>
      <c r="AD183">
        <f>'Expense Model'!AL156</f>
        <v>0</v>
      </c>
      <c r="AE183">
        <f>'Expense Model'!AM156</f>
        <v>0</v>
      </c>
      <c r="AF183">
        <f>'Expense Model'!AN156</f>
        <v>0</v>
      </c>
      <c r="AG183">
        <f>'Expense Model'!AO156</f>
        <v>0</v>
      </c>
      <c r="AH183">
        <f>'Expense Model'!AP156</f>
        <v>0</v>
      </c>
      <c r="AI183">
        <f>'Expense Model'!AQ156</f>
        <v>0</v>
      </c>
      <c r="AJ183">
        <f>'Expense Model'!AR156</f>
        <v>0</v>
      </c>
      <c r="AK183">
        <f>'Expense Model'!AS156</f>
        <v>0</v>
      </c>
      <c r="AL183">
        <f>'Expense Model'!AT156</f>
        <v>0</v>
      </c>
      <c r="AM183">
        <f>'Expense Model'!AU156</f>
        <v>0</v>
      </c>
      <c r="AN183">
        <f>'Expense Model'!AV156</f>
        <v>0</v>
      </c>
    </row>
    <row r="184" spans="1:40">
      <c r="A184" t="str">
        <f>'Expense Model'!I157</f>
        <v>Stock-Based Compensation</v>
      </c>
      <c r="B184">
        <f>'Expense Model'!J157</f>
        <v>0</v>
      </c>
      <c r="C184">
        <f>'Expense Model'!K157</f>
        <v>0</v>
      </c>
      <c r="D184">
        <f>'Expense Model'!L157</f>
        <v>0</v>
      </c>
      <c r="E184">
        <f>'Expense Model'!M157</f>
        <v>0</v>
      </c>
      <c r="F184">
        <f>'Expense Model'!N157</f>
        <v>0</v>
      </c>
      <c r="G184">
        <f>'Expense Model'!O157</f>
        <v>0</v>
      </c>
      <c r="H184">
        <f>'Expense Model'!P157</f>
        <v>0</v>
      </c>
      <c r="I184">
        <f>'Expense Model'!Q157</f>
        <v>0</v>
      </c>
      <c r="J184">
        <f>'Expense Model'!R157</f>
        <v>0</v>
      </c>
      <c r="K184">
        <f>'Expense Model'!S157</f>
        <v>0</v>
      </c>
      <c r="L184">
        <f>'Expense Model'!T157</f>
        <v>0</v>
      </c>
      <c r="M184">
        <f>'Expense Model'!U157</f>
        <v>0</v>
      </c>
      <c r="N184">
        <f>'Expense Model'!V157</f>
        <v>0</v>
      </c>
      <c r="O184">
        <f>'Expense Model'!W157</f>
        <v>0</v>
      </c>
      <c r="P184">
        <f>'Expense Model'!X157</f>
        <v>0</v>
      </c>
      <c r="Q184">
        <f>'Expense Model'!Y157</f>
        <v>0</v>
      </c>
      <c r="R184">
        <f>'Expense Model'!Z157</f>
        <v>0</v>
      </c>
      <c r="S184">
        <f>'Expense Model'!AA157</f>
        <v>0</v>
      </c>
      <c r="T184">
        <f>'Expense Model'!AB157</f>
        <v>0</v>
      </c>
      <c r="U184">
        <f>'Expense Model'!AC157</f>
        <v>0</v>
      </c>
      <c r="V184">
        <f>'Expense Model'!AD157</f>
        <v>0</v>
      </c>
      <c r="W184">
        <f>'Expense Model'!AE157</f>
        <v>0</v>
      </c>
      <c r="X184">
        <f>'Expense Model'!AF157</f>
        <v>0</v>
      </c>
      <c r="Y184">
        <f>'Expense Model'!AG157</f>
        <v>0</v>
      </c>
      <c r="Z184">
        <f>'Expense Model'!AH157</f>
        <v>0</v>
      </c>
      <c r="AA184">
        <f>'Expense Model'!AI157</f>
        <v>0</v>
      </c>
      <c r="AB184">
        <f>'Expense Model'!AJ157</f>
        <v>0</v>
      </c>
      <c r="AC184">
        <f>'Expense Model'!AK157</f>
        <v>0</v>
      </c>
      <c r="AD184">
        <f>'Expense Model'!AL157</f>
        <v>0</v>
      </c>
      <c r="AE184">
        <f>'Expense Model'!AM157</f>
        <v>0</v>
      </c>
      <c r="AF184">
        <f>'Expense Model'!AN157</f>
        <v>0</v>
      </c>
      <c r="AG184">
        <f>'Expense Model'!AO157</f>
        <v>0</v>
      </c>
      <c r="AH184">
        <f>'Expense Model'!AP157</f>
        <v>0</v>
      </c>
      <c r="AI184">
        <f>'Expense Model'!AQ157</f>
        <v>0</v>
      </c>
      <c r="AJ184">
        <f>'Expense Model'!AR157</f>
        <v>0</v>
      </c>
      <c r="AK184">
        <f>'Expense Model'!AS157</f>
        <v>0</v>
      </c>
      <c r="AL184">
        <f>'Expense Model'!AT157</f>
        <v>0</v>
      </c>
      <c r="AM184">
        <f>'Expense Model'!AU157</f>
        <v>0</v>
      </c>
      <c r="AN184">
        <f>'Expense Model'!AV157</f>
        <v>0</v>
      </c>
    </row>
    <row r="185" spans="1:40">
      <c r="A185" t="str">
        <f>'Expense Model'!I158</f>
        <v xml:space="preserve">Cost of Revenue </v>
      </c>
      <c r="B185">
        <f>'Expense Model'!J158</f>
        <v>0</v>
      </c>
      <c r="C185">
        <f>'Expense Model'!K158</f>
        <v>0</v>
      </c>
      <c r="D185">
        <f>'Expense Model'!L158</f>
        <v>0</v>
      </c>
      <c r="E185">
        <f>'Expense Model'!M158</f>
        <v>0</v>
      </c>
      <c r="F185">
        <f>'Expense Model'!N158</f>
        <v>0</v>
      </c>
      <c r="G185">
        <f>'Expense Model'!O158</f>
        <v>0</v>
      </c>
      <c r="H185">
        <f>'Expense Model'!P158</f>
        <v>0</v>
      </c>
      <c r="I185">
        <f>'Expense Model'!Q158</f>
        <v>0</v>
      </c>
      <c r="J185">
        <f>'Expense Model'!R158</f>
        <v>0.127</v>
      </c>
      <c r="K185">
        <f>'Expense Model'!S158</f>
        <v>0.128</v>
      </c>
      <c r="L185">
        <f>'Expense Model'!T158</f>
        <v>0.128</v>
      </c>
      <c r="M185">
        <f>'Expense Model'!U158</f>
        <v>0.105</v>
      </c>
      <c r="N185">
        <f>'Expense Model'!V158</f>
        <v>0.154</v>
      </c>
      <c r="O185">
        <f>'Expense Model'!W158</f>
        <v>0.128</v>
      </c>
      <c r="P185">
        <f>'Expense Model'!X158</f>
        <v>0.128</v>
      </c>
      <c r="Q185">
        <f>'Expense Model'!Y158</f>
        <v>0.122</v>
      </c>
      <c r="R185">
        <f>'Expense Model'!Z158</f>
        <v>20.026</v>
      </c>
      <c r="S185">
        <f>'Expense Model'!AA158</f>
        <v>2.2229999999999999</v>
      </c>
      <c r="T185">
        <f>'Expense Model'!AB158</f>
        <v>2.0390000000000001</v>
      </c>
      <c r="U185">
        <f>'Expense Model'!AC158</f>
        <v>2.23</v>
      </c>
      <c r="V185">
        <f>'Expense Model'!AD158</f>
        <v>0.83964508665473447</v>
      </c>
      <c r="W185">
        <f>'Expense Model'!AE158</f>
        <v>1.2168769371807746</v>
      </c>
      <c r="X185">
        <f>'Expense Model'!AF158</f>
        <v>1.2168769371807746</v>
      </c>
      <c r="Y185">
        <f>'Expense Model'!AG158</f>
        <v>1.2168769371807746</v>
      </c>
      <c r="Z185">
        <f>'Expense Model'!AH158</f>
        <v>0</v>
      </c>
      <c r="AA185">
        <f>'Expense Model'!AI158</f>
        <v>0</v>
      </c>
      <c r="AB185">
        <f>'Expense Model'!AJ158</f>
        <v>0</v>
      </c>
      <c r="AC185">
        <f>'Expense Model'!AK158</f>
        <v>0.48799999999999999</v>
      </c>
      <c r="AD185">
        <f>'Expense Model'!AL158</f>
        <v>0.53200000000000003</v>
      </c>
      <c r="AE185">
        <f>'Expense Model'!AM158</f>
        <v>26.518000000000001</v>
      </c>
      <c r="AF185">
        <f>'Expense Model'!AN158</f>
        <v>4.4902758981970585</v>
      </c>
      <c r="AG185">
        <f>'Expense Model'!AO158</f>
        <v>5.0500392893002148</v>
      </c>
      <c r="AH185">
        <f>'Expense Model'!AP158</f>
        <v>5.4540424324442327</v>
      </c>
      <c r="AI185">
        <f>'Expense Model'!AQ158</f>
        <v>5.8903658270397719</v>
      </c>
      <c r="AJ185">
        <f>'Expense Model'!AR158</f>
        <v>6.1848841183917607</v>
      </c>
      <c r="AK185">
        <f>'Expense Model'!AS158</f>
        <v>6.4941283243113483</v>
      </c>
      <c r="AL185">
        <f>'Expense Model'!AT158</f>
        <v>6.8188347405269161</v>
      </c>
      <c r="AM185">
        <f>'Expense Model'!AU158</f>
        <v>7.1597764775532617</v>
      </c>
      <c r="AN185">
        <f>'Expense Model'!AV158</f>
        <v>0</v>
      </c>
    </row>
    <row r="186" spans="1:40">
      <c r="A186" t="str">
        <f>'Expense Model'!I159</f>
        <v>R&amp;D</v>
      </c>
      <c r="B186">
        <f>'Expense Model'!J159</f>
        <v>0</v>
      </c>
      <c r="C186">
        <f>'Expense Model'!K159</f>
        <v>0</v>
      </c>
      <c r="D186">
        <f>'Expense Model'!L159</f>
        <v>0</v>
      </c>
      <c r="E186">
        <f>'Expense Model'!M159</f>
        <v>0</v>
      </c>
      <c r="F186">
        <f>'Expense Model'!N159</f>
        <v>0</v>
      </c>
      <c r="G186">
        <f>'Expense Model'!O159</f>
        <v>0</v>
      </c>
      <c r="H186">
        <f>'Expense Model'!P159</f>
        <v>0</v>
      </c>
      <c r="I186">
        <f>'Expense Model'!Q159</f>
        <v>0</v>
      </c>
      <c r="J186">
        <f>'Expense Model'!R159</f>
        <v>2.7149999999999999</v>
      </c>
      <c r="K186">
        <f>'Expense Model'!S159</f>
        <v>2.2970000000000002</v>
      </c>
      <c r="L186">
        <f>'Expense Model'!T159</f>
        <v>2.6379999999999999</v>
      </c>
      <c r="M186">
        <f>'Expense Model'!U159</f>
        <v>2.6589999999999998</v>
      </c>
      <c r="N186">
        <f>'Expense Model'!V159</f>
        <v>2.6480000000000001</v>
      </c>
      <c r="O186">
        <f>'Expense Model'!W159</f>
        <v>2.7</v>
      </c>
      <c r="P186">
        <f>'Expense Model'!X159</f>
        <v>12.138</v>
      </c>
      <c r="Q186">
        <f>'Expense Model'!Y159</f>
        <v>4.4489999999999998</v>
      </c>
      <c r="R186">
        <f>'Expense Model'!Z159</f>
        <v>722.12900000000002</v>
      </c>
      <c r="S186">
        <f>'Expense Model'!AA159</f>
        <v>163.84800000000001</v>
      </c>
      <c r="T186">
        <f>'Expense Model'!AB159</f>
        <v>146.53100000000001</v>
      </c>
      <c r="U186">
        <f>'Expense Model'!AC159</f>
        <v>131.33099999999999</v>
      </c>
      <c r="V186">
        <f>'Expense Model'!AD159</f>
        <v>49.449071244597725</v>
      </c>
      <c r="W186">
        <f>'Expense Model'!AE159</f>
        <v>71.665320644344533</v>
      </c>
      <c r="X186">
        <f>'Expense Model'!AF159</f>
        <v>71.665320644344533</v>
      </c>
      <c r="Y186">
        <f>'Expense Model'!AG159</f>
        <v>71.665320644344533</v>
      </c>
      <c r="Z186">
        <f>'Expense Model'!AH159</f>
        <v>0</v>
      </c>
      <c r="AA186">
        <f>'Expense Model'!AI159</f>
        <v>0</v>
      </c>
      <c r="AB186">
        <f>'Expense Model'!AJ159</f>
        <v>0</v>
      </c>
      <c r="AC186">
        <f>'Expense Model'!AK159</f>
        <v>10.309000000000001</v>
      </c>
      <c r="AD186">
        <f>'Expense Model'!AL159</f>
        <v>21.935000000000002</v>
      </c>
      <c r="AE186">
        <f>'Expense Model'!AM159</f>
        <v>1163.8389999999999</v>
      </c>
      <c r="AF186">
        <f>'Expense Model'!AN159</f>
        <v>264.44503317763133</v>
      </c>
      <c r="AG186">
        <f>'Expense Model'!AO159</f>
        <v>297.41108067402979</v>
      </c>
      <c r="AH186">
        <f>'Expense Model'!AP159</f>
        <v>321.20396712795224</v>
      </c>
      <c r="AI186">
        <f>'Expense Model'!AQ159</f>
        <v>346.90028449818846</v>
      </c>
      <c r="AJ186">
        <f>'Expense Model'!AR159</f>
        <v>364.2452987230979</v>
      </c>
      <c r="AK186">
        <f>'Expense Model'!AS159</f>
        <v>382.4575636592528</v>
      </c>
      <c r="AL186">
        <f>'Expense Model'!AT159</f>
        <v>401.58044184221546</v>
      </c>
      <c r="AM186">
        <f>'Expense Model'!AU159</f>
        <v>421.6594639343262</v>
      </c>
      <c r="AN186">
        <f>'Expense Model'!AV159</f>
        <v>0</v>
      </c>
    </row>
    <row r="187" spans="1:40">
      <c r="A187" t="str">
        <f>'Expense Model'!I160</f>
        <v xml:space="preserve">Sales &amp; Marketing </v>
      </c>
      <c r="B187">
        <f>'Expense Model'!J160</f>
        <v>0</v>
      </c>
      <c r="C187">
        <f>'Expense Model'!K160</f>
        <v>0</v>
      </c>
      <c r="D187">
        <f>'Expense Model'!L160</f>
        <v>0</v>
      </c>
      <c r="E187">
        <f>'Expense Model'!M160</f>
        <v>0</v>
      </c>
      <c r="F187">
        <f>'Expense Model'!N160</f>
        <v>0</v>
      </c>
      <c r="G187">
        <f>'Expense Model'!O160</f>
        <v>0</v>
      </c>
      <c r="H187">
        <f>'Expense Model'!P160</f>
        <v>0</v>
      </c>
      <c r="I187">
        <f>'Expense Model'!Q160</f>
        <v>0</v>
      </c>
      <c r="J187">
        <f>'Expense Model'!R160</f>
        <v>0.83</v>
      </c>
      <c r="K187">
        <f>'Expense Model'!S160</f>
        <v>0.875</v>
      </c>
      <c r="L187">
        <f>'Expense Model'!T160</f>
        <v>0.86199999999999999</v>
      </c>
      <c r="M187">
        <f>'Expense Model'!U160</f>
        <v>0.96699999999999997</v>
      </c>
      <c r="N187">
        <f>'Expense Model'!V160</f>
        <v>0.77500000000000002</v>
      </c>
      <c r="O187">
        <f>'Expense Model'!W160</f>
        <v>0.55300000000000005</v>
      </c>
      <c r="P187">
        <f>'Expense Model'!X160</f>
        <v>1.2509999999999999</v>
      </c>
      <c r="Q187">
        <f>'Expense Model'!Y160</f>
        <v>1.377</v>
      </c>
      <c r="R187">
        <f>'Expense Model'!Z160</f>
        <v>160.94200000000001</v>
      </c>
      <c r="S187">
        <f>'Expense Model'!AA160</f>
        <v>20.558</v>
      </c>
      <c r="T187">
        <f>'Expense Model'!AB160</f>
        <v>27.968</v>
      </c>
      <c r="U187">
        <f>'Expense Model'!AC160</f>
        <v>29.359000000000002</v>
      </c>
      <c r="V187">
        <f>'Expense Model'!AD160</f>
        <v>11.054322914392982</v>
      </c>
      <c r="W187">
        <f>'Expense Model'!AE160</f>
        <v>16.020757846946353</v>
      </c>
      <c r="X187">
        <f>'Expense Model'!AF160</f>
        <v>16.020757846946353</v>
      </c>
      <c r="Y187">
        <f>'Expense Model'!AG160</f>
        <v>16.020757846946353</v>
      </c>
      <c r="Z187">
        <f>'Expense Model'!AH160</f>
        <v>0</v>
      </c>
      <c r="AA187">
        <f>'Expense Model'!AI160</f>
        <v>0</v>
      </c>
      <c r="AB187">
        <f>'Expense Model'!AJ160</f>
        <v>0</v>
      </c>
      <c r="AC187">
        <f>'Expense Model'!AK160</f>
        <v>3.5340000000000003</v>
      </c>
      <c r="AD187">
        <f>'Expense Model'!AL160</f>
        <v>3.9559999999999995</v>
      </c>
      <c r="AE187">
        <f>'Expense Model'!AM160</f>
        <v>238.827</v>
      </c>
      <c r="AF187">
        <f>'Expense Model'!AN160</f>
        <v>59.116596455232042</v>
      </c>
      <c r="AG187">
        <f>'Expense Model'!AO160</f>
        <v>66.486145064827369</v>
      </c>
      <c r="AH187">
        <f>'Expense Model'!AP160</f>
        <v>71.805036670013564</v>
      </c>
      <c r="AI187">
        <f>'Expense Model'!AQ160</f>
        <v>77.549439603614658</v>
      </c>
      <c r="AJ187">
        <f>'Expense Model'!AR160</f>
        <v>81.426911583795402</v>
      </c>
      <c r="AK187">
        <f>'Expense Model'!AS160</f>
        <v>85.498257162985169</v>
      </c>
      <c r="AL187">
        <f>'Expense Model'!AT160</f>
        <v>89.773170021134419</v>
      </c>
      <c r="AM187">
        <f>'Expense Model'!AU160</f>
        <v>94.261828522191138</v>
      </c>
      <c r="AN187">
        <f>'Expense Model'!AV160</f>
        <v>0</v>
      </c>
    </row>
    <row r="188" spans="1:40">
      <c r="A188" t="str">
        <f>'Expense Model'!I161</f>
        <v>G&amp;A</v>
      </c>
      <c r="B188">
        <f>'Expense Model'!J161</f>
        <v>0</v>
      </c>
      <c r="C188">
        <f>'Expense Model'!K161</f>
        <v>0</v>
      </c>
      <c r="D188">
        <f>'Expense Model'!L161</f>
        <v>0</v>
      </c>
      <c r="E188">
        <f>'Expense Model'!M161</f>
        <v>0</v>
      </c>
      <c r="F188">
        <f>'Expense Model'!N161</f>
        <v>0</v>
      </c>
      <c r="G188">
        <f>'Expense Model'!O161</f>
        <v>0</v>
      </c>
      <c r="H188">
        <f>'Expense Model'!P161</f>
        <v>0</v>
      </c>
      <c r="I188">
        <f>'Expense Model'!Q161</f>
        <v>0</v>
      </c>
      <c r="J188">
        <f>'Expense Model'!R161</f>
        <v>47.99</v>
      </c>
      <c r="K188">
        <f>'Expense Model'!S161</f>
        <v>2.7360000000000002</v>
      </c>
      <c r="L188">
        <f>'Expense Model'!T161</f>
        <v>5.0810000000000004</v>
      </c>
      <c r="M188">
        <f>'Expense Model'!U161</f>
        <v>3.3860000000000001</v>
      </c>
      <c r="N188">
        <f>'Expense Model'!V161</f>
        <v>1.9610000000000001</v>
      </c>
      <c r="O188">
        <f>'Expense Model'!W161</f>
        <v>1.361</v>
      </c>
      <c r="P188">
        <f>'Expense Model'!X161</f>
        <v>1.278</v>
      </c>
      <c r="Q188">
        <f>'Expense Model'!Y161</f>
        <v>0.81899999999999995</v>
      </c>
      <c r="R188">
        <f>'Expense Model'!Z161</f>
        <v>1109.9770000000001</v>
      </c>
      <c r="S188">
        <f>'Expense Model'!AA161</f>
        <v>55.814</v>
      </c>
      <c r="T188">
        <f>'Expense Model'!AB161</f>
        <v>49.054000000000002</v>
      </c>
      <c r="U188">
        <f>'Expense Model'!AC161</f>
        <v>20.335999999999999</v>
      </c>
      <c r="V188">
        <f>'Expense Model'!AD161</f>
        <v>7.6569607543545644</v>
      </c>
      <c r="W188">
        <f>'Expense Model'!AE161</f>
        <v>11.097044571528354</v>
      </c>
      <c r="X188">
        <f>'Expense Model'!AF161</f>
        <v>11.097044571528354</v>
      </c>
      <c r="Y188">
        <f>'Expense Model'!AG161</f>
        <v>11.097044571528354</v>
      </c>
      <c r="Z188">
        <f>'Expense Model'!AH161</f>
        <v>0</v>
      </c>
      <c r="AA188">
        <f>'Expense Model'!AI161</f>
        <v>0</v>
      </c>
      <c r="AB188">
        <f>'Expense Model'!AJ161</f>
        <v>0</v>
      </c>
      <c r="AC188">
        <f>'Expense Model'!AK161</f>
        <v>59.193000000000005</v>
      </c>
      <c r="AD188">
        <f>'Expense Model'!AL161</f>
        <v>5.4189999999999996</v>
      </c>
      <c r="AE188">
        <f>'Expense Model'!AM161</f>
        <v>1235.1810000000003</v>
      </c>
      <c r="AF188">
        <f>'Expense Model'!AN161</f>
        <v>40.94809446893963</v>
      </c>
      <c r="AG188">
        <f>'Expense Model'!AO161</f>
        <v>46.052734971842675</v>
      </c>
      <c r="AH188">
        <f>'Expense Model'!AP161</f>
        <v>49.736953769590095</v>
      </c>
      <c r="AI188">
        <f>'Expense Model'!AQ161</f>
        <v>53.71591007115731</v>
      </c>
      <c r="AJ188">
        <f>'Expense Model'!AR161</f>
        <v>56.401705574715173</v>
      </c>
      <c r="AK188">
        <f>'Expense Model'!AS161</f>
        <v>59.221790853450933</v>
      </c>
      <c r="AL188">
        <f>'Expense Model'!AT161</f>
        <v>62.18288039612348</v>
      </c>
      <c r="AM188">
        <f>'Expense Model'!AU161</f>
        <v>65.292024415929646</v>
      </c>
      <c r="AN188">
        <f>'Expense Model'!AV161</f>
        <v>0</v>
      </c>
    </row>
    <row r="189" spans="1:40">
      <c r="A189" t="str">
        <f>'Expense Model'!I162</f>
        <v xml:space="preserve">Total SBC </v>
      </c>
      <c r="B189">
        <f>'Expense Model'!J162</f>
        <v>0</v>
      </c>
      <c r="C189">
        <f>'Expense Model'!K162</f>
        <v>0</v>
      </c>
      <c r="D189">
        <f>'Expense Model'!L162</f>
        <v>0</v>
      </c>
      <c r="E189">
        <f>'Expense Model'!M162</f>
        <v>0</v>
      </c>
      <c r="F189">
        <f>'Expense Model'!N162</f>
        <v>0</v>
      </c>
      <c r="G189">
        <f>'Expense Model'!O162</f>
        <v>0</v>
      </c>
      <c r="H189">
        <f>'Expense Model'!P162</f>
        <v>0</v>
      </c>
      <c r="I189">
        <f>'Expense Model'!Q162</f>
        <v>0</v>
      </c>
      <c r="J189">
        <f>'Expense Model'!R162</f>
        <v>51.661999999999999</v>
      </c>
      <c r="K189">
        <f>'Expense Model'!S162</f>
        <v>6.0360000000000005</v>
      </c>
      <c r="L189">
        <f>'Expense Model'!T162</f>
        <v>8.7089999999999996</v>
      </c>
      <c r="M189">
        <f>'Expense Model'!U162</f>
        <v>7.117</v>
      </c>
      <c r="N189">
        <f>'Expense Model'!V162</f>
        <v>5.5380000000000003</v>
      </c>
      <c r="O189">
        <f>'Expense Model'!W162</f>
        <v>4.742</v>
      </c>
      <c r="P189">
        <f>'Expense Model'!X162</f>
        <v>14.795</v>
      </c>
      <c r="Q189">
        <f>'Expense Model'!Y162</f>
        <v>6.7669999999999995</v>
      </c>
      <c r="R189">
        <f>'Expense Model'!Z162</f>
        <v>2013.0740000000001</v>
      </c>
      <c r="S189">
        <f>'Expense Model'!AA162</f>
        <v>242.44300000000001</v>
      </c>
      <c r="T189">
        <f>'Expense Model'!AB162</f>
        <v>225.59199999999998</v>
      </c>
      <c r="U189">
        <f>'Expense Model'!AC162</f>
        <v>183.25599999999997</v>
      </c>
      <c r="V189">
        <f>'Expense Model'!AD162</f>
        <v>69</v>
      </c>
      <c r="W189">
        <f>'Expense Model'!AE162</f>
        <v>100</v>
      </c>
      <c r="X189">
        <f>'Expense Model'!AF162</f>
        <v>100</v>
      </c>
      <c r="Y189">
        <f>'Expense Model'!AG162</f>
        <v>100</v>
      </c>
      <c r="Z189">
        <f>'Expense Model'!AH162</f>
        <v>0</v>
      </c>
      <c r="AA189">
        <f>'Expense Model'!AI162</f>
        <v>0</v>
      </c>
      <c r="AB189">
        <f>'Expense Model'!AJ162</f>
        <v>0</v>
      </c>
      <c r="AC189">
        <f>'Expense Model'!AK162</f>
        <v>73.524000000000001</v>
      </c>
      <c r="AD189">
        <f>'Expense Model'!AL162</f>
        <v>31.842000000000002</v>
      </c>
      <c r="AE189">
        <f>'Expense Model'!AM162</f>
        <v>2664.3650000000002</v>
      </c>
      <c r="AF189">
        <f>'Expense Model'!AN162</f>
        <v>369</v>
      </c>
      <c r="AG189">
        <f>'Expense Model'!AO162</f>
        <v>415</v>
      </c>
      <c r="AH189">
        <f>'Expense Model'!AP162</f>
        <v>448.20000000000005</v>
      </c>
      <c r="AI189">
        <f>'Expense Model'!AQ162</f>
        <v>484.0560000000001</v>
      </c>
      <c r="AJ189">
        <f>'Expense Model'!AR162</f>
        <v>508.25880000000012</v>
      </c>
      <c r="AK189">
        <f>'Expense Model'!AS162</f>
        <v>533.67174000000011</v>
      </c>
      <c r="AL189">
        <f>'Expense Model'!AT162</f>
        <v>560.3553270000001</v>
      </c>
      <c r="AM189">
        <f>'Expense Model'!AU162</f>
        <v>588.37309335000009</v>
      </c>
      <c r="AN189">
        <f>'Expense Model'!AV162</f>
        <v>0</v>
      </c>
    </row>
    <row r="190" spans="1:40">
      <c r="A190" t="str">
        <f>'Expense Model'!I163</f>
        <v xml:space="preserve">Y/Y % Change </v>
      </c>
      <c r="B190">
        <f>'Expense Model'!J163</f>
        <v>0</v>
      </c>
      <c r="C190">
        <f>'Expense Model'!K163</f>
        <v>0</v>
      </c>
      <c r="D190">
        <f>'Expense Model'!L163</f>
        <v>0</v>
      </c>
      <c r="E190">
        <f>'Expense Model'!M163</f>
        <v>0</v>
      </c>
      <c r="F190">
        <f>'Expense Model'!N163</f>
        <v>0</v>
      </c>
      <c r="G190">
        <f>'Expense Model'!O163</f>
        <v>0</v>
      </c>
      <c r="H190">
        <f>'Expense Model'!P163</f>
        <v>0</v>
      </c>
      <c r="I190">
        <f>'Expense Model'!Q163</f>
        <v>0</v>
      </c>
      <c r="J190">
        <f>'Expense Model'!R163</f>
        <v>0</v>
      </c>
      <c r="K190">
        <f>'Expense Model'!S163</f>
        <v>0</v>
      </c>
      <c r="L190">
        <f>'Expense Model'!T163</f>
        <v>0</v>
      </c>
      <c r="M190">
        <f>'Expense Model'!U163</f>
        <v>0</v>
      </c>
      <c r="N190">
        <f>'Expense Model'!V163</f>
        <v>-0.89280322093608455</v>
      </c>
      <c r="O190">
        <f>'Expense Model'!W163</f>
        <v>-0.21438038436050366</v>
      </c>
      <c r="P190">
        <f>'Expense Model'!X163</f>
        <v>0.69881731542082903</v>
      </c>
      <c r="Q190">
        <f>'Expense Model'!Y163</f>
        <v>-4.917802444850361E-2</v>
      </c>
      <c r="R190">
        <f>'Expense Model'!Z163</f>
        <v>362.50198627663417</v>
      </c>
      <c r="S190">
        <f>'Expense Model'!AA163</f>
        <v>50.126739772248001</v>
      </c>
      <c r="T190">
        <f>'Expense Model'!AB163</f>
        <v>14.247854004731327</v>
      </c>
      <c r="U190">
        <f>'Expense Model'!AC163</f>
        <v>26.080833456479976</v>
      </c>
      <c r="V190">
        <f>'Expense Model'!AD163</f>
        <v>-0.96572406180796133</v>
      </c>
      <c r="W190">
        <f>'Expense Model'!AE163</f>
        <v>-0.58753191471809862</v>
      </c>
      <c r="X190">
        <f>'Expense Model'!AF163</f>
        <v>-0.55672186956984282</v>
      </c>
      <c r="Y190">
        <f>'Expense Model'!AG163</f>
        <v>-0.45431527480682754</v>
      </c>
      <c r="Z190">
        <f>'Expense Model'!AH163</f>
        <v>0</v>
      </c>
      <c r="AA190">
        <f>'Expense Model'!AI163</f>
        <v>0</v>
      </c>
      <c r="AB190">
        <f>'Expense Model'!AJ163</f>
        <v>0</v>
      </c>
      <c r="AC190">
        <f>'Expense Model'!AK163</f>
        <v>0</v>
      </c>
      <c r="AD190">
        <f>'Expense Model'!AL163</f>
        <v>-0.56691692508568625</v>
      </c>
      <c r="AE190">
        <f>'Expense Model'!AM163</f>
        <v>82.674549337353184</v>
      </c>
      <c r="AF190">
        <f>'Expense Model'!AN163</f>
        <v>-0.86150546190180399</v>
      </c>
      <c r="AG190">
        <f>'Expense Model'!AO163</f>
        <v>0.12466124661246614</v>
      </c>
      <c r="AH190">
        <f>'Expense Model'!AP163</f>
        <v>0.08</v>
      </c>
      <c r="AI190">
        <f>'Expense Model'!AQ163</f>
        <v>0.08</v>
      </c>
      <c r="AJ190">
        <f>'Expense Model'!AR163</f>
        <v>0.05</v>
      </c>
      <c r="AK190">
        <f>'Expense Model'!AS163</f>
        <v>0.05</v>
      </c>
      <c r="AL190">
        <f>'Expense Model'!AT163</f>
        <v>0.05</v>
      </c>
      <c r="AM190">
        <f>'Expense Model'!AU163</f>
        <v>0.05</v>
      </c>
      <c r="AN190">
        <f>'Expense Model'!AV163</f>
        <v>0</v>
      </c>
    </row>
    <row r="191" spans="1:40">
      <c r="A191" t="str">
        <f>'Expense Model'!I164</f>
        <v xml:space="preserve">Q/Q % Change </v>
      </c>
      <c r="B191">
        <f>'Expense Model'!J164</f>
        <v>0</v>
      </c>
      <c r="C191">
        <f>'Expense Model'!K164</f>
        <v>0</v>
      </c>
      <c r="D191">
        <f>'Expense Model'!L164</f>
        <v>0</v>
      </c>
      <c r="E191">
        <f>'Expense Model'!M164</f>
        <v>0</v>
      </c>
      <c r="F191">
        <f>'Expense Model'!N164</f>
        <v>0</v>
      </c>
      <c r="G191">
        <f>'Expense Model'!O164</f>
        <v>0</v>
      </c>
      <c r="H191">
        <f>'Expense Model'!P164</f>
        <v>0</v>
      </c>
      <c r="I191">
        <f>'Expense Model'!Q164</f>
        <v>0</v>
      </c>
      <c r="J191">
        <f>'Expense Model'!R164</f>
        <v>0</v>
      </c>
      <c r="K191">
        <f>'Expense Model'!S164</f>
        <v>-0.88316364058689167</v>
      </c>
      <c r="L191">
        <f>'Expense Model'!T164</f>
        <v>0.44284294234592436</v>
      </c>
      <c r="M191">
        <f>'Expense Model'!U164</f>
        <v>-0.18279940291652308</v>
      </c>
      <c r="N191">
        <f>'Expense Model'!V164</f>
        <v>-0.22186314458339185</v>
      </c>
      <c r="O191">
        <f>'Expense Model'!W164</f>
        <v>-0.14373420007222826</v>
      </c>
      <c r="P191">
        <f>'Expense Model'!X164</f>
        <v>2.1199915647406158</v>
      </c>
      <c r="Q191">
        <f>'Expense Model'!Y164</f>
        <v>-0.54261574856370398</v>
      </c>
      <c r="R191">
        <f>'Expense Model'!Z164</f>
        <v>296.4839663070785</v>
      </c>
      <c r="S191">
        <f>'Expense Model'!AA164</f>
        <v>-0.87956577850590689</v>
      </c>
      <c r="T191">
        <f>'Expense Model'!AB164</f>
        <v>-6.9504997050853334E-2</v>
      </c>
      <c r="U191">
        <f>'Expense Model'!AC164</f>
        <v>-0.18766622929891141</v>
      </c>
      <c r="V191">
        <f>'Expense Model'!AD164</f>
        <v>-0.62347753961671093</v>
      </c>
      <c r="W191">
        <f>'Expense Model'!AE164</f>
        <v>0.44927536231884058</v>
      </c>
      <c r="X191">
        <f>'Expense Model'!AF164</f>
        <v>0</v>
      </c>
      <c r="Y191">
        <f>'Expense Model'!AG164</f>
        <v>0</v>
      </c>
      <c r="Z191">
        <f>'Expense Model'!AH164</f>
        <v>0</v>
      </c>
      <c r="AA191">
        <f>'Expense Model'!AI164</f>
        <v>0</v>
      </c>
      <c r="AB191">
        <f>'Expense Model'!AJ164</f>
        <v>0</v>
      </c>
      <c r="AC191">
        <f>'Expense Model'!AK164</f>
        <v>0</v>
      </c>
      <c r="AD191">
        <f>'Expense Model'!AL164</f>
        <v>0</v>
      </c>
      <c r="AE191">
        <f>'Expense Model'!AM164</f>
        <v>0</v>
      </c>
      <c r="AF191">
        <f>'Expense Model'!AN164</f>
        <v>0</v>
      </c>
      <c r="AG191">
        <f>'Expense Model'!AO164</f>
        <v>0</v>
      </c>
      <c r="AH191">
        <f>'Expense Model'!AP164</f>
        <v>0</v>
      </c>
      <c r="AI191">
        <f>'Expense Model'!AQ164</f>
        <v>0</v>
      </c>
      <c r="AJ191">
        <f>'Expense Model'!AR164</f>
        <v>0</v>
      </c>
      <c r="AK191">
        <f>'Expense Model'!AS164</f>
        <v>0</v>
      </c>
      <c r="AL191">
        <f>'Expense Model'!AT164</f>
        <v>0</v>
      </c>
      <c r="AM191">
        <f>'Expense Model'!AU164</f>
        <v>0</v>
      </c>
      <c r="AN191">
        <f>'Expense Model'!AV164</f>
        <v>0</v>
      </c>
    </row>
    <row r="192" spans="1:40">
      <c r="A192" t="str">
        <f>'Expense Model'!I165</f>
        <v>% of Revenue</v>
      </c>
      <c r="B192">
        <f>'Expense Model'!J165</f>
        <v>0</v>
      </c>
      <c r="C192">
        <f>'Expense Model'!K165</f>
        <v>0</v>
      </c>
      <c r="D192">
        <f>'Expense Model'!L165</f>
        <v>0</v>
      </c>
      <c r="E192">
        <f>'Expense Model'!M165</f>
        <v>0</v>
      </c>
      <c r="F192">
        <f>'Expense Model'!N165</f>
        <v>0</v>
      </c>
      <c r="G192">
        <f>'Expense Model'!O165</f>
        <v>0</v>
      </c>
      <c r="H192">
        <f>'Expense Model'!P165</f>
        <v>0</v>
      </c>
      <c r="I192">
        <f>'Expense Model'!Q165</f>
        <v>0</v>
      </c>
      <c r="J192">
        <f>'Expense Model'!R165</f>
        <v>13.179081632653061</v>
      </c>
      <c r="K192">
        <f>'Expense Model'!S165</f>
        <v>1.138867924528302</v>
      </c>
      <c r="L192">
        <f>'Expense Model'!T165</f>
        <v>0.52071748878923763</v>
      </c>
      <c r="M192">
        <f>'Expense Model'!U165</f>
        <v>0.21752552111987283</v>
      </c>
      <c r="N192">
        <f>'Expense Model'!V165</f>
        <v>0.14273931645961133</v>
      </c>
      <c r="O192">
        <f>'Expense Model'!W165</f>
        <v>6.6046407977938107E-2</v>
      </c>
      <c r="P192">
        <f>'Expense Model'!X165</f>
        <v>0.11540201553773673</v>
      </c>
      <c r="Q192">
        <f>'Expense Model'!Y165</f>
        <v>4.0843302229572311E-2</v>
      </c>
      <c r="R192">
        <f>'Expense Model'!Z165</f>
        <v>13.452060836095372</v>
      </c>
      <c r="S192">
        <f>'Expense Model'!AA165</f>
        <v>1.3345167913425919</v>
      </c>
      <c r="T192">
        <f>'Expense Model'!AB165</f>
        <v>1.0849055242693699</v>
      </c>
      <c r="U192">
        <f>'Expense Model'!AC165</f>
        <v>0.64144378756217335</v>
      </c>
      <c r="V192">
        <f>'Expense Model'!AD165</f>
        <v>0.27710843373493976</v>
      </c>
      <c r="W192">
        <f>'Expense Model'!AE165</f>
        <v>0.33898305084745761</v>
      </c>
      <c r="X192">
        <f>'Expense Model'!AF165</f>
        <v>0.2932551319648094</v>
      </c>
      <c r="Y192">
        <f>'Expense Model'!AG165</f>
        <v>0.23364485981308411</v>
      </c>
      <c r="Z192">
        <f>'Expense Model'!AH165</f>
        <v>0</v>
      </c>
      <c r="AA192">
        <f>'Expense Model'!AI165</f>
        <v>0</v>
      </c>
      <c r="AB192">
        <f>'Expense Model'!AJ165</f>
        <v>0</v>
      </c>
      <c r="AC192">
        <f>'Expense Model'!AK165</f>
        <v>1.2533283330208138</v>
      </c>
      <c r="AD192">
        <f>'Expense Model'!AL165</f>
        <v>7.872290979573876E-2</v>
      </c>
      <c r="AE192">
        <f>'Expense Model'!AM165</f>
        <v>3.2297329895545062</v>
      </c>
      <c r="AF192">
        <f>'Expense Model'!AN165</f>
        <v>0.28103579588728106</v>
      </c>
      <c r="AG192">
        <f>'Expense Model'!AO165</f>
        <v>0.21072784574313905</v>
      </c>
      <c r="AH192">
        <f>'Expense Model'!AP165</f>
        <v>0.15979301633124923</v>
      </c>
      <c r="AI192">
        <f>'Expense Model'!AQ165</f>
        <v>0.12695129594172805</v>
      </c>
      <c r="AJ192">
        <f>'Expense Model'!AR165</f>
        <v>0.10238979088481058</v>
      </c>
      <c r="AK192">
        <f>'Expense Model'!AS165</f>
        <v>8.6584874089870534E-2</v>
      </c>
      <c r="AL192">
        <f>'Expense Model'!AT165</f>
        <v>7.617790905495074E-2</v>
      </c>
      <c r="AM192">
        <f>'Expense Model'!AU165</f>
        <v>6.885076911588954E-2</v>
      </c>
      <c r="AN192">
        <f>'Expense Model'!AV165</f>
        <v>0</v>
      </c>
    </row>
    <row r="193" spans="1:40">
      <c r="A193" t="str">
        <f>'Expense Model'!I166</f>
        <v>Y/Y Change in bp</v>
      </c>
      <c r="B193">
        <f>'Expense Model'!J166</f>
        <v>0</v>
      </c>
      <c r="C193">
        <f>'Expense Model'!K166</f>
        <v>0</v>
      </c>
      <c r="D193">
        <f>'Expense Model'!L166</f>
        <v>0</v>
      </c>
      <c r="E193">
        <f>'Expense Model'!M166</f>
        <v>0</v>
      </c>
      <c r="F193">
        <f>'Expense Model'!N166</f>
        <v>0</v>
      </c>
      <c r="G193">
        <f>'Expense Model'!O166</f>
        <v>0</v>
      </c>
      <c r="H193">
        <f>'Expense Model'!P166</f>
        <v>0</v>
      </c>
      <c r="I193">
        <f>'Expense Model'!Q166</f>
        <v>0</v>
      </c>
      <c r="J193">
        <f>'Expense Model'!R166</f>
        <v>0</v>
      </c>
      <c r="K193">
        <f>'Expense Model'!S166</f>
        <v>0</v>
      </c>
      <c r="L193">
        <f>'Expense Model'!T166</f>
        <v>0</v>
      </c>
      <c r="M193">
        <f>'Expense Model'!U166</f>
        <v>0</v>
      </c>
      <c r="N193">
        <f>'Expense Model'!V166</f>
        <v>-130363.42316193449</v>
      </c>
      <c r="O193">
        <f>'Expense Model'!W166</f>
        <v>-10728.215165503638</v>
      </c>
      <c r="P193">
        <f>'Expense Model'!X166</f>
        <v>-4053.1547325150091</v>
      </c>
      <c r="Q193">
        <f>'Expense Model'!Y166</f>
        <v>-1766.8221889030053</v>
      </c>
      <c r="R193">
        <f>'Expense Model'!Z166</f>
        <v>133093.2151963576</v>
      </c>
      <c r="S193">
        <f>'Expense Model'!AA166</f>
        <v>12684.703833646538</v>
      </c>
      <c r="T193">
        <f>'Expense Model'!AB166</f>
        <v>9695.0350873163316</v>
      </c>
      <c r="U193">
        <f>'Expense Model'!AC166</f>
        <v>6006.0048533260106</v>
      </c>
      <c r="V193">
        <f>'Expense Model'!AD166</f>
        <v>-131749.52402360432</v>
      </c>
      <c r="W193">
        <f>'Expense Model'!AE166</f>
        <v>-9955.3374049513441</v>
      </c>
      <c r="X193">
        <f>'Expense Model'!AF166</f>
        <v>-7916.5039230456059</v>
      </c>
      <c r="Y193">
        <f>'Expense Model'!AG166</f>
        <v>-4077.9892774908922</v>
      </c>
      <c r="Z193">
        <f>'Expense Model'!AH166</f>
        <v>0</v>
      </c>
      <c r="AA193">
        <f>'Expense Model'!AI166</f>
        <v>0</v>
      </c>
      <c r="AB193">
        <f>'Expense Model'!AJ166</f>
        <v>0</v>
      </c>
      <c r="AC193">
        <f>'Expense Model'!AK166</f>
        <v>0</v>
      </c>
      <c r="AD193">
        <f>'Expense Model'!AL166</f>
        <v>-11746.054232250752</v>
      </c>
      <c r="AE193">
        <f>'Expense Model'!AM166</f>
        <v>31510.100797587675</v>
      </c>
      <c r="AF193">
        <f>'Expense Model'!AN166</f>
        <v>-29486.971936672249</v>
      </c>
      <c r="AG193">
        <f>'Expense Model'!AO166</f>
        <v>-703.07950144142012</v>
      </c>
      <c r="AH193">
        <f>'Expense Model'!AP166</f>
        <v>-509.34829411889814</v>
      </c>
      <c r="AI193">
        <f>'Expense Model'!AQ166</f>
        <v>-328.41720389521186</v>
      </c>
      <c r="AJ193">
        <f>'Expense Model'!AR166</f>
        <v>-245.61505056917468</v>
      </c>
      <c r="AK193">
        <f>'Expense Model'!AS166</f>
        <v>-158.04916794940047</v>
      </c>
      <c r="AL193">
        <f>'Expense Model'!AT166</f>
        <v>-104.06965034919793</v>
      </c>
      <c r="AM193">
        <f>'Expense Model'!AU166</f>
        <v>-73.271399390612004</v>
      </c>
      <c r="AN193">
        <f>'Expense Model'!AV166</f>
        <v>0</v>
      </c>
    </row>
    <row r="194" spans="1:40">
      <c r="A194" t="str">
        <f>'Expense Model'!I167</f>
        <v>Q/Q Change in bp</v>
      </c>
      <c r="B194">
        <f>'Expense Model'!J167</f>
        <v>0</v>
      </c>
      <c r="C194">
        <f>'Expense Model'!K167</f>
        <v>0</v>
      </c>
      <c r="D194">
        <f>'Expense Model'!L167</f>
        <v>0</v>
      </c>
      <c r="E194">
        <f>'Expense Model'!M167</f>
        <v>0</v>
      </c>
      <c r="F194">
        <f>'Expense Model'!N167</f>
        <v>0</v>
      </c>
      <c r="G194">
        <f>'Expense Model'!O167</f>
        <v>0</v>
      </c>
      <c r="H194">
        <f>'Expense Model'!P167</f>
        <v>0</v>
      </c>
      <c r="I194">
        <f>'Expense Model'!Q167</f>
        <v>0</v>
      </c>
      <c r="J194">
        <f>'Expense Model'!R167</f>
        <v>0</v>
      </c>
      <c r="K194">
        <f>'Expense Model'!S167</f>
        <v>0</v>
      </c>
      <c r="L194">
        <f>'Expense Model'!T167</f>
        <v>0</v>
      </c>
      <c r="M194">
        <f>'Expense Model'!U167</f>
        <v>0</v>
      </c>
      <c r="N194">
        <f>'Expense Model'!V167</f>
        <v>-747.86204660261512</v>
      </c>
      <c r="O194">
        <f>'Expense Model'!W167</f>
        <v>-766.92908481673214</v>
      </c>
      <c r="P194">
        <f>'Expense Model'!X167</f>
        <v>493.55607559798619</v>
      </c>
      <c r="Q194">
        <f>'Expense Model'!Y167</f>
        <v>-745.58713308164408</v>
      </c>
      <c r="R194">
        <f>'Expense Model'!Z167</f>
        <v>134112.17533865801</v>
      </c>
      <c r="S194">
        <f>'Expense Model'!AA167</f>
        <v>-121175.4404475278</v>
      </c>
      <c r="T194">
        <f>'Expense Model'!AB167</f>
        <v>-2496.1126707322201</v>
      </c>
      <c r="U194">
        <f>'Expense Model'!AC167</f>
        <v>-4434.6173670719654</v>
      </c>
      <c r="V194">
        <f>'Expense Model'!AD167</f>
        <v>-3643.3535382723358</v>
      </c>
      <c r="W194">
        <f>'Expense Model'!AE167</f>
        <v>618.74617112517853</v>
      </c>
      <c r="X194">
        <f>'Expense Model'!AF167</f>
        <v>-457.27918882648208</v>
      </c>
      <c r="Y194">
        <f>'Expense Model'!AG167</f>
        <v>-596.10272151725292</v>
      </c>
      <c r="Z194">
        <f>'Expense Model'!AH167</f>
        <v>0</v>
      </c>
      <c r="AA194">
        <f>'Expense Model'!AI167</f>
        <v>0</v>
      </c>
      <c r="AB194">
        <f>'Expense Model'!AJ167</f>
        <v>0</v>
      </c>
      <c r="AC194">
        <f>'Expense Model'!AK167</f>
        <v>0</v>
      </c>
      <c r="AD194">
        <f>'Expense Model'!AL167</f>
        <v>0</v>
      </c>
      <c r="AE194">
        <f>'Expense Model'!AM167</f>
        <v>0</v>
      </c>
      <c r="AF194">
        <f>'Expense Model'!AN167</f>
        <v>0</v>
      </c>
      <c r="AG194">
        <f>'Expense Model'!AO167</f>
        <v>0</v>
      </c>
      <c r="AH194">
        <f>'Expense Model'!AP167</f>
        <v>0</v>
      </c>
      <c r="AI194">
        <f>'Expense Model'!AQ167</f>
        <v>0</v>
      </c>
      <c r="AJ194">
        <f>'Expense Model'!AR167</f>
        <v>0</v>
      </c>
      <c r="AK194">
        <f>'Expense Model'!AS167</f>
        <v>0</v>
      </c>
      <c r="AL194">
        <f>'Expense Model'!AT167</f>
        <v>0</v>
      </c>
      <c r="AM194">
        <f>'Expense Model'!AU167</f>
        <v>0</v>
      </c>
      <c r="AN194">
        <f>'Expense Model'!AV167</f>
        <v>0</v>
      </c>
    </row>
    <row r="195" spans="1:40">
      <c r="A195">
        <f>'Expense Model'!I168</f>
        <v>0</v>
      </c>
      <c r="B195">
        <f>'Expense Model'!J168</f>
        <v>0</v>
      </c>
      <c r="C195">
        <f>'Expense Model'!K168</f>
        <v>0</v>
      </c>
      <c r="D195">
        <f>'Expense Model'!L168</f>
        <v>0</v>
      </c>
      <c r="E195">
        <f>'Expense Model'!M168</f>
        <v>0</v>
      </c>
      <c r="F195">
        <f>'Expense Model'!N168</f>
        <v>0</v>
      </c>
      <c r="G195">
        <f>'Expense Model'!O168</f>
        <v>0</v>
      </c>
      <c r="H195">
        <f>'Expense Model'!P168</f>
        <v>0</v>
      </c>
      <c r="I195">
        <f>'Expense Model'!Q168</f>
        <v>0</v>
      </c>
      <c r="J195">
        <f>'Expense Model'!R168</f>
        <v>0</v>
      </c>
      <c r="K195">
        <f>'Expense Model'!S168</f>
        <v>0</v>
      </c>
      <c r="L195">
        <f>'Expense Model'!T168</f>
        <v>0</v>
      </c>
      <c r="M195">
        <f>'Expense Model'!U168</f>
        <v>0</v>
      </c>
      <c r="N195">
        <f>'Expense Model'!V168</f>
        <v>0</v>
      </c>
      <c r="O195">
        <f>'Expense Model'!W168</f>
        <v>0</v>
      </c>
      <c r="P195">
        <f>'Expense Model'!X168</f>
        <v>0</v>
      </c>
      <c r="Q195">
        <f>'Expense Model'!Y168</f>
        <v>0</v>
      </c>
      <c r="R195">
        <f>'Expense Model'!Z168</f>
        <v>0</v>
      </c>
      <c r="S195">
        <f>'Expense Model'!AA168</f>
        <v>0</v>
      </c>
      <c r="T195">
        <f>'Expense Model'!AB168</f>
        <v>0</v>
      </c>
      <c r="U195">
        <f>'Expense Model'!AC168</f>
        <v>0</v>
      </c>
      <c r="V195">
        <f>'Expense Model'!AD168</f>
        <v>0</v>
      </c>
      <c r="W195">
        <f>'Expense Model'!AE168</f>
        <v>0</v>
      </c>
      <c r="X195">
        <f>'Expense Model'!AF168</f>
        <v>0</v>
      </c>
      <c r="Y195">
        <f>'Expense Model'!AG168</f>
        <v>0</v>
      </c>
      <c r="Z195">
        <f>'Expense Model'!AH168</f>
        <v>0</v>
      </c>
      <c r="AA195">
        <f>'Expense Model'!AI168</f>
        <v>0</v>
      </c>
      <c r="AB195">
        <f>'Expense Model'!AJ168</f>
        <v>0</v>
      </c>
      <c r="AC195">
        <f>'Expense Model'!AK168</f>
        <v>0</v>
      </c>
      <c r="AD195">
        <f>'Expense Model'!AL168</f>
        <v>0</v>
      </c>
      <c r="AE195">
        <f>'Expense Model'!AM168</f>
        <v>0</v>
      </c>
      <c r="AF195">
        <f>'Expense Model'!AN168</f>
        <v>0</v>
      </c>
      <c r="AG195">
        <f>'Expense Model'!AO168</f>
        <v>0</v>
      </c>
      <c r="AH195">
        <f>'Expense Model'!AP168</f>
        <v>0</v>
      </c>
      <c r="AI195">
        <f>'Expense Model'!AQ168</f>
        <v>0</v>
      </c>
      <c r="AJ195">
        <f>'Expense Model'!AR168</f>
        <v>0</v>
      </c>
      <c r="AK195">
        <f>'Expense Model'!AS168</f>
        <v>0</v>
      </c>
      <c r="AL195">
        <f>'Expense Model'!AT168</f>
        <v>0</v>
      </c>
      <c r="AM195">
        <f>'Expense Model'!AU168</f>
        <v>0</v>
      </c>
      <c r="AN195">
        <f>'Expense Model'!AV168</f>
        <v>0</v>
      </c>
    </row>
    <row r="196" spans="1:40">
      <c r="A196" t="str">
        <f>'Expense Model'!I169</f>
        <v>Total Opex</v>
      </c>
      <c r="B196">
        <f>'Expense Model'!J169</f>
        <v>0</v>
      </c>
      <c r="C196">
        <f>'Expense Model'!K169</f>
        <v>0</v>
      </c>
      <c r="D196">
        <f>'Expense Model'!L169</f>
        <v>0</v>
      </c>
      <c r="E196">
        <f>'Expense Model'!M169</f>
        <v>0</v>
      </c>
      <c r="F196">
        <f>'Expense Model'!N169</f>
        <v>0</v>
      </c>
      <c r="G196">
        <f>'Expense Model'!O169</f>
        <v>0</v>
      </c>
      <c r="H196">
        <f>'Expense Model'!P169</f>
        <v>0</v>
      </c>
      <c r="I196">
        <f>'Expense Model'!Q169</f>
        <v>0</v>
      </c>
      <c r="J196">
        <f>'Expense Model'!R169</f>
        <v>0</v>
      </c>
      <c r="K196">
        <f>'Expense Model'!S169</f>
        <v>0</v>
      </c>
      <c r="L196">
        <f>'Expense Model'!T169</f>
        <v>0</v>
      </c>
      <c r="M196">
        <f>'Expense Model'!U169</f>
        <v>0</v>
      </c>
      <c r="N196">
        <f>'Expense Model'!V169</f>
        <v>0</v>
      </c>
      <c r="O196">
        <f>'Expense Model'!W169</f>
        <v>0</v>
      </c>
      <c r="P196">
        <f>'Expense Model'!X169</f>
        <v>0</v>
      </c>
      <c r="Q196">
        <f>'Expense Model'!Y169</f>
        <v>0</v>
      </c>
      <c r="R196">
        <f>'Expense Model'!Z169</f>
        <v>0</v>
      </c>
      <c r="S196">
        <f>'Expense Model'!AA169</f>
        <v>0</v>
      </c>
      <c r="T196">
        <f>'Expense Model'!AB169</f>
        <v>0</v>
      </c>
      <c r="U196">
        <f>'Expense Model'!AC169</f>
        <v>0</v>
      </c>
      <c r="V196">
        <f>'Expense Model'!AD169</f>
        <v>0</v>
      </c>
      <c r="W196">
        <f>'Expense Model'!AE169</f>
        <v>0</v>
      </c>
      <c r="X196">
        <f>'Expense Model'!AF169</f>
        <v>0</v>
      </c>
      <c r="Y196">
        <f>'Expense Model'!AG169</f>
        <v>0</v>
      </c>
      <c r="Z196">
        <f>'Expense Model'!AH169</f>
        <v>0</v>
      </c>
      <c r="AA196">
        <f>'Expense Model'!AI169</f>
        <v>0</v>
      </c>
      <c r="AB196">
        <f>'Expense Model'!AJ169</f>
        <v>0</v>
      </c>
      <c r="AC196">
        <f>'Expense Model'!AK169</f>
        <v>0</v>
      </c>
      <c r="AD196">
        <f>'Expense Model'!AL169</f>
        <v>0</v>
      </c>
      <c r="AE196">
        <f>'Expense Model'!AM169</f>
        <v>0</v>
      </c>
      <c r="AF196">
        <f>'Expense Model'!AN169</f>
        <v>0</v>
      </c>
      <c r="AG196">
        <f>'Expense Model'!AO169</f>
        <v>0</v>
      </c>
      <c r="AH196">
        <f>'Expense Model'!AP169</f>
        <v>0</v>
      </c>
      <c r="AI196">
        <f>'Expense Model'!AQ169</f>
        <v>0</v>
      </c>
      <c r="AJ196">
        <f>'Expense Model'!AR169</f>
        <v>0</v>
      </c>
      <c r="AK196">
        <f>'Expense Model'!AS169</f>
        <v>0</v>
      </c>
      <c r="AL196">
        <f>'Expense Model'!AT169</f>
        <v>0</v>
      </c>
      <c r="AM196">
        <f>'Expense Model'!AU169</f>
        <v>0</v>
      </c>
      <c r="AN196">
        <f>'Expense Model'!AV169</f>
        <v>0</v>
      </c>
    </row>
    <row r="197" spans="1:40">
      <c r="A197" t="str">
        <f>'Expense Model'!I170</f>
        <v xml:space="preserve">Total Costs and Expenses </v>
      </c>
      <c r="B197">
        <f>'Expense Model'!J170</f>
        <v>0</v>
      </c>
      <c r="C197">
        <f>'Expense Model'!K170</f>
        <v>0</v>
      </c>
      <c r="D197">
        <f>'Expense Model'!L170</f>
        <v>0</v>
      </c>
      <c r="E197">
        <f>'Expense Model'!M170</f>
        <v>0</v>
      </c>
      <c r="F197">
        <f>'Expense Model'!N170</f>
        <v>0</v>
      </c>
      <c r="G197">
        <f>'Expense Model'!O170</f>
        <v>0</v>
      </c>
      <c r="H197">
        <f>'Expense Model'!P170</f>
        <v>0</v>
      </c>
      <c r="I197">
        <f>'Expense Model'!Q170</f>
        <v>0</v>
      </c>
      <c r="J197">
        <f>'Expense Model'!R170</f>
        <v>102.76599999999999</v>
      </c>
      <c r="K197">
        <f>'Expense Model'!S170</f>
        <v>93.120999999999995</v>
      </c>
      <c r="L197">
        <f>'Expense Model'!T170</f>
        <v>113.627</v>
      </c>
      <c r="M197">
        <f>'Expense Model'!U170</f>
        <v>130.87800000000001</v>
      </c>
      <c r="N197">
        <f>'Expense Model'!V170</f>
        <v>142.619</v>
      </c>
      <c r="O197">
        <f>'Expense Model'!W170</f>
        <v>187.65699999999998</v>
      </c>
      <c r="P197">
        <f>'Expense Model'!X170</f>
        <v>259.17200000000003</v>
      </c>
      <c r="Q197">
        <f>'Expense Model'!Y170</f>
        <v>335.41899999999998</v>
      </c>
      <c r="R197">
        <f>'Expense Model'!Z170</f>
        <v>2363.415</v>
      </c>
      <c r="S197">
        <f>'Expense Model'!AA170</f>
        <v>630.68900000000008</v>
      </c>
      <c r="T197">
        <f>'Expense Model'!AB170</f>
        <v>669.76400000000001</v>
      </c>
      <c r="U197">
        <f>'Expense Model'!AC170</f>
        <v>646.65700000000004</v>
      </c>
      <c r="V197">
        <f>'Expense Model'!AD170</f>
        <v>536.64463855421684</v>
      </c>
      <c r="W197">
        <f>'Expense Model'!AE170</f>
        <v>602.60685873563227</v>
      </c>
      <c r="X197">
        <f>'Expense Model'!AF170</f>
        <v>661.57308964175309</v>
      </c>
      <c r="Y197">
        <f>'Expense Model'!AG170</f>
        <v>686.8255318917154</v>
      </c>
      <c r="Z197">
        <f>'Expense Model'!AH170</f>
        <v>0</v>
      </c>
      <c r="AA197">
        <f>'Expense Model'!AI170</f>
        <v>0</v>
      </c>
      <c r="AB197">
        <f>'Expense Model'!AJ170</f>
        <v>0</v>
      </c>
      <c r="AC197">
        <f>'Expense Model'!AK170</f>
        <v>440.39200000000005</v>
      </c>
      <c r="AD197">
        <f>'Expense Model'!AL170</f>
        <v>924.86699999999996</v>
      </c>
      <c r="AE197">
        <f>'Expense Model'!AM170</f>
        <v>4310.5249999999996</v>
      </c>
      <c r="AF197">
        <f>'Expense Model'!AN170</f>
        <v>2487.6501188233178</v>
      </c>
      <c r="AG197">
        <f>'Expense Model'!AO170</f>
        <v>2882.279210144251</v>
      </c>
      <c r="AH197">
        <f>'Expense Model'!AP170</f>
        <v>3480.7911764165674</v>
      </c>
      <c r="AI197">
        <f>'Expense Model'!AQ170</f>
        <v>4129.9534540742552</v>
      </c>
      <c r="AJ197">
        <f>'Expense Model'!AR170</f>
        <v>4805.3152324667262</v>
      </c>
      <c r="AK197">
        <f>'Expense Model'!AS170</f>
        <v>5495.9752436860454</v>
      </c>
      <c r="AL197">
        <f>'Expense Model'!AT170</f>
        <v>6195.1682638640614</v>
      </c>
      <c r="AM197">
        <f>'Expense Model'!AU170</f>
        <v>6906.8868672796716</v>
      </c>
      <c r="AN197">
        <f>'Expense Model'!AV170</f>
        <v>0</v>
      </c>
    </row>
    <row r="198" spans="1:40">
      <c r="A198" t="str">
        <f>'Expense Model'!I171</f>
        <v>Y/Y % Growth</v>
      </c>
      <c r="B198">
        <f>'Expense Model'!J171</f>
        <v>0</v>
      </c>
      <c r="C198">
        <f>'Expense Model'!K171</f>
        <v>0</v>
      </c>
      <c r="D198">
        <f>'Expense Model'!L171</f>
        <v>0</v>
      </c>
      <c r="E198">
        <f>'Expense Model'!M171</f>
        <v>0</v>
      </c>
      <c r="F198">
        <f>'Expense Model'!N171</f>
        <v>0</v>
      </c>
      <c r="G198">
        <f>'Expense Model'!O171</f>
        <v>0</v>
      </c>
      <c r="H198">
        <f>'Expense Model'!P171</f>
        <v>0</v>
      </c>
      <c r="I198">
        <f>'Expense Model'!Q171</f>
        <v>0</v>
      </c>
      <c r="J198">
        <f>'Expense Model'!R171</f>
        <v>0</v>
      </c>
      <c r="K198">
        <f>'Expense Model'!S171</f>
        <v>0</v>
      </c>
      <c r="L198">
        <f>'Expense Model'!T171</f>
        <v>0</v>
      </c>
      <c r="M198">
        <f>'Expense Model'!U171</f>
        <v>0</v>
      </c>
      <c r="N198">
        <f>'Expense Model'!V171</f>
        <v>0.38780335908763619</v>
      </c>
      <c r="O198">
        <f>'Expense Model'!W171</f>
        <v>1.0151952835558036</v>
      </c>
      <c r="P198">
        <f>'Expense Model'!X171</f>
        <v>1.2809015462874145</v>
      </c>
      <c r="Q198">
        <f>'Expense Model'!Y171</f>
        <v>1.5628371460444073</v>
      </c>
      <c r="R198">
        <f>'Expense Model'!Z171</f>
        <v>15.571529740076709</v>
      </c>
      <c r="S198">
        <f>'Expense Model'!AA171</f>
        <v>2.3608605061361962</v>
      </c>
      <c r="T198">
        <f>'Expense Model'!AB171</f>
        <v>1.5842452116741006</v>
      </c>
      <c r="U198">
        <f>'Expense Model'!AC171</f>
        <v>0.92790807914876638</v>
      </c>
      <c r="V198">
        <f>'Expense Model'!AD171</f>
        <v>-0.77293677219014989</v>
      </c>
      <c r="W198">
        <f>'Expense Model'!AE171</f>
        <v>-4.4526131364853061E-2</v>
      </c>
      <c r="X198">
        <f>'Expense Model'!AF171</f>
        <v>-1.2229547061721635E-2</v>
      </c>
      <c r="Y198">
        <f>'Expense Model'!AG171</f>
        <v>6.2117214986794123E-2</v>
      </c>
      <c r="Z198">
        <f>'Expense Model'!AH171</f>
        <v>0</v>
      </c>
      <c r="AA198">
        <f>'Expense Model'!AI171</f>
        <v>0</v>
      </c>
      <c r="AB198">
        <f>'Expense Model'!AJ171</f>
        <v>0</v>
      </c>
      <c r="AC198">
        <f>'Expense Model'!AK171</f>
        <v>0</v>
      </c>
      <c r="AD198">
        <f>'Expense Model'!AL171</f>
        <v>1.1000994568475355</v>
      </c>
      <c r="AE198">
        <f>'Expense Model'!AM171</f>
        <v>3.6606971596997191</v>
      </c>
      <c r="AF198">
        <f>'Expense Model'!AN171</f>
        <v>-0.42288929566043165</v>
      </c>
      <c r="AG198">
        <f>'Expense Model'!AO171</f>
        <v>0.1586352873078456</v>
      </c>
      <c r="AH198">
        <f>'Expense Model'!AP171</f>
        <v>0.20765232048506577</v>
      </c>
      <c r="AI198">
        <f>'Expense Model'!AQ171</f>
        <v>0.18649848403890545</v>
      </c>
      <c r="AJ198">
        <f>'Expense Model'!AR171</f>
        <v>0.16352769732216177</v>
      </c>
      <c r="AK198">
        <f>'Expense Model'!AS171</f>
        <v>0.14372834617652774</v>
      </c>
      <c r="AL198">
        <f>'Expense Model'!AT171</f>
        <v>0.12721909928201947</v>
      </c>
      <c r="AM198">
        <f>'Expense Model'!AU171</f>
        <v>0.11488285274945809</v>
      </c>
      <c r="AN198">
        <f>'Expense Model'!AV171</f>
        <v>0</v>
      </c>
    </row>
    <row r="199" spans="1:40">
      <c r="A199" t="str">
        <f>'Expense Model'!I172</f>
        <v>Y/Y Abs Growth</v>
      </c>
      <c r="B199">
        <f>'Expense Model'!J172</f>
        <v>0</v>
      </c>
      <c r="C199">
        <f>'Expense Model'!K172</f>
        <v>0</v>
      </c>
      <c r="D199">
        <f>'Expense Model'!L172</f>
        <v>0</v>
      </c>
      <c r="E199">
        <f>'Expense Model'!M172</f>
        <v>0</v>
      </c>
      <c r="F199">
        <f>'Expense Model'!N172</f>
        <v>0</v>
      </c>
      <c r="G199">
        <f>'Expense Model'!O172</f>
        <v>0</v>
      </c>
      <c r="H199">
        <f>'Expense Model'!P172</f>
        <v>0</v>
      </c>
      <c r="I199">
        <f>'Expense Model'!Q172</f>
        <v>0</v>
      </c>
      <c r="J199">
        <f>'Expense Model'!R172</f>
        <v>0</v>
      </c>
      <c r="K199">
        <f>'Expense Model'!S172</f>
        <v>0</v>
      </c>
      <c r="L199">
        <f>'Expense Model'!T172</f>
        <v>0</v>
      </c>
      <c r="M199">
        <f>'Expense Model'!U172</f>
        <v>0</v>
      </c>
      <c r="N199">
        <f>'Expense Model'!V172</f>
        <v>39.853000000000009</v>
      </c>
      <c r="O199">
        <f>'Expense Model'!W172</f>
        <v>94.535999999999987</v>
      </c>
      <c r="P199">
        <f>'Expense Model'!X172</f>
        <v>145.54500000000002</v>
      </c>
      <c r="Q199">
        <f>'Expense Model'!Y172</f>
        <v>204.54099999999997</v>
      </c>
      <c r="R199">
        <f>'Expense Model'!Z172</f>
        <v>2220.7959999999998</v>
      </c>
      <c r="S199">
        <f>'Expense Model'!AA172</f>
        <v>443.0320000000001</v>
      </c>
      <c r="T199">
        <f>'Expense Model'!AB172</f>
        <v>410.59199999999998</v>
      </c>
      <c r="U199">
        <f>'Expense Model'!AC172</f>
        <v>311.23800000000006</v>
      </c>
      <c r="V199">
        <f>'Expense Model'!AD172</f>
        <v>-1826.7703614457832</v>
      </c>
      <c r="W199">
        <f>'Expense Model'!AE172</f>
        <v>-28.082141264367806</v>
      </c>
      <c r="X199">
        <f>'Expense Model'!AF172</f>
        <v>-8.1909103582469243</v>
      </c>
      <c r="Y199">
        <f>'Expense Model'!AG172</f>
        <v>40.168531891715361</v>
      </c>
      <c r="Z199">
        <f>'Expense Model'!AH172</f>
        <v>0</v>
      </c>
      <c r="AA199">
        <f>'Expense Model'!AI172</f>
        <v>0</v>
      </c>
      <c r="AB199">
        <f>'Expense Model'!AJ172</f>
        <v>0</v>
      </c>
      <c r="AC199">
        <f>'Expense Model'!AK172</f>
        <v>0</v>
      </c>
      <c r="AD199">
        <f>'Expense Model'!AL172</f>
        <v>484.47499999999991</v>
      </c>
      <c r="AE199">
        <f>'Expense Model'!AM172</f>
        <v>3385.6579999999994</v>
      </c>
      <c r="AF199">
        <f>'Expense Model'!AN172</f>
        <v>-1822.8748811766818</v>
      </c>
      <c r="AG199">
        <f>'Expense Model'!AO172</f>
        <v>394.62909132093318</v>
      </c>
      <c r="AH199">
        <f>'Expense Model'!AP172</f>
        <v>598.51196627231639</v>
      </c>
      <c r="AI199">
        <f>'Expense Model'!AQ172</f>
        <v>649.16227765768781</v>
      </c>
      <c r="AJ199">
        <f>'Expense Model'!AR172</f>
        <v>675.36177839247102</v>
      </c>
      <c r="AK199">
        <f>'Expense Model'!AS172</f>
        <v>690.66001121931913</v>
      </c>
      <c r="AL199">
        <f>'Expense Model'!AT172</f>
        <v>699.19302017801601</v>
      </c>
      <c r="AM199">
        <f>'Expense Model'!AU172</f>
        <v>711.71860341561023</v>
      </c>
      <c r="AN199">
        <f>'Expense Model'!AV172</f>
        <v>0</v>
      </c>
    </row>
    <row r="200" spans="1:40">
      <c r="A200" t="str">
        <f>'Expense Model'!I173</f>
        <v>Q/Q % Growth</v>
      </c>
      <c r="B200">
        <f>'Expense Model'!J173</f>
        <v>0</v>
      </c>
      <c r="C200">
        <f>'Expense Model'!K173</f>
        <v>0</v>
      </c>
      <c r="D200">
        <f>'Expense Model'!L173</f>
        <v>0</v>
      </c>
      <c r="E200">
        <f>'Expense Model'!M173</f>
        <v>0</v>
      </c>
      <c r="F200">
        <f>'Expense Model'!N173</f>
        <v>0</v>
      </c>
      <c r="G200">
        <f>'Expense Model'!O173</f>
        <v>0</v>
      </c>
      <c r="H200">
        <f>'Expense Model'!P173</f>
        <v>0</v>
      </c>
      <c r="I200">
        <f>'Expense Model'!Q173</f>
        <v>0</v>
      </c>
      <c r="J200">
        <f>'Expense Model'!R173</f>
        <v>0</v>
      </c>
      <c r="K200">
        <f>'Expense Model'!S173</f>
        <v>-9.3853998404141437E-2</v>
      </c>
      <c r="L200">
        <f>'Expense Model'!T173</f>
        <v>0.22020811632177484</v>
      </c>
      <c r="M200">
        <f>'Expense Model'!U173</f>
        <v>0.15182131007595046</v>
      </c>
      <c r="N200">
        <f>'Expense Model'!V173</f>
        <v>8.9709500450801283E-2</v>
      </c>
      <c r="O200">
        <f>'Expense Model'!W173</f>
        <v>0.31579242597409873</v>
      </c>
      <c r="P200">
        <f>'Expense Model'!X173</f>
        <v>0.38109423043105273</v>
      </c>
      <c r="Q200">
        <f>'Expense Model'!Y173</f>
        <v>0.29419458892164263</v>
      </c>
      <c r="R200">
        <f>'Expense Model'!Z173</f>
        <v>6.0461571944344241</v>
      </c>
      <c r="S200">
        <f>'Expense Model'!AA173</f>
        <v>-0.73314504646877499</v>
      </c>
      <c r="T200">
        <f>'Expense Model'!AB173</f>
        <v>6.1956051239200116E-2</v>
      </c>
      <c r="U200">
        <f>'Expense Model'!AC173</f>
        <v>-3.4500212014978326E-2</v>
      </c>
      <c r="V200">
        <f>'Expense Model'!AD173</f>
        <v>-0.17012475152327</v>
      </c>
      <c r="W200">
        <f>'Expense Model'!AE173</f>
        <v>0.12291601451404666</v>
      </c>
      <c r="X200">
        <f>'Expense Model'!AF173</f>
        <v>9.7851908008218746E-2</v>
      </c>
      <c r="Y200">
        <f>'Expense Model'!AG173</f>
        <v>3.817029840744679E-2</v>
      </c>
      <c r="Z200">
        <f>'Expense Model'!AH173</f>
        <v>0</v>
      </c>
      <c r="AA200">
        <f>'Expense Model'!AI173</f>
        <v>0</v>
      </c>
      <c r="AB200">
        <f>'Expense Model'!AJ173</f>
        <v>0</v>
      </c>
      <c r="AC200">
        <f>'Expense Model'!AK173</f>
        <v>0</v>
      </c>
      <c r="AD200">
        <f>'Expense Model'!AL173</f>
        <v>0</v>
      </c>
      <c r="AE200">
        <f>'Expense Model'!AM173</f>
        <v>0</v>
      </c>
      <c r="AF200">
        <f>'Expense Model'!AN173</f>
        <v>0</v>
      </c>
      <c r="AG200">
        <f>'Expense Model'!AO173</f>
        <v>0</v>
      </c>
      <c r="AH200">
        <f>'Expense Model'!AP173</f>
        <v>0</v>
      </c>
      <c r="AI200">
        <f>'Expense Model'!AQ173</f>
        <v>0</v>
      </c>
      <c r="AJ200">
        <f>'Expense Model'!AR173</f>
        <v>0</v>
      </c>
      <c r="AK200">
        <f>'Expense Model'!AS173</f>
        <v>0</v>
      </c>
      <c r="AL200">
        <f>'Expense Model'!AT173</f>
        <v>0</v>
      </c>
      <c r="AM200">
        <f>'Expense Model'!AU173</f>
        <v>0</v>
      </c>
      <c r="AN200">
        <f>'Expense Model'!AV173</f>
        <v>0</v>
      </c>
    </row>
    <row r="201" spans="1:40">
      <c r="A201" t="str">
        <f>'Expense Model'!I174</f>
        <v>Q/Q Abs Growth</v>
      </c>
      <c r="B201">
        <f>'Expense Model'!J174</f>
        <v>0</v>
      </c>
      <c r="C201">
        <f>'Expense Model'!K174</f>
        <v>0</v>
      </c>
      <c r="D201">
        <f>'Expense Model'!L174</f>
        <v>0</v>
      </c>
      <c r="E201">
        <f>'Expense Model'!M174</f>
        <v>0</v>
      </c>
      <c r="F201">
        <f>'Expense Model'!N174</f>
        <v>0</v>
      </c>
      <c r="G201">
        <f>'Expense Model'!O174</f>
        <v>0</v>
      </c>
      <c r="H201">
        <f>'Expense Model'!P174</f>
        <v>0</v>
      </c>
      <c r="I201">
        <f>'Expense Model'!Q174</f>
        <v>0</v>
      </c>
      <c r="J201">
        <f>'Expense Model'!R174</f>
        <v>0</v>
      </c>
      <c r="K201">
        <f>'Expense Model'!S174</f>
        <v>-9.644999999999996</v>
      </c>
      <c r="L201">
        <f>'Expense Model'!T174</f>
        <v>20.506</v>
      </c>
      <c r="M201">
        <f>'Expense Model'!U174</f>
        <v>17.251000000000019</v>
      </c>
      <c r="N201">
        <f>'Expense Model'!V174</f>
        <v>11.740999999999985</v>
      </c>
      <c r="O201">
        <f>'Expense Model'!W174</f>
        <v>45.037999999999982</v>
      </c>
      <c r="P201">
        <f>'Expense Model'!X174</f>
        <v>71.515000000000043</v>
      </c>
      <c r="Q201">
        <f>'Expense Model'!Y174</f>
        <v>76.246999999999957</v>
      </c>
      <c r="R201">
        <f>'Expense Model'!Z174</f>
        <v>2027.9960000000001</v>
      </c>
      <c r="S201">
        <f>'Expense Model'!AA174</f>
        <v>-1732.7259999999999</v>
      </c>
      <c r="T201">
        <f>'Expense Model'!AB174</f>
        <v>39.074999999999932</v>
      </c>
      <c r="U201">
        <f>'Expense Model'!AC174</f>
        <v>-23.106999999999971</v>
      </c>
      <c r="V201">
        <f>'Expense Model'!AD174</f>
        <v>-110.0123614457832</v>
      </c>
      <c r="W201">
        <f>'Expense Model'!AE174</f>
        <v>65.962220181415432</v>
      </c>
      <c r="X201">
        <f>'Expense Model'!AF174</f>
        <v>58.966230906120813</v>
      </c>
      <c r="Y201">
        <f>'Expense Model'!AG174</f>
        <v>25.252442249962314</v>
      </c>
      <c r="Z201">
        <f>'Expense Model'!AH174</f>
        <v>0</v>
      </c>
      <c r="AA201">
        <f>'Expense Model'!AI174</f>
        <v>0</v>
      </c>
      <c r="AB201">
        <f>'Expense Model'!AJ174</f>
        <v>0</v>
      </c>
      <c r="AC201">
        <f>'Expense Model'!AK174</f>
        <v>0</v>
      </c>
      <c r="AD201">
        <f>'Expense Model'!AL174</f>
        <v>0</v>
      </c>
      <c r="AE201">
        <f>'Expense Model'!AM174</f>
        <v>0</v>
      </c>
      <c r="AF201">
        <f>'Expense Model'!AN174</f>
        <v>0</v>
      </c>
      <c r="AG201">
        <f>'Expense Model'!AO174</f>
        <v>0</v>
      </c>
      <c r="AH201">
        <f>'Expense Model'!AP174</f>
        <v>0</v>
      </c>
      <c r="AI201">
        <f>'Expense Model'!AQ174</f>
        <v>0</v>
      </c>
      <c r="AJ201">
        <f>'Expense Model'!AR174</f>
        <v>0</v>
      </c>
      <c r="AK201">
        <f>'Expense Model'!AS174</f>
        <v>0</v>
      </c>
      <c r="AL201">
        <f>'Expense Model'!AT174</f>
        <v>0</v>
      </c>
      <c r="AM201">
        <f>'Expense Model'!AU174</f>
        <v>0</v>
      </c>
      <c r="AN201">
        <f>'Expense Model'!AV174</f>
        <v>0</v>
      </c>
    </row>
    <row r="203" spans="1:40">
      <c r="A203" t="str">
        <f>'Expense Model'!I189</f>
        <v>Employees</v>
      </c>
      <c r="B203">
        <f>'Expense Model'!J189</f>
        <v>0</v>
      </c>
      <c r="C203">
        <f>'Expense Model'!K189</f>
        <v>0</v>
      </c>
      <c r="D203">
        <f>'Expense Model'!L189</f>
        <v>0</v>
      </c>
      <c r="E203">
        <f>'Expense Model'!M189</f>
        <v>0</v>
      </c>
      <c r="F203">
        <f>'Expense Model'!N189</f>
        <v>0</v>
      </c>
      <c r="G203">
        <f>'Expense Model'!O189</f>
        <v>0</v>
      </c>
      <c r="H203">
        <f>'Expense Model'!P189</f>
        <v>0</v>
      </c>
      <c r="I203">
        <f>'Expense Model'!Q189</f>
        <v>0</v>
      </c>
      <c r="J203">
        <f>'Expense Model'!R189</f>
        <v>270</v>
      </c>
      <c r="K203">
        <f>'Expense Model'!S189</f>
        <v>406</v>
      </c>
      <c r="L203">
        <f>'Expense Model'!T189</f>
        <v>523</v>
      </c>
      <c r="M203">
        <f>'Expense Model'!U189</f>
        <v>600</v>
      </c>
      <c r="N203">
        <f>'Expense Model'!V189</f>
        <v>783</v>
      </c>
      <c r="O203">
        <f>'Expense Model'!W189</f>
        <v>1061</v>
      </c>
      <c r="P203">
        <f>'Expense Model'!X189</f>
        <v>1413</v>
      </c>
      <c r="Q203">
        <f>'Expense Model'!Y189</f>
        <v>1859</v>
      </c>
      <c r="R203">
        <f>'Expense Model'!Z189</f>
        <v>2360</v>
      </c>
      <c r="S203">
        <f>'Expense Model'!AA189</f>
        <v>2600</v>
      </c>
      <c r="T203">
        <f>'Expense Model'!AB189</f>
        <v>2900</v>
      </c>
      <c r="U203">
        <f>'Expense Model'!AC189</f>
        <v>3069</v>
      </c>
      <c r="V203">
        <f>'Expense Model'!AD189</f>
        <v>2819</v>
      </c>
      <c r="W203">
        <f>'Expense Model'!AE189</f>
        <v>2849</v>
      </c>
      <c r="X203">
        <f>'Expense Model'!AF189</f>
        <v>2879</v>
      </c>
      <c r="Y203">
        <f>'Expense Model'!AG189</f>
        <v>2909</v>
      </c>
      <c r="Z203">
        <f>'Expense Model'!AH189</f>
        <v>0</v>
      </c>
      <c r="AA203">
        <f>'Expense Model'!AI189</f>
        <v>0</v>
      </c>
      <c r="AB203">
        <f>'Expense Model'!AJ189</f>
        <v>0</v>
      </c>
      <c r="AC203">
        <f>'Expense Model'!AK189</f>
        <v>600</v>
      </c>
      <c r="AD203">
        <f>'Expense Model'!AL189</f>
        <v>1859</v>
      </c>
      <c r="AE203">
        <f>'Expense Model'!AM189</f>
        <v>3069</v>
      </c>
      <c r="AF203">
        <f>'Expense Model'!AN189</f>
        <v>2909</v>
      </c>
      <c r="AG203">
        <f>'Expense Model'!AO189</f>
        <v>3209</v>
      </c>
      <c r="AH203">
        <f>'Expense Model'!AP189</f>
        <v>3559</v>
      </c>
      <c r="AI203">
        <f>'Expense Model'!AQ189</f>
        <v>3909</v>
      </c>
      <c r="AJ203">
        <f>'Expense Model'!AR189</f>
        <v>4259</v>
      </c>
      <c r="AK203">
        <f>'Expense Model'!AS189</f>
        <v>4609</v>
      </c>
      <c r="AL203">
        <f>'Expense Model'!AT189</f>
        <v>4941.5</v>
      </c>
      <c r="AM203">
        <f>'Expense Model'!AU189</f>
        <v>5257.375</v>
      </c>
      <c r="AN203">
        <f>'Expense Model'!AV189</f>
        <v>0</v>
      </c>
    </row>
    <row r="204" spans="1:40">
      <c r="A204" t="str">
        <f>'Expense Model'!I190</f>
        <v>Period-Period Net Adds</v>
      </c>
      <c r="B204">
        <f>'Expense Model'!J190</f>
        <v>0</v>
      </c>
      <c r="C204">
        <f>'Expense Model'!K190</f>
        <v>0</v>
      </c>
      <c r="D204">
        <f>'Expense Model'!L190</f>
        <v>0</v>
      </c>
      <c r="E204">
        <f>'Expense Model'!M190</f>
        <v>0</v>
      </c>
      <c r="F204">
        <f>'Expense Model'!N190</f>
        <v>0</v>
      </c>
      <c r="G204">
        <f>'Expense Model'!O190</f>
        <v>0</v>
      </c>
      <c r="H204">
        <f>'Expense Model'!P190</f>
        <v>0</v>
      </c>
      <c r="I204">
        <f>'Expense Model'!Q190</f>
        <v>0</v>
      </c>
      <c r="J204">
        <f>'Expense Model'!R190</f>
        <v>0</v>
      </c>
      <c r="K204">
        <f>'Expense Model'!S190</f>
        <v>136</v>
      </c>
      <c r="L204">
        <f>'Expense Model'!T190</f>
        <v>117</v>
      </c>
      <c r="M204">
        <f>'Expense Model'!U190</f>
        <v>77</v>
      </c>
      <c r="N204">
        <f>'Expense Model'!V190</f>
        <v>183</v>
      </c>
      <c r="O204">
        <f>'Expense Model'!W190</f>
        <v>278</v>
      </c>
      <c r="P204">
        <f>'Expense Model'!X190</f>
        <v>352</v>
      </c>
      <c r="Q204">
        <f>'Expense Model'!Y190</f>
        <v>446</v>
      </c>
      <c r="R204">
        <f>'Expense Model'!Z190</f>
        <v>501</v>
      </c>
      <c r="S204">
        <f>'Expense Model'!AA190</f>
        <v>240</v>
      </c>
      <c r="T204">
        <f>'Expense Model'!AB190</f>
        <v>300</v>
      </c>
      <c r="U204">
        <f>'Expense Model'!AC190</f>
        <v>169</v>
      </c>
      <c r="V204">
        <f>'Expense Model'!AD190</f>
        <v>-250</v>
      </c>
      <c r="W204">
        <f>'Expense Model'!AE190</f>
        <v>30</v>
      </c>
      <c r="X204">
        <f>'Expense Model'!AF190</f>
        <v>30</v>
      </c>
      <c r="Y204">
        <f>'Expense Model'!AG190</f>
        <v>30</v>
      </c>
      <c r="Z204">
        <f>'Expense Model'!AH190</f>
        <v>0</v>
      </c>
      <c r="AA204">
        <f>'Expense Model'!AI190</f>
        <v>0</v>
      </c>
      <c r="AB204">
        <f>'Expense Model'!AJ190</f>
        <v>0</v>
      </c>
      <c r="AC204">
        <f>'Expense Model'!AK190</f>
        <v>0</v>
      </c>
      <c r="AD204">
        <f>'Expense Model'!AL190</f>
        <v>1259</v>
      </c>
      <c r="AE204">
        <f>'Expense Model'!AM190</f>
        <v>1210</v>
      </c>
      <c r="AF204">
        <f>'Expense Model'!AN190</f>
        <v>-160</v>
      </c>
      <c r="AG204">
        <f>'Expense Model'!AO190</f>
        <v>300</v>
      </c>
      <c r="AH204">
        <f>'Expense Model'!AP190</f>
        <v>350</v>
      </c>
      <c r="AI204">
        <f>'Expense Model'!AQ190</f>
        <v>350</v>
      </c>
      <c r="AJ204">
        <f>'Expense Model'!AR190</f>
        <v>350</v>
      </c>
      <c r="AK204">
        <f>'Expense Model'!AS190</f>
        <v>350</v>
      </c>
      <c r="AL204">
        <f>'Expense Model'!AT190</f>
        <v>332.5</v>
      </c>
      <c r="AM204">
        <f>'Expense Model'!AU190</f>
        <v>315.875</v>
      </c>
      <c r="AN204">
        <f>'Expense Model'!AV190</f>
        <v>0</v>
      </c>
    </row>
    <row r="205" spans="1:40">
      <c r="A205" t="str">
        <f>'Expense Model'!I191</f>
        <v>Y/Y % Growth</v>
      </c>
      <c r="B205">
        <f>'Expense Model'!J191</f>
        <v>0</v>
      </c>
      <c r="C205">
        <f>'Expense Model'!K191</f>
        <v>0</v>
      </c>
      <c r="D205">
        <f>'Expense Model'!L191</f>
        <v>0</v>
      </c>
      <c r="E205">
        <f>'Expense Model'!M191</f>
        <v>0</v>
      </c>
      <c r="F205">
        <f>'Expense Model'!N191</f>
        <v>0</v>
      </c>
      <c r="G205">
        <f>'Expense Model'!O191</f>
        <v>0</v>
      </c>
      <c r="H205">
        <f>'Expense Model'!P191</f>
        <v>0</v>
      </c>
      <c r="I205">
        <f>'Expense Model'!Q191</f>
        <v>0</v>
      </c>
      <c r="J205">
        <f>'Expense Model'!R191</f>
        <v>0</v>
      </c>
      <c r="K205">
        <f>'Expense Model'!S191</f>
        <v>0</v>
      </c>
      <c r="L205">
        <f>'Expense Model'!T191</f>
        <v>0</v>
      </c>
      <c r="M205">
        <f>'Expense Model'!U191</f>
        <v>0</v>
      </c>
      <c r="N205">
        <f>'Expense Model'!V191</f>
        <v>0</v>
      </c>
      <c r="O205">
        <f>'Expense Model'!W191</f>
        <v>0</v>
      </c>
      <c r="P205">
        <f>'Expense Model'!X191</f>
        <v>0</v>
      </c>
      <c r="Q205">
        <f>'Expense Model'!Y191</f>
        <v>0</v>
      </c>
      <c r="R205">
        <f>'Expense Model'!Z191</f>
        <v>0</v>
      </c>
      <c r="S205">
        <f>'Expense Model'!AA191</f>
        <v>0</v>
      </c>
      <c r="T205">
        <f>'Expense Model'!AB191</f>
        <v>0</v>
      </c>
      <c r="U205">
        <f>'Expense Model'!AC191</f>
        <v>0</v>
      </c>
      <c r="V205">
        <f>'Expense Model'!AD191</f>
        <v>0</v>
      </c>
      <c r="W205">
        <f>'Expense Model'!AE191</f>
        <v>0</v>
      </c>
      <c r="X205">
        <f>'Expense Model'!AF191</f>
        <v>0</v>
      </c>
      <c r="Y205">
        <f>'Expense Model'!AG191</f>
        <v>0</v>
      </c>
      <c r="Z205">
        <f>'Expense Model'!AH191</f>
        <v>0</v>
      </c>
      <c r="AA205">
        <f>'Expense Model'!AI191</f>
        <v>0</v>
      </c>
      <c r="AB205">
        <f>'Expense Model'!AJ191</f>
        <v>0</v>
      </c>
      <c r="AC205">
        <f>'Expense Model'!AK191</f>
        <v>0</v>
      </c>
      <c r="AD205">
        <f>'Expense Model'!AL191</f>
        <v>2.0983333333333332</v>
      </c>
      <c r="AE205">
        <f>'Expense Model'!AM191</f>
        <v>0.65088757396449703</v>
      </c>
      <c r="AF205">
        <f>'Expense Model'!AN191</f>
        <v>-5.2134245682632807E-2</v>
      </c>
      <c r="AG205">
        <f>'Expense Model'!AO191</f>
        <v>0.10312822275696121</v>
      </c>
      <c r="AH205">
        <f>'Expense Model'!AP191</f>
        <v>0.10906824555936434</v>
      </c>
      <c r="AI205">
        <f>'Expense Model'!AQ191</f>
        <v>9.8342230963753829E-2</v>
      </c>
      <c r="AJ205">
        <f>'Expense Model'!AR191</f>
        <v>8.9536965975952842E-2</v>
      </c>
      <c r="AK205">
        <f>'Expense Model'!AS191</f>
        <v>8.2178915238318773E-2</v>
      </c>
      <c r="AL205">
        <f>'Expense Model'!AT191</f>
        <v>7.2141462356259511E-2</v>
      </c>
      <c r="AM205">
        <f>'Expense Model'!AU191</f>
        <v>6.3922897905494214E-2</v>
      </c>
      <c r="AN205">
        <f>'Expense Model'!AV191</f>
        <v>0</v>
      </c>
    </row>
    <row r="206" spans="1:40">
      <c r="A206" t="str">
        <f>'Expense Model'!I201</f>
        <v>R&amp;D Employees</v>
      </c>
      <c r="B206">
        <f>'Expense Model'!J201</f>
        <v>0</v>
      </c>
      <c r="C206">
        <f>'Expense Model'!K201</f>
        <v>0</v>
      </c>
      <c r="D206">
        <f>'Expense Model'!L201</f>
        <v>0</v>
      </c>
      <c r="E206">
        <f>'Expense Model'!M201</f>
        <v>0</v>
      </c>
      <c r="F206">
        <f>'Expense Model'!N201</f>
        <v>0</v>
      </c>
      <c r="G206">
        <f>'Expense Model'!O201</f>
        <v>0</v>
      </c>
      <c r="H206">
        <f>'Expense Model'!P201</f>
        <v>0</v>
      </c>
      <c r="I206">
        <f>'Expense Model'!Q201</f>
        <v>0</v>
      </c>
      <c r="J206">
        <f>'Expense Model'!R201</f>
        <v>0</v>
      </c>
      <c r="K206">
        <f>'Expense Model'!S201</f>
        <v>0</v>
      </c>
      <c r="L206">
        <f>'Expense Model'!T201</f>
        <v>0</v>
      </c>
      <c r="M206">
        <f>'Expense Model'!U201</f>
        <v>0</v>
      </c>
      <c r="N206">
        <f>'Expense Model'!V201</f>
        <v>0</v>
      </c>
      <c r="O206">
        <f>'Expense Model'!W201</f>
        <v>0</v>
      </c>
      <c r="P206">
        <f>'Expense Model'!X201</f>
        <v>0</v>
      </c>
      <c r="Q206">
        <f>'Expense Model'!Y201</f>
        <v>0</v>
      </c>
      <c r="R206">
        <f>'Expense Model'!Z201</f>
        <v>0</v>
      </c>
      <c r="S206">
        <f>'Expense Model'!AA201</f>
        <v>0</v>
      </c>
      <c r="T206">
        <f>'Expense Model'!AB201</f>
        <v>0</v>
      </c>
      <c r="U206">
        <f>'Expense Model'!AC201</f>
        <v>0</v>
      </c>
      <c r="V206">
        <f>'Expense Model'!AD201</f>
        <v>0</v>
      </c>
      <c r="W206">
        <f>'Expense Model'!AE201</f>
        <v>0</v>
      </c>
      <c r="X206">
        <f>'Expense Model'!AF201</f>
        <v>0</v>
      </c>
      <c r="Y206">
        <f>'Expense Model'!AG201</f>
        <v>0</v>
      </c>
      <c r="Z206">
        <f>'Expense Model'!AH201</f>
        <v>0</v>
      </c>
      <c r="AA206">
        <f>'Expense Model'!AI201</f>
        <v>0</v>
      </c>
      <c r="AB206">
        <f>'Expense Model'!AJ201</f>
        <v>0</v>
      </c>
      <c r="AC206">
        <f>'Expense Model'!AK201</f>
        <v>0</v>
      </c>
      <c r="AD206">
        <f>'Expense Model'!AL201</f>
        <v>853</v>
      </c>
      <c r="AE206">
        <f>'Expense Model'!AM201</f>
        <v>0</v>
      </c>
      <c r="AF206">
        <f>'Expense Model'!AN201</f>
        <v>0</v>
      </c>
      <c r="AG206">
        <f>'Expense Model'!AO201</f>
        <v>0</v>
      </c>
      <c r="AH206">
        <f>'Expense Model'!AP201</f>
        <v>0</v>
      </c>
      <c r="AI206">
        <f>'Expense Model'!AQ201</f>
        <v>0</v>
      </c>
      <c r="AJ206">
        <f>'Expense Model'!AR201</f>
        <v>0</v>
      </c>
      <c r="AK206">
        <f>'Expense Model'!AS201</f>
        <v>0</v>
      </c>
      <c r="AL206">
        <f>'Expense Model'!AT201</f>
        <v>0</v>
      </c>
      <c r="AM206">
        <f>'Expense Model'!AU201</f>
        <v>0</v>
      </c>
      <c r="AN206">
        <f>'Expense Model'!AV201</f>
        <v>0</v>
      </c>
    </row>
    <row r="207" spans="1:40">
      <c r="A207" t="str">
        <f>'Expense Model'!I202</f>
        <v xml:space="preserve">S&amp;M Employees </v>
      </c>
      <c r="B207">
        <f>'Expense Model'!J202</f>
        <v>0</v>
      </c>
      <c r="C207">
        <f>'Expense Model'!K202</f>
        <v>0</v>
      </c>
      <c r="D207">
        <f>'Expense Model'!L202</f>
        <v>0</v>
      </c>
      <c r="E207">
        <f>'Expense Model'!M202</f>
        <v>0</v>
      </c>
      <c r="F207">
        <f>'Expense Model'!N202</f>
        <v>0</v>
      </c>
      <c r="G207">
        <f>'Expense Model'!O202</f>
        <v>0</v>
      </c>
      <c r="H207">
        <f>'Expense Model'!P202</f>
        <v>0</v>
      </c>
      <c r="I207">
        <f>'Expense Model'!Q202</f>
        <v>0</v>
      </c>
      <c r="J207">
        <f>'Expense Model'!R202</f>
        <v>0</v>
      </c>
      <c r="K207">
        <f>'Expense Model'!S202</f>
        <v>0</v>
      </c>
      <c r="L207">
        <f>'Expense Model'!T202</f>
        <v>0</v>
      </c>
      <c r="M207">
        <f>'Expense Model'!U202</f>
        <v>0</v>
      </c>
      <c r="N207">
        <f>'Expense Model'!V202</f>
        <v>0</v>
      </c>
      <c r="O207">
        <f>'Expense Model'!W202</f>
        <v>0</v>
      </c>
      <c r="P207">
        <f>'Expense Model'!X202</f>
        <v>0</v>
      </c>
      <c r="Q207">
        <f>'Expense Model'!Y202</f>
        <v>0</v>
      </c>
      <c r="R207">
        <f>'Expense Model'!Z202</f>
        <v>0</v>
      </c>
      <c r="S207">
        <f>'Expense Model'!AA202</f>
        <v>0</v>
      </c>
      <c r="T207">
        <f>'Expense Model'!AB202</f>
        <v>0</v>
      </c>
      <c r="U207">
        <f>'Expense Model'!AC202</f>
        <v>0</v>
      </c>
      <c r="V207">
        <f>'Expense Model'!AD135</f>
        <v>60.669928755402339</v>
      </c>
      <c r="W207">
        <f>'Expense Model'!AE135</f>
        <v>22.18267935565548</v>
      </c>
      <c r="X207">
        <f>'Expense Model'!AF135</f>
        <v>4.8656793556554732</v>
      </c>
      <c r="Y207">
        <f>'Expense Model'!AG135</f>
        <v>-10.334320644344544</v>
      </c>
      <c r="Z207">
        <f>'Expense Model'!AH202</f>
        <v>0</v>
      </c>
      <c r="AA207">
        <f>'Expense Model'!AI202</f>
        <v>0</v>
      </c>
      <c r="AB207">
        <f>'Expense Model'!AJ202</f>
        <v>0</v>
      </c>
      <c r="AC207">
        <f>'Expense Model'!AK202</f>
        <v>0</v>
      </c>
      <c r="AD207">
        <f>'Expense Model'!AL202</f>
        <v>556</v>
      </c>
      <c r="AE207">
        <f>'Expense Model'!AM202</f>
        <v>0</v>
      </c>
      <c r="AF207">
        <f>'Expense Model'!AN202</f>
        <v>0</v>
      </c>
      <c r="AG207">
        <f>'Expense Model'!AO202</f>
        <v>0</v>
      </c>
      <c r="AH207">
        <f>'Expense Model'!AP202</f>
        <v>0</v>
      </c>
      <c r="AI207">
        <f>'Expense Model'!AQ202</f>
        <v>0</v>
      </c>
      <c r="AJ207">
        <f>'Expense Model'!AR202</f>
        <v>0</v>
      </c>
      <c r="AK207">
        <f>'Expense Model'!AS202</f>
        <v>0</v>
      </c>
      <c r="AL207">
        <f>'Expense Model'!AT202</f>
        <v>0</v>
      </c>
      <c r="AM207">
        <f>'Expense Model'!AU202</f>
        <v>0</v>
      </c>
      <c r="AN207">
        <f>'Expense Model'!AV202</f>
        <v>0</v>
      </c>
    </row>
    <row r="208" spans="1:40">
      <c r="A208" t="str">
        <f>'Expense Model'!I203</f>
        <v>G&amp;A Employees</v>
      </c>
      <c r="B208">
        <f>'Expense Model'!J203</f>
        <v>0</v>
      </c>
      <c r="C208">
        <f>'Expense Model'!K203</f>
        <v>0</v>
      </c>
      <c r="D208">
        <f>'Expense Model'!L203</f>
        <v>0</v>
      </c>
      <c r="E208">
        <f>'Expense Model'!M203</f>
        <v>0</v>
      </c>
      <c r="F208">
        <f>'Expense Model'!N203</f>
        <v>0</v>
      </c>
      <c r="G208">
        <f>'Expense Model'!O203</f>
        <v>0</v>
      </c>
      <c r="H208">
        <f>'Expense Model'!P203</f>
        <v>0</v>
      </c>
      <c r="I208">
        <f>'Expense Model'!Q203</f>
        <v>0</v>
      </c>
      <c r="J208">
        <f>'Expense Model'!R203</f>
        <v>0</v>
      </c>
      <c r="K208">
        <f>'Expense Model'!S203</f>
        <v>0</v>
      </c>
      <c r="L208">
        <f>'Expense Model'!T203</f>
        <v>0</v>
      </c>
      <c r="M208">
        <f>'Expense Model'!U203</f>
        <v>0</v>
      </c>
      <c r="N208">
        <f>'Expense Model'!V203</f>
        <v>0</v>
      </c>
      <c r="O208">
        <f>'Expense Model'!W203</f>
        <v>0</v>
      </c>
      <c r="P208">
        <f>'Expense Model'!X203</f>
        <v>0</v>
      </c>
      <c r="Q208">
        <f>'Expense Model'!Y203</f>
        <v>0</v>
      </c>
      <c r="R208">
        <f>'Expense Model'!Z203</f>
        <v>0</v>
      </c>
      <c r="S208">
        <f>'Expense Model'!AA203</f>
        <v>0</v>
      </c>
      <c r="T208">
        <f>'Expense Model'!AB203</f>
        <v>0</v>
      </c>
      <c r="U208">
        <f>'Expense Model'!AC203</f>
        <v>0</v>
      </c>
      <c r="V208">
        <f>'Expense Model'!AD203</f>
        <v>0</v>
      </c>
      <c r="W208">
        <f>'Expense Model'!AE203</f>
        <v>0</v>
      </c>
      <c r="X208">
        <f>'Expense Model'!AF203</f>
        <v>0</v>
      </c>
      <c r="Y208">
        <f>'Expense Model'!AG203</f>
        <v>0</v>
      </c>
      <c r="Z208">
        <f>'Expense Model'!AH203</f>
        <v>0</v>
      </c>
      <c r="AA208">
        <f>'Expense Model'!AI203</f>
        <v>0</v>
      </c>
      <c r="AB208">
        <f>'Expense Model'!AJ203</f>
        <v>0</v>
      </c>
      <c r="AC208">
        <f>'Expense Model'!AK203</f>
        <v>0</v>
      </c>
      <c r="AD208">
        <f>'Expense Model'!AL203</f>
        <v>450</v>
      </c>
      <c r="AE208">
        <f>'Expense Model'!AM203</f>
        <v>0</v>
      </c>
      <c r="AF208">
        <f>'Expense Model'!AN203</f>
        <v>0</v>
      </c>
      <c r="AG208">
        <f>'Expense Model'!AO203</f>
        <v>0</v>
      </c>
      <c r="AH208">
        <f>'Expense Model'!AP203</f>
        <v>0</v>
      </c>
      <c r="AI208">
        <f>'Expense Model'!AQ203</f>
        <v>0</v>
      </c>
      <c r="AJ208">
        <f>'Expense Model'!AR203</f>
        <v>0</v>
      </c>
      <c r="AK208">
        <f>'Expense Model'!AS203</f>
        <v>0</v>
      </c>
      <c r="AL208">
        <f>'Expense Model'!AT203</f>
        <v>0</v>
      </c>
      <c r="AM208">
        <f>'Expense Model'!AU203</f>
        <v>0</v>
      </c>
      <c r="AN208">
        <f>'Expense Model'!AV203</f>
        <v>0</v>
      </c>
    </row>
    <row r="209" spans="1:40">
      <c r="A209" t="str">
        <f>'Expense Model'!I188</f>
        <v>Headcount and Opex per Head</v>
      </c>
      <c r="B209">
        <f>'Expense Model'!J188</f>
        <v>0</v>
      </c>
      <c r="C209">
        <f>'Expense Model'!K188</f>
        <v>0</v>
      </c>
      <c r="D209">
        <f>'Expense Model'!L188</f>
        <v>0</v>
      </c>
      <c r="E209">
        <f>'Expense Model'!M188</f>
        <v>0</v>
      </c>
      <c r="F209">
        <f>'Expense Model'!N188</f>
        <v>0</v>
      </c>
      <c r="G209">
        <f>'Expense Model'!O188</f>
        <v>0</v>
      </c>
      <c r="H209">
        <f>'Expense Model'!P188</f>
        <v>0</v>
      </c>
      <c r="I209">
        <f>'Expense Model'!Q188</f>
        <v>0</v>
      </c>
      <c r="J209">
        <f>'Expense Model'!R188</f>
        <v>0</v>
      </c>
      <c r="K209">
        <f>'Expense Model'!S188</f>
        <v>0</v>
      </c>
      <c r="L209">
        <f>'Expense Model'!T188</f>
        <v>0</v>
      </c>
      <c r="M209">
        <f>'Expense Model'!U188</f>
        <v>0</v>
      </c>
      <c r="N209">
        <f>'Expense Model'!V188</f>
        <v>0</v>
      </c>
      <c r="O209">
        <f>'Expense Model'!W188</f>
        <v>0</v>
      </c>
      <c r="P209">
        <f>'Expense Model'!X188</f>
        <v>0</v>
      </c>
      <c r="Q209">
        <f>'Expense Model'!Y188</f>
        <v>0</v>
      </c>
      <c r="R209">
        <f>'Expense Model'!Z188</f>
        <v>0</v>
      </c>
      <c r="S209">
        <f>'Expense Model'!AA188</f>
        <v>0</v>
      </c>
      <c r="T209">
        <f>'Expense Model'!AB188</f>
        <v>0</v>
      </c>
      <c r="U209">
        <f>'Expense Model'!AC188</f>
        <v>0</v>
      </c>
      <c r="V209">
        <f>'Expense Model'!AD188</f>
        <v>0</v>
      </c>
      <c r="W209">
        <f>'Expense Model'!AE188</f>
        <v>0</v>
      </c>
      <c r="X209">
        <f>'Expense Model'!AF188</f>
        <v>0</v>
      </c>
      <c r="Y209">
        <f>'Expense Model'!AG188</f>
        <v>0</v>
      </c>
      <c r="Z209">
        <f>'Expense Model'!AH188</f>
        <v>0</v>
      </c>
      <c r="AA209">
        <f>'Expense Model'!AI188</f>
        <v>0</v>
      </c>
      <c r="AB209">
        <f>'Expense Model'!AJ188</f>
        <v>0</v>
      </c>
      <c r="AC209">
        <f>'Expense Model'!AK188</f>
        <v>0</v>
      </c>
      <c r="AD209">
        <f>'Expense Model'!AL188</f>
        <v>0</v>
      </c>
      <c r="AE209">
        <f>'Expense Model'!AM188</f>
        <v>0</v>
      </c>
      <c r="AF209">
        <f>'Expense Model'!AN188</f>
        <v>0</v>
      </c>
      <c r="AG209">
        <f>'Expense Model'!AO188</f>
        <v>0</v>
      </c>
      <c r="AH209">
        <f>'Expense Model'!AP188</f>
        <v>0</v>
      </c>
      <c r="AI209">
        <f>'Expense Model'!AQ188</f>
        <v>0</v>
      </c>
      <c r="AJ209">
        <f>'Expense Model'!AR188</f>
        <v>0</v>
      </c>
      <c r="AK209">
        <f>'Expense Model'!AS188</f>
        <v>0</v>
      </c>
      <c r="AL209">
        <f>'Expense Model'!AT188</f>
        <v>0</v>
      </c>
      <c r="AM209">
        <f>'Expense Model'!AU188</f>
        <v>0</v>
      </c>
      <c r="AN209">
        <f>'Expense Model'!AV188</f>
        <v>0</v>
      </c>
    </row>
    <row r="210" spans="1:40">
      <c r="A210" t="str">
        <f>'Expense Model'!I193</f>
        <v>Annualized Rev per Employee (Thousands)</v>
      </c>
      <c r="B210">
        <f>'Expense Model'!J193</f>
        <v>0</v>
      </c>
      <c r="C210">
        <f>'Expense Model'!K193</f>
        <v>0</v>
      </c>
      <c r="D210">
        <f>'Expense Model'!L193</f>
        <v>0</v>
      </c>
      <c r="E210">
        <f>'Expense Model'!M193</f>
        <v>0</v>
      </c>
      <c r="F210">
        <f>'Expense Model'!N193</f>
        <v>0</v>
      </c>
      <c r="G210">
        <f>'Expense Model'!O193</f>
        <v>0</v>
      </c>
      <c r="H210">
        <f>'Expense Model'!P193</f>
        <v>0</v>
      </c>
      <c r="I210">
        <f>'Expense Model'!Q193</f>
        <v>0</v>
      </c>
      <c r="J210">
        <f>'Expense Model'!R193</f>
        <v>0</v>
      </c>
      <c r="K210">
        <f>'Expense Model'!S193</f>
        <v>52.216748768472904</v>
      </c>
      <c r="L210">
        <f>'Expense Model'!T193</f>
        <v>127.91586998087955</v>
      </c>
      <c r="M210">
        <f>'Expense Model'!U193</f>
        <v>218.12000000000003</v>
      </c>
      <c r="N210">
        <f>'Expense Model'!V193</f>
        <v>198.20178799489145</v>
      </c>
      <c r="O210">
        <f>'Expense Model'!W193</f>
        <v>270.68049010367582</v>
      </c>
      <c r="P210">
        <f>'Expense Model'!X193</f>
        <v>362.92710544939848</v>
      </c>
      <c r="Q210">
        <f>'Expense Model'!Y193</f>
        <v>356.49704142011831</v>
      </c>
      <c r="R210">
        <f>'Expense Model'!Z193</f>
        <v>253.64067796610169</v>
      </c>
      <c r="S210">
        <f>'Expense Model'!AA193</f>
        <v>279.49384615384611</v>
      </c>
      <c r="T210">
        <f>'Expense Model'!AB193</f>
        <v>286.80965517241384</v>
      </c>
      <c r="U210">
        <f>'Expense Model'!AC193</f>
        <v>372.35972629521012</v>
      </c>
      <c r="V210">
        <f>'Expense Model'!AD193</f>
        <v>353.31677899964529</v>
      </c>
      <c r="W210">
        <f>'Expense Model'!AE193</f>
        <v>414.18041418041418</v>
      </c>
      <c r="X210">
        <f>'Expense Model'!AF193</f>
        <v>473.77561653351859</v>
      </c>
      <c r="Y210">
        <f>'Expense Model'!AG193</f>
        <v>588.51839119972499</v>
      </c>
      <c r="Z210">
        <f>'Expense Model'!AH193</f>
        <v>0</v>
      </c>
      <c r="AA210">
        <f>'Expense Model'!AI193</f>
        <v>0</v>
      </c>
      <c r="AB210">
        <f>'Expense Model'!AJ193</f>
        <v>0</v>
      </c>
      <c r="AC210">
        <f>'Expense Model'!AK193</f>
        <v>97.771666666666675</v>
      </c>
      <c r="AD210">
        <f>'Expense Model'!AL193</f>
        <v>217.58041958041957</v>
      </c>
      <c r="AE210">
        <f>'Expense Model'!AM193</f>
        <v>268.80058651026388</v>
      </c>
      <c r="AF210">
        <f>'Expense Model'!AN193</f>
        <v>451.35785493296663</v>
      </c>
      <c r="AG210">
        <f>'Expense Model'!AO193</f>
        <v>613.70046479366397</v>
      </c>
      <c r="AH210">
        <f>'Expense Model'!AP193</f>
        <v>788.10860502874107</v>
      </c>
      <c r="AI210">
        <f>'Expense Model'!AQ193</f>
        <v>975.42256615481449</v>
      </c>
      <c r="AJ210">
        <f>'Expense Model'!AR193</f>
        <v>1165.5223626548361</v>
      </c>
      <c r="AK210">
        <f>'Expense Model'!AS193</f>
        <v>1337.2896025105179</v>
      </c>
      <c r="AL210">
        <f>'Expense Model'!AT193</f>
        <v>1488.5919198825202</v>
      </c>
      <c r="AM210">
        <f>'Expense Model'!AU193</f>
        <v>1625.4553800873484</v>
      </c>
      <c r="AN210">
        <f>'Expense Model'!AV193</f>
        <v>0</v>
      </c>
    </row>
    <row r="211" spans="1:40">
      <c r="A211" t="str">
        <f>'Expense Model'!I196</f>
        <v>Annualized Opex per Employee (Thousands)</v>
      </c>
      <c r="B211">
        <f>'Expense Model'!J196</f>
        <v>0</v>
      </c>
      <c r="C211">
        <f>'Expense Model'!K196</f>
        <v>0</v>
      </c>
      <c r="D211">
        <f>'Expense Model'!L196</f>
        <v>0</v>
      </c>
      <c r="E211">
        <f>'Expense Model'!M196</f>
        <v>0</v>
      </c>
      <c r="F211">
        <f>'Expense Model'!N196</f>
        <v>0</v>
      </c>
      <c r="G211">
        <f>'Expense Model'!O196</f>
        <v>0</v>
      </c>
      <c r="H211">
        <f>'Expense Model'!P196</f>
        <v>0</v>
      </c>
      <c r="I211">
        <f>'Expense Model'!Q196</f>
        <v>0</v>
      </c>
      <c r="J211">
        <f>'Expense Model'!R196</f>
        <v>0</v>
      </c>
      <c r="K211">
        <f>'Expense Model'!S196</f>
        <v>517.46798029556646</v>
      </c>
      <c r="L211">
        <f>'Expense Model'!T196</f>
        <v>439.00573613766733</v>
      </c>
      <c r="M211">
        <f>'Expense Model'!U196</f>
        <v>440.74</v>
      </c>
      <c r="N211">
        <f>'Expense Model'!V196</f>
        <v>341.4865900383142</v>
      </c>
      <c r="O211">
        <f>'Expense Model'!W196</f>
        <v>350.23562676720076</v>
      </c>
      <c r="P211">
        <f>'Expense Model'!X196</f>
        <v>371.9518754423213</v>
      </c>
      <c r="Q211">
        <f>'Expense Model'!Y196</f>
        <v>391.75685852608933</v>
      </c>
      <c r="R211">
        <f>'Expense Model'!Z196</f>
        <v>3728.9101694915253</v>
      </c>
      <c r="S211">
        <f>'Expense Model'!AA196</f>
        <v>736.21692307692319</v>
      </c>
      <c r="T211">
        <f>'Expense Model'!AB196</f>
        <v>633.17793103448275</v>
      </c>
      <c r="U211">
        <f>'Expense Model'!AC196</f>
        <v>593.56272401433694</v>
      </c>
      <c r="V211">
        <f>'Expense Model'!AD196</f>
        <v>518.49733948208586</v>
      </c>
      <c r="W211">
        <f>'Expense Model'!AE196</f>
        <v>566.57213057213062</v>
      </c>
      <c r="X211">
        <f>'Expense Model'!AF196</f>
        <v>590.69266352417969</v>
      </c>
      <c r="Y211">
        <f>'Expense Model'!AG196</f>
        <v>593.34210322657736</v>
      </c>
      <c r="Z211">
        <f>'Expense Model'!AH196</f>
        <v>0</v>
      </c>
      <c r="AA211">
        <f>'Expense Model'!AI196</f>
        <v>0</v>
      </c>
      <c r="AB211">
        <f>'Expense Model'!AJ196</f>
        <v>0</v>
      </c>
      <c r="AC211">
        <f>'Expense Model'!AK196</f>
        <v>0</v>
      </c>
      <c r="AD211">
        <f>'Expense Model'!AL196</f>
        <v>384.8775925172834</v>
      </c>
      <c r="AE211">
        <f>'Expense Model'!AM196</f>
        <v>1458.2236201298701</v>
      </c>
      <c r="AF211">
        <f>'Expense Model'!AN196</f>
        <v>543.86453300202629</v>
      </c>
      <c r="AG211">
        <f>'Expense Model'!AO196</f>
        <v>596.79996376039776</v>
      </c>
      <c r="AH211">
        <f>'Expense Model'!AP196</f>
        <v>645.86616109428383</v>
      </c>
      <c r="AI211">
        <f>'Expense Model'!AQ196</f>
        <v>691.11170035968303</v>
      </c>
      <c r="AJ211">
        <f>'Expense Model'!AR196</f>
        <v>728.60212760603736</v>
      </c>
      <c r="AK211">
        <f>'Expense Model'!AS196</f>
        <v>760.17390373095554</v>
      </c>
      <c r="AL211">
        <f>'Expense Model'!AT196</f>
        <v>788.56836587467819</v>
      </c>
      <c r="AM211">
        <f>'Expense Model'!AU196</f>
        <v>815.89608444912915</v>
      </c>
      <c r="AN211">
        <f>'Expense Model'!AV196</f>
        <v>0</v>
      </c>
    </row>
    <row r="212" spans="1:40">
      <c r="A212" t="str">
        <f>'Expense Model'!I197</f>
        <v>Y/Y % Growth</v>
      </c>
      <c r="B212">
        <f>'Expense Model'!J197</f>
        <v>0</v>
      </c>
      <c r="C212">
        <f>'Expense Model'!K197</f>
        <v>0</v>
      </c>
      <c r="D212">
        <f>'Expense Model'!L197</f>
        <v>0</v>
      </c>
      <c r="E212">
        <f>'Expense Model'!M197</f>
        <v>0</v>
      </c>
      <c r="F212">
        <f>'Expense Model'!N197</f>
        <v>0</v>
      </c>
      <c r="G212">
        <f>'Expense Model'!O197</f>
        <v>0</v>
      </c>
      <c r="H212">
        <f>'Expense Model'!P197</f>
        <v>0</v>
      </c>
      <c r="I212">
        <f>'Expense Model'!Q197</f>
        <v>0</v>
      </c>
      <c r="J212">
        <f>'Expense Model'!R197</f>
        <v>0</v>
      </c>
      <c r="K212">
        <f>'Expense Model'!S197</f>
        <v>0</v>
      </c>
      <c r="L212">
        <f>'Expense Model'!T197</f>
        <v>0</v>
      </c>
      <c r="M212">
        <f>'Expense Model'!U197</f>
        <v>0</v>
      </c>
      <c r="N212">
        <f>'Expense Model'!V197</f>
        <v>0</v>
      </c>
      <c r="O212">
        <f>'Expense Model'!W197</f>
        <v>-0.32317430236523281</v>
      </c>
      <c r="P212">
        <f>'Expense Model'!X197</f>
        <v>-0.15274028372676818</v>
      </c>
      <c r="Q212">
        <f>'Expense Model'!Y197</f>
        <v>-0.11113840693812838</v>
      </c>
      <c r="R212">
        <f>'Expense Model'!Z197</f>
        <v>9.9196386571816717</v>
      </c>
      <c r="S212">
        <f>'Expense Model'!AA197</f>
        <v>1.1020617744472969</v>
      </c>
      <c r="T212">
        <f>'Expense Model'!AB197</f>
        <v>0.70231143553588526</v>
      </c>
      <c r="U212">
        <f>'Expense Model'!AC197</f>
        <v>0.51513039554049866</v>
      </c>
      <c r="V212">
        <f>'Expense Model'!AD197</f>
        <v>-0.86095204338140752</v>
      </c>
      <c r="W212">
        <f>'Expense Model'!AE197</f>
        <v>-0.23042772746350915</v>
      </c>
      <c r="X212">
        <f>'Expense Model'!AF197</f>
        <v>-6.7098465420124209E-2</v>
      </c>
      <c r="Y212">
        <f>'Expense Model'!AG197</f>
        <v>-3.716890883367352E-4</v>
      </c>
      <c r="Z212">
        <f>'Expense Model'!AH197</f>
        <v>0</v>
      </c>
      <c r="AA212">
        <f>'Expense Model'!AI197</f>
        <v>0</v>
      </c>
      <c r="AB212">
        <f>'Expense Model'!AJ197</f>
        <v>0</v>
      </c>
      <c r="AC212">
        <f>'Expense Model'!AK197</f>
        <v>0</v>
      </c>
      <c r="AD212">
        <f>'Expense Model'!AL197</f>
        <v>0</v>
      </c>
      <c r="AE212">
        <f>'Expense Model'!AM197</f>
        <v>2.7887984348280468</v>
      </c>
      <c r="AF212">
        <f>'Expense Model'!AN197</f>
        <v>-0.62703626145241742</v>
      </c>
      <c r="AG212">
        <f>'Expense Model'!AO197</f>
        <v>9.7332014768784836E-2</v>
      </c>
      <c r="AH212">
        <f>'Expense Model'!AP197</f>
        <v>8.2215483098764253E-2</v>
      </c>
      <c r="AI212">
        <f>'Expense Model'!AQ197</f>
        <v>7.0054048332150121E-2</v>
      </c>
      <c r="AJ212">
        <f>'Expense Model'!AR197</f>
        <v>5.4246552658336888E-2</v>
      </c>
      <c r="AK212">
        <f>'Expense Model'!AS197</f>
        <v>4.3331984534074053E-2</v>
      </c>
      <c r="AL212">
        <f>'Expense Model'!AT197</f>
        <v>3.7352587354501088E-2</v>
      </c>
      <c r="AM212">
        <f>'Expense Model'!AU197</f>
        <v>3.4654850177941343E-2</v>
      </c>
      <c r="AN212">
        <f>'Expense Model'!AV197</f>
        <v>0</v>
      </c>
    </row>
    <row r="213" spans="1:40">
      <c r="A213">
        <f>'Expense Model'!I198</f>
        <v>0</v>
      </c>
      <c r="B213">
        <f>'Expense Model'!J198</f>
        <v>0</v>
      </c>
      <c r="C213">
        <f>'Expense Model'!K198</f>
        <v>0</v>
      </c>
      <c r="D213">
        <f>'Expense Model'!L198</f>
        <v>0</v>
      </c>
      <c r="E213">
        <f>'Expense Model'!M198</f>
        <v>0</v>
      </c>
      <c r="F213">
        <f>'Expense Model'!N198</f>
        <v>0</v>
      </c>
      <c r="G213">
        <f>'Expense Model'!O198</f>
        <v>0</v>
      </c>
      <c r="H213">
        <f>'Expense Model'!P198</f>
        <v>0</v>
      </c>
      <c r="I213">
        <f>'Expense Model'!Q198</f>
        <v>0</v>
      </c>
      <c r="J213">
        <f>'Expense Model'!R198</f>
        <v>0</v>
      </c>
      <c r="K213">
        <f>'Expense Model'!S198</f>
        <v>0</v>
      </c>
      <c r="L213">
        <f>'Expense Model'!T198</f>
        <v>0</v>
      </c>
      <c r="M213">
        <f>'Expense Model'!U198</f>
        <v>0</v>
      </c>
      <c r="N213">
        <f>'Expense Model'!V198</f>
        <v>0</v>
      </c>
      <c r="O213">
        <f>'Expense Model'!W198</f>
        <v>0</v>
      </c>
      <c r="P213">
        <f>'Expense Model'!X198</f>
        <v>0</v>
      </c>
      <c r="Q213">
        <f>'Expense Model'!Y198</f>
        <v>0</v>
      </c>
      <c r="R213">
        <f>'Expense Model'!Z198</f>
        <v>0</v>
      </c>
      <c r="S213">
        <f>'Expense Model'!AA198</f>
        <v>0</v>
      </c>
      <c r="T213">
        <f>'Expense Model'!AB198</f>
        <v>0</v>
      </c>
      <c r="U213">
        <f>'Expense Model'!AC198</f>
        <v>0</v>
      </c>
      <c r="V213">
        <f>'Expense Model'!AD198</f>
        <v>0</v>
      </c>
      <c r="W213">
        <f>'Expense Model'!AE198</f>
        <v>0</v>
      </c>
      <c r="X213">
        <f>'Expense Model'!AF198</f>
        <v>0</v>
      </c>
      <c r="Y213">
        <f>'Expense Model'!AG198</f>
        <v>0</v>
      </c>
      <c r="Z213">
        <f>'Expense Model'!AH198</f>
        <v>0</v>
      </c>
      <c r="AA213">
        <f>'Expense Model'!AI198</f>
        <v>0</v>
      </c>
      <c r="AB213">
        <f>'Expense Model'!AJ198</f>
        <v>0</v>
      </c>
      <c r="AC213">
        <f>'Expense Model'!AK198</f>
        <v>0</v>
      </c>
      <c r="AD213">
        <f>'Expense Model'!AL198</f>
        <v>0</v>
      </c>
      <c r="AE213">
        <f>'Expense Model'!AM198</f>
        <v>0</v>
      </c>
      <c r="AF213">
        <f>'Expense Model'!AN198</f>
        <v>0</v>
      </c>
      <c r="AG213">
        <f>'Expense Model'!AO198</f>
        <v>0</v>
      </c>
      <c r="AH213">
        <f>'Expense Model'!AP198</f>
        <v>0</v>
      </c>
      <c r="AI213">
        <f>'Expense Model'!AQ198</f>
        <v>0</v>
      </c>
      <c r="AJ213">
        <f>'Expense Model'!AR198</f>
        <v>0</v>
      </c>
      <c r="AK213">
        <f>'Expense Model'!AS198</f>
        <v>0</v>
      </c>
      <c r="AL213">
        <f>'Expense Model'!AT198</f>
        <v>0</v>
      </c>
      <c r="AM213">
        <f>'Expense Model'!AU198</f>
        <v>0</v>
      </c>
      <c r="AN213">
        <f>'Expense Model'!AV198</f>
        <v>0</v>
      </c>
    </row>
    <row r="214" spans="1:40">
      <c r="A214" t="str">
        <f>'Expense Model'!I199</f>
        <v>Incr. Opex per Incr. Employee</v>
      </c>
      <c r="B214">
        <f>'Expense Model'!J199</f>
        <v>0</v>
      </c>
      <c r="C214">
        <f>'Expense Model'!K199</f>
        <v>0</v>
      </c>
      <c r="D214">
        <f>'Expense Model'!L199</f>
        <v>0</v>
      </c>
      <c r="E214">
        <f>'Expense Model'!M199</f>
        <v>0</v>
      </c>
      <c r="F214">
        <f>'Expense Model'!N199</f>
        <v>0</v>
      </c>
      <c r="G214">
        <f>'Expense Model'!O199</f>
        <v>0</v>
      </c>
      <c r="H214">
        <f>'Expense Model'!P199</f>
        <v>0</v>
      </c>
      <c r="I214">
        <f>'Expense Model'!Q199</f>
        <v>0</v>
      </c>
      <c r="J214">
        <f>'Expense Model'!R199</f>
        <v>0</v>
      </c>
      <c r="K214">
        <f>'Expense Model'!S199</f>
        <v>0</v>
      </c>
      <c r="L214">
        <f>'Expense Model'!T199</f>
        <v>0</v>
      </c>
      <c r="M214">
        <f>'Expense Model'!U199</f>
        <v>0</v>
      </c>
      <c r="N214">
        <f>'Expense Model'!V199</f>
        <v>0</v>
      </c>
      <c r="O214">
        <f>'Expense Model'!W199</f>
        <v>0</v>
      </c>
      <c r="P214">
        <f>'Expense Model'!X199</f>
        <v>0</v>
      </c>
      <c r="Q214">
        <f>'Expense Model'!Y199</f>
        <v>0</v>
      </c>
      <c r="R214">
        <f>'Expense Model'!Z199</f>
        <v>1.4082409638554216</v>
      </c>
      <c r="S214">
        <f>'Expense Model'!AA199</f>
        <v>0.28787004548408063</v>
      </c>
      <c r="T214">
        <f>'Expense Model'!AB199</f>
        <v>0.27612104909213181</v>
      </c>
      <c r="U214">
        <f>'Expense Model'!AC199</f>
        <v>0.25722148760330582</v>
      </c>
      <c r="V214">
        <f>'Expense Model'!AD199</f>
        <v>-3.9798918550017066</v>
      </c>
      <c r="W214">
        <f>'Expense Model'!AE199</f>
        <v>-0.11277968379264179</v>
      </c>
      <c r="X214">
        <f>'Expense Model'!AF199</f>
        <v>0.39004335039271065</v>
      </c>
      <c r="Y214">
        <f>'Expense Model'!AG199</f>
        <v>-0.25105332432322103</v>
      </c>
      <c r="Z214">
        <f>'Expense Model'!AH199</f>
        <v>0</v>
      </c>
      <c r="AA214">
        <f>'Expense Model'!AI199</f>
        <v>0</v>
      </c>
      <c r="AB214">
        <f>'Expense Model'!AJ199</f>
        <v>0</v>
      </c>
      <c r="AC214">
        <f>'Expense Model'!AK199</f>
        <v>0</v>
      </c>
      <c r="AD214">
        <f>'Expense Model'!AL199</f>
        <v>0.38480937251787123</v>
      </c>
      <c r="AE214">
        <f>'Expense Model'!AM199</f>
        <v>2.7980644628099167</v>
      </c>
      <c r="AF214">
        <f>'Expense Model'!AN199</f>
        <v>11.392968007354261</v>
      </c>
      <c r="AG214">
        <f>'Expense Model'!AO199</f>
        <v>1.3154303044031106</v>
      </c>
      <c r="AH214">
        <f>'Expense Model'!AP199</f>
        <v>1.7100341893494755</v>
      </c>
      <c r="AI214">
        <f>'Expense Model'!AQ199</f>
        <v>1.854749364736251</v>
      </c>
      <c r="AJ214">
        <f>'Expense Model'!AR199</f>
        <v>1.9296050811213459</v>
      </c>
      <c r="AK214">
        <f>'Expense Model'!AS199</f>
        <v>1.9733143177694832</v>
      </c>
      <c r="AL214">
        <f>'Expense Model'!AT199</f>
        <v>2.1028361509113265</v>
      </c>
      <c r="AM214">
        <f>'Expense Model'!AU199</f>
        <v>2.2531653452017735</v>
      </c>
      <c r="AN214">
        <f>'Expense Model'!AV199</f>
        <v>0</v>
      </c>
    </row>
    <row r="215" spans="1:40">
      <c r="A215">
        <f>'Expense Model'!I200</f>
        <v>0</v>
      </c>
      <c r="B215">
        <f>'Expense Model'!J200</f>
        <v>0</v>
      </c>
      <c r="C215">
        <f>'Expense Model'!K200</f>
        <v>0</v>
      </c>
      <c r="D215">
        <f>'Expense Model'!L200</f>
        <v>0</v>
      </c>
      <c r="E215">
        <f>'Expense Model'!M200</f>
        <v>0</v>
      </c>
      <c r="F215">
        <f>'Expense Model'!N200</f>
        <v>0</v>
      </c>
      <c r="G215">
        <f>'Expense Model'!O200</f>
        <v>0</v>
      </c>
      <c r="H215">
        <f>'Expense Model'!P200</f>
        <v>0</v>
      </c>
      <c r="I215">
        <f>'Expense Model'!Q200</f>
        <v>0</v>
      </c>
      <c r="J215">
        <f>'Expense Model'!R200</f>
        <v>0</v>
      </c>
      <c r="K215">
        <f>'Expense Model'!S200</f>
        <v>0</v>
      </c>
      <c r="L215">
        <f>'Expense Model'!T200</f>
        <v>0</v>
      </c>
      <c r="M215">
        <f>'Expense Model'!U200</f>
        <v>0</v>
      </c>
      <c r="N215">
        <f>'Expense Model'!V200</f>
        <v>0</v>
      </c>
      <c r="O215">
        <f>'Expense Model'!W200</f>
        <v>0</v>
      </c>
      <c r="P215">
        <f>'Expense Model'!X200</f>
        <v>0</v>
      </c>
      <c r="Q215">
        <f>'Expense Model'!Y200</f>
        <v>0</v>
      </c>
      <c r="R215">
        <f>'Expense Model'!Z200</f>
        <v>0</v>
      </c>
      <c r="S215">
        <f>'Expense Model'!AA200</f>
        <v>0</v>
      </c>
      <c r="T215">
        <f>'Expense Model'!AB200</f>
        <v>0</v>
      </c>
      <c r="U215">
        <f>'Expense Model'!AC200</f>
        <v>0</v>
      </c>
      <c r="V215">
        <f>'Expense Model'!AD200</f>
        <v>0</v>
      </c>
      <c r="W215">
        <f>'Expense Model'!AE200</f>
        <v>0</v>
      </c>
      <c r="X215">
        <f>'Expense Model'!AF200</f>
        <v>0</v>
      </c>
      <c r="Y215">
        <f>'Expense Model'!AG200</f>
        <v>0</v>
      </c>
      <c r="Z215">
        <f>'Expense Model'!AH200</f>
        <v>0</v>
      </c>
      <c r="AA215">
        <f>'Expense Model'!AI200</f>
        <v>0</v>
      </c>
      <c r="AB215">
        <f>'Expense Model'!AJ200</f>
        <v>0</v>
      </c>
      <c r="AC215">
        <f>'Expense Model'!AK200</f>
        <v>0</v>
      </c>
      <c r="AD215">
        <f>'Expense Model'!AL200</f>
        <v>0</v>
      </c>
      <c r="AE215">
        <f>'Expense Model'!AM200</f>
        <v>0</v>
      </c>
      <c r="AF215">
        <f>'Expense Model'!AN200</f>
        <v>0</v>
      </c>
      <c r="AG215">
        <f>'Expense Model'!AO200</f>
        <v>0</v>
      </c>
      <c r="AH215">
        <f>'Expense Model'!AP200</f>
        <v>0</v>
      </c>
      <c r="AI215">
        <f>'Expense Model'!AQ200</f>
        <v>0</v>
      </c>
      <c r="AJ215">
        <f>'Expense Model'!AR200</f>
        <v>0</v>
      </c>
      <c r="AK215">
        <f>'Expense Model'!AS200</f>
        <v>0</v>
      </c>
      <c r="AL215">
        <f>'Expense Model'!AT200</f>
        <v>0</v>
      </c>
      <c r="AM215">
        <f>'Expense Model'!AU200</f>
        <v>0</v>
      </c>
      <c r="AN215">
        <f>'Expense Model'!AV200</f>
        <v>0</v>
      </c>
    </row>
    <row r="216" spans="1:40">
      <c r="A216">
        <f>'Expense Model'!I212</f>
        <v>0</v>
      </c>
      <c r="B216">
        <f>'Expense Model'!J212</f>
        <v>0</v>
      </c>
      <c r="C216">
        <f>'Expense Model'!K212</f>
        <v>0</v>
      </c>
      <c r="D216">
        <f>'Expense Model'!L212</f>
        <v>0</v>
      </c>
      <c r="E216">
        <f>'Expense Model'!M212</f>
        <v>0</v>
      </c>
      <c r="F216">
        <f>'Expense Model'!N212</f>
        <v>0</v>
      </c>
      <c r="G216">
        <f>'Expense Model'!O212</f>
        <v>0</v>
      </c>
      <c r="H216">
        <f>'Expense Model'!P212</f>
        <v>0</v>
      </c>
      <c r="I216">
        <f>'Expense Model'!Q212</f>
        <v>0</v>
      </c>
      <c r="J216">
        <f>'Expense Model'!R212</f>
        <v>0</v>
      </c>
      <c r="K216">
        <f>'Expense Model'!S212</f>
        <v>0</v>
      </c>
      <c r="L216">
        <f>'Expense Model'!T212</f>
        <v>0</v>
      </c>
      <c r="M216">
        <f>'Expense Model'!U212</f>
        <v>0</v>
      </c>
      <c r="N216">
        <f>'Expense Model'!V212</f>
        <v>0</v>
      </c>
      <c r="O216">
        <f>'Expense Model'!W212</f>
        <v>0</v>
      </c>
      <c r="P216">
        <f>'Expense Model'!X212</f>
        <v>0</v>
      </c>
      <c r="Q216">
        <f>'Expense Model'!Y212</f>
        <v>0</v>
      </c>
      <c r="R216">
        <f>'Expense Model'!Z212</f>
        <v>0</v>
      </c>
      <c r="S216">
        <f>'Expense Model'!AA212</f>
        <v>0</v>
      </c>
      <c r="T216">
        <f>'Expense Model'!AB212</f>
        <v>0</v>
      </c>
      <c r="U216">
        <f>'Expense Model'!AC212</f>
        <v>0</v>
      </c>
      <c r="V216">
        <f>'Expense Model'!AD212</f>
        <v>0</v>
      </c>
      <c r="W216">
        <f>'Expense Model'!AE212</f>
        <v>0</v>
      </c>
      <c r="X216">
        <f>'Expense Model'!AF212</f>
        <v>0</v>
      </c>
      <c r="Y216">
        <f>'Expense Model'!AG212</f>
        <v>0</v>
      </c>
      <c r="Z216">
        <f>'Expense Model'!AH212</f>
        <v>0</v>
      </c>
      <c r="AA216">
        <f>'Expense Model'!AI212</f>
        <v>0</v>
      </c>
      <c r="AB216">
        <f>'Expense Model'!AJ212</f>
        <v>0</v>
      </c>
      <c r="AC216">
        <f>'Expense Model'!AK212</f>
        <v>0</v>
      </c>
      <c r="AD216">
        <f>'Expense Model'!AL212</f>
        <v>0</v>
      </c>
      <c r="AE216">
        <f>'Expense Model'!AM212</f>
        <v>0</v>
      </c>
      <c r="AF216">
        <f>'Expense Model'!AN212</f>
        <v>0</v>
      </c>
      <c r="AG216">
        <f>'Expense Model'!AO212</f>
        <v>0</v>
      </c>
      <c r="AH216">
        <f>'Expense Model'!AP212</f>
        <v>0</v>
      </c>
      <c r="AI216">
        <f>'Expense Model'!AQ212</f>
        <v>0</v>
      </c>
      <c r="AJ216">
        <f>'Expense Model'!AR212</f>
        <v>0</v>
      </c>
      <c r="AK216">
        <f>'Expense Model'!AS212</f>
        <v>0</v>
      </c>
      <c r="AL216">
        <f>'Expense Model'!AT212</f>
        <v>0</v>
      </c>
      <c r="AM216">
        <f>'Expense Model'!AU212</f>
        <v>0</v>
      </c>
      <c r="AN216">
        <f>'Expense Model'!AV212</f>
        <v>0</v>
      </c>
    </row>
    <row r="218" spans="1:40">
      <c r="A218" t="str">
        <f>'Expense Model'!I224</f>
        <v>R&amp;D Expense (ex-SBC)</v>
      </c>
      <c r="B218">
        <f>'Expense Model'!J224</f>
        <v>0</v>
      </c>
      <c r="C218">
        <f>'Expense Model'!K224</f>
        <v>0</v>
      </c>
      <c r="D218">
        <f>'Expense Model'!L224</f>
        <v>0</v>
      </c>
      <c r="E218">
        <f>'Expense Model'!M224</f>
        <v>0</v>
      </c>
      <c r="F218">
        <f>'Expense Model'!N224</f>
        <v>0</v>
      </c>
      <c r="G218">
        <f>'Expense Model'!O224</f>
        <v>0</v>
      </c>
      <c r="H218">
        <f>'Expense Model'!P224</f>
        <v>0</v>
      </c>
      <c r="I218">
        <f>'Expense Model'!Q224</f>
        <v>0</v>
      </c>
      <c r="J218">
        <f>'Expense Model'!R224</f>
        <v>13.872</v>
      </c>
      <c r="K218">
        <f>'Expense Model'!S224</f>
        <v>14.962</v>
      </c>
      <c r="L218">
        <f>'Expense Model'!T224</f>
        <v>16.350999999999999</v>
      </c>
      <c r="M218">
        <f>'Expense Model'!U224</f>
        <v>26.741</v>
      </c>
      <c r="N218">
        <f>'Expense Model'!V224</f>
        <v>25.45</v>
      </c>
      <c r="O218">
        <f>'Expense Model'!W224</f>
        <v>33.351999999999997</v>
      </c>
      <c r="P218">
        <f>'Expense Model'!X224</f>
        <v>42.423999999999999</v>
      </c>
      <c r="Q218">
        <f>'Expense Model'!Y224</f>
        <v>60.515000000000001</v>
      </c>
      <c r="R218">
        <f>'Expense Model'!Z224</f>
        <v>83.718999999999937</v>
      </c>
      <c r="S218">
        <f>'Expense Model'!AA224</f>
        <v>91.887</v>
      </c>
      <c r="T218">
        <f>'Expense Model'!AB224</f>
        <v>92.911000000000001</v>
      </c>
      <c r="U218">
        <f>'Expense Model'!AC224</f>
        <v>102.50700000000001</v>
      </c>
      <c r="V218">
        <f>'Expense Model'!AD224</f>
        <v>144.38892875540228</v>
      </c>
      <c r="W218">
        <f>'Expense Model'!AE224</f>
        <v>114.06967935565548</v>
      </c>
      <c r="X218">
        <f>'Expense Model'!AF224</f>
        <v>97.776679355655475</v>
      </c>
      <c r="Y218">
        <f>'Expense Model'!AG224</f>
        <v>92.172679355655461</v>
      </c>
      <c r="Z218">
        <f>'Expense Model'!AH224</f>
        <v>0</v>
      </c>
      <c r="AA218">
        <f>'Expense Model'!AI224</f>
        <v>0</v>
      </c>
      <c r="AB218">
        <f>'Expense Model'!AJ224</f>
        <v>0</v>
      </c>
      <c r="AC218">
        <f>'Expense Model'!AK224</f>
        <v>71.926000000000016</v>
      </c>
      <c r="AD218">
        <f>'Expense Model'!AL224</f>
        <v>161.74099999999999</v>
      </c>
      <c r="AE218">
        <f>'Expense Model'!AM224</f>
        <v>371.02400000000011</v>
      </c>
      <c r="AF218">
        <f>'Expense Model'!AN224</f>
        <v>448.40796682236862</v>
      </c>
      <c r="AG218">
        <f>'Expense Model'!AO224</f>
        <v>465.44191932597016</v>
      </c>
      <c r="AH218">
        <f>'Expense Model'!AP224</f>
        <v>591.64903287204766</v>
      </c>
      <c r="AI218">
        <f>'Expense Model'!AQ224</f>
        <v>740.95271550181155</v>
      </c>
      <c r="AJ218">
        <f>'Expense Model'!AR224</f>
        <v>898.60770127690216</v>
      </c>
      <c r="AK218">
        <f>'Expense Model'!AS224</f>
        <v>1055.3954363407472</v>
      </c>
      <c r="AL218">
        <f>'Expense Model'!AT224</f>
        <v>1211.2725581577847</v>
      </c>
      <c r="AM218">
        <f>'Expense Model'!AU224</f>
        <v>1366.1935360656739</v>
      </c>
      <c r="AN218">
        <f>'Expense Model'!AV224</f>
        <v>0</v>
      </c>
    </row>
    <row r="219" spans="1:40">
      <c r="A219" t="str">
        <f>'Base DCF'!B2</f>
        <v>Snap DCF Analysis</v>
      </c>
      <c r="B219">
        <f>'Base DCF'!C2</f>
        <v>0</v>
      </c>
      <c r="C219">
        <f>'Base DCF'!D2</f>
        <v>0</v>
      </c>
      <c r="D219">
        <f>'Base DCF'!E2</f>
        <v>0</v>
      </c>
      <c r="E219">
        <f>'Base DCF'!F2</f>
        <v>2014</v>
      </c>
      <c r="F219">
        <f>'Base DCF'!G2</f>
        <v>2015</v>
      </c>
      <c r="G219">
        <f>'Base DCF'!H2</f>
        <v>2016</v>
      </c>
      <c r="H219">
        <f>'Base DCF'!I2</f>
        <v>2017</v>
      </c>
      <c r="I219">
        <f>'Base DCF'!J2</f>
        <v>2018</v>
      </c>
      <c r="J219">
        <f>'Base DCF'!K2</f>
        <v>2019</v>
      </c>
      <c r="K219">
        <f>'Base DCF'!L2</f>
        <v>2020</v>
      </c>
      <c r="L219">
        <f>'Base DCF'!M2</f>
        <v>2021</v>
      </c>
      <c r="M219">
        <f>'Base DCF'!N2</f>
        <v>2022</v>
      </c>
      <c r="N219">
        <f>'Base DCF'!O2</f>
        <v>2023</v>
      </c>
      <c r="O219">
        <f>'Base DCF'!P2</f>
        <v>2024</v>
      </c>
      <c r="P219">
        <f>'Base DCF'!Q2</f>
        <v>2025</v>
      </c>
      <c r="Q219" t="str">
        <f>'Base DCF'!R2</f>
        <v>Terminal Year</v>
      </c>
      <c r="R219">
        <f>'Base DCF'!S2</f>
        <v>0</v>
      </c>
      <c r="S219" t="str">
        <f>'Base DCF'!T2</f>
        <v>'16-'25 CAGR</v>
      </c>
      <c r="T219">
        <f>'Base DCF'!U2</f>
        <v>0</v>
      </c>
      <c r="U219">
        <f>'Base DCF'!V2</f>
        <v>0</v>
      </c>
      <c r="V219">
        <f>'Base DCF'!W2</f>
        <v>0</v>
      </c>
      <c r="W219">
        <f>'Base DCF'!X2</f>
        <v>0</v>
      </c>
      <c r="X219">
        <f>'Base DCF'!Y2</f>
        <v>0</v>
      </c>
      <c r="Y219">
        <f>'Base DCF'!Z2</f>
        <v>0</v>
      </c>
    </row>
    <row r="220" spans="1:40">
      <c r="A220" t="str">
        <f>'Base DCF'!B3</f>
        <v>Discounted Cash Flow Analysis</v>
      </c>
      <c r="B220">
        <f>'Base DCF'!C3</f>
        <v>0</v>
      </c>
      <c r="C220">
        <f>'Base DCF'!D3</f>
        <v>0</v>
      </c>
      <c r="D220">
        <f>'Base DCF'!E3</f>
        <v>0</v>
      </c>
      <c r="E220">
        <f>'Base DCF'!F3</f>
        <v>0</v>
      </c>
      <c r="F220">
        <f>'Base DCF'!G3</f>
        <v>0</v>
      </c>
      <c r="G220">
        <f>'Base DCF'!H3</f>
        <v>0</v>
      </c>
      <c r="H220">
        <f>'Base DCF'!I3</f>
        <v>420.46699999999998</v>
      </c>
      <c r="I220">
        <f>'Base DCF'!J3</f>
        <v>488.05100000000004</v>
      </c>
      <c r="J220">
        <f>'Base DCF'!K3</f>
        <v>656.36479152286734</v>
      </c>
      <c r="K220">
        <f>'Base DCF'!L3</f>
        <v>835.51373377442201</v>
      </c>
      <c r="L220">
        <f>'Base DCF'!M3</f>
        <v>1008.0482858018804</v>
      </c>
      <c r="M220">
        <f>'Base DCF'!N3</f>
        <v>1151.0329314477776</v>
      </c>
      <c r="N220">
        <f>'Base DCF'!O3</f>
        <v>1199.6080354240294</v>
      </c>
      <c r="O220">
        <f>'Base DCF'!P3</f>
        <v>1192.3091941284965</v>
      </c>
      <c r="P220">
        <f>'Base DCF'!Q3</f>
        <v>1189.75150678725</v>
      </c>
      <c r="Q220">
        <f>'Base DCF'!R3</f>
        <v>0</v>
      </c>
      <c r="R220">
        <f>'Base DCF'!S3</f>
        <v>0</v>
      </c>
      <c r="S220">
        <f>'Base DCF'!T3</f>
        <v>0</v>
      </c>
      <c r="T220">
        <f>'Base DCF'!U3</f>
        <v>0</v>
      </c>
      <c r="U220">
        <f>'Base DCF'!V3</f>
        <v>0</v>
      </c>
      <c r="V220">
        <f>'Base DCF'!W3</f>
        <v>0</v>
      </c>
      <c r="W220">
        <f>'Base DCF'!X3</f>
        <v>0</v>
      </c>
      <c r="X220">
        <f>'Base DCF'!Y3</f>
        <v>0</v>
      </c>
      <c r="Y220">
        <f>'Base DCF'!Z3</f>
        <v>0</v>
      </c>
    </row>
    <row r="221" spans="1:40">
      <c r="A221" t="str">
        <f>'Base DCF'!B4</f>
        <v>Net revenue</v>
      </c>
      <c r="B221">
        <f>'Base DCF'!C4</f>
        <v>0</v>
      </c>
      <c r="C221">
        <f>'Base DCF'!D4</f>
        <v>0</v>
      </c>
      <c r="D221">
        <f>'Base DCF'!E4</f>
        <v>0</v>
      </c>
      <c r="E221">
        <f>'Base DCF'!F4</f>
        <v>0</v>
      </c>
      <c r="F221">
        <f>'Base DCF'!G4</f>
        <v>58.663000000000004</v>
      </c>
      <c r="G221">
        <f>'Base DCF'!H4</f>
        <v>404.48199999999997</v>
      </c>
      <c r="H221">
        <f>'Base DCF'!I4</f>
        <v>824.94899999999996</v>
      </c>
      <c r="I221">
        <f>'Base DCF'!J4</f>
        <v>1313</v>
      </c>
      <c r="J221">
        <f>'Base DCF'!K4</f>
        <v>1969.3647915228673</v>
      </c>
      <c r="K221">
        <f>'Base DCF'!L4</f>
        <v>2804.8785252972893</v>
      </c>
      <c r="L221">
        <f>'Base DCF'!M4</f>
        <v>3812.9268110991698</v>
      </c>
      <c r="M221">
        <f>'Base DCF'!N4</f>
        <v>4963.9597425469474</v>
      </c>
      <c r="N221">
        <f>'Base DCF'!O4</f>
        <v>6163.5677779709767</v>
      </c>
      <c r="O221">
        <f>'Base DCF'!P4</f>
        <v>7355.8769720994733</v>
      </c>
      <c r="P221">
        <f>'Base DCF'!Q4</f>
        <v>8545.6284788867233</v>
      </c>
      <c r="Q221">
        <f>'Base DCF'!R4</f>
        <v>8844.7254756477578</v>
      </c>
      <c r="R221">
        <f>'Base DCF'!S4</f>
        <v>0</v>
      </c>
      <c r="S221">
        <f>'Base DCF'!T4</f>
        <v>0.40347596209554415</v>
      </c>
      <c r="T221">
        <f>'Base DCF'!U4</f>
        <v>0</v>
      </c>
      <c r="U221">
        <f>'Base DCF'!V4</f>
        <v>0</v>
      </c>
      <c r="V221">
        <f>'Base DCF'!W4</f>
        <v>0</v>
      </c>
      <c r="W221">
        <f>'Base DCF'!X4</f>
        <v>0</v>
      </c>
      <c r="X221">
        <f>'Base DCF'!Y4</f>
        <v>0</v>
      </c>
      <c r="Y221">
        <f>'Base DCF'!Z4</f>
        <v>0</v>
      </c>
    </row>
    <row r="222" spans="1:40">
      <c r="A222" t="str">
        <f>'Base DCF'!B5</f>
        <v>% change Y/Y</v>
      </c>
      <c r="B222">
        <f>'Base DCF'!C5</f>
        <v>0</v>
      </c>
      <c r="C222">
        <f>'Base DCF'!D5</f>
        <v>0</v>
      </c>
      <c r="D222">
        <f>'Base DCF'!E5</f>
        <v>0</v>
      </c>
      <c r="E222">
        <f>'Base DCF'!F5</f>
        <v>0</v>
      </c>
      <c r="F222">
        <f>'Base DCF'!G5</f>
        <v>0</v>
      </c>
      <c r="G222">
        <f>'Base DCF'!H5</f>
        <v>5.8950104836097701</v>
      </c>
      <c r="H222">
        <f>'Base DCF'!I5</f>
        <v>1.0395196819635979</v>
      </c>
      <c r="I222">
        <f>'Base DCF'!J5</f>
        <v>0.59161354217048578</v>
      </c>
      <c r="J222">
        <f>'Base DCF'!K5</f>
        <v>0.49989702324666219</v>
      </c>
      <c r="K222">
        <f>'Base DCF'!L5</f>
        <v>0.42425544387250747</v>
      </c>
      <c r="L222">
        <f>'Base DCF'!M5</f>
        <v>0.35939106692509526</v>
      </c>
      <c r="M222">
        <f>'Base DCF'!N5</f>
        <v>0.30187648189238758</v>
      </c>
      <c r="N222">
        <f>'Base DCF'!O5</f>
        <v>0.24166353025428156</v>
      </c>
      <c r="O222">
        <f>'Base DCF'!P5</f>
        <v>0.19344464717170684</v>
      </c>
      <c r="P222">
        <f>'Base DCF'!Q5</f>
        <v>0.16174162663404057</v>
      </c>
      <c r="Q222">
        <f>'Base DCF'!R5</f>
        <v>3.499999999999992E-2</v>
      </c>
      <c r="R222">
        <f>'Base DCF'!S5</f>
        <v>0</v>
      </c>
      <c r="S222">
        <f>'Base DCF'!T5</f>
        <v>0</v>
      </c>
      <c r="T222">
        <f>'Base DCF'!U5</f>
        <v>0</v>
      </c>
      <c r="U222">
        <f>'Base DCF'!V5</f>
        <v>0</v>
      </c>
      <c r="V222">
        <f>'Base DCF'!W5</f>
        <v>0</v>
      </c>
      <c r="W222">
        <f>'Base DCF'!X5</f>
        <v>0</v>
      </c>
      <c r="X222">
        <f>'Base DCF'!Y5</f>
        <v>0</v>
      </c>
      <c r="Y222">
        <f>'Base DCF'!Z5</f>
        <v>0</v>
      </c>
    </row>
    <row r="223" spans="1:40">
      <c r="A223">
        <f>'Base DCF'!B6</f>
        <v>0</v>
      </c>
      <c r="B223">
        <f>'Base DCF'!C6</f>
        <v>0</v>
      </c>
      <c r="C223">
        <f>'Base DCF'!D6</f>
        <v>0</v>
      </c>
      <c r="D223">
        <f>'Base DCF'!E6</f>
        <v>0</v>
      </c>
      <c r="E223">
        <f>'Base DCF'!F6</f>
        <v>0</v>
      </c>
      <c r="F223">
        <f>'Base DCF'!G6</f>
        <v>0</v>
      </c>
      <c r="G223">
        <f>'Base DCF'!H6</f>
        <v>0</v>
      </c>
      <c r="H223">
        <f>'Base DCF'!I6</f>
        <v>0</v>
      </c>
      <c r="I223">
        <f>'Base DCF'!J6</f>
        <v>0</v>
      </c>
      <c r="J223">
        <f>'Base DCF'!K6</f>
        <v>0</v>
      </c>
      <c r="K223">
        <f>'Base DCF'!L6</f>
        <v>0</v>
      </c>
      <c r="L223">
        <f>'Base DCF'!M6</f>
        <v>0</v>
      </c>
      <c r="M223">
        <f>'Base DCF'!N6</f>
        <v>0</v>
      </c>
      <c r="N223">
        <f>'Base DCF'!O6</f>
        <v>0</v>
      </c>
      <c r="O223">
        <f>'Base DCF'!P6</f>
        <v>0</v>
      </c>
      <c r="P223">
        <f>'Base DCF'!Q6</f>
        <v>0</v>
      </c>
      <c r="Q223">
        <f>'Base DCF'!R6</f>
        <v>0</v>
      </c>
      <c r="R223">
        <f>'Base DCF'!S6</f>
        <v>0</v>
      </c>
      <c r="S223">
        <f>'Base DCF'!T6</f>
        <v>0</v>
      </c>
      <c r="T223">
        <f>'Base DCF'!U6</f>
        <v>0</v>
      </c>
      <c r="U223">
        <f>'Base DCF'!V6</f>
        <v>0</v>
      </c>
      <c r="V223">
        <f>'Base DCF'!W6</f>
        <v>0</v>
      </c>
      <c r="W223">
        <f>'Base DCF'!X6</f>
        <v>0</v>
      </c>
      <c r="X223">
        <f>'Base DCF'!Y6</f>
        <v>0</v>
      </c>
      <c r="Y223">
        <f>'Base DCF'!Z6</f>
        <v>0</v>
      </c>
    </row>
    <row r="224" spans="1:40">
      <c r="A224" t="str">
        <f>'Base DCF'!B7</f>
        <v>Adjusted EBITDA</v>
      </c>
      <c r="B224">
        <f>'Base DCF'!C7</f>
        <v>0</v>
      </c>
      <c r="C224">
        <f>'Base DCF'!D7</f>
        <v>0</v>
      </c>
      <c r="D224">
        <f>'Base DCF'!E7</f>
        <v>0</v>
      </c>
      <c r="E224">
        <f>'Base DCF'!F7</f>
        <v>0</v>
      </c>
      <c r="F224">
        <f>'Base DCF'!G7</f>
        <v>-292.89799999999991</v>
      </c>
      <c r="G224">
        <f>'Base DCF'!H7</f>
        <v>-459.428</v>
      </c>
      <c r="H224">
        <f>'Base DCF'!I7</f>
        <v>-720.05599999999981</v>
      </c>
      <c r="I224">
        <f>'Base DCF'!J7</f>
        <v>-741.61341882331772</v>
      </c>
      <c r="J224">
        <f>'Base DCF'!K7</f>
        <v>-425.42771862138375</v>
      </c>
      <c r="K224">
        <f>'Base DCF'!L7</f>
        <v>-153.60185111927808</v>
      </c>
      <c r="L224">
        <f>'Base DCF'!M7</f>
        <v>241.01425702491463</v>
      </c>
      <c r="M224">
        <f>'Base DCF'!N7</f>
        <v>746.93821008022132</v>
      </c>
      <c r="N224">
        <f>'Base DCF'!O7</f>
        <v>1286.2491742849315</v>
      </c>
      <c r="O224">
        <f>'Base DCF'!P7</f>
        <v>1810.4489352354121</v>
      </c>
      <c r="P224">
        <f>'Base DCF'!Q7</f>
        <v>2320.3496049570517</v>
      </c>
      <c r="Q224">
        <f>'Base DCF'!R7</f>
        <v>2666.9036053999807</v>
      </c>
      <c r="R224">
        <f>'Base DCF'!S7</f>
        <v>0</v>
      </c>
      <c r="S224">
        <f>'Base DCF'!T7</f>
        <v>0.50370387536530026</v>
      </c>
      <c r="T224">
        <f>'Base DCF'!U7</f>
        <v>0</v>
      </c>
      <c r="U224">
        <f>'Base DCF'!V7</f>
        <v>0</v>
      </c>
      <c r="V224">
        <f>'Base DCF'!W7</f>
        <v>0</v>
      </c>
      <c r="W224">
        <f>'Base DCF'!X7</f>
        <v>0</v>
      </c>
      <c r="X224">
        <f>'Base DCF'!Y7</f>
        <v>0</v>
      </c>
      <c r="Y224">
        <f>'Base DCF'!Z7</f>
        <v>0</v>
      </c>
    </row>
    <row r="225" spans="1:25">
      <c r="A225" t="str">
        <f>'Base DCF'!B8</f>
        <v>(-) Cash taxes</v>
      </c>
      <c r="B225">
        <f>'Base DCF'!C8</f>
        <v>0</v>
      </c>
      <c r="C225">
        <f>'Base DCF'!D8</f>
        <v>0</v>
      </c>
      <c r="D225">
        <f>'Base DCF'!E8</f>
        <v>0</v>
      </c>
      <c r="E225">
        <f>'Base DCF'!F8</f>
        <v>0</v>
      </c>
      <c r="F225">
        <f>'Base DCF'!G8</f>
        <v>0</v>
      </c>
      <c r="G225">
        <f>'Base DCF'!H8</f>
        <v>0</v>
      </c>
      <c r="H225">
        <f>'Base DCF'!I8</f>
        <v>0</v>
      </c>
      <c r="I225">
        <f>'Base DCF'!J8</f>
        <v>0</v>
      </c>
      <c r="J225">
        <f>'Base DCF'!K8</f>
        <v>0</v>
      </c>
      <c r="K225">
        <f>'Base DCF'!L8</f>
        <v>0</v>
      </c>
      <c r="L225">
        <f>'Base DCF'!M8</f>
        <v>0</v>
      </c>
      <c r="M225">
        <f>'Base DCF'!N8</f>
        <v>0</v>
      </c>
      <c r="N225">
        <f>'Base DCF'!O8</f>
        <v>0</v>
      </c>
      <c r="O225">
        <f>'Base DCF'!P8</f>
        <v>0</v>
      </c>
      <c r="P225">
        <f>'Base DCF'!Q8</f>
        <v>0</v>
      </c>
      <c r="Q225">
        <f>'Base DCF'!R8</f>
        <v>0</v>
      </c>
      <c r="R225">
        <f>'Base DCF'!S8</f>
        <v>0</v>
      </c>
      <c r="S225">
        <f>'Base DCF'!T8</f>
        <v>0</v>
      </c>
      <c r="T225">
        <f>'Base DCF'!U8</f>
        <v>0</v>
      </c>
      <c r="U225">
        <f>'Base DCF'!V8</f>
        <v>0</v>
      </c>
      <c r="V225">
        <f>'Base DCF'!W8</f>
        <v>0</v>
      </c>
      <c r="W225">
        <f>'Base DCF'!X8</f>
        <v>0</v>
      </c>
      <c r="X225">
        <f>'Base DCF'!Y8</f>
        <v>0</v>
      </c>
      <c r="Y225">
        <f>'Base DCF'!Z8</f>
        <v>0</v>
      </c>
    </row>
    <row r="226" spans="1:25">
      <c r="A226" t="str">
        <f>'Base DCF'!B9</f>
        <v>(+/-) Changes in working capital</v>
      </c>
      <c r="B226">
        <f>'Base DCF'!C9</f>
        <v>0</v>
      </c>
      <c r="C226">
        <f>'Base DCF'!D9</f>
        <v>0</v>
      </c>
      <c r="D226">
        <f>'Base DCF'!E9</f>
        <v>0</v>
      </c>
      <c r="E226">
        <f>'Base DCF'!F9</f>
        <v>0</v>
      </c>
      <c r="F226">
        <f>'Base DCF'!G9</f>
        <v>-15.485999999999997</v>
      </c>
      <c r="G226">
        <f>'Base DCF'!H9</f>
        <v>-150.49600000000001</v>
      </c>
      <c r="H226">
        <f>'Base DCF'!I9</f>
        <v>11.064999999999998</v>
      </c>
      <c r="I226">
        <f>'Base DCF'!J9</f>
        <v>-240.86541507506485</v>
      </c>
      <c r="J226">
        <f>'Base DCF'!K9</f>
        <v>355.61407437479829</v>
      </c>
      <c r="K226">
        <f>'Base DCF'!L9</f>
        <v>529.54544149653702</v>
      </c>
      <c r="L226">
        <f>'Base DCF'!M9</f>
        <v>270.01822759704976</v>
      </c>
      <c r="M226">
        <f>'Base DCF'!N9</f>
        <v>49.654270163442447</v>
      </c>
      <c r="N226">
        <f>'Base DCF'!O9</f>
        <v>-81.307180702197002</v>
      </c>
      <c r="O226">
        <f>'Base DCF'!P9</f>
        <v>-127.54717489400733</v>
      </c>
      <c r="P226">
        <f>'Base DCF'!Q9</f>
        <v>-136.59222984265236</v>
      </c>
      <c r="Q226">
        <f>'Base DCF'!R9</f>
        <v>0</v>
      </c>
      <c r="R226">
        <f>'Base DCF'!S9</f>
        <v>0</v>
      </c>
      <c r="S226">
        <f>'Base DCF'!T9</f>
        <v>0</v>
      </c>
      <c r="T226">
        <f>'Base DCF'!U9</f>
        <v>0</v>
      </c>
      <c r="U226">
        <f>'Base DCF'!V9</f>
        <v>0</v>
      </c>
      <c r="V226">
        <f>'Base DCF'!W9</f>
        <v>0</v>
      </c>
      <c r="W226">
        <f>'Base DCF'!X9</f>
        <v>0</v>
      </c>
      <c r="X226">
        <f>'Base DCF'!Y9</f>
        <v>0</v>
      </c>
      <c r="Y226">
        <f>'Base DCF'!Z9</f>
        <v>0</v>
      </c>
    </row>
    <row r="227" spans="1:25">
      <c r="A227" t="str">
        <f>'Base DCF'!B10</f>
        <v>(-) Capex</v>
      </c>
      <c r="B227">
        <f>'Base DCF'!C10</f>
        <v>0</v>
      </c>
      <c r="C227">
        <f>'Base DCF'!D10</f>
        <v>0</v>
      </c>
      <c r="D227">
        <f>'Base DCF'!E10</f>
        <v>0</v>
      </c>
      <c r="E227">
        <f>'Base DCF'!F10</f>
        <v>0</v>
      </c>
      <c r="F227">
        <f>'Base DCF'!G10</f>
        <v>28.305</v>
      </c>
      <c r="G227">
        <f>'Base DCF'!H10</f>
        <v>67.013000000000005</v>
      </c>
      <c r="H227">
        <f>'Base DCF'!I10</f>
        <v>92.625</v>
      </c>
      <c r="I227">
        <f>'Base DCF'!J10</f>
        <v>98.518000000000001</v>
      </c>
      <c r="J227">
        <f>'Base DCF'!K10</f>
        <v>111.518</v>
      </c>
      <c r="K227">
        <f>'Base DCF'!L10</f>
        <v>123.518</v>
      </c>
      <c r="L227">
        <f>'Base DCF'!M10</f>
        <v>134.518</v>
      </c>
      <c r="M227">
        <f>'Base DCF'!N10</f>
        <v>145.518</v>
      </c>
      <c r="N227">
        <f>'Base DCF'!O10</f>
        <v>154.518</v>
      </c>
      <c r="O227">
        <f>'Base DCF'!P10</f>
        <v>162.518</v>
      </c>
      <c r="P227">
        <f>'Base DCF'!Q10</f>
        <v>169.518</v>
      </c>
      <c r="Q227">
        <f>'Base DCF'!R10</f>
        <v>0</v>
      </c>
      <c r="R227">
        <f>'Base DCF'!S10</f>
        <v>0</v>
      </c>
      <c r="S227">
        <f>'Base DCF'!T10</f>
        <v>0</v>
      </c>
      <c r="T227">
        <f>'Base DCF'!U10</f>
        <v>0</v>
      </c>
      <c r="U227">
        <f>'Base DCF'!V10</f>
        <v>0</v>
      </c>
      <c r="V227">
        <f>'Base DCF'!W10</f>
        <v>0</v>
      </c>
      <c r="W227">
        <f>'Base DCF'!X10</f>
        <v>0</v>
      </c>
      <c r="X227">
        <f>'Base DCF'!Y10</f>
        <v>0</v>
      </c>
      <c r="Y227">
        <f>'Base DCF'!Z10</f>
        <v>0</v>
      </c>
    </row>
    <row r="228" spans="1:25">
      <c r="A228" t="str">
        <f>'Base DCF'!B11</f>
        <v>(-) Stock-based compensation</v>
      </c>
      <c r="B228">
        <f>'Base DCF'!C11</f>
        <v>0</v>
      </c>
      <c r="C228">
        <f>'Base DCF'!D11</f>
        <v>0</v>
      </c>
      <c r="D228">
        <f>'Base DCF'!E11</f>
        <v>0</v>
      </c>
      <c r="E228">
        <f>'Base DCF'!F11</f>
        <v>0</v>
      </c>
      <c r="F228">
        <f>'Base DCF'!G11</f>
        <v>73.524000000000001</v>
      </c>
      <c r="G228">
        <f>'Base DCF'!H11</f>
        <v>31.842000000000002</v>
      </c>
      <c r="H228">
        <f>'Base DCF'!I11</f>
        <v>75</v>
      </c>
      <c r="I228">
        <f>'Base DCF'!J11</f>
        <v>369</v>
      </c>
      <c r="J228">
        <f>'Base DCF'!K11</f>
        <v>415</v>
      </c>
      <c r="K228">
        <f>'Base DCF'!L11</f>
        <v>448.20000000000005</v>
      </c>
      <c r="L228">
        <f>'Base DCF'!M11</f>
        <v>484.0560000000001</v>
      </c>
      <c r="M228">
        <f>'Base DCF'!N11</f>
        <v>508.25880000000012</v>
      </c>
      <c r="N228">
        <f>'Base DCF'!O11</f>
        <v>533.67174000000011</v>
      </c>
      <c r="O228">
        <f>'Base DCF'!P11</f>
        <v>560.3553270000001</v>
      </c>
      <c r="P228">
        <f>'Base DCF'!Q11</f>
        <v>588.37309335000009</v>
      </c>
      <c r="Q228">
        <f>'Base DCF'!R11</f>
        <v>0</v>
      </c>
      <c r="R228">
        <f>'Base DCF'!S11</f>
        <v>0</v>
      </c>
      <c r="S228">
        <f>'Base DCF'!T11</f>
        <v>0</v>
      </c>
      <c r="T228">
        <f>'Base DCF'!U11</f>
        <v>0</v>
      </c>
      <c r="U228">
        <f>'Base DCF'!V11</f>
        <v>0</v>
      </c>
      <c r="V228">
        <f>'Base DCF'!W11</f>
        <v>0</v>
      </c>
      <c r="W228">
        <f>'Base DCF'!X11</f>
        <v>0</v>
      </c>
      <c r="X228">
        <f>'Base DCF'!Y11</f>
        <v>0</v>
      </c>
      <c r="Y228">
        <f>'Base DCF'!Z11</f>
        <v>0</v>
      </c>
    </row>
    <row r="229" spans="1:25">
      <c r="A229" t="str">
        <f>'Base DCF'!B12</f>
        <v>Free cash flow (for valuation)</v>
      </c>
      <c r="B229">
        <f>'Base DCF'!C12</f>
        <v>0</v>
      </c>
      <c r="C229">
        <f>'Base DCF'!D12</f>
        <v>0</v>
      </c>
      <c r="D229">
        <f>'Base DCF'!E12</f>
        <v>0</v>
      </c>
      <c r="E229">
        <f>'Base DCF'!F12</f>
        <v>0</v>
      </c>
      <c r="F229">
        <f>'Base DCF'!G12</f>
        <v>-410.21299999999991</v>
      </c>
      <c r="G229">
        <f>'Base DCF'!H12</f>
        <v>-708.779</v>
      </c>
      <c r="H229">
        <f>'Base DCF'!I12</f>
        <v>-876.61599999999976</v>
      </c>
      <c r="I229">
        <f>'Base DCF'!J12</f>
        <v>-1449.9968338983826</v>
      </c>
      <c r="J229">
        <f>'Base DCF'!K12</f>
        <v>-596.33164424658548</v>
      </c>
      <c r="K229">
        <f>'Base DCF'!L12</f>
        <v>-195.7744096227411</v>
      </c>
      <c r="L229">
        <f>'Base DCF'!M12</f>
        <v>-107.54151537803574</v>
      </c>
      <c r="M229">
        <f>'Base DCF'!N12</f>
        <v>142.81568024366362</v>
      </c>
      <c r="N229">
        <f>'Base DCF'!O12</f>
        <v>516.7522535827344</v>
      </c>
      <c r="O229">
        <f>'Base DCF'!P12</f>
        <v>960.02843334140459</v>
      </c>
      <c r="P229">
        <f>'Base DCF'!Q12</f>
        <v>1425.8662817643994</v>
      </c>
      <c r="Q229">
        <f>'Base DCF'!R12</f>
        <v>1333.4518026999904</v>
      </c>
      <c r="R229">
        <f>'Base DCF'!S12</f>
        <v>0</v>
      </c>
      <c r="S229">
        <f>'Base DCF'!T12</f>
        <v>0</v>
      </c>
      <c r="T229">
        <f>'Base DCF'!U12</f>
        <v>0</v>
      </c>
      <c r="U229">
        <f>'Base DCF'!V12</f>
        <v>0</v>
      </c>
      <c r="V229">
        <f>'Base DCF'!W12</f>
        <v>0</v>
      </c>
      <c r="W229">
        <f>'Base DCF'!X12</f>
        <v>0</v>
      </c>
      <c r="X229">
        <f>'Base DCF'!Y12</f>
        <v>0</v>
      </c>
      <c r="Y229">
        <f>'Base DCF'!Z12</f>
        <v>0</v>
      </c>
    </row>
    <row r="230" spans="1:25">
      <c r="A230" t="str">
        <f>'Base DCF'!B13</f>
        <v>% of revenue</v>
      </c>
      <c r="B230">
        <f>'Base DCF'!C13</f>
        <v>0</v>
      </c>
      <c r="C230">
        <f>'Base DCF'!D13</f>
        <v>0</v>
      </c>
      <c r="D230">
        <f>'Base DCF'!E13</f>
        <v>0</v>
      </c>
      <c r="E230">
        <f>'Base DCF'!F13</f>
        <v>0</v>
      </c>
      <c r="F230">
        <f>'Base DCF'!G13</f>
        <v>0</v>
      </c>
      <c r="G230">
        <f>'Base DCF'!H13</f>
        <v>0</v>
      </c>
      <c r="H230">
        <f>'Base DCF'!I13</f>
        <v>0</v>
      </c>
      <c r="I230">
        <f>'Base DCF'!J13</f>
        <v>0</v>
      </c>
      <c r="J230">
        <f>'Base DCF'!K13</f>
        <v>0</v>
      </c>
      <c r="K230">
        <f>'Base DCF'!L13</f>
        <v>0</v>
      </c>
      <c r="L230">
        <f>'Base DCF'!M13</f>
        <v>0</v>
      </c>
      <c r="M230">
        <f>'Base DCF'!N13</f>
        <v>0</v>
      </c>
      <c r="N230">
        <f>'Base DCF'!O13</f>
        <v>0</v>
      </c>
      <c r="O230">
        <f>'Base DCF'!P13</f>
        <v>0</v>
      </c>
      <c r="P230">
        <f>'Base DCF'!Q13</f>
        <v>0</v>
      </c>
      <c r="Q230">
        <f>'Base DCF'!R13</f>
        <v>0</v>
      </c>
      <c r="R230">
        <f>'Base DCF'!S13</f>
        <v>0</v>
      </c>
      <c r="S230">
        <f>'Base DCF'!T13</f>
        <v>0</v>
      </c>
      <c r="T230">
        <f>'Base DCF'!U13</f>
        <v>0</v>
      </c>
      <c r="U230">
        <f>'Base DCF'!V13</f>
        <v>0</v>
      </c>
      <c r="V230">
        <f>'Base DCF'!W13</f>
        <v>0</v>
      </c>
      <c r="W230">
        <f>'Base DCF'!X13</f>
        <v>0</v>
      </c>
      <c r="X230">
        <f>'Base DCF'!Y13</f>
        <v>0</v>
      </c>
      <c r="Y230">
        <f>'Base DCF'!Z13</f>
        <v>0</v>
      </c>
    </row>
    <row r="231" spans="1:25">
      <c r="A231">
        <f>'Base DCF'!B14</f>
        <v>0</v>
      </c>
      <c r="B231">
        <f>'Base DCF'!C14</f>
        <v>0</v>
      </c>
      <c r="C231">
        <f>'Base DCF'!D14</f>
        <v>0</v>
      </c>
      <c r="D231">
        <f>'Base DCF'!E14</f>
        <v>0</v>
      </c>
      <c r="E231">
        <f>'Base DCF'!F14</f>
        <v>0</v>
      </c>
      <c r="F231">
        <f>'Base DCF'!G14</f>
        <v>0</v>
      </c>
      <c r="G231">
        <f>'Base DCF'!H14</f>
        <v>0</v>
      </c>
      <c r="H231">
        <f>'Base DCF'!I14</f>
        <v>0</v>
      </c>
      <c r="I231">
        <f>'Base DCF'!J14</f>
        <v>0</v>
      </c>
      <c r="J231">
        <f>'Base DCF'!K14</f>
        <v>0</v>
      </c>
      <c r="K231">
        <f>'Base DCF'!L14</f>
        <v>0</v>
      </c>
      <c r="L231">
        <f>'Base DCF'!M14</f>
        <v>0</v>
      </c>
      <c r="M231">
        <f>'Base DCF'!N14</f>
        <v>0</v>
      </c>
      <c r="N231">
        <f>'Base DCF'!O14</f>
        <v>0</v>
      </c>
      <c r="O231">
        <f>'Base DCF'!P14</f>
        <v>0</v>
      </c>
      <c r="P231">
        <f>'Base DCF'!Q14</f>
        <v>0</v>
      </c>
      <c r="Q231">
        <f>'Base DCF'!R14</f>
        <v>0</v>
      </c>
      <c r="R231">
        <f>'Base DCF'!S14</f>
        <v>0</v>
      </c>
      <c r="S231">
        <f>'Base DCF'!T14</f>
        <v>0</v>
      </c>
      <c r="T231">
        <f>'Base DCF'!U14</f>
        <v>0</v>
      </c>
      <c r="U231">
        <f>'Base DCF'!V14</f>
        <v>0</v>
      </c>
      <c r="V231">
        <f>'Base DCF'!W14</f>
        <v>0</v>
      </c>
      <c r="W231">
        <f>'Base DCF'!X14</f>
        <v>0</v>
      </c>
      <c r="X231">
        <f>'Base DCF'!Y14</f>
        <v>0</v>
      </c>
      <c r="Y231">
        <f>'Base DCF'!Z14</f>
        <v>0</v>
      </c>
    </row>
    <row r="232" spans="1:25">
      <c r="A232" t="str">
        <f>'Base DCF'!B15</f>
        <v>EBITDA Margin</v>
      </c>
      <c r="B232">
        <f>'Base DCF'!C15</f>
        <v>0</v>
      </c>
      <c r="C232">
        <f>'Base DCF'!D15</f>
        <v>0</v>
      </c>
      <c r="D232">
        <f>'Base DCF'!E15</f>
        <v>0</v>
      </c>
      <c r="E232">
        <f>'Base DCF'!F15</f>
        <v>0</v>
      </c>
      <c r="F232">
        <f>'Base DCF'!G15</f>
        <v>-4.9928916011796174</v>
      </c>
      <c r="G232">
        <f>'Base DCF'!H15</f>
        <v>-1.1358428805237317</v>
      </c>
      <c r="H232">
        <f>'Base DCF'!I15</f>
        <v>-0.87284910946009975</v>
      </c>
      <c r="I232">
        <f>'Base DCF'!J15</f>
        <v>-0.56482362438942701</v>
      </c>
      <c r="J232">
        <f>'Base DCF'!K15</f>
        <v>-0.21602281123976511</v>
      </c>
      <c r="K232">
        <f>'Base DCF'!L15</f>
        <v>-5.4762389791193473E-2</v>
      </c>
      <c r="L232">
        <f>'Base DCF'!M15</f>
        <v>6.3209777938390679E-2</v>
      </c>
      <c r="M232">
        <f>'Base DCF'!N15</f>
        <v>0.1504722537691203</v>
      </c>
      <c r="N232">
        <f>'Base DCF'!O15</f>
        <v>0.20868581649772333</v>
      </c>
      <c r="O232">
        <f>'Base DCF'!P15</f>
        <v>0.24612278618883479</v>
      </c>
      <c r="P232">
        <f>'Base DCF'!Q15</f>
        <v>0.27152474632963847</v>
      </c>
      <c r="Q232">
        <f>'Base DCF'!R15</f>
        <v>0.30152474632963844</v>
      </c>
      <c r="R232">
        <f>'Base DCF'!S15</f>
        <v>0</v>
      </c>
      <c r="S232">
        <f>'Base DCF'!T15</f>
        <v>0</v>
      </c>
      <c r="T232">
        <f>'Base DCF'!U15</f>
        <v>0</v>
      </c>
      <c r="U232">
        <f>'Base DCF'!V15</f>
        <v>0</v>
      </c>
      <c r="V232">
        <f>'Base DCF'!W15</f>
        <v>0</v>
      </c>
      <c r="W232">
        <f>'Base DCF'!X15</f>
        <v>0</v>
      </c>
      <c r="X232">
        <f>'Base DCF'!Y15</f>
        <v>0</v>
      </c>
      <c r="Y232">
        <f>'Base DCF'!Z15</f>
        <v>0</v>
      </c>
    </row>
    <row r="233" spans="1:25">
      <c r="A233" t="str">
        <f>'Base DCF'!B16</f>
        <v>Incremental EBITDA Margin</v>
      </c>
      <c r="B233">
        <f>'Base DCF'!C16</f>
        <v>0</v>
      </c>
      <c r="C233">
        <f>'Base DCF'!D16</f>
        <v>0</v>
      </c>
      <c r="D233">
        <f>'Base DCF'!E16</f>
        <v>0</v>
      </c>
      <c r="E233">
        <f>'Base DCF'!F16</f>
        <v>0</v>
      </c>
      <c r="F233">
        <f>'Base DCF'!G16</f>
        <v>0</v>
      </c>
      <c r="G233">
        <f>'Base DCF'!H16</f>
        <v>-0.48155248844048509</v>
      </c>
      <c r="H233">
        <f>'Base DCF'!I16</f>
        <v>-0.61985363893004641</v>
      </c>
      <c r="I233">
        <f>'Base DCF'!J16</f>
        <v>-4.4170422401179181E-2</v>
      </c>
      <c r="J233">
        <f>'Base DCF'!K16</f>
        <v>0.48172251815691469</v>
      </c>
      <c r="K233">
        <f>'Base DCF'!L16</f>
        <v>0.32533979576150829</v>
      </c>
      <c r="L233">
        <f>'Base DCF'!M16</f>
        <v>0.39146548206297899</v>
      </c>
      <c r="M233">
        <f>'Base DCF'!N16</f>
        <v>0.43953907766909139</v>
      </c>
      <c r="N233">
        <f>'Base DCF'!O16</f>
        <v>0.4495726506317359</v>
      </c>
      <c r="O233">
        <f>'Base DCF'!P16</f>
        <v>0.43965085862953346</v>
      </c>
      <c r="P233">
        <f>'Base DCF'!Q16</f>
        <v>0.42857745236108319</v>
      </c>
      <c r="Q233">
        <f>'Base DCF'!R16</f>
        <v>0</v>
      </c>
      <c r="R233">
        <f>'Base DCF'!S16</f>
        <v>0</v>
      </c>
      <c r="S233">
        <f>'Base DCF'!T16</f>
        <v>0</v>
      </c>
      <c r="T233">
        <f>'Base DCF'!U16</f>
        <v>0</v>
      </c>
      <c r="U233">
        <f>'Base DCF'!V16</f>
        <v>0</v>
      </c>
      <c r="V233">
        <f>'Base DCF'!W16</f>
        <v>0</v>
      </c>
      <c r="W233">
        <f>'Base DCF'!X16</f>
        <v>0</v>
      </c>
      <c r="X233">
        <f>'Base DCF'!Y16</f>
        <v>0</v>
      </c>
      <c r="Y233">
        <f>'Base DCF'!Z16</f>
        <v>0</v>
      </c>
    </row>
    <row r="234" spans="1:25">
      <c r="A234" t="str">
        <f>'Base DCF'!B17</f>
        <v>UFCF / EBITDA</v>
      </c>
      <c r="B234">
        <f>'Base DCF'!C17</f>
        <v>0</v>
      </c>
      <c r="C234">
        <f>'Base DCF'!D17</f>
        <v>0</v>
      </c>
      <c r="D234">
        <f>'Base DCF'!E17</f>
        <v>0</v>
      </c>
      <c r="E234">
        <f>'Base DCF'!F17</f>
        <v>0</v>
      </c>
      <c r="F234">
        <f>'Base DCF'!G17</f>
        <v>1.4005319257898656</v>
      </c>
      <c r="G234">
        <f>'Base DCF'!H17</f>
        <v>1.5427422795301984</v>
      </c>
      <c r="H234">
        <f>'Base DCF'!I17</f>
        <v>1.2174275334140678</v>
      </c>
      <c r="I234">
        <f>'Base DCF'!J17</f>
        <v>1.9551922836011015</v>
      </c>
      <c r="J234">
        <f>'Base DCF'!K17</f>
        <v>1.4017225915110163</v>
      </c>
      <c r="K234">
        <f>'Base DCF'!L17</f>
        <v>1.274557618909907</v>
      </c>
      <c r="L234">
        <f>'Base DCF'!M17</f>
        <v>-0.44620395783025707</v>
      </c>
      <c r="M234">
        <f>'Base DCF'!N17</f>
        <v>0.19120146528362122</v>
      </c>
      <c r="N234">
        <f>'Base DCF'!O17</f>
        <v>0.401751281099958</v>
      </c>
      <c r="O234">
        <f>'Base DCF'!P17</f>
        <v>0.53027092598807402</v>
      </c>
      <c r="P234">
        <f>'Base DCF'!Q17</f>
        <v>0.61450493439362186</v>
      </c>
      <c r="Q234">
        <f>'Base DCF'!R17</f>
        <v>0.5</v>
      </c>
      <c r="R234">
        <f>'Base DCF'!S17</f>
        <v>0</v>
      </c>
      <c r="S234">
        <f>'Base DCF'!T17</f>
        <v>0</v>
      </c>
      <c r="T234">
        <f>'Base DCF'!U17</f>
        <v>0</v>
      </c>
      <c r="U234">
        <f>'Base DCF'!V17</f>
        <v>0</v>
      </c>
      <c r="V234">
        <f>'Base DCF'!W17</f>
        <v>0</v>
      </c>
      <c r="W234">
        <f>'Base DCF'!X17</f>
        <v>0</v>
      </c>
      <c r="X234">
        <f>'Base DCF'!Y17</f>
        <v>0</v>
      </c>
      <c r="Y234">
        <f>'Base DCF'!Z17</f>
        <v>0</v>
      </c>
    </row>
    <row r="235" spans="1:25">
      <c r="A235">
        <f>'Base DCF'!B18</f>
        <v>0</v>
      </c>
      <c r="B235">
        <f>'Base DCF'!C18</f>
        <v>0</v>
      </c>
      <c r="C235">
        <f>'Base DCF'!D18</f>
        <v>0</v>
      </c>
      <c r="D235">
        <f>'Base DCF'!E18</f>
        <v>0</v>
      </c>
      <c r="E235">
        <f>'Base DCF'!F18</f>
        <v>0</v>
      </c>
      <c r="F235">
        <f>'Base DCF'!G18</f>
        <v>0</v>
      </c>
      <c r="G235">
        <f>'Base DCF'!H18</f>
        <v>0</v>
      </c>
      <c r="H235">
        <f>'Base DCF'!I18</f>
        <v>0</v>
      </c>
      <c r="I235">
        <f>'Base DCF'!J18</f>
        <v>0</v>
      </c>
      <c r="J235">
        <f>'Base DCF'!K18</f>
        <v>0</v>
      </c>
      <c r="K235">
        <f>'Base DCF'!L18</f>
        <v>0</v>
      </c>
      <c r="L235">
        <f>'Base DCF'!M18</f>
        <v>0</v>
      </c>
      <c r="M235">
        <f>'Base DCF'!N18</f>
        <v>0</v>
      </c>
      <c r="N235">
        <f>'Base DCF'!O18</f>
        <v>0</v>
      </c>
      <c r="O235">
        <f>'Base DCF'!P18</f>
        <v>0</v>
      </c>
      <c r="P235">
        <f>'Base DCF'!Q18</f>
        <v>0</v>
      </c>
      <c r="Q235">
        <f>'Base DCF'!R18</f>
        <v>0</v>
      </c>
      <c r="R235">
        <f>'Base DCF'!S18</f>
        <v>0</v>
      </c>
      <c r="S235">
        <f>'Base DCF'!T18</f>
        <v>0</v>
      </c>
      <c r="T235">
        <f>'Base DCF'!U18</f>
        <v>0</v>
      </c>
      <c r="U235">
        <f>'Base DCF'!V18</f>
        <v>0</v>
      </c>
      <c r="V235">
        <f>'Base DCF'!W18</f>
        <v>0</v>
      </c>
      <c r="W235">
        <f>'Base DCF'!X18</f>
        <v>0</v>
      </c>
      <c r="X235">
        <f>'Base DCF'!Y18</f>
        <v>0</v>
      </c>
      <c r="Y235">
        <f>'Base DCF'!Z18</f>
        <v>0</v>
      </c>
    </row>
    <row r="236" spans="1:25">
      <c r="A236" t="str">
        <f>'Base DCF'!B19</f>
        <v>NPV Calculation</v>
      </c>
      <c r="B236">
        <f>'Base DCF'!C19</f>
        <v>0</v>
      </c>
      <c r="C236">
        <f>'Base DCF'!D19</f>
        <v>0</v>
      </c>
      <c r="D236">
        <f>'Base DCF'!E19</f>
        <v>0</v>
      </c>
      <c r="E236">
        <f>'Base DCF'!F19</f>
        <v>0</v>
      </c>
      <c r="F236">
        <f>'Base DCF'!G19</f>
        <v>0</v>
      </c>
      <c r="G236">
        <f>'Base DCF'!H19</f>
        <v>0</v>
      </c>
      <c r="H236">
        <f>'Base DCF'!I19</f>
        <v>2017</v>
      </c>
      <c r="I236">
        <f>'Base DCF'!J19</f>
        <v>2018</v>
      </c>
      <c r="J236">
        <f>'Base DCF'!K19</f>
        <v>2019</v>
      </c>
      <c r="K236">
        <f>'Base DCF'!L19</f>
        <v>2020</v>
      </c>
      <c r="L236">
        <f>'Base DCF'!M19</f>
        <v>2021</v>
      </c>
      <c r="M236">
        <f>'Base DCF'!N19</f>
        <v>2022</v>
      </c>
      <c r="N236">
        <f>'Base DCF'!O19</f>
        <v>2023</v>
      </c>
      <c r="O236">
        <f>'Base DCF'!P19</f>
        <v>2024</v>
      </c>
      <c r="P236">
        <f>'Base DCF'!Q19</f>
        <v>2025</v>
      </c>
      <c r="Q236">
        <f>'Base DCF'!R19</f>
        <v>0</v>
      </c>
      <c r="R236">
        <f>'Base DCF'!S19</f>
        <v>0</v>
      </c>
      <c r="S236">
        <f>'Base DCF'!T19</f>
        <v>0</v>
      </c>
      <c r="T236">
        <f>'Base DCF'!U19</f>
        <v>0</v>
      </c>
      <c r="U236">
        <f>'Base DCF'!V19</f>
        <v>0</v>
      </c>
      <c r="V236">
        <f>'Base DCF'!W19</f>
        <v>0</v>
      </c>
      <c r="W236">
        <f>'Base DCF'!X19</f>
        <v>0</v>
      </c>
      <c r="X236">
        <f>'Base DCF'!Y19</f>
        <v>0</v>
      </c>
      <c r="Y236">
        <f>'Base DCF'!Z19</f>
        <v>0</v>
      </c>
    </row>
    <row r="237" spans="1:25">
      <c r="A237" t="str">
        <f>'Base DCF'!B21</f>
        <v>Year for 1-year forward value</v>
      </c>
      <c r="B237">
        <f>'Base DCF'!C21</f>
        <v>0</v>
      </c>
      <c r="C237">
        <f>'Base DCF'!D21</f>
        <v>0</v>
      </c>
      <c r="D237">
        <f>'Base DCF'!E21</f>
        <v>0</v>
      </c>
      <c r="E237">
        <f>'Base DCF'!F21</f>
        <v>0</v>
      </c>
      <c r="F237">
        <f>'Base DCF'!G21</f>
        <v>0</v>
      </c>
      <c r="G237">
        <f>'Base DCF'!H21</f>
        <v>0</v>
      </c>
      <c r="H237">
        <f>'Base DCF'!I21</f>
        <v>1</v>
      </c>
      <c r="I237">
        <f>'Base DCF'!J21</f>
        <v>2</v>
      </c>
      <c r="J237">
        <f>'Base DCF'!K21</f>
        <v>3</v>
      </c>
      <c r="K237">
        <f>'Base DCF'!L21</f>
        <v>4</v>
      </c>
      <c r="L237">
        <f>'Base DCF'!M21</f>
        <v>5</v>
      </c>
      <c r="M237">
        <f>'Base DCF'!N21</f>
        <v>6</v>
      </c>
      <c r="N237">
        <f>'Base DCF'!O21</f>
        <v>7</v>
      </c>
      <c r="O237">
        <f>'Base DCF'!P21</f>
        <v>8</v>
      </c>
      <c r="P237">
        <f>'Base DCF'!Q21</f>
        <v>9</v>
      </c>
      <c r="Q237">
        <f>'Base DCF'!R21</f>
        <v>0</v>
      </c>
      <c r="R237">
        <f>'Base DCF'!S21</f>
        <v>0</v>
      </c>
      <c r="S237">
        <f>'Base DCF'!T21</f>
        <v>0</v>
      </c>
      <c r="T237">
        <f>'Base DCF'!U21</f>
        <v>0</v>
      </c>
      <c r="U237">
        <f>'Base DCF'!V21</f>
        <v>0</v>
      </c>
      <c r="V237">
        <f>'Base DCF'!W21</f>
        <v>0</v>
      </c>
      <c r="W237">
        <f>'Base DCF'!X21</f>
        <v>0</v>
      </c>
      <c r="X237">
        <f>'Base DCF'!Y21</f>
        <v>0</v>
      </c>
      <c r="Y237">
        <f>'Base DCF'!Z21</f>
        <v>0</v>
      </c>
    </row>
    <row r="238" spans="1:25">
      <c r="A238" t="str">
        <f>'Base DCF'!B22</f>
        <v>Discounted cash flows</v>
      </c>
      <c r="B238">
        <f>'Base DCF'!C22</f>
        <v>0</v>
      </c>
      <c r="C238">
        <f>'Base DCF'!D22</f>
        <v>0</v>
      </c>
      <c r="D238">
        <f>'Base DCF'!E22</f>
        <v>0</v>
      </c>
      <c r="E238">
        <f>'Base DCF'!F22</f>
        <v>0</v>
      </c>
      <c r="F238">
        <f>'Base DCF'!G22</f>
        <v>0</v>
      </c>
      <c r="G238">
        <f>'Base DCF'!H22</f>
        <v>0</v>
      </c>
      <c r="H238">
        <f>'Base DCF'!I22</f>
        <v>-809.98109417034937</v>
      </c>
      <c r="I238">
        <f>'Base DCF'!J22</f>
        <v>-1237.9355415723862</v>
      </c>
      <c r="J238">
        <f>'Base DCF'!K22</f>
        <v>-470.41842400908189</v>
      </c>
      <c r="K238">
        <f>'Base DCF'!L22</f>
        <v>-142.6979975601426</v>
      </c>
      <c r="L238">
        <f>'Base DCF'!M22</f>
        <v>-72.427516990515528</v>
      </c>
      <c r="M238">
        <f>'Base DCF'!N22</f>
        <v>88.872792516696407</v>
      </c>
      <c r="N238">
        <f>'Base DCF'!O22</f>
        <v>297.12609962904247</v>
      </c>
      <c r="O238">
        <f>'Base DCF'!P22</f>
        <v>510.04442804747208</v>
      </c>
      <c r="P238">
        <f>'Base DCF'!Q22</f>
        <v>699.9519048922424</v>
      </c>
      <c r="Q238">
        <f>'Base DCF'!R22</f>
        <v>0</v>
      </c>
      <c r="R238">
        <f>'Base DCF'!S22</f>
        <v>0</v>
      </c>
      <c r="S238">
        <f>'Base DCF'!T22</f>
        <v>0</v>
      </c>
      <c r="T238">
        <f>'Base DCF'!U22</f>
        <v>0</v>
      </c>
      <c r="U238">
        <f>'Base DCF'!V22</f>
        <v>0</v>
      </c>
      <c r="V238">
        <f>'Base DCF'!W22</f>
        <v>0</v>
      </c>
      <c r="W238">
        <f>'Base DCF'!X22</f>
        <v>0</v>
      </c>
      <c r="X238">
        <f>'Base DCF'!Y22</f>
        <v>0</v>
      </c>
      <c r="Y238">
        <f>'Base DCF'!Z22</f>
        <v>0</v>
      </c>
    </row>
    <row r="239" spans="1:25">
      <c r="A239">
        <f>'Base DCF'!B28</f>
        <v>0</v>
      </c>
      <c r="B239">
        <f>'Base DCF'!C28</f>
        <v>0</v>
      </c>
      <c r="C239">
        <f>'Base DCF'!D28</f>
        <v>0</v>
      </c>
      <c r="D239">
        <f>'Base DCF'!E28</f>
        <v>0</v>
      </c>
      <c r="E239">
        <f>'Base DCF'!F28</f>
        <v>0</v>
      </c>
      <c r="F239">
        <f>'Base DCF'!G28</f>
        <v>0</v>
      </c>
      <c r="G239">
        <f>'Base DCF'!H28</f>
        <v>0</v>
      </c>
      <c r="H239">
        <f>'Base DCF'!I28</f>
        <v>0</v>
      </c>
      <c r="I239">
        <f>'Base DCF'!J28</f>
        <v>0</v>
      </c>
      <c r="J239">
        <f>'Base DCF'!K28</f>
        <v>0</v>
      </c>
      <c r="K239">
        <f>'Base DCF'!L28</f>
        <v>0</v>
      </c>
      <c r="L239">
        <f>'Base DCF'!M28</f>
        <v>0</v>
      </c>
      <c r="M239">
        <f>'Base DCF'!N28</f>
        <v>0</v>
      </c>
      <c r="N239">
        <f>'Base DCF'!O28</f>
        <v>0</v>
      </c>
      <c r="O239">
        <f>'Base DCF'!P28</f>
        <v>0</v>
      </c>
      <c r="P239">
        <f>'Base DCF'!Q28</f>
        <v>0</v>
      </c>
      <c r="Q239">
        <f>'Base DCF'!R28</f>
        <v>0</v>
      </c>
      <c r="R239">
        <f>'Base DCF'!S28</f>
        <v>0</v>
      </c>
      <c r="S239">
        <f>'Base DCF'!T28</f>
        <v>0</v>
      </c>
      <c r="T239">
        <f>'Base DCF'!U28</f>
        <v>0</v>
      </c>
      <c r="U239">
        <f>'Base DCF'!V28</f>
        <v>0</v>
      </c>
      <c r="V239">
        <f>'Base DCF'!W28</f>
        <v>0</v>
      </c>
      <c r="W239">
        <f>'Base DCF'!X28</f>
        <v>0</v>
      </c>
      <c r="X239">
        <f>'Base DCF'!Y28</f>
        <v>0</v>
      </c>
      <c r="Y239">
        <f>'Base DCF'!Z28</f>
        <v>0</v>
      </c>
    </row>
    <row r="247" spans="1:25">
      <c r="A247" t="str">
        <f>'Base DCF'!B29</f>
        <v>Fair value (Present)</v>
      </c>
      <c r="B247">
        <f>'Base DCF'!C29</f>
        <v>0</v>
      </c>
      <c r="C247">
        <f>'Base DCF'!D29</f>
        <v>0</v>
      </c>
      <c r="D247">
        <f>'Base DCF'!E29</f>
        <v>0</v>
      </c>
      <c r="E247">
        <f>'Base DCF'!F29</f>
        <v>0</v>
      </c>
      <c r="F247">
        <f>'Base DCF'!G29</f>
        <v>0</v>
      </c>
      <c r="G247">
        <f>'Base DCF'!H29</f>
        <v>0</v>
      </c>
      <c r="H247" t="str">
        <f>'Base DCF'!I39</f>
        <v>Equity Value: WACC vs. Perpetual Growth Rate (PV)</v>
      </c>
      <c r="I247">
        <f>'Base DCF'!J39</f>
        <v>0</v>
      </c>
      <c r="J247">
        <f>'Base DCF'!K39</f>
        <v>0</v>
      </c>
      <c r="K247">
        <f>'Base DCF'!L39</f>
        <v>0</v>
      </c>
      <c r="L247">
        <f>'Base DCF'!M39</f>
        <v>0</v>
      </c>
      <c r="M247">
        <f>'Base DCF'!N39</f>
        <v>0</v>
      </c>
      <c r="N247">
        <f>'Base DCF'!O29</f>
        <v>0</v>
      </c>
      <c r="O247">
        <f>'Base DCF'!P29</f>
        <v>0</v>
      </c>
      <c r="P247">
        <f>'Base DCF'!Q29</f>
        <v>0</v>
      </c>
      <c r="Q247">
        <f>'Base DCF'!R29</f>
        <v>0</v>
      </c>
      <c r="R247">
        <f>'Base DCF'!S29</f>
        <v>0</v>
      </c>
      <c r="S247">
        <f>'Base DCF'!T29</f>
        <v>0</v>
      </c>
      <c r="T247">
        <f>'Base DCF'!U29</f>
        <v>0</v>
      </c>
      <c r="U247">
        <f>'Base DCF'!V29</f>
        <v>0</v>
      </c>
      <c r="V247">
        <f>'Base DCF'!W29</f>
        <v>0</v>
      </c>
      <c r="W247">
        <f>'Base DCF'!X29</f>
        <v>0</v>
      </c>
      <c r="X247">
        <f>'Base DCF'!Y29</f>
        <v>0</v>
      </c>
      <c r="Y247">
        <f>'Base DCF'!Z29</f>
        <v>0</v>
      </c>
    </row>
    <row r="248" spans="1:25">
      <c r="A248" t="str">
        <f>'Base DCF'!B30</f>
        <v>PV of FCF</v>
      </c>
      <c r="B248">
        <f>'Base DCF'!C30</f>
        <v>0</v>
      </c>
      <c r="C248">
        <f>'Base DCF'!D30</f>
        <v>0</v>
      </c>
      <c r="D248">
        <f>'Base DCF'!E30</f>
        <v>-1137.4653492170219</v>
      </c>
      <c r="E248">
        <f>'Base DCF'!F30</f>
        <v>0</v>
      </c>
      <c r="F248">
        <f>'Base DCF'!G30</f>
        <v>0</v>
      </c>
      <c r="G248">
        <f>'Base DCF'!H30</f>
        <v>0</v>
      </c>
      <c r="H248">
        <f>'Base DCF'!I40</f>
        <v>18241.578005005969</v>
      </c>
      <c r="I248">
        <f>'Base DCF'!J40</f>
        <v>7.1502051999999983E-2</v>
      </c>
      <c r="J248">
        <f>'Base DCF'!K40</f>
        <v>7.6502051999999987E-2</v>
      </c>
      <c r="K248">
        <f>'Base DCF'!L40</f>
        <v>8.1502051999999992E-2</v>
      </c>
      <c r="L248">
        <f>'Base DCF'!M40</f>
        <v>8.6502051999999996E-2</v>
      </c>
      <c r="M248">
        <f>'Base DCF'!N40</f>
        <v>9.1502052E-2</v>
      </c>
      <c r="N248">
        <f>'Base DCF'!O30</f>
        <v>0</v>
      </c>
      <c r="O248">
        <f>'Base DCF'!P30</f>
        <v>0</v>
      </c>
      <c r="P248">
        <f>'Base DCF'!Q30</f>
        <v>0</v>
      </c>
      <c r="Q248">
        <f>'Base DCF'!R30</f>
        <v>0</v>
      </c>
      <c r="R248">
        <f>'Base DCF'!S30</f>
        <v>0</v>
      </c>
      <c r="S248">
        <f>'Base DCF'!T30</f>
        <v>0</v>
      </c>
      <c r="T248">
        <f>'Base DCF'!U30</f>
        <v>0</v>
      </c>
      <c r="U248">
        <f>'Base DCF'!V30</f>
        <v>0</v>
      </c>
      <c r="V248">
        <f>'Base DCF'!W30</f>
        <v>0</v>
      </c>
      <c r="W248">
        <f>'Base DCF'!X30</f>
        <v>0</v>
      </c>
      <c r="X248">
        <f>'Base DCF'!Y30</f>
        <v>0</v>
      </c>
      <c r="Y248">
        <f>'Base DCF'!Z30</f>
        <v>0</v>
      </c>
    </row>
    <row r="249" spans="1:25">
      <c r="A249" t="str">
        <f>'Base DCF'!B31</f>
        <v>NPV of terminal value</v>
      </c>
      <c r="B249">
        <f>'Base DCF'!C31</f>
        <v>0</v>
      </c>
      <c r="C249">
        <f>'Base DCF'!D31</f>
        <v>0</v>
      </c>
      <c r="D249">
        <f>'Base DCF'!E31</f>
        <v>13848.620563680519</v>
      </c>
      <c r="E249">
        <f>'Base DCF'!F31</f>
        <v>0</v>
      </c>
      <c r="F249">
        <f>'Base DCF'!G31</f>
        <v>0</v>
      </c>
      <c r="G249">
        <f>'Base DCF'!H31</f>
        <v>0</v>
      </c>
      <c r="H249">
        <f>'Base DCF'!I41</f>
        <v>3.2500000000000001E-2</v>
      </c>
      <c r="I249">
        <f>'Base DCF'!J41</f>
        <v>23159.986880769047</v>
      </c>
      <c r="J249">
        <f>'Base DCF'!K41</f>
        <v>20121.612737318021</v>
      </c>
      <c r="K249">
        <f>'Base DCF'!L41</f>
        <v>17714.316228942669</v>
      </c>
      <c r="L249">
        <f>'Base DCF'!M41</f>
        <v>15762.508224910383</v>
      </c>
      <c r="M249">
        <f>'Base DCF'!N41</f>
        <v>14150.128636641659</v>
      </c>
      <c r="N249">
        <f>'Base DCF'!O31</f>
        <v>0</v>
      </c>
      <c r="O249">
        <f>'Base DCF'!P31</f>
        <v>0</v>
      </c>
      <c r="P249">
        <f>'Base DCF'!Q31</f>
        <v>0</v>
      </c>
      <c r="Q249">
        <f>'Base DCF'!R31</f>
        <v>0</v>
      </c>
      <c r="R249">
        <f>'Base DCF'!S31</f>
        <v>0</v>
      </c>
      <c r="S249">
        <f>'Base DCF'!T31</f>
        <v>0</v>
      </c>
      <c r="T249">
        <f>'Base DCF'!U31</f>
        <v>0</v>
      </c>
      <c r="U249">
        <f>'Base DCF'!V31</f>
        <v>0</v>
      </c>
      <c r="V249">
        <f>'Base DCF'!W31</f>
        <v>0</v>
      </c>
      <c r="W249">
        <f>'Base DCF'!X31</f>
        <v>0</v>
      </c>
      <c r="X249">
        <f>'Base DCF'!Y31</f>
        <v>0</v>
      </c>
      <c r="Y249">
        <f>'Base DCF'!Z31</f>
        <v>0</v>
      </c>
    </row>
    <row r="250" spans="1:25">
      <c r="A250" t="str">
        <f>'Base DCF'!B32</f>
        <v>Enterprise value</v>
      </c>
      <c r="B250">
        <f>'Base DCF'!C32</f>
        <v>0</v>
      </c>
      <c r="C250">
        <f>'Base DCF'!D32</f>
        <v>0</v>
      </c>
      <c r="D250">
        <f>'Base DCF'!E32</f>
        <v>12711.155214463497</v>
      </c>
      <c r="E250">
        <f>'Base DCF'!F32</f>
        <v>0</v>
      </c>
      <c r="F250">
        <f>'Base DCF'!G32</f>
        <v>0</v>
      </c>
      <c r="G250">
        <f>'Base DCF'!H32</f>
        <v>0</v>
      </c>
      <c r="H250">
        <f>'Base DCF'!I42</f>
        <v>3.5000000000000003E-2</v>
      </c>
      <c r="I250">
        <f>'Base DCF'!J42</f>
        <v>24654.893974634932</v>
      </c>
      <c r="J250">
        <f>'Base DCF'!K42</f>
        <v>21254.91383540996</v>
      </c>
      <c r="K250">
        <f>'Base DCF'!L42</f>
        <v>18597.653409429127</v>
      </c>
      <c r="L250">
        <f>'Base DCF'!M42</f>
        <v>16466.485890188549</v>
      </c>
      <c r="M250">
        <f>'Base DCF'!N42</f>
        <v>14721.473472285208</v>
      </c>
      <c r="N250">
        <f>'Base DCF'!O32</f>
        <v>0</v>
      </c>
      <c r="O250">
        <f>'Base DCF'!P32</f>
        <v>0</v>
      </c>
      <c r="P250">
        <f>'Base DCF'!Q32</f>
        <v>0</v>
      </c>
      <c r="Q250">
        <f>'Base DCF'!R32</f>
        <v>0</v>
      </c>
      <c r="R250">
        <f>'Base DCF'!S32</f>
        <v>0</v>
      </c>
      <c r="S250">
        <f>'Base DCF'!T32</f>
        <v>0</v>
      </c>
      <c r="T250">
        <f>'Base DCF'!U32</f>
        <v>0</v>
      </c>
      <c r="U250">
        <f>'Base DCF'!V32</f>
        <v>0</v>
      </c>
      <c r="V250">
        <f>'Base DCF'!W32</f>
        <v>0</v>
      </c>
      <c r="W250">
        <f>'Base DCF'!X32</f>
        <v>0</v>
      </c>
      <c r="X250">
        <f>'Base DCF'!Y32</f>
        <v>0</v>
      </c>
      <c r="Y250">
        <f>'Base DCF'!Z32</f>
        <v>0</v>
      </c>
    </row>
    <row r="251" spans="1:25">
      <c r="A251" t="str">
        <f>'Base DCF'!B33</f>
        <v>(-) Debt</v>
      </c>
      <c r="B251">
        <f>'Base DCF'!C33</f>
        <v>0</v>
      </c>
      <c r="C251">
        <f>'Base DCF'!D33</f>
        <v>0</v>
      </c>
      <c r="D251">
        <f>'Base DCF'!E33</f>
        <v>0</v>
      </c>
      <c r="E251">
        <f>'Base DCF'!F33</f>
        <v>0</v>
      </c>
      <c r="F251">
        <f>'Base DCF'!G33</f>
        <v>0</v>
      </c>
      <c r="G251">
        <f>'Base DCF'!H33</f>
        <v>0</v>
      </c>
      <c r="H251">
        <f>'Base DCF'!I43</f>
        <v>3.7500000000000006E-2</v>
      </c>
      <c r="I251">
        <f>'Base DCF'!J43</f>
        <v>26369.627079864174</v>
      </c>
      <c r="J251">
        <f>'Base DCF'!K43</f>
        <v>22533.502301727032</v>
      </c>
      <c r="K251">
        <f>'Base DCF'!L43</f>
        <v>19581.365133867133</v>
      </c>
      <c r="L251">
        <f>'Base DCF'!M43</f>
        <v>17242.295002982235</v>
      </c>
      <c r="M251">
        <f>'Base DCF'!N43</f>
        <v>15345.718597314388</v>
      </c>
      <c r="N251">
        <f>'Base DCF'!O33</f>
        <v>0</v>
      </c>
      <c r="O251">
        <f>'Base DCF'!P33</f>
        <v>0</v>
      </c>
      <c r="P251">
        <f>'Base DCF'!Q33</f>
        <v>0</v>
      </c>
      <c r="Q251">
        <f>'Base DCF'!R33</f>
        <v>0</v>
      </c>
      <c r="R251">
        <f>'Base DCF'!S33</f>
        <v>0</v>
      </c>
      <c r="S251">
        <f>'Base DCF'!T33</f>
        <v>0</v>
      </c>
      <c r="T251">
        <f>'Base DCF'!U33</f>
        <v>0</v>
      </c>
      <c r="U251">
        <f>'Base DCF'!V33</f>
        <v>0</v>
      </c>
      <c r="V251">
        <f>'Base DCF'!W33</f>
        <v>0</v>
      </c>
      <c r="W251">
        <f>'Base DCF'!X33</f>
        <v>0</v>
      </c>
      <c r="X251">
        <f>'Base DCF'!Y33</f>
        <v>0</v>
      </c>
      <c r="Y251">
        <f>'Base DCF'!Z33</f>
        <v>0</v>
      </c>
    </row>
    <row r="252" spans="1:25">
      <c r="A252" t="str">
        <f>'Base DCF'!B34</f>
        <v>(+) Cash</v>
      </c>
      <c r="B252">
        <f>'Base DCF'!C34</f>
        <v>0</v>
      </c>
      <c r="C252">
        <f>'Base DCF'!D34</f>
        <v>0</v>
      </c>
      <c r="D252">
        <f>'Base DCF'!E34</f>
        <v>2043.0390000000002</v>
      </c>
      <c r="E252">
        <f>'Base DCF'!F34</f>
        <v>0</v>
      </c>
      <c r="F252">
        <f>'Base DCF'!G34</f>
        <v>0</v>
      </c>
      <c r="G252">
        <f>'Base DCF'!H34</f>
        <v>0</v>
      </c>
      <c r="H252">
        <f>'Base DCF'!I34</f>
        <v>0</v>
      </c>
      <c r="I252">
        <f>'Base DCF'!J34</f>
        <v>0</v>
      </c>
      <c r="J252">
        <f>'Base DCF'!K34</f>
        <v>0</v>
      </c>
      <c r="K252">
        <f>'Base DCF'!L34</f>
        <v>0</v>
      </c>
      <c r="L252">
        <f>'Base DCF'!M34</f>
        <v>0</v>
      </c>
      <c r="M252">
        <f>'Base DCF'!N34</f>
        <v>0</v>
      </c>
      <c r="N252">
        <f>'Base DCF'!O34</f>
        <v>0</v>
      </c>
      <c r="O252">
        <f>'Base DCF'!P34</f>
        <v>0</v>
      </c>
      <c r="P252">
        <f>'Base DCF'!Q34</f>
        <v>0</v>
      </c>
      <c r="Q252">
        <f>'Base DCF'!R34</f>
        <v>0</v>
      </c>
      <c r="R252">
        <f>'Base DCF'!S34</f>
        <v>0</v>
      </c>
      <c r="S252">
        <f>'Base DCF'!T34</f>
        <v>0</v>
      </c>
      <c r="T252">
        <f>'Base DCF'!U34</f>
        <v>0</v>
      </c>
      <c r="U252">
        <f>'Base DCF'!V34</f>
        <v>0</v>
      </c>
      <c r="V252">
        <f>'Base DCF'!W34</f>
        <v>0</v>
      </c>
      <c r="W252">
        <f>'Base DCF'!X34</f>
        <v>0</v>
      </c>
      <c r="X252">
        <f>'Base DCF'!Y34</f>
        <v>0</v>
      </c>
      <c r="Y252">
        <f>'Base DCF'!Z34</f>
        <v>0</v>
      </c>
    </row>
    <row r="253" spans="1:25">
      <c r="A253" t="str">
        <f>'Base DCF'!B35</f>
        <v>Equity value</v>
      </c>
      <c r="B253">
        <f>'Base DCF'!C35</f>
        <v>0</v>
      </c>
      <c r="C253">
        <f>'Base DCF'!D35</f>
        <v>0</v>
      </c>
      <c r="D253">
        <f>'Base DCF'!E35</f>
        <v>14754.194214463498</v>
      </c>
      <c r="E253">
        <f>'Base DCF'!F35</f>
        <v>0</v>
      </c>
      <c r="F253">
        <f>'Base DCF'!G35</f>
        <v>0</v>
      </c>
      <c r="G253">
        <f>'Base DCF'!H35</f>
        <v>0</v>
      </c>
      <c r="H253">
        <f>'Base DCF'!I35</f>
        <v>0</v>
      </c>
      <c r="I253">
        <f>'Base DCF'!J35</f>
        <v>0</v>
      </c>
      <c r="J253">
        <f>'Base DCF'!K35</f>
        <v>0</v>
      </c>
      <c r="K253">
        <f>'Base DCF'!L35</f>
        <v>0</v>
      </c>
      <c r="L253">
        <f>'Base DCF'!M35</f>
        <v>0</v>
      </c>
      <c r="M253">
        <f>'Base DCF'!N35</f>
        <v>0</v>
      </c>
      <c r="N253">
        <f>'Base DCF'!O35</f>
        <v>0</v>
      </c>
      <c r="O253">
        <f>'Base DCF'!P35</f>
        <v>0</v>
      </c>
      <c r="P253">
        <f>'Base DCF'!Q35</f>
        <v>0</v>
      </c>
      <c r="Q253">
        <f>'Base DCF'!R35</f>
        <v>0</v>
      </c>
      <c r="R253">
        <f>'Base DCF'!S35</f>
        <v>0</v>
      </c>
      <c r="S253">
        <f>'Base DCF'!T35</f>
        <v>0</v>
      </c>
      <c r="T253">
        <f>'Base DCF'!U35</f>
        <v>0</v>
      </c>
      <c r="U253">
        <f>'Base DCF'!V35</f>
        <v>0</v>
      </c>
      <c r="V253">
        <f>'Base DCF'!W35</f>
        <v>0</v>
      </c>
      <c r="W253">
        <f>'Base DCF'!X35</f>
        <v>0</v>
      </c>
      <c r="X253">
        <f>'Base DCF'!Y35</f>
        <v>0</v>
      </c>
      <c r="Y253">
        <f>'Base DCF'!Z35</f>
        <v>0</v>
      </c>
    </row>
    <row r="254" spans="1:25">
      <c r="A254" t="str">
        <f>'Base DCF'!B36</f>
        <v>Fully Diluted Shares (for valuation)</v>
      </c>
      <c r="B254">
        <f>'Base DCF'!C36</f>
        <v>0</v>
      </c>
      <c r="C254">
        <f>'Base DCF'!D36</f>
        <v>0</v>
      </c>
      <c r="D254">
        <f>'Base DCF'!E36</f>
        <v>1404.1021930973332</v>
      </c>
      <c r="E254">
        <f>'Base DCF'!F36</f>
        <v>0</v>
      </c>
      <c r="F254">
        <f>'Base DCF'!G36</f>
        <v>0</v>
      </c>
      <c r="G254">
        <f>'Base DCF'!H36</f>
        <v>0</v>
      </c>
      <c r="H254">
        <f>'Base DCF'!I36</f>
        <v>0</v>
      </c>
      <c r="I254">
        <f>'Base DCF'!J36</f>
        <v>0</v>
      </c>
      <c r="J254">
        <f>'Base DCF'!K36</f>
        <v>0</v>
      </c>
      <c r="K254">
        <f>'Base DCF'!L36</f>
        <v>0</v>
      </c>
      <c r="L254">
        <f>'Base DCF'!M36</f>
        <v>0</v>
      </c>
      <c r="M254">
        <f>'Base DCF'!N36</f>
        <v>0</v>
      </c>
      <c r="N254">
        <f>'Base DCF'!O36</f>
        <v>0</v>
      </c>
      <c r="O254">
        <f>'Base DCF'!P36</f>
        <v>0</v>
      </c>
      <c r="P254">
        <f>'Base DCF'!Q36</f>
        <v>0</v>
      </c>
      <c r="Q254">
        <f>'Base DCF'!R36</f>
        <v>0</v>
      </c>
      <c r="R254">
        <f>'Base DCF'!S36</f>
        <v>0</v>
      </c>
      <c r="S254">
        <f>'Base DCF'!T36</f>
        <v>0</v>
      </c>
      <c r="T254">
        <f>'Base DCF'!U36</f>
        <v>0</v>
      </c>
      <c r="U254">
        <f>'Base DCF'!V36</f>
        <v>0</v>
      </c>
      <c r="V254">
        <f>'Base DCF'!W36</f>
        <v>0</v>
      </c>
      <c r="W254">
        <f>'Base DCF'!X36</f>
        <v>0</v>
      </c>
      <c r="X254">
        <f>'Base DCF'!Y36</f>
        <v>0</v>
      </c>
      <c r="Y254">
        <f>'Base DCF'!Z36</f>
        <v>0</v>
      </c>
    </row>
    <row r="255" spans="1:25">
      <c r="A255" t="str">
        <f>'Base DCF'!B37</f>
        <v>Equity value per share</v>
      </c>
      <c r="B255">
        <f>'Base DCF'!C37</f>
        <v>0</v>
      </c>
      <c r="C255">
        <f>'Base DCF'!D37</f>
        <v>0</v>
      </c>
      <c r="D255">
        <f>'Base DCF'!E37</f>
        <v>11</v>
      </c>
      <c r="E255">
        <f>'Base DCF'!F37</f>
        <v>0</v>
      </c>
      <c r="F255">
        <f>'Base DCF'!G37</f>
        <v>0</v>
      </c>
      <c r="G255">
        <f>'Base DCF'!H37</f>
        <v>0</v>
      </c>
      <c r="H255">
        <f>'Base DCF'!I37</f>
        <v>0</v>
      </c>
      <c r="I255">
        <f>'Base DCF'!J37</f>
        <v>0</v>
      </c>
      <c r="J255">
        <f>'Base DCF'!K37</f>
        <v>0</v>
      </c>
      <c r="K255">
        <f>'Base DCF'!L37</f>
        <v>0</v>
      </c>
      <c r="L255">
        <f>'Base DCF'!M37</f>
        <v>0</v>
      </c>
      <c r="M255">
        <f>'Base DCF'!N37</f>
        <v>0</v>
      </c>
      <c r="N255">
        <f>'Base DCF'!O37</f>
        <v>0</v>
      </c>
      <c r="O255">
        <f>'Base DCF'!P37</f>
        <v>0</v>
      </c>
      <c r="P255">
        <f>'Base DCF'!Q37</f>
        <v>0</v>
      </c>
      <c r="Q255">
        <f>'Base DCF'!R37</f>
        <v>0</v>
      </c>
      <c r="R255">
        <f>'Base DCF'!S37</f>
        <v>0</v>
      </c>
      <c r="S255">
        <f>'Base DCF'!T37</f>
        <v>0</v>
      </c>
      <c r="T255">
        <f>'Base DCF'!U37</f>
        <v>0</v>
      </c>
      <c r="U255">
        <f>'Base DCF'!V37</f>
        <v>0</v>
      </c>
      <c r="V255">
        <f>'Base DCF'!W37</f>
        <v>0</v>
      </c>
      <c r="W255">
        <f>'Base DCF'!X37</f>
        <v>0</v>
      </c>
      <c r="X255">
        <f>'Base DCF'!Y37</f>
        <v>0</v>
      </c>
      <c r="Y255">
        <f>'Base DCF'!Z37</f>
        <v>0</v>
      </c>
    </row>
    <row r="257" spans="1:25">
      <c r="A257">
        <f>'Base DCF'!B38</f>
        <v>0</v>
      </c>
      <c r="B257">
        <f>'Base DCF'!C38</f>
        <v>0</v>
      </c>
      <c r="C257">
        <f>'Base DCF'!D38</f>
        <v>0</v>
      </c>
      <c r="D257">
        <f>'Base DCF'!E38</f>
        <v>0</v>
      </c>
      <c r="E257">
        <f>'Base DCF'!F38</f>
        <v>0</v>
      </c>
      <c r="F257">
        <f>'Base DCF'!G38</f>
        <v>0</v>
      </c>
      <c r="G257">
        <f>'Base DCF'!H38</f>
        <v>0</v>
      </c>
      <c r="H257">
        <f>'Base DCF'!I38</f>
        <v>0</v>
      </c>
      <c r="I257">
        <f>'Base DCF'!J38</f>
        <v>0</v>
      </c>
      <c r="J257">
        <f>'Base DCF'!K38</f>
        <v>0</v>
      </c>
      <c r="K257">
        <f>'Base DCF'!L38</f>
        <v>0</v>
      </c>
      <c r="L257">
        <f>'Base DCF'!M38</f>
        <v>0</v>
      </c>
      <c r="M257">
        <f>'Base DCF'!N38</f>
        <v>0</v>
      </c>
      <c r="N257">
        <f>'Base DCF'!O38</f>
        <v>0</v>
      </c>
      <c r="O257">
        <f>'Base DCF'!P38</f>
        <v>0</v>
      </c>
      <c r="P257">
        <f>'Base DCF'!Q38</f>
        <v>0</v>
      </c>
      <c r="Q257">
        <f>'Base DCF'!R38</f>
        <v>0</v>
      </c>
      <c r="R257">
        <f>'Base DCF'!S38</f>
        <v>0</v>
      </c>
      <c r="S257">
        <f>'Base DCF'!T38</f>
        <v>0</v>
      </c>
      <c r="T257">
        <f>'Base DCF'!U38</f>
        <v>0</v>
      </c>
      <c r="U257">
        <f>'Base DCF'!V38</f>
        <v>0</v>
      </c>
      <c r="V257">
        <f>'Base DCF'!W38</f>
        <v>0</v>
      </c>
      <c r="W257">
        <f>'Base DCF'!X38</f>
        <v>0</v>
      </c>
      <c r="X257">
        <f>'Base DCF'!Y38</f>
        <v>0</v>
      </c>
      <c r="Y257">
        <f>'Base DCF'!Z38</f>
        <v>0</v>
      </c>
    </row>
    <row r="258" spans="1:25">
      <c r="A258">
        <f>'Base DCF'!B48</f>
        <v>0</v>
      </c>
      <c r="B258">
        <f>'Base DCF'!C48</f>
        <v>0</v>
      </c>
      <c r="C258">
        <f>'Base DCF'!D48</f>
        <v>0</v>
      </c>
      <c r="D258">
        <f>'Base DCF'!E48</f>
        <v>0</v>
      </c>
      <c r="E258">
        <f>'Base DCF'!F48</f>
        <v>0</v>
      </c>
      <c r="F258">
        <f>'Base DCF'!G48</f>
        <v>0</v>
      </c>
      <c r="G258">
        <f>'Base DCF'!H48</f>
        <v>0</v>
      </c>
      <c r="H258" t="s">
        <v>438</v>
      </c>
      <c r="I258">
        <v>1.9319999999999999</v>
      </c>
      <c r="J258">
        <f>'Base DCF'!K48</f>
        <v>0</v>
      </c>
      <c r="K258">
        <f>'Base DCF'!L48</f>
        <v>0</v>
      </c>
      <c r="L258">
        <f>'Base DCF'!M48</f>
        <v>0</v>
      </c>
      <c r="M258">
        <f>'Base DCF'!N48</f>
        <v>0</v>
      </c>
      <c r="N258">
        <f>'Base DCF'!O48</f>
        <v>0</v>
      </c>
      <c r="O258">
        <f>'Base DCF'!P48</f>
        <v>0</v>
      </c>
      <c r="P258">
        <f>'Base DCF'!Q48</f>
        <v>0</v>
      </c>
      <c r="Q258">
        <f>'Base DCF'!R48</f>
        <v>0</v>
      </c>
      <c r="R258">
        <f>'Base DCF'!S48</f>
        <v>0</v>
      </c>
      <c r="S258">
        <f>'Base DCF'!T48</f>
        <v>0</v>
      </c>
      <c r="T258">
        <f>'Base DCF'!U48</f>
        <v>0</v>
      </c>
      <c r="U258">
        <f>'Base DCF'!V48</f>
        <v>0</v>
      </c>
      <c r="V258">
        <f>'Base DCF'!W48</f>
        <v>0</v>
      </c>
      <c r="W258">
        <f>'Base DCF'!X48</f>
        <v>0</v>
      </c>
      <c r="X258">
        <f>'Base DCF'!Y48</f>
        <v>0</v>
      </c>
      <c r="Y258">
        <f>'Base DCF'!Z48</f>
        <v>0</v>
      </c>
    </row>
    <row r="259" spans="1:25">
      <c r="A259" t="str">
        <f>'Base DCF'!B49</f>
        <v>DCF Valuation Assumptions</v>
      </c>
      <c r="B259">
        <f>'Base DCF'!C49</f>
        <v>0</v>
      </c>
      <c r="C259">
        <f>'Base DCF'!D49</f>
        <v>0</v>
      </c>
      <c r="D259">
        <f>'Base DCF'!E49</f>
        <v>0</v>
      </c>
      <c r="E259">
        <f>'Base DCF'!F49</f>
        <v>0</v>
      </c>
      <c r="F259">
        <f>'Base DCF'!G49</f>
        <v>0</v>
      </c>
      <c r="G259">
        <f>'Base DCF'!H49</f>
        <v>0</v>
      </c>
      <c r="H259" t="s">
        <v>439</v>
      </c>
      <c r="I259">
        <v>1.218</v>
      </c>
      <c r="J259">
        <f>'Base DCF'!K49</f>
        <v>0</v>
      </c>
      <c r="K259">
        <f>'Base DCF'!L49</f>
        <v>0</v>
      </c>
      <c r="L259">
        <f>'Base DCF'!M49</f>
        <v>0</v>
      </c>
      <c r="M259">
        <f>'Base DCF'!N49</f>
        <v>0</v>
      </c>
      <c r="N259">
        <f>'Base DCF'!O49</f>
        <v>0</v>
      </c>
      <c r="O259">
        <f>'Base DCF'!P49</f>
        <v>0</v>
      </c>
      <c r="P259">
        <f>'Base DCF'!Q49</f>
        <v>0</v>
      </c>
      <c r="Q259">
        <f>'Base DCF'!R49</f>
        <v>0</v>
      </c>
      <c r="R259">
        <f>'Base DCF'!S49</f>
        <v>0</v>
      </c>
      <c r="S259">
        <f>'Base DCF'!T49</f>
        <v>0</v>
      </c>
      <c r="T259">
        <f>'Base DCF'!U49</f>
        <v>0</v>
      </c>
      <c r="U259">
        <f>'Base DCF'!V49</f>
        <v>0</v>
      </c>
      <c r="V259">
        <f>'Base DCF'!W49</f>
        <v>0</v>
      </c>
      <c r="W259">
        <f>'Base DCF'!X49</f>
        <v>0</v>
      </c>
      <c r="X259">
        <f>'Base DCF'!Y49</f>
        <v>0</v>
      </c>
      <c r="Y259">
        <f>'Base DCF'!Z49</f>
        <v>0</v>
      </c>
    </row>
    <row r="261" spans="1:25">
      <c r="A261" t="str">
        <f>'Base DCF'!B50</f>
        <v>Cost of Equity</v>
      </c>
      <c r="B261">
        <f>'Base DCF'!C50</f>
        <v>0</v>
      </c>
      <c r="C261">
        <f>'Base DCF'!D50</f>
        <v>0</v>
      </c>
      <c r="D261">
        <f>'Base DCF'!E50</f>
        <v>8.3548199999999989E-2</v>
      </c>
      <c r="E261">
        <f>'Base DCF'!F50</f>
        <v>0</v>
      </c>
      <c r="F261">
        <f>'Base DCF'!G50</f>
        <v>0</v>
      </c>
      <c r="G261">
        <f>'Base DCF'!H50</f>
        <v>0</v>
      </c>
      <c r="H261" t="s">
        <v>440</v>
      </c>
      <c r="I261">
        <v>1.284</v>
      </c>
      <c r="J261">
        <f>'Base DCF'!K50</f>
        <v>0</v>
      </c>
      <c r="K261">
        <f>'Base DCF'!L50</f>
        <v>0</v>
      </c>
      <c r="L261">
        <f>'Base DCF'!M50</f>
        <v>0</v>
      </c>
      <c r="M261">
        <f>'Base DCF'!N50</f>
        <v>0</v>
      </c>
      <c r="N261">
        <f>'Base DCF'!O50</f>
        <v>0</v>
      </c>
      <c r="O261">
        <f>'Base DCF'!P50</f>
        <v>0</v>
      </c>
      <c r="P261">
        <f>'Base DCF'!Q50</f>
        <v>0</v>
      </c>
      <c r="Q261">
        <f>'Base DCF'!R50</f>
        <v>0</v>
      </c>
      <c r="R261">
        <f>'Base DCF'!S50</f>
        <v>0</v>
      </c>
      <c r="S261">
        <f>'Base DCF'!T50</f>
        <v>0</v>
      </c>
      <c r="T261">
        <f>'Base DCF'!U50</f>
        <v>0</v>
      </c>
      <c r="U261">
        <f>'Base DCF'!V50</f>
        <v>0</v>
      </c>
      <c r="V261">
        <f>'Base DCF'!W50</f>
        <v>0</v>
      </c>
      <c r="W261">
        <f>'Base DCF'!X50</f>
        <v>0</v>
      </c>
      <c r="X261">
        <f>'Base DCF'!Y50</f>
        <v>0</v>
      </c>
      <c r="Y261">
        <f>'Base DCF'!Z50</f>
        <v>0</v>
      </c>
    </row>
    <row r="262" spans="1:25">
      <c r="A262" t="str">
        <f>'Base DCF'!B51</f>
        <v>Cost of Debt</v>
      </c>
      <c r="B262">
        <f>'Base DCF'!C51</f>
        <v>0</v>
      </c>
      <c r="C262">
        <f>'Base DCF'!D51</f>
        <v>0</v>
      </c>
      <c r="D262">
        <f>'Base DCF'!E51</f>
        <v>0.03</v>
      </c>
      <c r="E262">
        <f>'Base DCF'!F51</f>
        <v>0</v>
      </c>
      <c r="F262">
        <f>'Base DCF'!G51</f>
        <v>0</v>
      </c>
      <c r="G262">
        <f>'Base DCF'!H51</f>
        <v>0</v>
      </c>
      <c r="H262" t="s">
        <v>441</v>
      </c>
      <c r="I262">
        <v>1.335</v>
      </c>
      <c r="J262">
        <f>'Base DCF'!K51</f>
        <v>0</v>
      </c>
      <c r="K262">
        <f>'Base DCF'!L51</f>
        <v>0</v>
      </c>
      <c r="L262">
        <f>'Base DCF'!M51</f>
        <v>0</v>
      </c>
      <c r="M262">
        <f>'Base DCF'!N51</f>
        <v>0</v>
      </c>
      <c r="N262">
        <f>'Base DCF'!O51</f>
        <v>0</v>
      </c>
      <c r="O262">
        <f>'Base DCF'!P51</f>
        <v>0</v>
      </c>
      <c r="P262">
        <f>'Base DCF'!Q51</f>
        <v>0</v>
      </c>
      <c r="Q262">
        <f>'Base DCF'!R51</f>
        <v>0</v>
      </c>
      <c r="R262">
        <f>'Base DCF'!S51</f>
        <v>0</v>
      </c>
      <c r="S262">
        <f>'Base DCF'!T51</f>
        <v>0</v>
      </c>
      <c r="T262">
        <f>'Base DCF'!U51</f>
        <v>0</v>
      </c>
      <c r="U262">
        <f>'Base DCF'!V51</f>
        <v>0</v>
      </c>
      <c r="V262">
        <f>'Base DCF'!W51</f>
        <v>0</v>
      </c>
      <c r="W262">
        <f>'Base DCF'!X51</f>
        <v>0</v>
      </c>
      <c r="X262">
        <f>'Base DCF'!Y51</f>
        <v>0</v>
      </c>
      <c r="Y262">
        <f>'Base DCF'!Z51</f>
        <v>0</v>
      </c>
    </row>
    <row r="263" spans="1:25">
      <c r="A263" t="str">
        <f>'Base DCF'!B52</f>
        <v>Marginal Tax-Rate</v>
      </c>
      <c r="B263">
        <f>'Base DCF'!C52</f>
        <v>0</v>
      </c>
      <c r="C263">
        <f>'Base DCF'!D52</f>
        <v>0</v>
      </c>
      <c r="D263">
        <f>'Base DCF'!E52</f>
        <v>0.35</v>
      </c>
      <c r="E263">
        <f>'Base DCF'!F52</f>
        <v>0</v>
      </c>
      <c r="F263">
        <f>'Base DCF'!G52</f>
        <v>0</v>
      </c>
      <c r="G263">
        <f>'Base DCF'!H52</f>
        <v>0</v>
      </c>
      <c r="H263" t="s">
        <v>442</v>
      </c>
      <c r="I263">
        <v>1.2615757575757578</v>
      </c>
      <c r="J263">
        <f>'Base DCF'!K52</f>
        <v>0</v>
      </c>
      <c r="K263">
        <f>'Base DCF'!L52</f>
        <v>0</v>
      </c>
      <c r="L263">
        <f>'Base DCF'!M52</f>
        <v>0</v>
      </c>
      <c r="M263">
        <f>'Base DCF'!N52</f>
        <v>0</v>
      </c>
      <c r="N263">
        <f>'Base DCF'!O52</f>
        <v>0</v>
      </c>
      <c r="O263">
        <f>'Base DCF'!P52</f>
        <v>0</v>
      </c>
      <c r="P263">
        <f>'Base DCF'!Q52</f>
        <v>0</v>
      </c>
      <c r="Q263">
        <f>'Base DCF'!R52</f>
        <v>0</v>
      </c>
      <c r="R263">
        <f>'Base DCF'!S52</f>
        <v>0</v>
      </c>
      <c r="S263">
        <f>'Base DCF'!T52</f>
        <v>0</v>
      </c>
      <c r="T263">
        <f>'Base DCF'!U52</f>
        <v>0</v>
      </c>
      <c r="U263">
        <f>'Base DCF'!V52</f>
        <v>0</v>
      </c>
      <c r="V263">
        <f>'Base DCF'!W52</f>
        <v>0</v>
      </c>
      <c r="W263">
        <f>'Base DCF'!X52</f>
        <v>0</v>
      </c>
      <c r="X263">
        <f>'Base DCF'!Y52</f>
        <v>0</v>
      </c>
      <c r="Y263">
        <f>'Base DCF'!Z52</f>
        <v>0</v>
      </c>
    </row>
    <row r="264" spans="1:25">
      <c r="A264" t="str">
        <f>'Base DCF'!B53</f>
        <v>Long-Term Debt / Total Cap.</v>
      </c>
      <c r="B264">
        <f>'Base DCF'!C53</f>
        <v>0</v>
      </c>
      <c r="C264">
        <f>'Base DCF'!D53</f>
        <v>0</v>
      </c>
      <c r="D264">
        <f>'Base DCF'!E53</f>
        <v>0.02</v>
      </c>
      <c r="E264">
        <f>'Base DCF'!F53</f>
        <v>0</v>
      </c>
      <c r="F264">
        <f>'Base DCF'!G53</f>
        <v>0</v>
      </c>
      <c r="G264">
        <f>'Base DCF'!H53</f>
        <v>0</v>
      </c>
      <c r="H264">
        <f>'Base DCF'!I53</f>
        <v>0</v>
      </c>
      <c r="I264">
        <f>'Base DCF'!J53</f>
        <v>0</v>
      </c>
      <c r="J264">
        <f>'Base DCF'!K53</f>
        <v>0</v>
      </c>
      <c r="K264">
        <f>'Base DCF'!L53</f>
        <v>0</v>
      </c>
      <c r="L264">
        <f>'Base DCF'!M53</f>
        <v>0</v>
      </c>
      <c r="M264">
        <f>'Base DCF'!N53</f>
        <v>0</v>
      </c>
      <c r="N264">
        <f>'Base DCF'!O53</f>
        <v>0</v>
      </c>
      <c r="O264">
        <f>'Base DCF'!P53</f>
        <v>0</v>
      </c>
      <c r="P264">
        <f>'Base DCF'!Q53</f>
        <v>0</v>
      </c>
      <c r="Q264">
        <f>'Base DCF'!R53</f>
        <v>0</v>
      </c>
      <c r="R264">
        <f>'Base DCF'!S53</f>
        <v>0</v>
      </c>
      <c r="S264">
        <f>'Base DCF'!T53</f>
        <v>0</v>
      </c>
      <c r="T264">
        <f>'Base DCF'!U53</f>
        <v>0</v>
      </c>
      <c r="U264">
        <f>'Base DCF'!V53</f>
        <v>0</v>
      </c>
      <c r="V264">
        <f>'Base DCF'!W53</f>
        <v>0</v>
      </c>
      <c r="W264">
        <f>'Base DCF'!X53</f>
        <v>0</v>
      </c>
      <c r="X264">
        <f>'Base DCF'!Y53</f>
        <v>0</v>
      </c>
      <c r="Y264">
        <f>'Base DCF'!Z53</f>
        <v>0</v>
      </c>
    </row>
    <row r="265" spans="1:25">
      <c r="A265" t="str">
        <f>'Base DCF'!B54</f>
        <v>WACC</v>
      </c>
      <c r="B265">
        <f>'Base DCF'!C54</f>
        <v>0</v>
      </c>
      <c r="C265">
        <f>'Base DCF'!D54</f>
        <v>0</v>
      </c>
      <c r="D265">
        <f>'Base DCF'!E54</f>
        <v>8.2267235999999994E-2</v>
      </c>
      <c r="E265">
        <f>'Base DCF'!F54</f>
        <v>0</v>
      </c>
      <c r="F265">
        <f>'Base DCF'!G54</f>
        <v>0</v>
      </c>
      <c r="G265">
        <f>'Base DCF'!H54</f>
        <v>0</v>
      </c>
      <c r="H265">
        <f>'Base DCF'!I54</f>
        <v>0</v>
      </c>
      <c r="I265">
        <f>'Base DCF'!J54</f>
        <v>0</v>
      </c>
      <c r="J265">
        <f>'Base DCF'!K54</f>
        <v>0</v>
      </c>
      <c r="K265">
        <f>'Base DCF'!L54</f>
        <v>0</v>
      </c>
      <c r="L265">
        <f>'Base DCF'!M54</f>
        <v>0</v>
      </c>
      <c r="M265">
        <f>'Base DCF'!N54</f>
        <v>0</v>
      </c>
      <c r="N265">
        <f>'Base DCF'!O54</f>
        <v>0</v>
      </c>
      <c r="O265">
        <f>'Base DCF'!P54</f>
        <v>0</v>
      </c>
      <c r="P265">
        <f>'Base DCF'!Q54</f>
        <v>0</v>
      </c>
      <c r="Q265">
        <f>'Base DCF'!R54</f>
        <v>0</v>
      </c>
      <c r="R265">
        <f>'Base DCF'!S54</f>
        <v>0</v>
      </c>
      <c r="S265">
        <f>'Base DCF'!T54</f>
        <v>0</v>
      </c>
      <c r="T265">
        <f>'Base DCF'!U54</f>
        <v>0</v>
      </c>
      <c r="U265">
        <f>'Base DCF'!V54</f>
        <v>0</v>
      </c>
      <c r="V265">
        <f>'Base DCF'!W54</f>
        <v>0</v>
      </c>
      <c r="W265">
        <f>'Base DCF'!X54</f>
        <v>0</v>
      </c>
      <c r="X265">
        <f>'Base DCF'!Y54</f>
        <v>0</v>
      </c>
      <c r="Y265">
        <f>'Base DCF'!Z54</f>
        <v>0</v>
      </c>
    </row>
    <row r="266" spans="1:25">
      <c r="A266" t="str">
        <f>'Base DCF'!B55</f>
        <v>Perpetual Growth Rate</v>
      </c>
      <c r="B266">
        <f>'Base DCF'!C55</f>
        <v>0</v>
      </c>
      <c r="C266">
        <f>'Base DCF'!D55</f>
        <v>0</v>
      </c>
      <c r="D266">
        <f>'Base DCF'!E55</f>
        <v>3.5000000000000003E-2</v>
      </c>
      <c r="E266">
        <f>'Base DCF'!F55</f>
        <v>0</v>
      </c>
      <c r="F266">
        <f>'Base DCF'!G55</f>
        <v>0</v>
      </c>
      <c r="G266">
        <f>'Base DCF'!H55</f>
        <v>0</v>
      </c>
      <c r="H266">
        <f>'Base DCF'!I55</f>
        <v>0</v>
      </c>
      <c r="I266">
        <f>'Base DCF'!J55</f>
        <v>0</v>
      </c>
      <c r="J266">
        <f>'Base DCF'!K55</f>
        <v>0</v>
      </c>
      <c r="K266">
        <f>'Base DCF'!L55</f>
        <v>0</v>
      </c>
      <c r="L266">
        <f>'Base DCF'!M55</f>
        <v>0</v>
      </c>
      <c r="M266">
        <f>'Base DCF'!N55</f>
        <v>0</v>
      </c>
      <c r="N266">
        <f>'Base DCF'!O55</f>
        <v>0</v>
      </c>
      <c r="O266">
        <f>'Base DCF'!P55</f>
        <v>0</v>
      </c>
      <c r="P266">
        <f>'Base DCF'!Q55</f>
        <v>0</v>
      </c>
      <c r="Q266">
        <f>'Base DCF'!R55</f>
        <v>0</v>
      </c>
      <c r="R266">
        <f>'Base DCF'!S55</f>
        <v>0</v>
      </c>
      <c r="S266">
        <f>'Base DCF'!T55</f>
        <v>0</v>
      </c>
      <c r="T266">
        <f>'Base DCF'!U55</f>
        <v>0</v>
      </c>
      <c r="U266">
        <f>'Base DCF'!V55</f>
        <v>0</v>
      </c>
      <c r="V266">
        <f>'Base DCF'!W55</f>
        <v>0</v>
      </c>
      <c r="W266">
        <f>'Base DCF'!X55</f>
        <v>0</v>
      </c>
      <c r="X266">
        <f>'Base DCF'!Y55</f>
        <v>0</v>
      </c>
      <c r="Y266">
        <f>'Base DCF'!Z55</f>
        <v>0</v>
      </c>
    </row>
    <row r="267" spans="1:25">
      <c r="A267">
        <f>'Base DCF'!B56</f>
        <v>0</v>
      </c>
      <c r="B267">
        <f>'Base DCF'!C56</f>
        <v>0</v>
      </c>
      <c r="C267">
        <f>'Base DCF'!D56</f>
        <v>0</v>
      </c>
      <c r="D267">
        <f>'Base DCF'!E56</f>
        <v>0</v>
      </c>
      <c r="E267">
        <f>'Base DCF'!F56</f>
        <v>0</v>
      </c>
      <c r="F267">
        <f>'Base DCF'!G56</f>
        <v>0</v>
      </c>
      <c r="G267">
        <f>'Base DCF'!H56</f>
        <v>0</v>
      </c>
      <c r="H267">
        <f>'Base DCF'!I56</f>
        <v>0</v>
      </c>
      <c r="I267">
        <f>'Base DCF'!J56</f>
        <v>0</v>
      </c>
      <c r="J267">
        <f>'Base DCF'!K56</f>
        <v>0</v>
      </c>
      <c r="K267">
        <f>'Base DCF'!L56</f>
        <v>0</v>
      </c>
      <c r="L267">
        <f>'Base DCF'!M56</f>
        <v>0</v>
      </c>
      <c r="M267">
        <f>'Base DCF'!N56</f>
        <v>0</v>
      </c>
      <c r="N267">
        <f>'Base DCF'!O56</f>
        <v>0</v>
      </c>
      <c r="O267">
        <f>'Base DCF'!P56</f>
        <v>0</v>
      </c>
      <c r="P267">
        <f>'Base DCF'!Q56</f>
        <v>0</v>
      </c>
      <c r="Q267">
        <f>'Base DCF'!R56</f>
        <v>0</v>
      </c>
      <c r="R267">
        <f>'Base DCF'!S56</f>
        <v>0</v>
      </c>
      <c r="S267">
        <f>'Base DCF'!T56</f>
        <v>0</v>
      </c>
      <c r="T267">
        <f>'Base DCF'!U56</f>
        <v>0</v>
      </c>
      <c r="U267">
        <f>'Base DCF'!V56</f>
        <v>0</v>
      </c>
      <c r="V267">
        <f>'Base DCF'!W56</f>
        <v>0</v>
      </c>
      <c r="W267">
        <f>'Base DCF'!X56</f>
        <v>0</v>
      </c>
      <c r="X267">
        <f>'Base DCF'!Y56</f>
        <v>0</v>
      </c>
      <c r="Y267">
        <f>'Base DCF'!Z56</f>
        <v>0</v>
      </c>
    </row>
    <row r="268" spans="1:25">
      <c r="A268" t="str">
        <f>'Base DCF'!B57</f>
        <v>Risk-free rate</v>
      </c>
      <c r="B268">
        <f>'Base DCF'!C57</f>
        <v>0</v>
      </c>
      <c r="C268">
        <f>'Base DCF'!D57</f>
        <v>0</v>
      </c>
      <c r="D268">
        <f>'Base DCF'!E57</f>
        <v>2.4899999999999999E-2</v>
      </c>
      <c r="E268">
        <f>'Base DCF'!F57</f>
        <v>0</v>
      </c>
      <c r="F268">
        <f>'Base DCF'!G57</f>
        <v>0</v>
      </c>
      <c r="G268">
        <f>'Base DCF'!H57</f>
        <v>0</v>
      </c>
      <c r="H268">
        <f>'Base DCF'!I57</f>
        <v>0</v>
      </c>
      <c r="I268">
        <f>'Base DCF'!J57</f>
        <v>0</v>
      </c>
      <c r="J268">
        <f>'Base DCF'!K57</f>
        <v>0</v>
      </c>
      <c r="K268">
        <f>'Base DCF'!L57</f>
        <v>0</v>
      </c>
      <c r="L268">
        <f>'Base DCF'!M57</f>
        <v>0</v>
      </c>
      <c r="M268">
        <f>'Base DCF'!N57</f>
        <v>0</v>
      </c>
      <c r="N268">
        <f>'Base DCF'!O57</f>
        <v>0</v>
      </c>
      <c r="O268">
        <f>'Base DCF'!P57</f>
        <v>0</v>
      </c>
      <c r="P268">
        <f>'Base DCF'!Q57</f>
        <v>0</v>
      </c>
      <c r="Q268">
        <f>'Base DCF'!R57</f>
        <v>0</v>
      </c>
      <c r="R268">
        <f>'Base DCF'!S57</f>
        <v>0</v>
      </c>
      <c r="S268">
        <f>'Base DCF'!T57</f>
        <v>0</v>
      </c>
      <c r="T268">
        <f>'Base DCF'!U57</f>
        <v>0</v>
      </c>
      <c r="U268">
        <f>'Base DCF'!V57</f>
        <v>0</v>
      </c>
      <c r="V268">
        <f>'Base DCF'!W57</f>
        <v>0</v>
      </c>
      <c r="W268">
        <f>'Base DCF'!X57</f>
        <v>0</v>
      </c>
      <c r="X268">
        <f>'Base DCF'!Y57</f>
        <v>0</v>
      </c>
      <c r="Y268">
        <f>'Base DCF'!Z57</f>
        <v>0</v>
      </c>
    </row>
    <row r="269" spans="1:25">
      <c r="A269" t="str">
        <f>'Base DCF'!B58</f>
        <v>Market Risk Premium</v>
      </c>
      <c r="B269">
        <f>'Base DCF'!C58</f>
        <v>0</v>
      </c>
      <c r="C269">
        <f>'Base DCF'!D58</f>
        <v>0</v>
      </c>
      <c r="D269">
        <f>'Base DCF'!E58</f>
        <v>4.3799999999999999E-2</v>
      </c>
      <c r="E269">
        <f>'Base DCF'!F58</f>
        <v>0</v>
      </c>
      <c r="F269">
        <f>'Base DCF'!G58</f>
        <v>0</v>
      </c>
      <c r="G269">
        <f>'Base DCF'!H58</f>
        <v>0</v>
      </c>
      <c r="H269">
        <f>'Base DCF'!I58</f>
        <v>0</v>
      </c>
      <c r="I269">
        <f>'Base DCF'!J58</f>
        <v>0</v>
      </c>
      <c r="J269">
        <f>'Base DCF'!K58</f>
        <v>0</v>
      </c>
      <c r="K269">
        <f>'Base DCF'!L58</f>
        <v>0</v>
      </c>
      <c r="L269">
        <f>'Base DCF'!M58</f>
        <v>0</v>
      </c>
      <c r="M269">
        <f>'Base DCF'!N58</f>
        <v>0</v>
      </c>
      <c r="N269">
        <f>'Base DCF'!O58</f>
        <v>0</v>
      </c>
      <c r="O269">
        <f>'Base DCF'!P58</f>
        <v>0</v>
      </c>
      <c r="P269">
        <f>'Base DCF'!Q58</f>
        <v>0</v>
      </c>
      <c r="Q269">
        <f>'Base DCF'!R58</f>
        <v>0</v>
      </c>
      <c r="R269">
        <f>'Base DCF'!S58</f>
        <v>0</v>
      </c>
      <c r="S269">
        <f>'Base DCF'!T58</f>
        <v>0</v>
      </c>
      <c r="T269">
        <f>'Base DCF'!U58</f>
        <v>0</v>
      </c>
      <c r="U269">
        <f>'Base DCF'!V58</f>
        <v>0</v>
      </c>
      <c r="V269">
        <f>'Base DCF'!W58</f>
        <v>0</v>
      </c>
      <c r="W269">
        <f>'Base DCF'!X58</f>
        <v>0</v>
      </c>
      <c r="X269">
        <f>'Base DCF'!Y58</f>
        <v>0</v>
      </c>
      <c r="Y269">
        <f>'Base DCF'!Z58</f>
        <v>0</v>
      </c>
    </row>
    <row r="270" spans="1:25">
      <c r="A270" t="str">
        <f>'Base DCF'!B59</f>
        <v>Equity Beta</v>
      </c>
      <c r="B270">
        <f>'Base DCF'!C59</f>
        <v>0</v>
      </c>
      <c r="C270">
        <f>'Base DCF'!D59</f>
        <v>0</v>
      </c>
      <c r="D270">
        <f>'Base DCF'!E59</f>
        <v>1.339</v>
      </c>
      <c r="E270">
        <f>'Base DCF'!F59</f>
        <v>0</v>
      </c>
      <c r="F270">
        <f>'Base DCF'!G59</f>
        <v>0</v>
      </c>
      <c r="G270">
        <f>'Base DCF'!H59</f>
        <v>0</v>
      </c>
      <c r="H270">
        <f>'Base DCF'!I59</f>
        <v>0</v>
      </c>
      <c r="I270">
        <f>'Base DCF'!J59</f>
        <v>0</v>
      </c>
      <c r="J270">
        <f>'Base DCF'!K59</f>
        <v>0</v>
      </c>
      <c r="K270">
        <f>'Base DCF'!L59</f>
        <v>0</v>
      </c>
      <c r="L270">
        <f>'Base DCF'!M59</f>
        <v>0</v>
      </c>
      <c r="M270">
        <f>'Base DCF'!N59</f>
        <v>0</v>
      </c>
      <c r="N270">
        <f>'Base DCF'!O59</f>
        <v>0</v>
      </c>
      <c r="O270">
        <f>'Base DCF'!P59</f>
        <v>0</v>
      </c>
      <c r="P270">
        <f>'Base DCF'!Q59</f>
        <v>0</v>
      </c>
      <c r="Q270">
        <f>'Base DCF'!R59</f>
        <v>0</v>
      </c>
      <c r="R270">
        <f>'Base DCF'!S59</f>
        <v>0</v>
      </c>
      <c r="S270">
        <f>'Base DCF'!T59</f>
        <v>0</v>
      </c>
      <c r="T270">
        <f>'Base DCF'!U59</f>
        <v>0</v>
      </c>
      <c r="U270">
        <f>'Base DCF'!V59</f>
        <v>0</v>
      </c>
      <c r="V270">
        <f>'Base DCF'!W59</f>
        <v>0</v>
      </c>
      <c r="W270">
        <f>'Base DCF'!X59</f>
        <v>0</v>
      </c>
      <c r="X270">
        <f>'Base DCF'!Y59</f>
        <v>0</v>
      </c>
      <c r="Y270">
        <f>'Base DCF'!Z59</f>
        <v>0</v>
      </c>
    </row>
    <row r="271" spans="1:25">
      <c r="A271" t="str">
        <f>'Base DCF'!B60</f>
        <v>Required Equity Return</v>
      </c>
      <c r="B271">
        <f>'Base DCF'!C60</f>
        <v>0</v>
      </c>
      <c r="C271">
        <f>'Base DCF'!D60</f>
        <v>0</v>
      </c>
      <c r="D271">
        <f>'Base DCF'!E60</f>
        <v>8.3548199999999989E-2</v>
      </c>
      <c r="E271">
        <f>'Base DCF'!F60</f>
        <v>0</v>
      </c>
      <c r="F271">
        <f>'Base DCF'!G60</f>
        <v>0</v>
      </c>
      <c r="G271">
        <f>'Base DCF'!H60</f>
        <v>0</v>
      </c>
      <c r="H271">
        <f>'Base DCF'!I60</f>
        <v>0</v>
      </c>
      <c r="I271">
        <f>'Base DCF'!J60</f>
        <v>0</v>
      </c>
      <c r="J271">
        <f>'Base DCF'!K60</f>
        <v>0</v>
      </c>
      <c r="K271">
        <f>'Base DCF'!L60</f>
        <v>0</v>
      </c>
      <c r="L271">
        <f>'Base DCF'!M60</f>
        <v>0</v>
      </c>
      <c r="M271">
        <f>'Base DCF'!N60</f>
        <v>0</v>
      </c>
      <c r="N271">
        <f>'Base DCF'!O60</f>
        <v>0</v>
      </c>
      <c r="O271">
        <f>'Base DCF'!P60</f>
        <v>0</v>
      </c>
      <c r="P271">
        <f>'Base DCF'!Q60</f>
        <v>0</v>
      </c>
      <c r="Q271">
        <f>'Base DCF'!R60</f>
        <v>0</v>
      </c>
      <c r="R271">
        <f>'Base DCF'!S60</f>
        <v>0</v>
      </c>
      <c r="S271">
        <f>'Base DCF'!T60</f>
        <v>0</v>
      </c>
      <c r="T271">
        <f>'Base DCF'!U60</f>
        <v>0</v>
      </c>
      <c r="U271">
        <f>'Base DCF'!V60</f>
        <v>0</v>
      </c>
      <c r="V271">
        <f>'Base DCF'!W60</f>
        <v>0</v>
      </c>
      <c r="W271">
        <f>'Base DCF'!X60</f>
        <v>0</v>
      </c>
      <c r="X271">
        <f>'Base DCF'!Y60</f>
        <v>0</v>
      </c>
      <c r="Y271">
        <f>'Base DCF'!Z60</f>
        <v>0</v>
      </c>
    </row>
    <row r="272" spans="1:25">
      <c r="A272">
        <f>'Base DCF'!B61</f>
        <v>0</v>
      </c>
      <c r="B272">
        <f>'Base DCF'!C61</f>
        <v>0</v>
      </c>
      <c r="C272">
        <f>'Base DCF'!D61</f>
        <v>0</v>
      </c>
      <c r="D272">
        <f>'Base DCF'!E61</f>
        <v>0</v>
      </c>
      <c r="E272">
        <f>'Base DCF'!F61</f>
        <v>0</v>
      </c>
      <c r="F272">
        <f>'Base DCF'!G61</f>
        <v>0</v>
      </c>
      <c r="G272">
        <f>'Base DCF'!H61</f>
        <v>0</v>
      </c>
      <c r="H272">
        <f>'Base DCF'!I61</f>
        <v>0</v>
      </c>
      <c r="I272">
        <f>'Base DCF'!J61</f>
        <v>0</v>
      </c>
      <c r="J272">
        <f>'Base DCF'!K61</f>
        <v>0</v>
      </c>
      <c r="K272">
        <f>'Base DCF'!L61</f>
        <v>0</v>
      </c>
      <c r="L272">
        <f>'Base DCF'!M61</f>
        <v>0</v>
      </c>
      <c r="M272">
        <f>'Base DCF'!N61</f>
        <v>0</v>
      </c>
      <c r="N272">
        <f>'Base DCF'!O61</f>
        <v>0</v>
      </c>
      <c r="O272">
        <f>'Base DCF'!P61</f>
        <v>0</v>
      </c>
      <c r="P272">
        <f>'Base DCF'!Q61</f>
        <v>0</v>
      </c>
      <c r="Q272">
        <f>'Base DCF'!R61</f>
        <v>0</v>
      </c>
      <c r="R272">
        <f>'Base DCF'!S61</f>
        <v>0</v>
      </c>
      <c r="S272">
        <f>'Base DCF'!T61</f>
        <v>0</v>
      </c>
      <c r="T272">
        <f>'Base DCF'!U61</f>
        <v>0</v>
      </c>
      <c r="U272">
        <f>'Base DCF'!V61</f>
        <v>0</v>
      </c>
      <c r="V272">
        <f>'Base DCF'!W61</f>
        <v>0</v>
      </c>
      <c r="W272">
        <f>'Base DCF'!X61</f>
        <v>0</v>
      </c>
      <c r="X272">
        <f>'Base DCF'!Y61</f>
        <v>0</v>
      </c>
      <c r="Y272">
        <f>'Base DCF'!Z61</f>
        <v>0</v>
      </c>
    </row>
    <row r="273" spans="1:41">
      <c r="A273" t="str">
        <f>'Base DCF'!B68</f>
        <v>Tax NOL worksheet</v>
      </c>
      <c r="B273">
        <f>'Base DCF'!C68</f>
        <v>0</v>
      </c>
      <c r="C273">
        <f>'Base DCF'!D68</f>
        <v>0</v>
      </c>
      <c r="D273">
        <f>'Base DCF'!E68</f>
        <v>0</v>
      </c>
      <c r="E273">
        <f>'Base DCF'!F68</f>
        <v>0</v>
      </c>
      <c r="F273">
        <f>'Base DCF'!G68</f>
        <v>0</v>
      </c>
      <c r="G273">
        <f>'Base DCF'!H68</f>
        <v>0</v>
      </c>
      <c r="H273">
        <f>'Base DCF'!I68</f>
        <v>0</v>
      </c>
      <c r="I273">
        <f>'Base DCF'!J68</f>
        <v>0</v>
      </c>
      <c r="J273">
        <f>'Base DCF'!K68</f>
        <v>0</v>
      </c>
      <c r="K273">
        <f>'Base DCF'!L68</f>
        <v>0</v>
      </c>
      <c r="L273">
        <f>'Base DCF'!M68</f>
        <v>0</v>
      </c>
      <c r="M273">
        <f>'Base DCF'!N68</f>
        <v>0</v>
      </c>
      <c r="N273">
        <f>'Base DCF'!O68</f>
        <v>0</v>
      </c>
      <c r="O273">
        <f>'Base DCF'!P68</f>
        <v>0</v>
      </c>
      <c r="P273">
        <f>'Base DCF'!Q68</f>
        <v>0</v>
      </c>
      <c r="Q273">
        <f>'Base DCF'!R68</f>
        <v>0</v>
      </c>
      <c r="R273">
        <f>'Base DCF'!S68</f>
        <v>0</v>
      </c>
      <c r="S273">
        <f>'Base DCF'!T68</f>
        <v>0</v>
      </c>
      <c r="T273">
        <f>'Base DCF'!U68</f>
        <v>0</v>
      </c>
      <c r="U273">
        <f>'Base DCF'!V68</f>
        <v>0</v>
      </c>
      <c r="V273">
        <f>'Base DCF'!W68</f>
        <v>0</v>
      </c>
      <c r="W273">
        <f>'Base DCF'!X68</f>
        <v>0</v>
      </c>
      <c r="X273">
        <f>'Base DCF'!Y68</f>
        <v>0</v>
      </c>
      <c r="Y273">
        <f>'Base DCF'!Z68</f>
        <v>0</v>
      </c>
    </row>
    <row r="274" spans="1:41">
      <c r="A274" t="str">
        <f>'Base DCF'!B69</f>
        <v>GAAP pre-tax income</v>
      </c>
      <c r="B274">
        <f>'Base DCF'!C69</f>
        <v>0</v>
      </c>
      <c r="C274">
        <f>'Base DCF'!D69</f>
        <v>0</v>
      </c>
      <c r="D274">
        <f>'Base DCF'!E69</f>
        <v>0</v>
      </c>
      <c r="E274">
        <f>'Base DCF'!F69</f>
        <v>0</v>
      </c>
      <c r="F274">
        <f>'Base DCF'!G69</f>
        <v>-380.48199999999997</v>
      </c>
      <c r="G274">
        <f>'Base DCF'!H69</f>
        <v>-521.72</v>
      </c>
      <c r="H274">
        <f>'Base DCF'!I69</f>
        <v>-3463.4079999999999</v>
      </c>
      <c r="I274">
        <f>'Base DCF'!J69</f>
        <v>-1172.4501188233176</v>
      </c>
      <c r="J274">
        <f>'Base DCF'!K69</f>
        <v>-909.3383986213837</v>
      </c>
      <c r="K274">
        <f>'Base DCF'!L69</f>
        <v>-675.89163111927803</v>
      </c>
      <c r="L274">
        <f>'Base DCF'!M69</f>
        <v>-317.00562297508543</v>
      </c>
      <c r="M274">
        <f>'Base DCF'!N69</f>
        <v>158.51353008022116</v>
      </c>
      <c r="N274">
        <f>'Base DCF'!O69</f>
        <v>662.89355428493138</v>
      </c>
      <c r="O274">
        <f>'Base DCF'!P69</f>
        <v>1160.5377282354118</v>
      </c>
      <c r="P274">
        <f>'Base DCF'!Q69</f>
        <v>1638.5706316070516</v>
      </c>
      <c r="Q274">
        <f>'Base DCF'!R69</f>
        <v>0</v>
      </c>
      <c r="R274">
        <f>'Base DCF'!S69</f>
        <v>0</v>
      </c>
      <c r="S274">
        <f>'Base DCF'!T69</f>
        <v>0</v>
      </c>
      <c r="T274">
        <f>'Base DCF'!U69</f>
        <v>0</v>
      </c>
      <c r="U274">
        <f>'Base DCF'!V69</f>
        <v>0</v>
      </c>
      <c r="V274">
        <f>'Base DCF'!W69</f>
        <v>0</v>
      </c>
      <c r="W274">
        <f>'Base DCF'!X69</f>
        <v>0</v>
      </c>
      <c r="X274">
        <f>'Base DCF'!Y69</f>
        <v>0</v>
      </c>
      <c r="Y274">
        <f>'Base DCF'!Z69</f>
        <v>0</v>
      </c>
    </row>
    <row r="275" spans="1:41">
      <c r="A275" t="str">
        <f>'Base DCF'!B70</f>
        <v>Beginning NOL value</v>
      </c>
      <c r="B275">
        <f>'Base DCF'!C70</f>
        <v>0</v>
      </c>
      <c r="C275">
        <f>'Base DCF'!D70</f>
        <v>0</v>
      </c>
      <c r="D275">
        <f>'Base DCF'!E70</f>
        <v>0</v>
      </c>
      <c r="E275">
        <f>'Base DCF'!F70</f>
        <v>0</v>
      </c>
      <c r="F275">
        <f>'Base DCF'!G70</f>
        <v>395.5</v>
      </c>
      <c r="G275">
        <f>'Base DCF'!H70</f>
        <v>775.98199999999997</v>
      </c>
      <c r="H275">
        <f>'Base DCF'!I70</f>
        <v>1297.702</v>
      </c>
      <c r="I275">
        <f>'Base DCF'!J70</f>
        <v>4761.1099999999997</v>
      </c>
      <c r="J275">
        <f>'Base DCF'!K70</f>
        <v>5933.5601188233177</v>
      </c>
      <c r="K275">
        <f>'Base DCF'!L70</f>
        <v>6842.8985174447016</v>
      </c>
      <c r="L275">
        <f>'Base DCF'!M70</f>
        <v>7518.7901485639795</v>
      </c>
      <c r="M275">
        <f>'Base DCF'!N70</f>
        <v>7835.7957715390648</v>
      </c>
      <c r="N275">
        <f>'Base DCF'!O70</f>
        <v>7677.2822414588436</v>
      </c>
      <c r="O275">
        <f>'Base DCF'!P70</f>
        <v>7014.3886871739123</v>
      </c>
      <c r="P275">
        <f>'Base DCF'!Q70</f>
        <v>5853.8509589385003</v>
      </c>
      <c r="Q275">
        <f>'Base DCF'!R70</f>
        <v>0</v>
      </c>
      <c r="R275">
        <f>'Base DCF'!S70</f>
        <v>0</v>
      </c>
      <c r="S275">
        <f>'Base DCF'!T70</f>
        <v>0</v>
      </c>
      <c r="T275">
        <f>'Base DCF'!U70</f>
        <v>0</v>
      </c>
      <c r="U275">
        <f>'Base DCF'!V70</f>
        <v>0</v>
      </c>
      <c r="V275">
        <f>'Base DCF'!W70</f>
        <v>0</v>
      </c>
      <c r="W275">
        <f>'Base DCF'!X70</f>
        <v>0</v>
      </c>
      <c r="X275">
        <f>'Base DCF'!Y70</f>
        <v>0</v>
      </c>
      <c r="Y275">
        <f>'Base DCF'!Z70</f>
        <v>0</v>
      </c>
    </row>
    <row r="276" spans="1:41">
      <c r="A276" t="str">
        <f>'Base DCF'!B71</f>
        <v>NOL used</v>
      </c>
      <c r="B276">
        <f>'Base DCF'!C71</f>
        <v>0</v>
      </c>
      <c r="C276">
        <f>'Base DCF'!D71</f>
        <v>0</v>
      </c>
      <c r="D276">
        <f>'Base DCF'!E71</f>
        <v>0</v>
      </c>
      <c r="E276">
        <f>'Base DCF'!F71</f>
        <v>0</v>
      </c>
      <c r="F276">
        <f>'Base DCF'!G71</f>
        <v>-380.48199999999997</v>
      </c>
      <c r="G276">
        <f>'Base DCF'!H71</f>
        <v>-521.72</v>
      </c>
      <c r="H276">
        <f>'Base DCF'!I71</f>
        <v>-3463.4079999999999</v>
      </c>
      <c r="I276">
        <f>'Base DCF'!J71</f>
        <v>-1172.4501188233176</v>
      </c>
      <c r="J276">
        <f>'Base DCF'!K71</f>
        <v>-909.3383986213837</v>
      </c>
      <c r="K276">
        <f>'Base DCF'!L71</f>
        <v>-675.89163111927803</v>
      </c>
      <c r="L276">
        <f>'Base DCF'!M71</f>
        <v>-317.00562297508543</v>
      </c>
      <c r="M276">
        <f>'Base DCF'!N71</f>
        <v>158.51353008022116</v>
      </c>
      <c r="N276">
        <f>'Base DCF'!O71</f>
        <v>662.89355428493138</v>
      </c>
      <c r="O276">
        <f>'Base DCF'!P71</f>
        <v>1160.5377282354118</v>
      </c>
      <c r="P276">
        <f>'Base DCF'!Q71</f>
        <v>1638.5706316070516</v>
      </c>
      <c r="Q276">
        <f>'Base DCF'!R71</f>
        <v>0</v>
      </c>
      <c r="R276">
        <f>'Base DCF'!S71</f>
        <v>0</v>
      </c>
      <c r="S276">
        <f>'Base DCF'!T71</f>
        <v>0</v>
      </c>
      <c r="T276">
        <f>'Base DCF'!U71</f>
        <v>0</v>
      </c>
      <c r="U276">
        <f>'Base DCF'!V71</f>
        <v>0</v>
      </c>
      <c r="V276">
        <f>'Base DCF'!W71</f>
        <v>0</v>
      </c>
      <c r="W276">
        <f>'Base DCF'!X71</f>
        <v>0</v>
      </c>
      <c r="X276">
        <f>'Base DCF'!Y71</f>
        <v>0</v>
      </c>
      <c r="Y276">
        <f>'Base DCF'!Z71</f>
        <v>0</v>
      </c>
    </row>
    <row r="277" spans="1:41">
      <c r="A277" t="str">
        <f>'Base DCF'!B72</f>
        <v>Ending NOL value</v>
      </c>
      <c r="B277">
        <f>'Base DCF'!C72</f>
        <v>0</v>
      </c>
      <c r="C277">
        <f>'Base DCF'!D72</f>
        <v>0</v>
      </c>
      <c r="D277">
        <f>'Base DCF'!E72</f>
        <v>0</v>
      </c>
      <c r="E277">
        <f>'Base DCF'!F72</f>
        <v>0</v>
      </c>
      <c r="F277">
        <f>'Base DCF'!G72</f>
        <v>775.98199999999997</v>
      </c>
      <c r="G277">
        <f>'Base DCF'!H72</f>
        <v>1297.702</v>
      </c>
      <c r="H277">
        <f>'Base DCF'!I72</f>
        <v>4761.1099999999997</v>
      </c>
      <c r="I277">
        <f>'Base DCF'!J72</f>
        <v>5933.5601188233177</v>
      </c>
      <c r="J277">
        <f>'Base DCF'!K72</f>
        <v>6842.8985174447016</v>
      </c>
      <c r="K277">
        <f>'Base DCF'!L72</f>
        <v>7518.7901485639795</v>
      </c>
      <c r="L277">
        <f>'Base DCF'!M72</f>
        <v>7835.7957715390648</v>
      </c>
      <c r="M277">
        <f>'Base DCF'!N72</f>
        <v>7677.2822414588436</v>
      </c>
      <c r="N277">
        <f>'Base DCF'!O72</f>
        <v>7014.3886871739123</v>
      </c>
      <c r="O277">
        <f>'Base DCF'!P72</f>
        <v>5853.8509589385003</v>
      </c>
      <c r="P277">
        <f>'Base DCF'!Q72</f>
        <v>4215.2803273314485</v>
      </c>
      <c r="Q277">
        <f>'Base DCF'!R72</f>
        <v>0</v>
      </c>
      <c r="R277">
        <f>'Base DCF'!S72</f>
        <v>0</v>
      </c>
      <c r="S277">
        <f>'Base DCF'!T72</f>
        <v>0</v>
      </c>
      <c r="T277">
        <f>'Base DCF'!U72</f>
        <v>0</v>
      </c>
      <c r="U277">
        <f>'Base DCF'!V72</f>
        <v>0</v>
      </c>
      <c r="V277">
        <f>'Base DCF'!W72</f>
        <v>0</v>
      </c>
      <c r="W277">
        <f>'Base DCF'!X72</f>
        <v>0</v>
      </c>
      <c r="X277">
        <f>'Base DCF'!Y72</f>
        <v>0</v>
      </c>
      <c r="Y277">
        <f>'Base DCF'!Z72</f>
        <v>0</v>
      </c>
    </row>
    <row r="278" spans="1:41">
      <c r="A278">
        <f>'Base DCF'!B73</f>
        <v>0</v>
      </c>
      <c r="B278">
        <f>'Base DCF'!C73</f>
        <v>0</v>
      </c>
      <c r="C278">
        <f>'Base DCF'!D73</f>
        <v>0</v>
      </c>
      <c r="D278">
        <f>'Base DCF'!E73</f>
        <v>0</v>
      </c>
      <c r="E278">
        <f>'Base DCF'!F73</f>
        <v>0</v>
      </c>
      <c r="F278">
        <f>'Base DCF'!G73</f>
        <v>0</v>
      </c>
      <c r="G278">
        <f>'Base DCF'!H73</f>
        <v>0</v>
      </c>
      <c r="H278">
        <f>'Base DCF'!I73</f>
        <v>0</v>
      </c>
      <c r="I278">
        <f>'Base DCF'!J73</f>
        <v>0</v>
      </c>
      <c r="J278">
        <f>'Base DCF'!K73</f>
        <v>0</v>
      </c>
      <c r="K278">
        <f>'Base DCF'!L73</f>
        <v>0</v>
      </c>
      <c r="L278">
        <f>'Base DCF'!M73</f>
        <v>0</v>
      </c>
      <c r="M278">
        <f>'Base DCF'!N73</f>
        <v>0</v>
      </c>
      <c r="N278">
        <f>'Base DCF'!O73</f>
        <v>0</v>
      </c>
      <c r="O278">
        <f>'Base DCF'!P73</f>
        <v>0</v>
      </c>
      <c r="P278">
        <f>'Base DCF'!Q73</f>
        <v>0</v>
      </c>
      <c r="Q278">
        <f>'Base DCF'!R73</f>
        <v>0</v>
      </c>
      <c r="R278">
        <f>'Base DCF'!S73</f>
        <v>0</v>
      </c>
      <c r="S278">
        <f>'Base DCF'!T73</f>
        <v>0</v>
      </c>
      <c r="T278">
        <f>'Base DCF'!U73</f>
        <v>0</v>
      </c>
      <c r="U278">
        <f>'Base DCF'!V73</f>
        <v>0</v>
      </c>
      <c r="V278">
        <f>'Base DCF'!W73</f>
        <v>0</v>
      </c>
      <c r="W278">
        <f>'Base DCF'!X73</f>
        <v>0</v>
      </c>
      <c r="X278">
        <f>'Base DCF'!Y73</f>
        <v>0</v>
      </c>
      <c r="Y278">
        <f>'Base DCF'!Z73</f>
        <v>0</v>
      </c>
    </row>
    <row r="279" spans="1:41">
      <c r="A279" t="str">
        <f>'Base DCF'!B74</f>
        <v>Taxable income</v>
      </c>
      <c r="B279">
        <f>'Base DCF'!C74</f>
        <v>0</v>
      </c>
      <c r="C279">
        <f>'Base DCF'!D74</f>
        <v>0</v>
      </c>
      <c r="D279">
        <f>'Base DCF'!E74</f>
        <v>0</v>
      </c>
      <c r="E279">
        <f>'Base DCF'!F74</f>
        <v>0</v>
      </c>
      <c r="F279">
        <f>'Base DCF'!G74</f>
        <v>0</v>
      </c>
      <c r="G279">
        <f>'Base DCF'!H74</f>
        <v>0</v>
      </c>
      <c r="H279">
        <f>'Base DCF'!I74</f>
        <v>0</v>
      </c>
      <c r="I279">
        <f>'Base DCF'!J74</f>
        <v>0</v>
      </c>
      <c r="J279">
        <f>'Base DCF'!K74</f>
        <v>0</v>
      </c>
      <c r="K279">
        <f>'Base DCF'!L74</f>
        <v>0</v>
      </c>
      <c r="L279">
        <f>'Base DCF'!M74</f>
        <v>0</v>
      </c>
      <c r="M279">
        <f>'Base DCF'!N74</f>
        <v>0</v>
      </c>
      <c r="N279">
        <f>'Base DCF'!O74</f>
        <v>0</v>
      </c>
      <c r="O279">
        <f>'Base DCF'!P74</f>
        <v>0</v>
      </c>
      <c r="P279">
        <f>'Base DCF'!Q74</f>
        <v>0</v>
      </c>
      <c r="Q279">
        <f>'Base DCF'!R74</f>
        <v>0</v>
      </c>
      <c r="R279">
        <f>'Base DCF'!S74</f>
        <v>0</v>
      </c>
      <c r="S279">
        <f>'Base DCF'!T74</f>
        <v>0</v>
      </c>
      <c r="T279">
        <f>'Base DCF'!U74</f>
        <v>0</v>
      </c>
      <c r="U279">
        <f>'Base DCF'!V74</f>
        <v>0</v>
      </c>
      <c r="V279">
        <f>'Base DCF'!W74</f>
        <v>0</v>
      </c>
      <c r="W279">
        <f>'Base DCF'!X74</f>
        <v>0</v>
      </c>
      <c r="X279">
        <f>'Base DCF'!Y74</f>
        <v>0</v>
      </c>
      <c r="Y279">
        <f>'Base DCF'!Z74</f>
        <v>0</v>
      </c>
    </row>
    <row r="280" spans="1:41">
      <c r="A280" t="str">
        <f>'Base DCF'!B75</f>
        <v>Assumed cash tax rate</v>
      </c>
      <c r="B280">
        <f>'Base DCF'!C75</f>
        <v>0</v>
      </c>
      <c r="C280">
        <f>'Base DCF'!D75</f>
        <v>0</v>
      </c>
      <c r="D280">
        <f>'Base DCF'!E75</f>
        <v>0</v>
      </c>
      <c r="E280">
        <f>'Base DCF'!F75</f>
        <v>0</v>
      </c>
      <c r="F280">
        <f>'Base DCF'!G75</f>
        <v>0</v>
      </c>
      <c r="G280">
        <f>'Base DCF'!H75</f>
        <v>0</v>
      </c>
      <c r="H280">
        <f>'Base DCF'!I75</f>
        <v>0</v>
      </c>
      <c r="I280">
        <f>'Base DCF'!J75</f>
        <v>0</v>
      </c>
      <c r="J280">
        <f>'Base DCF'!K75</f>
        <v>0.35</v>
      </c>
      <c r="K280">
        <f>'Base DCF'!L75</f>
        <v>0.35</v>
      </c>
      <c r="L280">
        <f>'Base DCF'!M75</f>
        <v>0.35</v>
      </c>
      <c r="M280">
        <f>'Base DCF'!N75</f>
        <v>0.35</v>
      </c>
      <c r="N280">
        <f>'Base DCF'!O75</f>
        <v>0.35</v>
      </c>
      <c r="O280">
        <f>'Base DCF'!P75</f>
        <v>0.35</v>
      </c>
      <c r="P280">
        <f>'Base DCF'!Q75</f>
        <v>0.35</v>
      </c>
      <c r="Q280">
        <f>'Base DCF'!R75</f>
        <v>0</v>
      </c>
      <c r="R280">
        <f>'Base DCF'!S75</f>
        <v>0</v>
      </c>
      <c r="S280">
        <f>'Base DCF'!T75</f>
        <v>0</v>
      </c>
      <c r="T280">
        <f>'Base DCF'!U75</f>
        <v>0</v>
      </c>
      <c r="U280">
        <f>'Base DCF'!V75</f>
        <v>0</v>
      </c>
      <c r="V280">
        <f>'Base DCF'!W75</f>
        <v>0</v>
      </c>
      <c r="W280">
        <f>'Base DCF'!X75</f>
        <v>0</v>
      </c>
      <c r="X280">
        <f>'Base DCF'!Y75</f>
        <v>0</v>
      </c>
      <c r="Y280">
        <f>'Base DCF'!Z75</f>
        <v>0</v>
      </c>
    </row>
    <row r="281" spans="1:41">
      <c r="A281" t="str">
        <f>'Base DCF'!B76</f>
        <v xml:space="preserve">Cash Taxes Paid </v>
      </c>
      <c r="B281">
        <f>'Base DCF'!C76</f>
        <v>0</v>
      </c>
      <c r="C281">
        <f>'Base DCF'!D76</f>
        <v>0</v>
      </c>
      <c r="D281">
        <f>'Base DCF'!E76</f>
        <v>0</v>
      </c>
      <c r="E281">
        <f>'Base DCF'!F76</f>
        <v>0</v>
      </c>
      <c r="F281">
        <f>'Base DCF'!G76</f>
        <v>0</v>
      </c>
      <c r="G281">
        <f>'Base DCF'!H76</f>
        <v>0</v>
      </c>
      <c r="H281">
        <f>'Base DCF'!I76</f>
        <v>0</v>
      </c>
      <c r="I281">
        <f>'Base DCF'!J76</f>
        <v>0</v>
      </c>
      <c r="J281">
        <f>'Base DCF'!K76</f>
        <v>0</v>
      </c>
      <c r="K281">
        <f>'Base DCF'!L76</f>
        <v>0</v>
      </c>
      <c r="L281">
        <f>'Base DCF'!M76</f>
        <v>0</v>
      </c>
      <c r="M281">
        <f>'Base DCF'!N76</f>
        <v>0</v>
      </c>
      <c r="N281">
        <f>'Base DCF'!O76</f>
        <v>0</v>
      </c>
      <c r="O281">
        <f>'Base DCF'!P76</f>
        <v>0</v>
      </c>
      <c r="P281">
        <f>'Base DCF'!Q76</f>
        <v>0</v>
      </c>
      <c r="Q281">
        <f>'Base DCF'!R76</f>
        <v>0</v>
      </c>
      <c r="R281">
        <f>'Base DCF'!S76</f>
        <v>0</v>
      </c>
      <c r="S281">
        <f>'Base DCF'!T76</f>
        <v>0</v>
      </c>
      <c r="T281">
        <f>'Base DCF'!U76</f>
        <v>0</v>
      </c>
      <c r="U281">
        <f>'Base DCF'!V76</f>
        <v>0</v>
      </c>
      <c r="V281">
        <f>'Base DCF'!W76</f>
        <v>0</v>
      </c>
      <c r="W281">
        <f>'Base DCF'!X76</f>
        <v>0</v>
      </c>
      <c r="X281">
        <f>'Base DCF'!Y76</f>
        <v>0</v>
      </c>
      <c r="Y281">
        <f>'Base DCF'!Z76</f>
        <v>0</v>
      </c>
    </row>
    <row r="282" spans="1:41">
      <c r="A282">
        <f>'Base DCF'!B77</f>
        <v>0</v>
      </c>
      <c r="B282">
        <f>'Base DCF'!C77</f>
        <v>0</v>
      </c>
      <c r="C282">
        <f>'Base DCF'!D77</f>
        <v>0</v>
      </c>
      <c r="D282">
        <f>'Base DCF'!E77</f>
        <v>0</v>
      </c>
      <c r="E282">
        <f>'Base DCF'!F77</f>
        <v>0</v>
      </c>
      <c r="F282">
        <f>'Base DCF'!G77</f>
        <v>0</v>
      </c>
      <c r="G282">
        <f>'Base DCF'!H77</f>
        <v>0</v>
      </c>
      <c r="H282">
        <f>'Base DCF'!I77</f>
        <v>0</v>
      </c>
      <c r="I282">
        <f>'Base DCF'!J77</f>
        <v>0</v>
      </c>
      <c r="J282">
        <f>'Base DCF'!K77</f>
        <v>0</v>
      </c>
      <c r="K282">
        <f>'Base DCF'!L77</f>
        <v>0</v>
      </c>
      <c r="L282">
        <f>'Base DCF'!M77</f>
        <v>0</v>
      </c>
      <c r="M282">
        <f>'Base DCF'!N77</f>
        <v>0</v>
      </c>
      <c r="N282">
        <f>'Base DCF'!O77</f>
        <v>0</v>
      </c>
      <c r="O282">
        <f>'Base DCF'!P77</f>
        <v>0</v>
      </c>
      <c r="P282">
        <f>'Base DCF'!Q77</f>
        <v>0</v>
      </c>
      <c r="Q282">
        <f>'Base DCF'!R77</f>
        <v>0</v>
      </c>
      <c r="R282">
        <f>'Base DCF'!S77</f>
        <v>0</v>
      </c>
      <c r="S282">
        <f>'Base DCF'!T77</f>
        <v>0</v>
      </c>
      <c r="T282">
        <f>'Base DCF'!U77</f>
        <v>0</v>
      </c>
      <c r="U282">
        <f>'Base DCF'!V77</f>
        <v>0</v>
      </c>
      <c r="V282">
        <f>'Base DCF'!W77</f>
        <v>0</v>
      </c>
      <c r="W282">
        <f>'Base DCF'!X77</f>
        <v>0</v>
      </c>
      <c r="X282">
        <f>'Base DCF'!Y77</f>
        <v>0</v>
      </c>
      <c r="Y282">
        <f>'Base DCF'!Z77</f>
        <v>0</v>
      </c>
    </row>
    <row r="283" spans="1:41">
      <c r="A283">
        <f>'Base DCF'!B78</f>
        <v>0</v>
      </c>
      <c r="B283">
        <f>'Base DCF'!C78</f>
        <v>0</v>
      </c>
      <c r="C283">
        <f>'Base DCF'!D78</f>
        <v>0</v>
      </c>
      <c r="D283">
        <f>'Base DCF'!E78</f>
        <v>0</v>
      </c>
      <c r="E283">
        <f>'Base DCF'!F78</f>
        <v>0</v>
      </c>
      <c r="F283">
        <f>'Base DCF'!G78</f>
        <v>0</v>
      </c>
      <c r="G283">
        <f>'Base DCF'!H78</f>
        <v>0</v>
      </c>
      <c r="H283">
        <f>'Base DCF'!I78</f>
        <v>0</v>
      </c>
      <c r="I283">
        <f>'Base DCF'!J78</f>
        <v>0</v>
      </c>
      <c r="J283">
        <f>'Base DCF'!K78</f>
        <v>0</v>
      </c>
      <c r="K283">
        <f>'Base DCF'!L78</f>
        <v>0</v>
      </c>
      <c r="L283">
        <f>'Base DCF'!M78</f>
        <v>0</v>
      </c>
      <c r="M283">
        <f>'Base DCF'!N78</f>
        <v>0</v>
      </c>
      <c r="N283">
        <f>'Base DCF'!O78</f>
        <v>0</v>
      </c>
      <c r="O283">
        <f>'Base DCF'!P78</f>
        <v>0</v>
      </c>
      <c r="P283">
        <f>'Base DCF'!Q78</f>
        <v>0</v>
      </c>
      <c r="Q283">
        <f>'Base DCF'!R78</f>
        <v>0</v>
      </c>
      <c r="R283">
        <f>'Base DCF'!S78</f>
        <v>0</v>
      </c>
      <c r="S283">
        <f>'Base DCF'!T78</f>
        <v>0</v>
      </c>
      <c r="T283">
        <f>'Base DCF'!U78</f>
        <v>0</v>
      </c>
      <c r="U283">
        <f>'Base DCF'!V78</f>
        <v>0</v>
      </c>
      <c r="V283">
        <f>'Base DCF'!W78</f>
        <v>0</v>
      </c>
      <c r="W283">
        <f>'Base DCF'!X78</f>
        <v>0</v>
      </c>
      <c r="X283">
        <f>'Base DCF'!Y78</f>
        <v>0</v>
      </c>
      <c r="Y283">
        <f>'Base DCF'!Z78</f>
        <v>0</v>
      </c>
    </row>
    <row r="284" spans="1:41">
      <c r="A284">
        <f>Model!I2</f>
        <v>0</v>
      </c>
      <c r="B284">
        <f>Model!J2</f>
        <v>2013</v>
      </c>
      <c r="C284">
        <f>Model!K2</f>
        <v>0</v>
      </c>
      <c r="D284">
        <f>Model!L2</f>
        <v>0</v>
      </c>
      <c r="E284">
        <f>Model!M2</f>
        <v>0</v>
      </c>
      <c r="F284">
        <f>Model!N2</f>
        <v>2014</v>
      </c>
      <c r="G284">
        <f>Model!O2</f>
        <v>0</v>
      </c>
      <c r="H284">
        <f>Model!P2</f>
        <v>0</v>
      </c>
      <c r="I284">
        <f>Model!Q2</f>
        <v>0</v>
      </c>
      <c r="J284">
        <f>Model!R2</f>
        <v>2015</v>
      </c>
      <c r="K284">
        <f>Model!S2</f>
        <v>0</v>
      </c>
      <c r="L284">
        <f>Model!T2</f>
        <v>0</v>
      </c>
      <c r="M284">
        <f>Model!U2</f>
        <v>0</v>
      </c>
      <c r="N284">
        <f>Model!V2</f>
        <v>2016</v>
      </c>
      <c r="O284">
        <f>Model!W2</f>
        <v>0</v>
      </c>
      <c r="P284">
        <f>Model!X2</f>
        <v>0</v>
      </c>
      <c r="Q284">
        <f>Model!Y2</f>
        <v>0</v>
      </c>
      <c r="R284">
        <f>Model!Z2</f>
        <v>2017</v>
      </c>
      <c r="S284">
        <f>Model!AA2</f>
        <v>0</v>
      </c>
      <c r="T284">
        <f>Model!AB2</f>
        <v>0</v>
      </c>
      <c r="U284">
        <f>Model!AC2</f>
        <v>0</v>
      </c>
      <c r="V284">
        <f>Model!AD2</f>
        <v>2018</v>
      </c>
      <c r="W284">
        <f>Model!AE2</f>
        <v>0</v>
      </c>
      <c r="X284">
        <f>Model!AF2</f>
        <v>0</v>
      </c>
      <c r="Y284">
        <f>Model!AG2</f>
        <v>0</v>
      </c>
      <c r="Z284">
        <f>Model!AH2</f>
        <v>0</v>
      </c>
      <c r="AA284">
        <f>Model!AI2</f>
        <v>0</v>
      </c>
      <c r="AB284">
        <f>Model!AJ2</f>
        <v>0</v>
      </c>
      <c r="AC284">
        <f>Model!AK2</f>
        <v>0</v>
      </c>
      <c r="AD284">
        <f>Model!AL2</f>
        <v>0</v>
      </c>
      <c r="AE284">
        <f>Model!AM2</f>
        <v>0</v>
      </c>
      <c r="AF284">
        <f>Model!AN2</f>
        <v>0</v>
      </c>
      <c r="AG284">
        <f>Model!AO2</f>
        <v>0</v>
      </c>
      <c r="AH284">
        <f>Model!AP2</f>
        <v>0</v>
      </c>
      <c r="AI284">
        <f>Model!AQ2</f>
        <v>0</v>
      </c>
      <c r="AJ284">
        <f>Model!AR2</f>
        <v>0</v>
      </c>
      <c r="AK284">
        <f>Model!AS2</f>
        <v>0</v>
      </c>
      <c r="AL284">
        <f>Model!AT2</f>
        <v>0</v>
      </c>
      <c r="AM284">
        <f>Model!AU2</f>
        <v>0</v>
      </c>
      <c r="AN284">
        <f>Model!AV2</f>
        <v>0</v>
      </c>
      <c r="AO284" t="str">
        <f>Model!AW2</f>
        <v>'16-'20</v>
      </c>
    </row>
    <row r="285" spans="1:41">
      <c r="A285" t="str">
        <f>Model!I3</f>
        <v>Snap, Inc Model (mn, USD)</v>
      </c>
      <c r="B285" t="str">
        <f>Model!J3</f>
        <v>1Q:13A</v>
      </c>
      <c r="C285" t="str">
        <f>Model!K3</f>
        <v>2Q:13A</v>
      </c>
      <c r="D285" t="str">
        <f>Model!L3</f>
        <v>3Q:13A</v>
      </c>
      <c r="E285" t="str">
        <f>Model!M3</f>
        <v>4Q:13A</v>
      </c>
      <c r="F285" t="str">
        <f>Model!N3</f>
        <v>1Q:14A</v>
      </c>
      <c r="G285" t="str">
        <f>Model!O3</f>
        <v>2Q:14A</v>
      </c>
      <c r="H285" t="str">
        <f>Model!P3</f>
        <v>3Q:14A</v>
      </c>
      <c r="I285" t="str">
        <f>Model!Q3</f>
        <v>4Q:14A</v>
      </c>
      <c r="J285" t="str">
        <f>Model!R3</f>
        <v>1Q:15A</v>
      </c>
      <c r="K285" t="str">
        <f>Model!S3</f>
        <v>2Q:15A</v>
      </c>
      <c r="L285" t="str">
        <f>Model!T3</f>
        <v>3Q:15A</v>
      </c>
      <c r="M285" t="str">
        <f>Model!U3</f>
        <v>4Q:15A</v>
      </c>
      <c r="N285" t="str">
        <f>Model!V3</f>
        <v>1Q:16A</v>
      </c>
      <c r="O285" t="str">
        <f>Model!W3</f>
        <v>2Q:16A</v>
      </c>
      <c r="P285" t="str">
        <f>Model!X3</f>
        <v>3Q:16A</v>
      </c>
      <c r="Q285" t="str">
        <f>Model!Y3</f>
        <v>4Q:16A</v>
      </c>
      <c r="R285" t="str">
        <f>Model!Z3</f>
        <v>1Q:17A</v>
      </c>
      <c r="S285" t="str">
        <f>Model!AA3</f>
        <v>2Q:17</v>
      </c>
      <c r="T285" t="str">
        <f>Model!AB3</f>
        <v>3Q:17</v>
      </c>
      <c r="U285" t="str">
        <f>Model!AC3</f>
        <v>4Q:17</v>
      </c>
      <c r="V285" t="str">
        <f>Model!AD3</f>
        <v>1Q:18E</v>
      </c>
      <c r="W285" t="str">
        <f>Model!AE3</f>
        <v>2Q:18E</v>
      </c>
      <c r="X285" t="str">
        <f>Model!AF3</f>
        <v>3Q:18E</v>
      </c>
      <c r="Y285" t="str">
        <f>Model!AG3</f>
        <v>4Q:18E</v>
      </c>
      <c r="Z285">
        <f>Model!AH3</f>
        <v>0</v>
      </c>
      <c r="AA285">
        <f>Model!AI3</f>
        <v>2013</v>
      </c>
      <c r="AB285">
        <f>Model!AJ3</f>
        <v>2014</v>
      </c>
      <c r="AC285">
        <f>Model!AK3</f>
        <v>2015</v>
      </c>
      <c r="AD285">
        <f>Model!AL3</f>
        <v>2016</v>
      </c>
      <c r="AE285">
        <f>Model!AM3</f>
        <v>2017</v>
      </c>
      <c r="AF285">
        <f>Model!AN3</f>
        <v>2018</v>
      </c>
      <c r="AG285">
        <f>Model!AO3</f>
        <v>2019</v>
      </c>
      <c r="AH285">
        <f>Model!AP3</f>
        <v>2020</v>
      </c>
      <c r="AI285">
        <f>Model!AQ3</f>
        <v>2021</v>
      </c>
      <c r="AJ285">
        <f>Model!AR3</f>
        <v>2022</v>
      </c>
      <c r="AK285">
        <f>Model!AS3</f>
        <v>2023</v>
      </c>
      <c r="AL285">
        <f>Model!AT3</f>
        <v>2024</v>
      </c>
      <c r="AM285">
        <f>Model!AU3</f>
        <v>2025</v>
      </c>
      <c r="AN285">
        <f>Model!AV3</f>
        <v>0</v>
      </c>
      <c r="AO285" t="str">
        <f>Model!AW3</f>
        <v>CAGR</v>
      </c>
    </row>
    <row r="286" spans="1:41">
      <c r="A286" t="str">
        <f>Model!I4</f>
        <v>Income Statement</v>
      </c>
      <c r="B286">
        <f>Model!J4</f>
        <v>0</v>
      </c>
      <c r="C286">
        <f>Model!K4</f>
        <v>0</v>
      </c>
      <c r="D286">
        <f>Model!L4</f>
        <v>0</v>
      </c>
      <c r="E286">
        <f>Model!M4</f>
        <v>0</v>
      </c>
      <c r="F286">
        <f>Model!N4</f>
        <v>0</v>
      </c>
      <c r="G286">
        <f>Model!O4</f>
        <v>0</v>
      </c>
      <c r="H286">
        <f>Model!P4</f>
        <v>0</v>
      </c>
      <c r="I286">
        <f>Model!Q4</f>
        <v>0</v>
      </c>
      <c r="J286">
        <f>Model!R4</f>
        <v>0</v>
      </c>
      <c r="K286">
        <f>Model!S4</f>
        <v>0</v>
      </c>
      <c r="L286">
        <f>Model!T4</f>
        <v>0</v>
      </c>
      <c r="M286">
        <f>Model!U4</f>
        <v>0</v>
      </c>
      <c r="N286">
        <f>Model!V4</f>
        <v>0</v>
      </c>
      <c r="O286">
        <f>Model!W4</f>
        <v>0</v>
      </c>
      <c r="P286">
        <f>Model!X4</f>
        <v>0</v>
      </c>
      <c r="Q286">
        <f>Model!Y4</f>
        <v>0</v>
      </c>
      <c r="R286">
        <f>Model!Z4</f>
        <v>0</v>
      </c>
      <c r="S286">
        <f>Model!AA4</f>
        <v>0</v>
      </c>
      <c r="T286">
        <f>Model!AB4</f>
        <v>0</v>
      </c>
      <c r="U286">
        <f>Model!AC4</f>
        <v>0</v>
      </c>
      <c r="V286">
        <f>Model!AD4</f>
        <v>0</v>
      </c>
      <c r="W286">
        <f>Model!AE4</f>
        <v>0</v>
      </c>
      <c r="X286">
        <f>Model!AF4</f>
        <v>0</v>
      </c>
      <c r="Y286">
        <f>Model!AG4</f>
        <v>0</v>
      </c>
      <c r="Z286">
        <f>Model!AH4</f>
        <v>0</v>
      </c>
      <c r="AA286">
        <f>Model!AI4</f>
        <v>0</v>
      </c>
      <c r="AB286">
        <f>Model!AJ4</f>
        <v>0</v>
      </c>
      <c r="AC286">
        <f>Model!AK4</f>
        <v>0</v>
      </c>
      <c r="AD286">
        <f>Model!AL4</f>
        <v>0</v>
      </c>
      <c r="AE286">
        <f>Model!AM4</f>
        <v>0</v>
      </c>
      <c r="AF286">
        <f>Model!AN4</f>
        <v>0</v>
      </c>
      <c r="AG286">
        <f>Model!AO4</f>
        <v>0</v>
      </c>
      <c r="AH286">
        <f>Model!AP4</f>
        <v>0</v>
      </c>
      <c r="AI286">
        <f>Model!AQ4</f>
        <v>0</v>
      </c>
      <c r="AJ286">
        <f>Model!AR4</f>
        <v>0</v>
      </c>
      <c r="AK286">
        <f>Model!AS4</f>
        <v>0</v>
      </c>
      <c r="AL286">
        <f>Model!AT4</f>
        <v>0</v>
      </c>
      <c r="AM286">
        <f>Model!AU4</f>
        <v>0</v>
      </c>
      <c r="AN286">
        <f>Model!AV4</f>
        <v>0</v>
      </c>
      <c r="AO286">
        <f>Model!AW4</f>
        <v>0</v>
      </c>
    </row>
    <row r="287" spans="1:41">
      <c r="A287" t="str">
        <f>Model!I5</f>
        <v>(mn, USD)</v>
      </c>
      <c r="B287">
        <f>Model!J5</f>
        <v>0</v>
      </c>
      <c r="C287">
        <f>Model!K5</f>
        <v>0</v>
      </c>
      <c r="D287">
        <f>Model!L5</f>
        <v>0</v>
      </c>
      <c r="E287">
        <f>Model!M5</f>
        <v>0</v>
      </c>
      <c r="F287">
        <f>Model!N5</f>
        <v>0</v>
      </c>
      <c r="G287">
        <f>Model!O5</f>
        <v>0</v>
      </c>
      <c r="H287">
        <f>Model!P5</f>
        <v>0</v>
      </c>
      <c r="I287">
        <f>Model!Q5</f>
        <v>0</v>
      </c>
      <c r="J287">
        <f>Model!R5</f>
        <v>0</v>
      </c>
      <c r="K287">
        <f>Model!S5</f>
        <v>0</v>
      </c>
      <c r="L287">
        <f>Model!T5</f>
        <v>0</v>
      </c>
      <c r="M287">
        <f>Model!U5</f>
        <v>0</v>
      </c>
      <c r="N287">
        <f>Model!V5</f>
        <v>0</v>
      </c>
      <c r="O287">
        <f>Model!W5</f>
        <v>0</v>
      </c>
      <c r="P287">
        <f>Model!X5</f>
        <v>0</v>
      </c>
      <c r="Q287">
        <f>Model!Y5</f>
        <v>0</v>
      </c>
      <c r="R287">
        <f>Model!Z5</f>
        <v>0</v>
      </c>
      <c r="S287">
        <f>Model!AA5</f>
        <v>0</v>
      </c>
      <c r="T287">
        <f>Model!AB5</f>
        <v>0</v>
      </c>
      <c r="U287">
        <f>Model!AC5</f>
        <v>0</v>
      </c>
      <c r="V287">
        <f>Model!AD5</f>
        <v>0</v>
      </c>
      <c r="W287">
        <f>Model!AE5</f>
        <v>0</v>
      </c>
      <c r="X287">
        <f>Model!AF5</f>
        <v>0</v>
      </c>
      <c r="Y287">
        <f>Model!AG5</f>
        <v>0</v>
      </c>
      <c r="Z287">
        <f>Model!AH5</f>
        <v>0</v>
      </c>
      <c r="AA287">
        <f>Model!AI5</f>
        <v>0</v>
      </c>
      <c r="AB287">
        <f>Model!AJ5</f>
        <v>0</v>
      </c>
      <c r="AC287">
        <f>Model!AK5</f>
        <v>0</v>
      </c>
      <c r="AD287">
        <f>Model!AL5</f>
        <v>0</v>
      </c>
      <c r="AE287">
        <f>Model!AM5</f>
        <v>0</v>
      </c>
      <c r="AF287">
        <f>Model!AN5</f>
        <v>0</v>
      </c>
      <c r="AG287">
        <f>Model!AO5</f>
        <v>0</v>
      </c>
      <c r="AH287">
        <f>Model!AP5</f>
        <v>0</v>
      </c>
      <c r="AI287">
        <f>Model!AQ5</f>
        <v>0</v>
      </c>
      <c r="AJ287">
        <f>Model!AR5</f>
        <v>0</v>
      </c>
      <c r="AK287">
        <f>Model!AS5</f>
        <v>0</v>
      </c>
      <c r="AL287">
        <f>Model!AT5</f>
        <v>0</v>
      </c>
      <c r="AM287">
        <f>Model!AU5</f>
        <v>0</v>
      </c>
      <c r="AN287">
        <f>Model!AV5</f>
        <v>0</v>
      </c>
      <c r="AO287">
        <f>Model!AW5</f>
        <v>0</v>
      </c>
    </row>
    <row r="288" spans="1:41">
      <c r="A288" t="str">
        <f>Model!I6</f>
        <v xml:space="preserve">Revenue </v>
      </c>
      <c r="B288">
        <f>Model!J6</f>
        <v>0</v>
      </c>
      <c r="C288">
        <f>Model!K6</f>
        <v>0</v>
      </c>
      <c r="D288">
        <f>Model!L6</f>
        <v>0</v>
      </c>
      <c r="E288">
        <f>Model!M6</f>
        <v>0</v>
      </c>
      <c r="F288">
        <f>Model!N6</f>
        <v>0</v>
      </c>
      <c r="G288">
        <f>Model!O6</f>
        <v>0</v>
      </c>
      <c r="H288">
        <f>Model!P6</f>
        <v>0</v>
      </c>
      <c r="I288">
        <f>Model!Q6</f>
        <v>0</v>
      </c>
      <c r="J288">
        <f>Model!R6</f>
        <v>3.92</v>
      </c>
      <c r="K288">
        <f>Model!S6</f>
        <v>5.3</v>
      </c>
      <c r="L288">
        <f>Model!T6</f>
        <v>16.725000000000001</v>
      </c>
      <c r="M288">
        <f>Model!U6</f>
        <v>32.718000000000004</v>
      </c>
      <c r="N288">
        <f>Model!V6</f>
        <v>38.798000000000002</v>
      </c>
      <c r="O288">
        <f>Model!W6</f>
        <v>71.798000000000002</v>
      </c>
      <c r="P288">
        <f>Model!X6</f>
        <v>128.20400000000001</v>
      </c>
      <c r="Q288">
        <f>Model!Y6</f>
        <v>165.68199999999999</v>
      </c>
      <c r="R288">
        <f>Model!Z6</f>
        <v>149.648</v>
      </c>
      <c r="S288">
        <f>Model!AA6</f>
        <v>181.67099999999999</v>
      </c>
      <c r="T288">
        <f>Model!AB6</f>
        <v>207.93700000000001</v>
      </c>
      <c r="U288">
        <f>Model!AC6</f>
        <v>285.69299999999998</v>
      </c>
      <c r="V288">
        <f>Model!AD6</f>
        <v>249</v>
      </c>
      <c r="W288">
        <f>Model!AE6</f>
        <v>295</v>
      </c>
      <c r="X288">
        <f>Model!AF6</f>
        <v>341</v>
      </c>
      <c r="Y288">
        <f>Model!AG6</f>
        <v>428</v>
      </c>
      <c r="Z288">
        <f>Model!AH6</f>
        <v>0</v>
      </c>
      <c r="AA288">
        <f>Model!AI6</f>
        <v>0</v>
      </c>
      <c r="AB288">
        <f>Model!AJ6</f>
        <v>0</v>
      </c>
      <c r="AC288">
        <f>Model!AK6</f>
        <v>58.663000000000004</v>
      </c>
      <c r="AD288">
        <f>Model!AL6</f>
        <v>404.48199999999997</v>
      </c>
      <c r="AE288">
        <f>Model!AM6</f>
        <v>824.94899999999996</v>
      </c>
      <c r="AF288">
        <f>Model!AN6</f>
        <v>1313</v>
      </c>
      <c r="AG288">
        <f>Model!AO6</f>
        <v>1969.3647915228673</v>
      </c>
      <c r="AH288">
        <f>Model!AP6</f>
        <v>2804.8785252972893</v>
      </c>
      <c r="AI288">
        <f>Model!AQ6</f>
        <v>3812.9268110991698</v>
      </c>
      <c r="AJ288">
        <f>Model!AR6</f>
        <v>4963.9597425469474</v>
      </c>
      <c r="AK288">
        <f>Model!AS6</f>
        <v>6163.5677779709767</v>
      </c>
      <c r="AL288">
        <f>Model!AT6</f>
        <v>7355.8769720994733</v>
      </c>
      <c r="AM288">
        <f>Model!AU6</f>
        <v>8545.6284788867233</v>
      </c>
      <c r="AN288">
        <f>Model!AV6</f>
        <v>0</v>
      </c>
      <c r="AO288">
        <f>Model!AW6</f>
        <v>0.62275783411936159</v>
      </c>
    </row>
    <row r="289" spans="1:41">
      <c r="A289" t="str">
        <f>Model!I7</f>
        <v>Y/Y % Growth</v>
      </c>
      <c r="B289">
        <f>Model!J7</f>
        <v>0</v>
      </c>
      <c r="C289">
        <f>Model!K7</f>
        <v>0</v>
      </c>
      <c r="D289">
        <f>Model!L7</f>
        <v>0</v>
      </c>
      <c r="E289">
        <f>Model!M7</f>
        <v>0</v>
      </c>
      <c r="F289">
        <f>Model!N7</f>
        <v>0</v>
      </c>
      <c r="G289">
        <f>Model!O7</f>
        <v>0</v>
      </c>
      <c r="H289">
        <f>Model!P7</f>
        <v>0</v>
      </c>
      <c r="I289">
        <f>Model!Q7</f>
        <v>0</v>
      </c>
      <c r="J289">
        <f>Model!R7</f>
        <v>0</v>
      </c>
      <c r="K289">
        <f>Model!S7</f>
        <v>0</v>
      </c>
      <c r="L289">
        <f>Model!T7</f>
        <v>0</v>
      </c>
      <c r="M289">
        <f>Model!U7</f>
        <v>0</v>
      </c>
      <c r="N289">
        <f>Model!V7</f>
        <v>8.8974489795918377</v>
      </c>
      <c r="O289">
        <f>Model!W7</f>
        <v>12.546792452830189</v>
      </c>
      <c r="P289">
        <f>Model!X7</f>
        <v>6.6654110612855009</v>
      </c>
      <c r="Q289">
        <f>Model!Y7</f>
        <v>4.0639403386515056</v>
      </c>
      <c r="R289">
        <f>Model!Z7</f>
        <v>2.8571060363936285</v>
      </c>
      <c r="S289">
        <f>Model!AA7</f>
        <v>1.5303072508983537</v>
      </c>
      <c r="T289">
        <f>Model!AB7</f>
        <v>0.62192287292128179</v>
      </c>
      <c r="U289">
        <f>Model!AC7</f>
        <v>0.7243454328170833</v>
      </c>
      <c r="V289">
        <f>Model!AD7</f>
        <v>0.6639046295306319</v>
      </c>
      <c r="W289">
        <f>Model!AE7</f>
        <v>0.62381447781979515</v>
      </c>
      <c r="X289">
        <f>Model!AF7</f>
        <v>0.63991978339593225</v>
      </c>
      <c r="Y289">
        <f>Model!AG7</f>
        <v>0.49811160931489407</v>
      </c>
      <c r="Z289">
        <f>Model!AH7</f>
        <v>0</v>
      </c>
      <c r="AA289">
        <f>Model!AI7</f>
        <v>0</v>
      </c>
      <c r="AB289">
        <f>Model!AJ7</f>
        <v>0</v>
      </c>
      <c r="AC289">
        <f>Model!AK7</f>
        <v>0</v>
      </c>
      <c r="AD289">
        <f>Model!AL7</f>
        <v>5.8950104836097701</v>
      </c>
      <c r="AE289">
        <f>Model!AM7</f>
        <v>1.0395196819635979</v>
      </c>
      <c r="AF289">
        <f>Model!AN7</f>
        <v>0.59161354217048578</v>
      </c>
      <c r="AG289">
        <f>Model!AO7</f>
        <v>0.49989702324666219</v>
      </c>
      <c r="AH289">
        <f>Model!AP7</f>
        <v>0.42425544387250747</v>
      </c>
      <c r="AI289">
        <f>Model!AQ7</f>
        <v>0.35939106692509526</v>
      </c>
      <c r="AJ289">
        <f>Model!AR7</f>
        <v>0.30187648189238758</v>
      </c>
      <c r="AK289">
        <f>Model!AS7</f>
        <v>0.24166353025428156</v>
      </c>
      <c r="AL289">
        <f>Model!AT7</f>
        <v>0.19344464717170684</v>
      </c>
      <c r="AM289">
        <f>Model!AU7</f>
        <v>0.16174162663404057</v>
      </c>
      <c r="AN289">
        <f>Model!AV7</f>
        <v>0</v>
      </c>
      <c r="AO289">
        <f>Model!AW7</f>
        <v>0</v>
      </c>
    </row>
    <row r="290" spans="1:41">
      <c r="A290">
        <f>Model!I8</f>
        <v>0</v>
      </c>
      <c r="B290">
        <f>Model!J8</f>
        <v>0</v>
      </c>
      <c r="C290">
        <f>Model!K8</f>
        <v>0</v>
      </c>
      <c r="D290">
        <f>Model!L8</f>
        <v>0</v>
      </c>
      <c r="E290">
        <f>Model!M8</f>
        <v>0</v>
      </c>
      <c r="F290">
        <f>Model!N8</f>
        <v>0</v>
      </c>
      <c r="G290">
        <f>Model!O8</f>
        <v>0</v>
      </c>
      <c r="H290">
        <f>Model!P8</f>
        <v>0</v>
      </c>
      <c r="I290">
        <f>Model!Q8</f>
        <v>0</v>
      </c>
      <c r="J290">
        <f>Model!R8</f>
        <v>0</v>
      </c>
      <c r="K290">
        <f>Model!S8</f>
        <v>0</v>
      </c>
      <c r="L290">
        <f>Model!T8</f>
        <v>0</v>
      </c>
      <c r="M290">
        <f>Model!U8</f>
        <v>0</v>
      </c>
      <c r="N290">
        <f>Model!V8</f>
        <v>0</v>
      </c>
      <c r="O290">
        <f>Model!W8</f>
        <v>0</v>
      </c>
      <c r="P290">
        <f>Model!X8</f>
        <v>0</v>
      </c>
      <c r="Q290">
        <f>Model!Y8</f>
        <v>0</v>
      </c>
      <c r="R290">
        <f>Model!Z8</f>
        <v>0</v>
      </c>
      <c r="S290">
        <f>Model!AA8</f>
        <v>0</v>
      </c>
      <c r="T290">
        <f>Model!AB8</f>
        <v>0</v>
      </c>
      <c r="U290">
        <f>Model!AC8</f>
        <v>0</v>
      </c>
      <c r="V290">
        <f>Model!AD8</f>
        <v>0</v>
      </c>
      <c r="W290">
        <f>Model!AE8</f>
        <v>0</v>
      </c>
      <c r="X290">
        <f>Model!AF8</f>
        <v>0</v>
      </c>
      <c r="Y290">
        <f>Model!AG8</f>
        <v>0</v>
      </c>
      <c r="Z290">
        <f>Model!AH8</f>
        <v>0</v>
      </c>
      <c r="AA290">
        <f>Model!AI8</f>
        <v>0</v>
      </c>
      <c r="AB290">
        <f>Model!AJ8</f>
        <v>0</v>
      </c>
      <c r="AC290">
        <f>Model!AK8</f>
        <v>0</v>
      </c>
      <c r="AD290">
        <f>Model!AL8</f>
        <v>0</v>
      </c>
      <c r="AE290">
        <f>Model!AM8</f>
        <v>0</v>
      </c>
      <c r="AF290">
        <f>Model!AN8</f>
        <v>0</v>
      </c>
      <c r="AG290">
        <f>Model!AO8</f>
        <v>0</v>
      </c>
      <c r="AH290">
        <f>Model!AP8</f>
        <v>0</v>
      </c>
      <c r="AI290">
        <f>Model!AQ8</f>
        <v>0</v>
      </c>
      <c r="AJ290">
        <f>Model!AR8</f>
        <v>0</v>
      </c>
      <c r="AK290">
        <f>Model!AS8</f>
        <v>0</v>
      </c>
      <c r="AL290">
        <f>Model!AT8</f>
        <v>0</v>
      </c>
      <c r="AM290">
        <f>Model!AU8</f>
        <v>0</v>
      </c>
      <c r="AN290">
        <f>Model!AV8</f>
        <v>0</v>
      </c>
      <c r="AO290">
        <f>Model!AW8</f>
        <v>0</v>
      </c>
    </row>
    <row r="291" spans="1:41">
      <c r="A291" t="str">
        <f>Model!I9</f>
        <v xml:space="preserve">Cost of Revenue </v>
      </c>
      <c r="B291">
        <f>Model!J9</f>
        <v>0</v>
      </c>
      <c r="C291">
        <f>Model!K9</f>
        <v>0</v>
      </c>
      <c r="D291">
        <f>Model!L9</f>
        <v>0</v>
      </c>
      <c r="E291">
        <f>Model!M9</f>
        <v>0</v>
      </c>
      <c r="F291">
        <f>Model!N9</f>
        <v>0</v>
      </c>
      <c r="G291">
        <f>Model!O9</f>
        <v>0</v>
      </c>
      <c r="H291">
        <f>Model!P9</f>
        <v>0</v>
      </c>
      <c r="I291">
        <f>Model!Q9</f>
        <v>0</v>
      </c>
      <c r="J291">
        <f>Model!R9</f>
        <v>20.748999999999999</v>
      </c>
      <c r="K291">
        <f>Model!S9</f>
        <v>40.597999999999999</v>
      </c>
      <c r="L291">
        <f>Model!T9</f>
        <v>56.226999999999997</v>
      </c>
      <c r="M291">
        <f>Model!U9</f>
        <v>64.766999999999996</v>
      </c>
      <c r="N291">
        <f>Model!V9</f>
        <v>75.772999999999996</v>
      </c>
      <c r="O291">
        <f>Model!W9</f>
        <v>94.757000000000005</v>
      </c>
      <c r="P291">
        <f>Model!X9</f>
        <v>127.78</v>
      </c>
      <c r="Q291">
        <f>Model!Y9</f>
        <v>153.35</v>
      </c>
      <c r="R291">
        <f>Model!Z9</f>
        <v>163.358</v>
      </c>
      <c r="S291">
        <f>Model!AA9</f>
        <v>152.148</v>
      </c>
      <c r="T291">
        <f>Model!AB9</f>
        <v>210.71</v>
      </c>
      <c r="U291">
        <f>Model!AC9</f>
        <v>191.24600000000001</v>
      </c>
      <c r="V291">
        <f>Model!AD9</f>
        <v>171.23363855421687</v>
      </c>
      <c r="W291">
        <f>Model!AE9</f>
        <v>199.06585873563222</v>
      </c>
      <c r="X291">
        <f>Model!AF9</f>
        <v>236.4220450702247</v>
      </c>
      <c r="Y291">
        <f>Model!AG9</f>
        <v>255.31748732018715</v>
      </c>
      <c r="Z291">
        <f>Model!AH9</f>
        <v>0</v>
      </c>
      <c r="AA291">
        <f>Model!AI9</f>
        <v>0</v>
      </c>
      <c r="AB291">
        <f>Model!AJ9</f>
        <v>0</v>
      </c>
      <c r="AC291">
        <f>Model!AK9</f>
        <v>182.34099999999998</v>
      </c>
      <c r="AD291">
        <f>Model!AL9</f>
        <v>451.65999999999997</v>
      </c>
      <c r="AE291">
        <f>Model!AM9</f>
        <v>717.46199999999999</v>
      </c>
      <c r="AF291">
        <f>Model!AN9</f>
        <v>862.03902968026102</v>
      </c>
      <c r="AG291">
        <f>Model!AO9</f>
        <v>1056.6681210011945</v>
      </c>
      <c r="AH291">
        <f>Model!AP9</f>
        <v>1295.1800872735107</v>
      </c>
      <c r="AI291">
        <f>Model!AQ9</f>
        <v>1549.3423649311983</v>
      </c>
      <c r="AJ291">
        <f>Model!AR9</f>
        <v>1829.7041433236695</v>
      </c>
      <c r="AK291">
        <f>Model!AS9</f>
        <v>2125.3641545429882</v>
      </c>
      <c r="AL291">
        <f>Model!AT9</f>
        <v>2429.5571747210047</v>
      </c>
      <c r="AM291">
        <f>Model!AU9</f>
        <v>2746.2757781366154</v>
      </c>
      <c r="AN291">
        <f>Model!AV9</f>
        <v>0</v>
      </c>
      <c r="AO291">
        <f>Model!AW9</f>
        <v>0.30130659904092338</v>
      </c>
    </row>
    <row r="292" spans="1:41">
      <c r="A292">
        <f>Model!I10</f>
        <v>0</v>
      </c>
      <c r="B292">
        <f>Model!J10</f>
        <v>0</v>
      </c>
      <c r="C292">
        <f>Model!K10</f>
        <v>0</v>
      </c>
      <c r="D292">
        <f>Model!L10</f>
        <v>0</v>
      </c>
      <c r="E292">
        <f>Model!M10</f>
        <v>0</v>
      </c>
      <c r="F292">
        <f>Model!N10</f>
        <v>0</v>
      </c>
      <c r="G292">
        <f>Model!O10</f>
        <v>0</v>
      </c>
      <c r="H292">
        <f>Model!P10</f>
        <v>0</v>
      </c>
      <c r="I292">
        <f>Model!Q10</f>
        <v>0</v>
      </c>
      <c r="J292">
        <f>Model!R10</f>
        <v>0</v>
      </c>
      <c r="K292">
        <f>Model!S10</f>
        <v>0</v>
      </c>
      <c r="L292">
        <f>Model!T10</f>
        <v>0</v>
      </c>
      <c r="M292">
        <f>Model!U10</f>
        <v>0</v>
      </c>
      <c r="N292">
        <f>Model!V10</f>
        <v>0</v>
      </c>
      <c r="O292">
        <f>Model!W10</f>
        <v>0</v>
      </c>
      <c r="P292">
        <f>Model!X10</f>
        <v>0</v>
      </c>
      <c r="Q292">
        <f>Model!Y10</f>
        <v>0</v>
      </c>
      <c r="R292">
        <f>Model!Z10</f>
        <v>0</v>
      </c>
      <c r="S292">
        <f>Model!AA10</f>
        <v>0</v>
      </c>
      <c r="T292">
        <f>Model!AB10</f>
        <v>0</v>
      </c>
      <c r="U292">
        <f>Model!AC10</f>
        <v>0</v>
      </c>
      <c r="V292">
        <f>Model!AD10</f>
        <v>0</v>
      </c>
      <c r="W292">
        <f>Model!AE10</f>
        <v>0</v>
      </c>
      <c r="X292">
        <f>Model!AF10</f>
        <v>0</v>
      </c>
      <c r="Y292">
        <f>Model!AG10</f>
        <v>0</v>
      </c>
      <c r="Z292">
        <f>Model!AH10</f>
        <v>0</v>
      </c>
      <c r="AA292">
        <f>Model!AI10</f>
        <v>0</v>
      </c>
      <c r="AB292">
        <f>Model!AJ10</f>
        <v>0</v>
      </c>
      <c r="AC292">
        <f>Model!AK10</f>
        <v>0</v>
      </c>
      <c r="AD292">
        <f>Model!AL10</f>
        <v>0</v>
      </c>
      <c r="AE292">
        <f>Model!AM10</f>
        <v>0</v>
      </c>
      <c r="AF292">
        <f>Model!AN10</f>
        <v>0</v>
      </c>
      <c r="AG292">
        <f>Model!AO10</f>
        <v>0</v>
      </c>
      <c r="AH292">
        <f>Model!AP10</f>
        <v>0</v>
      </c>
      <c r="AI292">
        <f>Model!AQ10</f>
        <v>0</v>
      </c>
      <c r="AJ292">
        <f>Model!AR10</f>
        <v>0</v>
      </c>
      <c r="AK292">
        <f>Model!AS10</f>
        <v>0</v>
      </c>
      <c r="AL292">
        <f>Model!AT10</f>
        <v>0</v>
      </c>
      <c r="AM292">
        <f>Model!AU10</f>
        <v>0</v>
      </c>
      <c r="AN292">
        <f>Model!AV10</f>
        <v>0</v>
      </c>
      <c r="AO292">
        <f>Model!AW10</f>
        <v>0</v>
      </c>
    </row>
    <row r="293" spans="1:41">
      <c r="A293" t="str">
        <f>Model!I11</f>
        <v>Gross Profit</v>
      </c>
      <c r="B293">
        <f>Model!J11</f>
        <v>0</v>
      </c>
      <c r="C293">
        <f>Model!K11</f>
        <v>0</v>
      </c>
      <c r="D293">
        <f>Model!L11</f>
        <v>0</v>
      </c>
      <c r="E293">
        <f>Model!M11</f>
        <v>0</v>
      </c>
      <c r="F293">
        <f>Model!N11</f>
        <v>0</v>
      </c>
      <c r="G293">
        <f>Model!O11</f>
        <v>0</v>
      </c>
      <c r="H293">
        <f>Model!P11</f>
        <v>0</v>
      </c>
      <c r="I293">
        <f>Model!Q11</f>
        <v>0</v>
      </c>
      <c r="J293">
        <f>Model!R11</f>
        <v>-16.829000000000001</v>
      </c>
      <c r="K293">
        <f>Model!S11</f>
        <v>-35.298000000000002</v>
      </c>
      <c r="L293">
        <f>Model!T11</f>
        <v>-39.501999999999995</v>
      </c>
      <c r="M293">
        <f>Model!U11</f>
        <v>-32.048999999999992</v>
      </c>
      <c r="N293">
        <f>Model!V11</f>
        <v>-36.974999999999994</v>
      </c>
      <c r="O293">
        <f>Model!W11</f>
        <v>-22.959000000000003</v>
      </c>
      <c r="P293">
        <f>Model!X11</f>
        <v>0.42400000000000659</v>
      </c>
      <c r="Q293">
        <f>Model!Y11</f>
        <v>12.331999999999994</v>
      </c>
      <c r="R293">
        <f>Model!Z11</f>
        <v>-13.710000000000008</v>
      </c>
      <c r="S293">
        <f>Model!AA11</f>
        <v>29.522999999999996</v>
      </c>
      <c r="T293">
        <f>Model!AB11</f>
        <v>-2.7729999999999961</v>
      </c>
      <c r="U293">
        <f>Model!AC11</f>
        <v>94.446999999999974</v>
      </c>
      <c r="V293">
        <f>Model!AD11</f>
        <v>77.766361445783133</v>
      </c>
      <c r="W293">
        <f>Model!AE11</f>
        <v>95.934141264367781</v>
      </c>
      <c r="X293">
        <f>Model!AF11</f>
        <v>104.5779549297753</v>
      </c>
      <c r="Y293">
        <f>Model!AG11</f>
        <v>172.68251267981285</v>
      </c>
      <c r="Z293">
        <f>Model!AH11</f>
        <v>0</v>
      </c>
      <c r="AA293">
        <f>Model!AI11</f>
        <v>0</v>
      </c>
      <c r="AB293">
        <f>Model!AJ11</f>
        <v>0</v>
      </c>
      <c r="AC293">
        <f>Model!AK11</f>
        <v>-123.67799999999998</v>
      </c>
      <c r="AD293">
        <f>Model!AL11</f>
        <v>-47.177999999999997</v>
      </c>
      <c r="AE293">
        <f>Model!AM11</f>
        <v>107.48699999999997</v>
      </c>
      <c r="AF293">
        <f>Model!AN11</f>
        <v>450.96097031973909</v>
      </c>
      <c r="AG293">
        <f>Model!AO11</f>
        <v>912.69667052167279</v>
      </c>
      <c r="AH293">
        <f>Model!AP11</f>
        <v>1509.6984380237786</v>
      </c>
      <c r="AI293">
        <f>Model!AQ11</f>
        <v>2263.5844461679717</v>
      </c>
      <c r="AJ293">
        <f>Model!AR11</f>
        <v>3134.2555992232778</v>
      </c>
      <c r="AK293">
        <f>Model!AS11</f>
        <v>4038.2036234279885</v>
      </c>
      <c r="AL293">
        <f>Model!AT11</f>
        <v>4926.3197973784681</v>
      </c>
      <c r="AM293">
        <f>Model!AU11</f>
        <v>5799.3527007501079</v>
      </c>
      <c r="AN293">
        <f>Model!AV11</f>
        <v>0</v>
      </c>
      <c r="AO293">
        <f>Model!AW11</f>
        <v>0</v>
      </c>
    </row>
    <row r="294" spans="1:41">
      <c r="A294" t="str">
        <f>Model!I12</f>
        <v>Gross Margin</v>
      </c>
      <c r="B294">
        <f>Model!J12</f>
        <v>0</v>
      </c>
      <c r="C294">
        <f>Model!K12</f>
        <v>0</v>
      </c>
      <c r="D294">
        <f>Model!L12</f>
        <v>0</v>
      </c>
      <c r="E294">
        <f>Model!M12</f>
        <v>0</v>
      </c>
      <c r="F294">
        <f>Model!N12</f>
        <v>0</v>
      </c>
      <c r="G294">
        <f>Model!O12</f>
        <v>0</v>
      </c>
      <c r="H294">
        <f>Model!P12</f>
        <v>0</v>
      </c>
      <c r="I294">
        <f>Model!Q12</f>
        <v>0</v>
      </c>
      <c r="J294">
        <f>Model!R12</f>
        <v>-4.2931122448979595</v>
      </c>
      <c r="K294">
        <f>Model!S12</f>
        <v>-6.66</v>
      </c>
      <c r="L294">
        <f>Model!T12</f>
        <v>-2.36185351270553</v>
      </c>
      <c r="M294">
        <f>Model!U12</f>
        <v>-0.97955253988630075</v>
      </c>
      <c r="N294">
        <f>Model!V12</f>
        <v>-0.95301304190937663</v>
      </c>
      <c r="O294">
        <f>Model!W12</f>
        <v>-0.31977213849967967</v>
      </c>
      <c r="P294">
        <f>Model!X12</f>
        <v>3.307229103616163E-3</v>
      </c>
      <c r="Q294">
        <f>Model!Y12</f>
        <v>7.4431742736084758E-2</v>
      </c>
      <c r="R294">
        <f>Model!Z12</f>
        <v>-9.1614989842831229E-2</v>
      </c>
      <c r="S294">
        <f>Model!AA12</f>
        <v>0.16250805026669088</v>
      </c>
      <c r="T294">
        <f>Model!AB12</f>
        <v>-1.3335769968788604E-2</v>
      </c>
      <c r="U294">
        <f>Model!AC12</f>
        <v>0.33058912889010222</v>
      </c>
      <c r="V294">
        <f>Model!AD12</f>
        <v>0.31231470460153871</v>
      </c>
      <c r="W294">
        <f>Model!AE12</f>
        <v>0.32520047886226366</v>
      </c>
      <c r="X294">
        <f>Model!AF12</f>
        <v>0.30668021973541143</v>
      </c>
      <c r="Y294">
        <f>Model!AG12</f>
        <v>0.4034638146724599</v>
      </c>
      <c r="Z294">
        <f>Model!AH12</f>
        <v>0</v>
      </c>
      <c r="AA294">
        <f>Model!AI12</f>
        <v>0</v>
      </c>
      <c r="AB294">
        <f>Model!AJ12</f>
        <v>0</v>
      </c>
      <c r="AC294">
        <f>Model!AK12</f>
        <v>-2.1082794947411481</v>
      </c>
      <c r="AD294">
        <f>Model!AL12</f>
        <v>-0.11663807042093344</v>
      </c>
      <c r="AE294">
        <f>Model!AM12</f>
        <v>0.13029532734750873</v>
      </c>
      <c r="AF294">
        <f>Model!AN12</f>
        <v>0.34345846939812574</v>
      </c>
      <c r="AG294">
        <f>Model!AO12</f>
        <v>0.4634472366167896</v>
      </c>
      <c r="AH294">
        <f>Model!AP12</f>
        <v>0.53824022124586146</v>
      </c>
      <c r="AI294">
        <f>Model!AQ12</f>
        <v>0.59366060727387471</v>
      </c>
      <c r="AJ294">
        <f>Model!AR12</f>
        <v>0.63140230013532084</v>
      </c>
      <c r="AK294">
        <f>Model!AS12</f>
        <v>0.655173070029474</v>
      </c>
      <c r="AL294">
        <f>Model!AT12</f>
        <v>0.66971209769600393</v>
      </c>
      <c r="AM294">
        <f>Model!AU12</f>
        <v>0.67863384361703671</v>
      </c>
      <c r="AN294">
        <f>Model!AV12</f>
        <v>0</v>
      </c>
      <c r="AO294">
        <f>Model!AW12</f>
        <v>0</v>
      </c>
    </row>
    <row r="295" spans="1:41">
      <c r="A295">
        <f>Model!I13</f>
        <v>0</v>
      </c>
      <c r="B295">
        <f>Model!J13</f>
        <v>0</v>
      </c>
      <c r="C295">
        <f>Model!K13</f>
        <v>0</v>
      </c>
      <c r="D295">
        <f>Model!L13</f>
        <v>0</v>
      </c>
      <c r="E295">
        <f>Model!M13</f>
        <v>0</v>
      </c>
      <c r="F295">
        <f>Model!N13</f>
        <v>0</v>
      </c>
      <c r="G295">
        <f>Model!O13</f>
        <v>0</v>
      </c>
      <c r="H295">
        <f>Model!P13</f>
        <v>0</v>
      </c>
      <c r="I295">
        <f>Model!Q13</f>
        <v>0</v>
      </c>
      <c r="J295">
        <f>Model!R13</f>
        <v>0</v>
      </c>
      <c r="K295">
        <f>Model!S13</f>
        <v>0</v>
      </c>
      <c r="L295">
        <f>Model!T13</f>
        <v>0</v>
      </c>
      <c r="M295">
        <f>Model!U13</f>
        <v>0</v>
      </c>
      <c r="N295">
        <f>Model!V13</f>
        <v>0</v>
      </c>
      <c r="O295">
        <f>Model!W13</f>
        <v>0</v>
      </c>
      <c r="P295">
        <f>Model!X13</f>
        <v>0</v>
      </c>
      <c r="Q295">
        <f>Model!Y13</f>
        <v>0</v>
      </c>
      <c r="R295">
        <f>Model!Z13</f>
        <v>0</v>
      </c>
      <c r="S295">
        <f>Model!AA13</f>
        <v>0</v>
      </c>
      <c r="T295">
        <f>Model!AB13</f>
        <v>0</v>
      </c>
      <c r="U295">
        <f>Model!AC13</f>
        <v>0</v>
      </c>
      <c r="V295">
        <f>Model!AD13</f>
        <v>0</v>
      </c>
      <c r="W295">
        <f>Model!AE13</f>
        <v>0</v>
      </c>
      <c r="X295">
        <f>Model!AF13</f>
        <v>0</v>
      </c>
      <c r="Y295">
        <f>Model!AG13</f>
        <v>0</v>
      </c>
      <c r="Z295">
        <f>Model!AH13</f>
        <v>0</v>
      </c>
      <c r="AA295">
        <f>Model!AI13</f>
        <v>0</v>
      </c>
      <c r="AB295">
        <f>Model!AJ13</f>
        <v>0</v>
      </c>
      <c r="AC295">
        <f>Model!AK13</f>
        <v>0</v>
      </c>
      <c r="AD295">
        <f>Model!AL13</f>
        <v>0</v>
      </c>
      <c r="AE295">
        <f>Model!AM13</f>
        <v>0</v>
      </c>
      <c r="AF295">
        <f>Model!AN13</f>
        <v>0</v>
      </c>
      <c r="AG295">
        <f>Model!AO13</f>
        <v>0</v>
      </c>
      <c r="AH295">
        <f>Model!AP13</f>
        <v>0</v>
      </c>
      <c r="AI295">
        <f>Model!AQ13</f>
        <v>0</v>
      </c>
      <c r="AJ295">
        <f>Model!AR13</f>
        <v>0</v>
      </c>
      <c r="AK295">
        <f>Model!AS13</f>
        <v>0</v>
      </c>
      <c r="AL295">
        <f>Model!AT13</f>
        <v>0</v>
      </c>
      <c r="AM295">
        <f>Model!AU13</f>
        <v>0</v>
      </c>
      <c r="AN295">
        <f>Model!AV13</f>
        <v>0</v>
      </c>
      <c r="AO295">
        <f>Model!AW13</f>
        <v>0</v>
      </c>
    </row>
    <row r="296" spans="1:41">
      <c r="A296" t="str">
        <f>Model!I14</f>
        <v>Opex</v>
      </c>
      <c r="B296">
        <f>Model!J14</f>
        <v>0</v>
      </c>
      <c r="C296">
        <f>Model!K14</f>
        <v>0</v>
      </c>
      <c r="D296">
        <f>Model!L14</f>
        <v>0</v>
      </c>
      <c r="E296">
        <f>Model!M14</f>
        <v>0</v>
      </c>
      <c r="F296">
        <f>Model!N14</f>
        <v>0</v>
      </c>
      <c r="G296">
        <f>Model!O14</f>
        <v>0</v>
      </c>
      <c r="H296">
        <f>Model!P14</f>
        <v>0</v>
      </c>
      <c r="I296">
        <f>Model!Q14</f>
        <v>0</v>
      </c>
      <c r="J296">
        <f>Model!R14</f>
        <v>0</v>
      </c>
      <c r="K296">
        <f>Model!S14</f>
        <v>0</v>
      </c>
      <c r="L296">
        <f>Model!T14</f>
        <v>0</v>
      </c>
      <c r="M296">
        <f>Model!U14</f>
        <v>0</v>
      </c>
      <c r="N296">
        <f>Model!V14</f>
        <v>0</v>
      </c>
      <c r="O296">
        <f>Model!W14</f>
        <v>0</v>
      </c>
      <c r="P296">
        <f>Model!X14</f>
        <v>0</v>
      </c>
      <c r="Q296">
        <f>Model!Y14</f>
        <v>0</v>
      </c>
      <c r="R296">
        <f>Model!Z14</f>
        <v>0</v>
      </c>
      <c r="S296">
        <f>Model!AA14</f>
        <v>0</v>
      </c>
      <c r="T296">
        <f>Model!AB14</f>
        <v>0</v>
      </c>
      <c r="U296">
        <f>Model!AC14</f>
        <v>0</v>
      </c>
      <c r="V296">
        <f>Model!AD14</f>
        <v>0</v>
      </c>
      <c r="W296">
        <f>Model!AE14</f>
        <v>0</v>
      </c>
      <c r="X296">
        <f>Model!AF14</f>
        <v>0</v>
      </c>
      <c r="Y296">
        <f>Model!AG14</f>
        <v>0</v>
      </c>
      <c r="Z296">
        <f>Model!AH14</f>
        <v>0</v>
      </c>
      <c r="AA296">
        <f>Model!AI14</f>
        <v>0</v>
      </c>
      <c r="AB296">
        <f>Model!AJ14</f>
        <v>0</v>
      </c>
      <c r="AC296">
        <f>Model!AK14</f>
        <v>0</v>
      </c>
      <c r="AD296">
        <f>Model!AL14</f>
        <v>0</v>
      </c>
      <c r="AE296">
        <f>Model!AM14</f>
        <v>0</v>
      </c>
      <c r="AF296">
        <f>Model!AN14</f>
        <v>0</v>
      </c>
      <c r="AG296">
        <f>Model!AO14</f>
        <v>0</v>
      </c>
      <c r="AH296">
        <f>Model!AP14</f>
        <v>0</v>
      </c>
      <c r="AI296">
        <f>Model!AQ14</f>
        <v>0</v>
      </c>
      <c r="AJ296">
        <f>Model!AR14</f>
        <v>0</v>
      </c>
      <c r="AK296">
        <f>Model!AS14</f>
        <v>0</v>
      </c>
      <c r="AL296">
        <f>Model!AT14</f>
        <v>0</v>
      </c>
      <c r="AM296">
        <f>Model!AU14</f>
        <v>0</v>
      </c>
      <c r="AN296">
        <f>Model!AV14</f>
        <v>0</v>
      </c>
      <c r="AO296">
        <f>Model!AW14</f>
        <v>0</v>
      </c>
    </row>
    <row r="297" spans="1:41">
      <c r="A297" t="str">
        <f>Model!I15</f>
        <v>R&amp;D Expense</v>
      </c>
      <c r="B297">
        <f>Model!J15</f>
        <v>0</v>
      </c>
      <c r="C297">
        <f>Model!K15</f>
        <v>0</v>
      </c>
      <c r="D297">
        <f>Model!L15</f>
        <v>0</v>
      </c>
      <c r="E297">
        <f>Model!M15</f>
        <v>0</v>
      </c>
      <c r="F297">
        <f>Model!N15</f>
        <v>0</v>
      </c>
      <c r="G297">
        <f>Model!O15</f>
        <v>0</v>
      </c>
      <c r="H297">
        <f>Model!P15</f>
        <v>0</v>
      </c>
      <c r="I297">
        <f>Model!Q15</f>
        <v>0</v>
      </c>
      <c r="J297">
        <f>Model!R15</f>
        <v>16.587</v>
      </c>
      <c r="K297">
        <f>Model!S15</f>
        <v>17.259</v>
      </c>
      <c r="L297">
        <f>Model!T15</f>
        <v>18.989000000000001</v>
      </c>
      <c r="M297">
        <f>Model!U15</f>
        <v>29.4</v>
      </c>
      <c r="N297">
        <f>Model!V15</f>
        <v>28.097999999999999</v>
      </c>
      <c r="O297">
        <f>Model!W15</f>
        <v>36.052</v>
      </c>
      <c r="P297">
        <f>Model!X15</f>
        <v>54.561999999999998</v>
      </c>
      <c r="Q297">
        <f>Model!Y15</f>
        <v>64.963999999999999</v>
      </c>
      <c r="R297">
        <f>Model!Z15</f>
        <v>805.84799999999996</v>
      </c>
      <c r="S297">
        <f>Model!AA15</f>
        <v>255.73500000000001</v>
      </c>
      <c r="T297">
        <f>Model!AB15</f>
        <v>239.44200000000001</v>
      </c>
      <c r="U297">
        <f>Model!AC15</f>
        <v>233.83799999999999</v>
      </c>
      <c r="V297">
        <f>Model!AD15</f>
        <v>193.83799999999999</v>
      </c>
      <c r="W297">
        <f>Model!AE15</f>
        <v>185.73500000000001</v>
      </c>
      <c r="X297">
        <f>Model!AF15</f>
        <v>169.44200000000001</v>
      </c>
      <c r="Y297">
        <f>Model!AG15</f>
        <v>163.83799999999999</v>
      </c>
      <c r="Z297">
        <f>Model!AH15</f>
        <v>0</v>
      </c>
      <c r="AA297">
        <f>Model!AI15</f>
        <v>0</v>
      </c>
      <c r="AB297">
        <f>Model!AJ15</f>
        <v>0</v>
      </c>
      <c r="AC297">
        <f>Model!AK15</f>
        <v>82.235000000000014</v>
      </c>
      <c r="AD297">
        <f>Model!AL15</f>
        <v>183.67599999999999</v>
      </c>
      <c r="AE297">
        <f>Model!AM15</f>
        <v>1534.8630000000001</v>
      </c>
      <c r="AF297">
        <f>Model!AN15</f>
        <v>712.85299999999995</v>
      </c>
      <c r="AG297">
        <f>Model!AO15</f>
        <v>762.85299999999995</v>
      </c>
      <c r="AH297">
        <f>Model!AP15</f>
        <v>912.85299999999995</v>
      </c>
      <c r="AI297">
        <f>Model!AQ15</f>
        <v>1087.8530000000001</v>
      </c>
      <c r="AJ297">
        <f>Model!AR15</f>
        <v>1262.8530000000001</v>
      </c>
      <c r="AK297">
        <f>Model!AS15</f>
        <v>1437.8530000000001</v>
      </c>
      <c r="AL297">
        <f>Model!AT15</f>
        <v>1612.8530000000001</v>
      </c>
      <c r="AM297">
        <f>Model!AU15</f>
        <v>1787.8530000000001</v>
      </c>
      <c r="AN297">
        <f>Model!AV15</f>
        <v>0</v>
      </c>
      <c r="AO297">
        <f>Model!AW15</f>
        <v>0.49309385660501825</v>
      </c>
    </row>
    <row r="298" spans="1:41">
      <c r="A298" t="str">
        <f>Model!I16</f>
        <v>S&amp;M Expense</v>
      </c>
      <c r="B298">
        <f>Model!J16</f>
        <v>0</v>
      </c>
      <c r="C298">
        <f>Model!K16</f>
        <v>0</v>
      </c>
      <c r="D298">
        <f>Model!L16</f>
        <v>0</v>
      </c>
      <c r="E298">
        <f>Model!M16</f>
        <v>0</v>
      </c>
      <c r="F298">
        <f>Model!N16</f>
        <v>0</v>
      </c>
      <c r="G298">
        <f>Model!O16</f>
        <v>0</v>
      </c>
      <c r="H298">
        <f>Model!P16</f>
        <v>0</v>
      </c>
      <c r="I298">
        <f>Model!Q16</f>
        <v>0</v>
      </c>
      <c r="J298">
        <f>Model!R16</f>
        <v>3.4529999999999998</v>
      </c>
      <c r="K298">
        <f>Model!S16</f>
        <v>5.8719999999999999</v>
      </c>
      <c r="L298">
        <f>Model!T16</f>
        <v>8.2059999999999995</v>
      </c>
      <c r="M298">
        <f>Model!U16</f>
        <v>9.6850000000000005</v>
      </c>
      <c r="N298">
        <f>Model!V16</f>
        <v>14.737</v>
      </c>
      <c r="O298">
        <f>Model!W16</f>
        <v>24.587</v>
      </c>
      <c r="P298">
        <f>Model!X16</f>
        <v>34.658000000000001</v>
      </c>
      <c r="Q298">
        <f>Model!Y16</f>
        <v>50.389000000000003</v>
      </c>
      <c r="R298">
        <f>Model!Z16</f>
        <v>219.733</v>
      </c>
      <c r="S298">
        <f>Model!AA16</f>
        <v>90.903000000000006</v>
      </c>
      <c r="T298">
        <f>Model!AB16</f>
        <v>101.511</v>
      </c>
      <c r="U298">
        <f>Model!AC16</f>
        <v>110.458</v>
      </c>
      <c r="V298">
        <f>Model!AD16</f>
        <v>100.458</v>
      </c>
      <c r="W298">
        <f>Model!AE16</f>
        <v>100.90300000000001</v>
      </c>
      <c r="X298">
        <f>Model!AF16</f>
        <v>111.511</v>
      </c>
      <c r="Y298">
        <f>Model!AG16</f>
        <v>135.458</v>
      </c>
      <c r="Z298">
        <f>Model!AH16</f>
        <v>0</v>
      </c>
      <c r="AA298">
        <f>Model!AI16</f>
        <v>0</v>
      </c>
      <c r="AB298">
        <f>Model!AJ16</f>
        <v>0</v>
      </c>
      <c r="AC298">
        <f>Model!AK16</f>
        <v>27.216000000000001</v>
      </c>
      <c r="AD298">
        <f>Model!AL16</f>
        <v>124.37100000000001</v>
      </c>
      <c r="AE298">
        <f>Model!AM16</f>
        <v>522.60500000000002</v>
      </c>
      <c r="AF298">
        <f>Model!AN16</f>
        <v>448.32999999999993</v>
      </c>
      <c r="AG298">
        <f>Model!AO16</f>
        <v>548.32999999999993</v>
      </c>
      <c r="AH298">
        <f>Model!AP16</f>
        <v>678.32999999999993</v>
      </c>
      <c r="AI298">
        <f>Model!AQ16</f>
        <v>818.32999999999993</v>
      </c>
      <c r="AJ298">
        <f>Model!AR16</f>
        <v>958.32999999999993</v>
      </c>
      <c r="AK298">
        <f>Model!AS16</f>
        <v>1098.33</v>
      </c>
      <c r="AL298">
        <f>Model!AT16</f>
        <v>1238.33</v>
      </c>
      <c r="AM298">
        <f>Model!AU16</f>
        <v>1378.33</v>
      </c>
      <c r="AN298">
        <f>Model!AV16</f>
        <v>0</v>
      </c>
      <c r="AO298">
        <f>Model!AW16</f>
        <v>0.52820098267445004</v>
      </c>
    </row>
    <row r="299" spans="1:41">
      <c r="A299" t="str">
        <f>Model!I17</f>
        <v>G&amp;A Expense</v>
      </c>
      <c r="B299">
        <f>Model!J17</f>
        <v>0</v>
      </c>
      <c r="C299">
        <f>Model!K17</f>
        <v>0</v>
      </c>
      <c r="D299">
        <f>Model!L17</f>
        <v>0</v>
      </c>
      <c r="E299">
        <f>Model!M17</f>
        <v>0</v>
      </c>
      <c r="F299">
        <f>Model!N17</f>
        <v>0</v>
      </c>
      <c r="G299">
        <f>Model!O17</f>
        <v>0</v>
      </c>
      <c r="H299">
        <f>Model!P17</f>
        <v>0</v>
      </c>
      <c r="I299">
        <f>Model!Q17</f>
        <v>0</v>
      </c>
      <c r="J299">
        <f>Model!R17</f>
        <v>61.976999999999997</v>
      </c>
      <c r="K299">
        <f>Model!S17</f>
        <v>29.391999999999999</v>
      </c>
      <c r="L299">
        <f>Model!T17</f>
        <v>30.204999999999998</v>
      </c>
      <c r="M299">
        <f>Model!U17</f>
        <v>27.026</v>
      </c>
      <c r="N299">
        <f>Model!V17</f>
        <v>24.010999999999999</v>
      </c>
      <c r="O299">
        <f>Model!W17</f>
        <v>32.261000000000003</v>
      </c>
      <c r="P299">
        <f>Model!X17</f>
        <v>42.171999999999997</v>
      </c>
      <c r="Q299">
        <f>Model!Y17</f>
        <v>66.715999999999994</v>
      </c>
      <c r="R299">
        <f>Model!Z17</f>
        <v>1174.4760000000001</v>
      </c>
      <c r="S299">
        <f>Model!AA17</f>
        <v>131.90299999999999</v>
      </c>
      <c r="T299">
        <f>Model!AB17</f>
        <v>118.101</v>
      </c>
      <c r="U299">
        <f>Model!AC17</f>
        <v>111.11499999999999</v>
      </c>
      <c r="V299">
        <f>Model!AD17</f>
        <v>71.114999999999995</v>
      </c>
      <c r="W299">
        <f>Model!AE17</f>
        <v>116.90299999999999</v>
      </c>
      <c r="X299">
        <f>Model!AF17</f>
        <v>144.19804457152836</v>
      </c>
      <c r="Y299">
        <f>Model!AG17</f>
        <v>132.21204457152834</v>
      </c>
      <c r="Z299">
        <f>Model!AH17</f>
        <v>0</v>
      </c>
      <c r="AA299">
        <f>Model!AI17</f>
        <v>0</v>
      </c>
      <c r="AB299">
        <f>Model!AJ17</f>
        <v>0</v>
      </c>
      <c r="AC299">
        <f>Model!AK17</f>
        <v>148.6</v>
      </c>
      <c r="AD299">
        <f>Model!AL17</f>
        <v>165.16</v>
      </c>
      <c r="AE299">
        <f>Model!AM17</f>
        <v>1535.595</v>
      </c>
      <c r="AF299">
        <f>Model!AN17</f>
        <v>464.42808914305664</v>
      </c>
      <c r="AG299">
        <f>Model!AO17</f>
        <v>514.4280891430567</v>
      </c>
      <c r="AH299">
        <f>Model!AP17</f>
        <v>594.4280891430567</v>
      </c>
      <c r="AI299">
        <f>Model!AQ17</f>
        <v>674.4280891430567</v>
      </c>
      <c r="AJ299">
        <f>Model!AR17</f>
        <v>754.4280891430567</v>
      </c>
      <c r="AK299">
        <f>Model!AS17</f>
        <v>834.4280891430567</v>
      </c>
      <c r="AL299">
        <f>Model!AT17</f>
        <v>914.4280891430567</v>
      </c>
      <c r="AM299">
        <f>Model!AU17</f>
        <v>994.4280891430567</v>
      </c>
      <c r="AN299">
        <f>Model!AV17</f>
        <v>0</v>
      </c>
      <c r="AO299">
        <f>Model!AW17</f>
        <v>0.3773636340389932</v>
      </c>
    </row>
    <row r="300" spans="1:41">
      <c r="A300" t="str">
        <f>Model!I18</f>
        <v>Total Costs and Expenses</v>
      </c>
      <c r="B300">
        <f>Model!J18</f>
        <v>0</v>
      </c>
      <c r="C300">
        <f>Model!K18</f>
        <v>0</v>
      </c>
      <c r="D300">
        <f>Model!L18</f>
        <v>0</v>
      </c>
      <c r="E300">
        <f>Model!M18</f>
        <v>0</v>
      </c>
      <c r="F300">
        <f>Model!N18</f>
        <v>0</v>
      </c>
      <c r="G300">
        <f>Model!O18</f>
        <v>0</v>
      </c>
      <c r="H300">
        <f>Model!P18</f>
        <v>0</v>
      </c>
      <c r="I300">
        <f>Model!Q18</f>
        <v>0</v>
      </c>
      <c r="J300">
        <f>Model!R18</f>
        <v>102.76599999999999</v>
      </c>
      <c r="K300">
        <f>Model!S18</f>
        <v>93.120999999999995</v>
      </c>
      <c r="L300">
        <f>Model!T18</f>
        <v>113.627</v>
      </c>
      <c r="M300">
        <f>Model!U18</f>
        <v>130.87799999999999</v>
      </c>
      <c r="N300">
        <f>Model!V18</f>
        <v>142.619</v>
      </c>
      <c r="O300">
        <f>Model!W18</f>
        <v>187.65700000000001</v>
      </c>
      <c r="P300">
        <f>Model!X18</f>
        <v>259.17200000000003</v>
      </c>
      <c r="Q300">
        <f>Model!Y18</f>
        <v>335.41899999999998</v>
      </c>
      <c r="R300">
        <f>Model!Z18</f>
        <v>2363.415</v>
      </c>
      <c r="S300">
        <f>Model!AA18</f>
        <v>630.68900000000008</v>
      </c>
      <c r="T300">
        <f>Model!AB18</f>
        <v>669.76400000000001</v>
      </c>
      <c r="U300">
        <f>Model!AC18</f>
        <v>646.65700000000004</v>
      </c>
      <c r="V300">
        <f>Model!AD18</f>
        <v>536.64463855421684</v>
      </c>
      <c r="W300">
        <f>Model!AE18</f>
        <v>602.60685873563227</v>
      </c>
      <c r="X300">
        <f>Model!AF18</f>
        <v>661.57308964175309</v>
      </c>
      <c r="Y300">
        <f>Model!AG18</f>
        <v>686.82553189171551</v>
      </c>
      <c r="Z300">
        <f>Model!AH18</f>
        <v>0</v>
      </c>
      <c r="AA300">
        <f>Model!AI18</f>
        <v>0</v>
      </c>
      <c r="AB300">
        <f>Model!AJ18</f>
        <v>0</v>
      </c>
      <c r="AC300">
        <f>Model!AK18</f>
        <v>440.39200000000005</v>
      </c>
      <c r="AD300">
        <f>Model!AL18</f>
        <v>924.86699999999996</v>
      </c>
      <c r="AE300">
        <f>Model!AM18</f>
        <v>4310.5249999999996</v>
      </c>
      <c r="AF300">
        <f>Model!AN18</f>
        <v>2487.6501188233178</v>
      </c>
      <c r="AG300">
        <f>Model!AO18</f>
        <v>2882.279210144251</v>
      </c>
      <c r="AH300">
        <f>Model!AP18</f>
        <v>3480.7911764165674</v>
      </c>
      <c r="AI300">
        <f>Model!AQ18</f>
        <v>4129.9534540742552</v>
      </c>
      <c r="AJ300">
        <f>Model!AR18</f>
        <v>4805.3152324667262</v>
      </c>
      <c r="AK300">
        <f>Model!AS18</f>
        <v>5495.9752436860454</v>
      </c>
      <c r="AL300">
        <f>Model!AT18</f>
        <v>6195.1682638640614</v>
      </c>
      <c r="AM300">
        <f>Model!AU18</f>
        <v>6906.8868672796716</v>
      </c>
      <c r="AN300">
        <f>Model!AV18</f>
        <v>0</v>
      </c>
      <c r="AO300">
        <f>Model!AW18</f>
        <v>0.39283499983078429</v>
      </c>
    </row>
    <row r="301" spans="1:41">
      <c r="A301">
        <f>Model!I19</f>
        <v>0</v>
      </c>
      <c r="B301">
        <f>Model!J19</f>
        <v>0</v>
      </c>
      <c r="C301">
        <f>Model!K19</f>
        <v>0</v>
      </c>
      <c r="D301">
        <f>Model!L19</f>
        <v>0</v>
      </c>
      <c r="E301">
        <f>Model!M19</f>
        <v>0</v>
      </c>
      <c r="F301">
        <f>Model!N19</f>
        <v>0</v>
      </c>
      <c r="G301">
        <f>Model!O19</f>
        <v>0</v>
      </c>
      <c r="H301">
        <f>Model!P19</f>
        <v>0</v>
      </c>
      <c r="I301">
        <f>Model!Q19</f>
        <v>0</v>
      </c>
      <c r="J301">
        <f>Model!R19</f>
        <v>0</v>
      </c>
      <c r="K301">
        <f>Model!S19</f>
        <v>0</v>
      </c>
      <c r="L301">
        <f>Model!T19</f>
        <v>0</v>
      </c>
      <c r="M301">
        <f>Model!U19</f>
        <v>0</v>
      </c>
      <c r="N301">
        <f>Model!V19</f>
        <v>0</v>
      </c>
      <c r="O301">
        <f>Model!W19</f>
        <v>0</v>
      </c>
      <c r="P301">
        <f>Model!X19</f>
        <v>0</v>
      </c>
      <c r="Q301">
        <f>Model!Y19</f>
        <v>0</v>
      </c>
      <c r="R301">
        <f>Model!Z19</f>
        <v>0</v>
      </c>
      <c r="S301">
        <f>Model!AA19</f>
        <v>0</v>
      </c>
      <c r="T301">
        <f>Model!AB19</f>
        <v>0</v>
      </c>
      <c r="U301">
        <f>Model!AC19</f>
        <v>0</v>
      </c>
      <c r="V301">
        <f>Model!AD19</f>
        <v>0</v>
      </c>
      <c r="W301">
        <f>Model!AE19</f>
        <v>0</v>
      </c>
      <c r="X301">
        <f>Model!AF19</f>
        <v>0</v>
      </c>
      <c r="Y301">
        <f>Model!AG19</f>
        <v>0</v>
      </c>
      <c r="Z301">
        <f>Model!AH19</f>
        <v>0</v>
      </c>
      <c r="AA301">
        <f>Model!AI19</f>
        <v>0</v>
      </c>
      <c r="AB301">
        <f>Model!AJ19</f>
        <v>0</v>
      </c>
      <c r="AC301">
        <f>Model!AK19</f>
        <v>0</v>
      </c>
      <c r="AD301">
        <f>Model!AL19</f>
        <v>0</v>
      </c>
      <c r="AE301">
        <f>Model!AM19</f>
        <v>0</v>
      </c>
      <c r="AF301">
        <f>Model!AN19</f>
        <v>0</v>
      </c>
      <c r="AG301">
        <f>Model!AO19</f>
        <v>0</v>
      </c>
      <c r="AH301">
        <f>Model!AP19</f>
        <v>0</v>
      </c>
      <c r="AI301">
        <f>Model!AQ19</f>
        <v>0</v>
      </c>
      <c r="AJ301">
        <f>Model!AR19</f>
        <v>0</v>
      </c>
      <c r="AK301">
        <f>Model!AS19</f>
        <v>0</v>
      </c>
      <c r="AL301">
        <f>Model!AT19</f>
        <v>0</v>
      </c>
      <c r="AM301">
        <f>Model!AU19</f>
        <v>0</v>
      </c>
      <c r="AN301">
        <f>Model!AV19</f>
        <v>0</v>
      </c>
      <c r="AO301">
        <f>Model!AW19</f>
        <v>0</v>
      </c>
    </row>
    <row r="302" spans="1:41">
      <c r="A302" t="str">
        <f>Model!I20</f>
        <v>Operating Income</v>
      </c>
      <c r="B302">
        <f>Model!J20</f>
        <v>0</v>
      </c>
      <c r="C302">
        <f>Model!K20</f>
        <v>0</v>
      </c>
      <c r="D302">
        <f>Model!L20</f>
        <v>0</v>
      </c>
      <c r="E302">
        <f>Model!M20</f>
        <v>0</v>
      </c>
      <c r="F302">
        <f>Model!N20</f>
        <v>0</v>
      </c>
      <c r="G302">
        <f>Model!O20</f>
        <v>0</v>
      </c>
      <c r="H302">
        <f>Model!P20</f>
        <v>0</v>
      </c>
      <c r="I302">
        <f>Model!Q20</f>
        <v>0</v>
      </c>
      <c r="J302">
        <f>Model!R20</f>
        <v>-98.845999999999989</v>
      </c>
      <c r="K302">
        <f>Model!S20</f>
        <v>-87.820999999999998</v>
      </c>
      <c r="L302">
        <f>Model!T20</f>
        <v>-96.901999999999987</v>
      </c>
      <c r="M302">
        <f>Model!U20</f>
        <v>-98.159999999999982</v>
      </c>
      <c r="N302">
        <f>Model!V20</f>
        <v>-103.821</v>
      </c>
      <c r="O302">
        <f>Model!W20</f>
        <v>-115.85900000000001</v>
      </c>
      <c r="P302">
        <f>Model!X20</f>
        <v>-130.96800000000002</v>
      </c>
      <c r="Q302">
        <f>Model!Y20</f>
        <v>-169.73699999999999</v>
      </c>
      <c r="R302">
        <f>Model!Z20</f>
        <v>-2213.7669999999998</v>
      </c>
      <c r="S302">
        <f>Model!AA20</f>
        <v>-449.01800000000009</v>
      </c>
      <c r="T302">
        <f>Model!AB20</f>
        <v>-461.827</v>
      </c>
      <c r="U302">
        <f>Model!AC20</f>
        <v>-360.96400000000006</v>
      </c>
      <c r="V302">
        <f>Model!AD20</f>
        <v>-287.64463855421684</v>
      </c>
      <c r="W302">
        <f>Model!AE20</f>
        <v>-307.60685873563227</v>
      </c>
      <c r="X302">
        <f>Model!AF20</f>
        <v>-320.57308964175309</v>
      </c>
      <c r="Y302">
        <f>Model!AG20</f>
        <v>-258.82553189171551</v>
      </c>
      <c r="Z302">
        <f>Model!AH20</f>
        <v>0</v>
      </c>
      <c r="AA302">
        <f>Model!AI20</f>
        <v>0</v>
      </c>
      <c r="AB302">
        <f>Model!AJ20</f>
        <v>0</v>
      </c>
      <c r="AC302">
        <f>Model!AK20</f>
        <v>-381.72899999999993</v>
      </c>
      <c r="AD302">
        <f>Model!AL20</f>
        <v>-520.38499999999999</v>
      </c>
      <c r="AE302">
        <f>Model!AM20</f>
        <v>-3485.576</v>
      </c>
      <c r="AF302">
        <f>Model!AN20</f>
        <v>-1174.6501188233178</v>
      </c>
      <c r="AG302">
        <f>Model!AO20</f>
        <v>-912.91441862138367</v>
      </c>
      <c r="AH302">
        <f>Model!AP20</f>
        <v>-675.91265111927805</v>
      </c>
      <c r="AI302">
        <f>Model!AQ20</f>
        <v>-317.02664297508545</v>
      </c>
      <c r="AJ302">
        <f>Model!AR20</f>
        <v>158.64451008022115</v>
      </c>
      <c r="AK302">
        <f>Model!AS20</f>
        <v>667.59253428493139</v>
      </c>
      <c r="AL302">
        <f>Model!AT20</f>
        <v>1160.7087082354119</v>
      </c>
      <c r="AM302">
        <f>Model!AU20</f>
        <v>1638.7416116070517</v>
      </c>
      <c r="AN302">
        <f>Model!AV20</f>
        <v>0</v>
      </c>
      <c r="AO302">
        <f>Model!AW20</f>
        <v>0</v>
      </c>
    </row>
    <row r="303" spans="1:41">
      <c r="A303" t="str">
        <f>Model!I21</f>
        <v>GAAP Operating Margins</v>
      </c>
      <c r="B303">
        <f>Model!J21</f>
        <v>0</v>
      </c>
      <c r="C303">
        <f>Model!K21</f>
        <v>0</v>
      </c>
      <c r="D303">
        <f>Model!L21</f>
        <v>0</v>
      </c>
      <c r="E303">
        <f>Model!M21</f>
        <v>0</v>
      </c>
      <c r="F303">
        <f>Model!N21</f>
        <v>0</v>
      </c>
      <c r="G303">
        <f>Model!O21</f>
        <v>0</v>
      </c>
      <c r="H303">
        <f>Model!P21</f>
        <v>0</v>
      </c>
      <c r="I303">
        <f>Model!Q21</f>
        <v>0</v>
      </c>
      <c r="J303">
        <f>Model!R21</f>
        <v>-25.215816326530611</v>
      </c>
      <c r="K303">
        <f>Model!S21</f>
        <v>-16.57</v>
      </c>
      <c r="L303">
        <f>Model!T21</f>
        <v>-5.7938415545590418</v>
      </c>
      <c r="M303">
        <f>Model!U21</f>
        <v>-3.0001833852924986</v>
      </c>
      <c r="N303">
        <f>Model!V21</f>
        <v>-2.6759369039641219</v>
      </c>
      <c r="O303">
        <f>Model!W21</f>
        <v>-1.6136800467979611</v>
      </c>
      <c r="P303">
        <f>Model!X21</f>
        <v>-1.0215593897226296</v>
      </c>
      <c r="Q303">
        <f>Model!Y21</f>
        <v>-1.024474595912652</v>
      </c>
      <c r="R303">
        <f>Model!Z21</f>
        <v>-14.79316128514915</v>
      </c>
      <c r="S303">
        <f>Model!AA21</f>
        <v>-2.4715997600057253</v>
      </c>
      <c r="T303">
        <f>Model!AB21</f>
        <v>-2.2209948205466077</v>
      </c>
      <c r="U303">
        <f>Model!AC21</f>
        <v>-1.2634681283755642</v>
      </c>
      <c r="V303">
        <f>Model!AD21</f>
        <v>-1.1551993516233607</v>
      </c>
      <c r="W303">
        <f>Model!AE21</f>
        <v>-1.0427351143580754</v>
      </c>
      <c r="X303">
        <f>Model!AF21</f>
        <v>-0.94009703707258974</v>
      </c>
      <c r="Y303">
        <f>Model!AG21</f>
        <v>-0.60473255114886804</v>
      </c>
      <c r="Z303">
        <f>Model!AH21</f>
        <v>0</v>
      </c>
      <c r="AA303">
        <f>Model!AI21</f>
        <v>0</v>
      </c>
      <c r="AB303">
        <f>Model!AJ21</f>
        <v>0</v>
      </c>
      <c r="AC303">
        <f>Model!AK21</f>
        <v>-6.5071510151202618</v>
      </c>
      <c r="AD303">
        <f>Model!AL21</f>
        <v>-1.2865467437364333</v>
      </c>
      <c r="AE303">
        <f>Model!AM21</f>
        <v>-4.2252018003537195</v>
      </c>
      <c r="AF303">
        <f>Model!AN21</f>
        <v>-0.89463070740542106</v>
      </c>
      <c r="AG303">
        <f>Model!AO21</f>
        <v>-0.46355780429863713</v>
      </c>
      <c r="AH303">
        <f>Model!AP21</f>
        <v>-0.24097751293797581</v>
      </c>
      <c r="AI303">
        <f>Model!AQ21</f>
        <v>-8.3145221159829905E-2</v>
      </c>
      <c r="AJ303">
        <f>Model!AR21</f>
        <v>3.1959266051344443E-2</v>
      </c>
      <c r="AK303">
        <f>Model!AS21</f>
        <v>0.10831267835991905</v>
      </c>
      <c r="AL303">
        <f>Model!AT21</f>
        <v>0.15779338243936519</v>
      </c>
      <c r="AM303">
        <f>Model!AU21</f>
        <v>0.19176373225864107</v>
      </c>
      <c r="AN303">
        <f>Model!AV21</f>
        <v>0</v>
      </c>
      <c r="AO303">
        <f>Model!AW21</f>
        <v>0</v>
      </c>
    </row>
    <row r="304" spans="1:41">
      <c r="A304" t="str">
        <f>Model!I22</f>
        <v>Incremental Operating Margins</v>
      </c>
      <c r="B304">
        <f>Model!J22</f>
        <v>0</v>
      </c>
      <c r="C304">
        <f>Model!K22</f>
        <v>0</v>
      </c>
      <c r="D304">
        <f>Model!L22</f>
        <v>0</v>
      </c>
      <c r="E304">
        <f>Model!M22</f>
        <v>0</v>
      </c>
      <c r="F304">
        <f>Model!N22</f>
        <v>0</v>
      </c>
      <c r="G304">
        <f>Model!O22</f>
        <v>0</v>
      </c>
      <c r="H304">
        <f>Model!P22</f>
        <v>0</v>
      </c>
      <c r="I304">
        <f>Model!Q22</f>
        <v>0</v>
      </c>
      <c r="J304">
        <f>Model!R22</f>
        <v>0</v>
      </c>
      <c r="K304">
        <f>Model!S22</f>
        <v>0</v>
      </c>
      <c r="L304">
        <f>Model!T22</f>
        <v>0</v>
      </c>
      <c r="M304">
        <f>Model!U22</f>
        <v>0</v>
      </c>
      <c r="N304">
        <f>Model!V22</f>
        <v>0</v>
      </c>
      <c r="O304">
        <f>Model!W22</f>
        <v>-0.42163674095461529</v>
      </c>
      <c r="P304">
        <f>Model!X22</f>
        <v>-0.30558221727859081</v>
      </c>
      <c r="Q304">
        <f>Model!Y22</f>
        <v>-0.5383186426401132</v>
      </c>
      <c r="R304">
        <f>Model!Z22</f>
        <v>0</v>
      </c>
      <c r="S304">
        <f>Model!AA22</f>
        <v>-3.0322190165008704</v>
      </c>
      <c r="T304">
        <f>Model!AB22</f>
        <v>-4.1495867457639868</v>
      </c>
      <c r="U304">
        <f>Model!AC22</f>
        <v>-1.5934122705418676</v>
      </c>
      <c r="V304">
        <f>Model!AD22</f>
        <v>19.386850405082768</v>
      </c>
      <c r="W304">
        <f>Model!AE22</f>
        <v>1.2477930738325389</v>
      </c>
      <c r="X304">
        <f>Model!AF22</f>
        <v>1.0615566337618041</v>
      </c>
      <c r="Y304">
        <f>Model!AG22</f>
        <v>0.71773326757140921</v>
      </c>
      <c r="Z304">
        <f>Model!AH22</f>
        <v>0</v>
      </c>
      <c r="AA304">
        <f>Model!AI22</f>
        <v>0</v>
      </c>
      <c r="AB304">
        <f>Model!AJ22</f>
        <v>0</v>
      </c>
      <c r="AC304">
        <f>Model!AK22</f>
        <v>0</v>
      </c>
      <c r="AD304">
        <f>Model!AL22</f>
        <v>-0.40094962971959341</v>
      </c>
      <c r="AE304">
        <f>Model!AM22</f>
        <v>-7.0521372664204325</v>
      </c>
      <c r="AF304">
        <f>Model!AN22</f>
        <v>4.7350090076174043</v>
      </c>
      <c r="AG304">
        <f>Model!AO22</f>
        <v>0.39876560044402604</v>
      </c>
      <c r="AH304">
        <f>Model!AP22</f>
        <v>0.28365993031790554</v>
      </c>
      <c r="AI304">
        <f>Model!AQ22</f>
        <v>0.35602065218404355</v>
      </c>
      <c r="AJ304">
        <f>Model!AR22</f>
        <v>0.41325590264129453</v>
      </c>
      <c r="AK304">
        <f>Model!AS22</f>
        <v>0.42426193321121819</v>
      </c>
      <c r="AL304">
        <f>Model!AT22</f>
        <v>0.41358078624137223</v>
      </c>
      <c r="AM304">
        <f>Model!AU22</f>
        <v>0.40179222353960092</v>
      </c>
      <c r="AN304">
        <f>Model!AV22</f>
        <v>0</v>
      </c>
      <c r="AO304">
        <f>Model!AW22</f>
        <v>0</v>
      </c>
    </row>
    <row r="305" spans="1:41">
      <c r="A305">
        <f>Model!I23</f>
        <v>0</v>
      </c>
      <c r="B305">
        <f>Model!J23</f>
        <v>0</v>
      </c>
      <c r="C305">
        <f>Model!K23</f>
        <v>0</v>
      </c>
      <c r="D305">
        <f>Model!L23</f>
        <v>0</v>
      </c>
      <c r="E305">
        <f>Model!M23</f>
        <v>0</v>
      </c>
      <c r="F305">
        <f>Model!N23</f>
        <v>0</v>
      </c>
      <c r="G305">
        <f>Model!O23</f>
        <v>0</v>
      </c>
      <c r="H305">
        <f>Model!P23</f>
        <v>0</v>
      </c>
      <c r="I305">
        <f>Model!Q23</f>
        <v>0</v>
      </c>
      <c r="J305">
        <f>Model!R23</f>
        <v>0</v>
      </c>
      <c r="K305">
        <f>Model!S23</f>
        <v>0</v>
      </c>
      <c r="L305">
        <f>Model!T23</f>
        <v>0</v>
      </c>
      <c r="M305">
        <f>Model!U23</f>
        <v>0</v>
      </c>
      <c r="N305">
        <f>Model!V23</f>
        <v>0</v>
      </c>
      <c r="O305">
        <f>Model!W23</f>
        <v>0</v>
      </c>
      <c r="P305">
        <f>Model!X23</f>
        <v>0</v>
      </c>
      <c r="Q305">
        <f>Model!Y23</f>
        <v>0</v>
      </c>
      <c r="R305">
        <f>Model!Z23</f>
        <v>0</v>
      </c>
      <c r="S305">
        <f>Model!AA23</f>
        <v>0</v>
      </c>
      <c r="T305">
        <f>Model!AB23</f>
        <v>0</v>
      </c>
      <c r="U305">
        <f>Model!AC23</f>
        <v>0</v>
      </c>
      <c r="V305">
        <f>Model!AD23</f>
        <v>0</v>
      </c>
      <c r="W305">
        <f>Model!AE23</f>
        <v>0</v>
      </c>
      <c r="X305">
        <f>Model!AF23</f>
        <v>0</v>
      </c>
      <c r="Y305">
        <f>Model!AG23</f>
        <v>0</v>
      </c>
      <c r="Z305">
        <f>Model!AH23</f>
        <v>0</v>
      </c>
      <c r="AA305">
        <f>Model!AI23</f>
        <v>0</v>
      </c>
      <c r="AB305">
        <f>Model!AJ23</f>
        <v>0</v>
      </c>
      <c r="AC305">
        <f>Model!AK23</f>
        <v>0</v>
      </c>
      <c r="AD305">
        <f>Model!AL23</f>
        <v>0</v>
      </c>
      <c r="AE305">
        <f>Model!AM23</f>
        <v>0</v>
      </c>
      <c r="AF305">
        <f>Model!AN23</f>
        <v>0</v>
      </c>
      <c r="AG305">
        <f>Model!AO23</f>
        <v>0</v>
      </c>
      <c r="AH305">
        <f>Model!AP23</f>
        <v>0</v>
      </c>
      <c r="AI305">
        <f>Model!AQ23</f>
        <v>0</v>
      </c>
      <c r="AJ305">
        <f>Model!AR23</f>
        <v>0</v>
      </c>
      <c r="AK305">
        <f>Model!AS23</f>
        <v>0</v>
      </c>
      <c r="AL305">
        <f>Model!AT23</f>
        <v>0</v>
      </c>
      <c r="AM305">
        <f>Model!AU23</f>
        <v>0</v>
      </c>
      <c r="AN305">
        <f>Model!AV23</f>
        <v>0</v>
      </c>
      <c r="AO305">
        <f>Model!AW23</f>
        <v>0</v>
      </c>
    </row>
    <row r="306" spans="1:41">
      <c r="A306" t="str">
        <f>Model!I24</f>
        <v>Adjusted EBITDA</v>
      </c>
      <c r="B306">
        <f>Model!J24</f>
        <v>0</v>
      </c>
      <c r="C306">
        <f>Model!K24</f>
        <v>0</v>
      </c>
      <c r="D306">
        <f>Model!L24</f>
        <v>0</v>
      </c>
      <c r="E306">
        <f>Model!M24</f>
        <v>0</v>
      </c>
      <c r="F306">
        <f>Model!N24</f>
        <v>0</v>
      </c>
      <c r="G306">
        <f>Model!O24</f>
        <v>0</v>
      </c>
      <c r="H306">
        <f>Model!P24</f>
        <v>0</v>
      </c>
      <c r="I306">
        <f>Model!Q24</f>
        <v>0</v>
      </c>
      <c r="J306">
        <f>Model!R24</f>
        <v>-43.985999999999997</v>
      </c>
      <c r="K306">
        <f>Model!S24</f>
        <v>-77.902999999999992</v>
      </c>
      <c r="L306">
        <f>Model!T24</f>
        <v>-84.074999999999989</v>
      </c>
      <c r="M306">
        <f>Model!U24</f>
        <v>-86.933999999999983</v>
      </c>
      <c r="N306">
        <f>Model!V24</f>
        <v>-93.233999999999995</v>
      </c>
      <c r="O306">
        <f>Model!W24</f>
        <v>-105.12100000000001</v>
      </c>
      <c r="P306">
        <f>Model!X24</f>
        <v>-108.73600000000002</v>
      </c>
      <c r="Q306">
        <f>Model!Y24</f>
        <v>-152.33699999999999</v>
      </c>
      <c r="R306">
        <f>Model!Z24</f>
        <v>-188.24299999999994</v>
      </c>
      <c r="S306">
        <f>Model!AA24</f>
        <v>-193.99000000000009</v>
      </c>
      <c r="T306">
        <f>Model!AB24</f>
        <v>-178.90100000000001</v>
      </c>
      <c r="U306">
        <f>Model!AC24</f>
        <v>-158.92200000000005</v>
      </c>
      <c r="V306">
        <f>Model!AD24</f>
        <v>-204.67418855421681</v>
      </c>
      <c r="W306">
        <f>Model!AE24</f>
        <v>-192.74460873563226</v>
      </c>
      <c r="X306">
        <f>Model!AF24</f>
        <v>-201.43188964175306</v>
      </c>
      <c r="Y306">
        <f>Model!AG24</f>
        <v>-142.7627318917155</v>
      </c>
      <c r="Z306">
        <f>Model!AH24</f>
        <v>0</v>
      </c>
      <c r="AA306">
        <f>Model!AI24</f>
        <v>0</v>
      </c>
      <c r="AB306">
        <f>Model!AJ24</f>
        <v>0</v>
      </c>
      <c r="AC306">
        <f>Model!AK24</f>
        <v>-292.89799999999991</v>
      </c>
      <c r="AD306">
        <f>Model!AL24</f>
        <v>-459.428</v>
      </c>
      <c r="AE306">
        <f>Model!AM24</f>
        <v>-720.05599999999981</v>
      </c>
      <c r="AF306">
        <f>Model!AN24</f>
        <v>-741.61341882331772</v>
      </c>
      <c r="AG306">
        <f>Model!AO24</f>
        <v>-425.42771862138375</v>
      </c>
      <c r="AH306">
        <f>Model!AP24</f>
        <v>-153.60185111927808</v>
      </c>
      <c r="AI306">
        <f>Model!AQ24</f>
        <v>241.01425702491463</v>
      </c>
      <c r="AJ306">
        <f>Model!AR24</f>
        <v>746.93821008022132</v>
      </c>
      <c r="AK306">
        <f>Model!AS24</f>
        <v>1286.2491742849315</v>
      </c>
      <c r="AL306">
        <f>Model!AT24</f>
        <v>1810.4489352354121</v>
      </c>
      <c r="AM306">
        <f>Model!AU24</f>
        <v>2320.3496049570517</v>
      </c>
      <c r="AN306">
        <f>Model!AV24</f>
        <v>0</v>
      </c>
      <c r="AO306">
        <f>Model!AW24</f>
        <v>0</v>
      </c>
    </row>
    <row r="307" spans="1:41">
      <c r="A307" t="str">
        <f>Model!I25</f>
        <v xml:space="preserve">Y/Y % Change </v>
      </c>
      <c r="B307">
        <f>Model!J25</f>
        <v>0</v>
      </c>
      <c r="C307">
        <f>Model!K25</f>
        <v>0</v>
      </c>
      <c r="D307">
        <f>Model!L25</f>
        <v>0</v>
      </c>
      <c r="E307">
        <f>Model!M25</f>
        <v>0</v>
      </c>
      <c r="F307">
        <f>Model!N25</f>
        <v>0</v>
      </c>
      <c r="G307">
        <f>Model!O25</f>
        <v>0</v>
      </c>
      <c r="H307">
        <f>Model!P25</f>
        <v>0</v>
      </c>
      <c r="I307">
        <f>Model!Q25</f>
        <v>0</v>
      </c>
      <c r="J307">
        <f>Model!R25</f>
        <v>0</v>
      </c>
      <c r="K307">
        <f>Model!S25</f>
        <v>0</v>
      </c>
      <c r="L307">
        <f>Model!T25</f>
        <v>0</v>
      </c>
      <c r="M307">
        <f>Model!U25</f>
        <v>0</v>
      </c>
      <c r="N307" t="str">
        <f>Model!V25</f>
        <v>NA</v>
      </c>
      <c r="O307" t="str">
        <f>Model!W25</f>
        <v>NA</v>
      </c>
      <c r="P307" t="str">
        <f>Model!X25</f>
        <v>NA</v>
      </c>
      <c r="Q307" t="str">
        <f>Model!Y25</f>
        <v>NA</v>
      </c>
      <c r="R307" t="str">
        <f>Model!Z25</f>
        <v>NA</v>
      </c>
      <c r="S307" t="str">
        <f>Model!AA25</f>
        <v>NA</v>
      </c>
      <c r="T307" t="str">
        <f>Model!AB25</f>
        <v>NA</v>
      </c>
      <c r="U307" t="str">
        <f>Model!AC25</f>
        <v>NA</v>
      </c>
      <c r="V307" t="str">
        <f>Model!AD25</f>
        <v>NA</v>
      </c>
      <c r="W307" t="str">
        <f>Model!AE25</f>
        <v>NA</v>
      </c>
      <c r="X307" t="str">
        <f>Model!AF25</f>
        <v>NA</v>
      </c>
      <c r="Y307" t="str">
        <f>Model!AG25</f>
        <v>NA</v>
      </c>
      <c r="Z307">
        <f>Model!AH25</f>
        <v>0</v>
      </c>
      <c r="AA307">
        <f>Model!AI25</f>
        <v>0</v>
      </c>
      <c r="AB307">
        <f>Model!AJ25</f>
        <v>0</v>
      </c>
      <c r="AC307">
        <f>Model!AK25</f>
        <v>0</v>
      </c>
      <c r="AD307" t="str">
        <f>Model!AL25</f>
        <v>NA</v>
      </c>
      <c r="AE307" t="str">
        <f>Model!AM25</f>
        <v>NA</v>
      </c>
      <c r="AF307" t="str">
        <f>Model!AN25</f>
        <v>NA</v>
      </c>
      <c r="AG307" t="str">
        <f>Model!AO25</f>
        <v>NA</v>
      </c>
      <c r="AH307">
        <f>Model!AP25</f>
        <v>-0.63894724204376885</v>
      </c>
      <c r="AI307">
        <f>Model!AQ25</f>
        <v>-2.569084325928841</v>
      </c>
      <c r="AJ307">
        <f>Model!AR25</f>
        <v>2.0991453339750241</v>
      </c>
      <c r="AK307">
        <f>Model!AS25</f>
        <v>0.72202888662877229</v>
      </c>
      <c r="AL307">
        <f>Model!AT25</f>
        <v>0.40754137800858103</v>
      </c>
      <c r="AM307">
        <f>Model!AU25</f>
        <v>0.28164322108059747</v>
      </c>
      <c r="AN307">
        <f>Model!AV25</f>
        <v>0</v>
      </c>
      <c r="AO307">
        <f>Model!AW25</f>
        <v>0</v>
      </c>
    </row>
    <row r="308" spans="1:41">
      <c r="A308" t="str">
        <f>Model!I26</f>
        <v>% Margin</v>
      </c>
      <c r="B308">
        <f>Model!J26</f>
        <v>0</v>
      </c>
      <c r="C308">
        <f>Model!K26</f>
        <v>0</v>
      </c>
      <c r="D308">
        <f>Model!L26</f>
        <v>0</v>
      </c>
      <c r="E308">
        <f>Model!M26</f>
        <v>0</v>
      </c>
      <c r="F308">
        <f>Model!N26</f>
        <v>0</v>
      </c>
      <c r="G308">
        <f>Model!O26</f>
        <v>0</v>
      </c>
      <c r="H308">
        <f>Model!P26</f>
        <v>0</v>
      </c>
      <c r="I308">
        <f>Model!Q26</f>
        <v>0</v>
      </c>
      <c r="J308">
        <f>Model!R26</f>
        <v>-0.42802094077807834</v>
      </c>
      <c r="K308">
        <f>Model!S26</f>
        <v>-0.83657821544012623</v>
      </c>
      <c r="L308">
        <f>Model!T26</f>
        <v>-0.73992096948788577</v>
      </c>
      <c r="M308">
        <f>Model!U26</f>
        <v>-0.66423692293586389</v>
      </c>
      <c r="N308">
        <f>Model!V26</f>
        <v>-0.6537277641828928</v>
      </c>
      <c r="O308">
        <f>Model!W26</f>
        <v>-0.56017627906233181</v>
      </c>
      <c r="P308">
        <f>Model!X26</f>
        <v>-0.41955149476023645</v>
      </c>
      <c r="Q308">
        <f>Model!Y26</f>
        <v>-0.45416926292189769</v>
      </c>
      <c r="R308">
        <f>Model!Z26</f>
        <v>-7.9648728640547659E-2</v>
      </c>
      <c r="S308">
        <f>Model!AA26</f>
        <v>-0.30758424516679389</v>
      </c>
      <c r="T308">
        <f>Model!AB26</f>
        <v>-0.26711050459564861</v>
      </c>
      <c r="U308">
        <f>Model!AC26</f>
        <v>-0.24575934382524281</v>
      </c>
      <c r="V308">
        <f>Model!AD26</f>
        <v>-0.38139613041813464</v>
      </c>
      <c r="W308">
        <f>Model!AE26</f>
        <v>-0.31985133581128161</v>
      </c>
      <c r="X308">
        <f>Model!AF26</f>
        <v>-0.3044741280979702</v>
      </c>
      <c r="Y308">
        <f>Model!AG26</f>
        <v>-0.20785880148995886</v>
      </c>
      <c r="Z308">
        <f>Model!AH26</f>
        <v>0</v>
      </c>
      <c r="AA308">
        <f>Model!AI26</f>
        <v>0</v>
      </c>
      <c r="AB308">
        <f>Model!AJ26</f>
        <v>0</v>
      </c>
      <c r="AC308">
        <f>Model!AK26</f>
        <v>-4.9928916011796174</v>
      </c>
      <c r="AD308">
        <f>Model!AL26</f>
        <v>-1.1358428805237317</v>
      </c>
      <c r="AE308">
        <f>Model!AM26</f>
        <v>-0.87284910946009975</v>
      </c>
      <c r="AF308">
        <f>Model!AN26</f>
        <v>-0.56482362438942701</v>
      </c>
      <c r="AG308">
        <f>Model!AO26</f>
        <v>-0.21602281123976511</v>
      </c>
      <c r="AH308">
        <f>Model!AP26</f>
        <v>-5.4762389791193473E-2</v>
      </c>
      <c r="AI308">
        <f>Model!AQ26</f>
        <v>6.3209777938390679E-2</v>
      </c>
      <c r="AJ308">
        <f>Model!AR26</f>
        <v>0.1504722537691203</v>
      </c>
      <c r="AK308">
        <f>Model!AS26</f>
        <v>0.20868581649772333</v>
      </c>
      <c r="AL308">
        <f>Model!AT26</f>
        <v>0.24612278618883479</v>
      </c>
      <c r="AM308">
        <f>Model!AU26</f>
        <v>0.27152474632963847</v>
      </c>
      <c r="AN308">
        <f>Model!AV26</f>
        <v>0</v>
      </c>
      <c r="AO308">
        <f>Model!AW26</f>
        <v>0</v>
      </c>
    </row>
    <row r="309" spans="1:41">
      <c r="A309" t="str">
        <f>Model!I27</f>
        <v>Y/Y Change in bp</v>
      </c>
      <c r="B309">
        <f>Model!J27</f>
        <v>0</v>
      </c>
      <c r="C309">
        <f>Model!K27</f>
        <v>0</v>
      </c>
      <c r="D309">
        <f>Model!L27</f>
        <v>0</v>
      </c>
      <c r="E309">
        <f>Model!M27</f>
        <v>0</v>
      </c>
      <c r="F309">
        <f>Model!N27</f>
        <v>0</v>
      </c>
      <c r="G309">
        <f>Model!O27</f>
        <v>0</v>
      </c>
      <c r="H309">
        <f>Model!P27</f>
        <v>0</v>
      </c>
      <c r="I309">
        <f>Model!Q27</f>
        <v>0</v>
      </c>
      <c r="J309">
        <f>Model!R27</f>
        <v>0</v>
      </c>
      <c r="K309">
        <f>Model!S27</f>
        <v>0</v>
      </c>
      <c r="L309">
        <f>Model!T27</f>
        <v>0</v>
      </c>
      <c r="M309">
        <f>Model!U27</f>
        <v>0</v>
      </c>
      <c r="N309">
        <f>Model!V27</f>
        <v>-2257.0682340481444</v>
      </c>
      <c r="O309">
        <f>Model!W27</f>
        <v>2764.0193637779444</v>
      </c>
      <c r="P309">
        <f>Model!X27</f>
        <v>3203.6947472764932</v>
      </c>
      <c r="Q309">
        <f>Model!Y27</f>
        <v>2100.6766001396622</v>
      </c>
      <c r="R309">
        <f>Model!Z27</f>
        <v>5740.7903554234517</v>
      </c>
      <c r="S309">
        <f>Model!AA27</f>
        <v>2525.9203389553791</v>
      </c>
      <c r="T309">
        <f>Model!AB27</f>
        <v>1524.4099016458783</v>
      </c>
      <c r="U309">
        <f>Model!AC27</f>
        <v>2084.0991909665486</v>
      </c>
      <c r="V309">
        <f>Model!AD27</f>
        <v>-3017.4740177758695</v>
      </c>
      <c r="W309">
        <f>Model!AE27</f>
        <v>-122.67090644487722</v>
      </c>
      <c r="X309">
        <f>Model!AF27</f>
        <v>-373.63623502321587</v>
      </c>
      <c r="Y309">
        <f>Model!AG27</f>
        <v>379.0054233528395</v>
      </c>
      <c r="Z309">
        <f>Model!AH27</f>
        <v>0</v>
      </c>
      <c r="AA309">
        <f>Model!AI27</f>
        <v>0</v>
      </c>
      <c r="AB309">
        <f>Model!AJ27</f>
        <v>0</v>
      </c>
      <c r="AC309">
        <f>Model!AK27</f>
        <v>0</v>
      </c>
      <c r="AD309">
        <f>Model!AL27</f>
        <v>38570.487206558857</v>
      </c>
      <c r="AE309">
        <f>Model!AM27</f>
        <v>2629.9377106363199</v>
      </c>
      <c r="AF309">
        <f>Model!AN27</f>
        <v>3080.2548507067272</v>
      </c>
      <c r="AG309">
        <f>Model!AO27</f>
        <v>3488.0081314966192</v>
      </c>
      <c r="AH309">
        <f>Model!AP27</f>
        <v>1612.6042144857163</v>
      </c>
      <c r="AI309">
        <f>Model!AQ27</f>
        <v>1179.7216772958416</v>
      </c>
      <c r="AJ309">
        <f>Model!AR27</f>
        <v>872.62475830729613</v>
      </c>
      <c r="AK309">
        <f>Model!AS27</f>
        <v>582.1356272860304</v>
      </c>
      <c r="AL309">
        <f>Model!AT27</f>
        <v>374.3696969111146</v>
      </c>
      <c r="AM309">
        <f>Model!AU27</f>
        <v>254.01960140803675</v>
      </c>
      <c r="AN309">
        <f>Model!AV27</f>
        <v>0</v>
      </c>
      <c r="AO309">
        <f>Model!AW27</f>
        <v>0</v>
      </c>
    </row>
    <row r="310" spans="1:41">
      <c r="A310" t="str">
        <f>Model!I28</f>
        <v>Q/Q Change in bp</v>
      </c>
      <c r="B310">
        <f>Model!J28</f>
        <v>0</v>
      </c>
      <c r="C310">
        <f>Model!K28</f>
        <v>0</v>
      </c>
      <c r="D310">
        <f>Model!L28</f>
        <v>0</v>
      </c>
      <c r="E310">
        <f>Model!M28</f>
        <v>0</v>
      </c>
      <c r="F310">
        <f>Model!N28</f>
        <v>0</v>
      </c>
      <c r="G310">
        <f>Model!O28</f>
        <v>0</v>
      </c>
      <c r="H310">
        <f>Model!P28</f>
        <v>0</v>
      </c>
      <c r="I310">
        <f>Model!Q28</f>
        <v>0</v>
      </c>
      <c r="J310">
        <f>Model!R28</f>
        <v>0</v>
      </c>
      <c r="K310">
        <f>Model!S28</f>
        <v>-4085.5727466204789</v>
      </c>
      <c r="L310">
        <f>Model!T28</f>
        <v>966.57245952240453</v>
      </c>
      <c r="M310">
        <f>Model!U28</f>
        <v>756.8404655202188</v>
      </c>
      <c r="N310">
        <f>Model!V28</f>
        <v>105.09158752971092</v>
      </c>
      <c r="O310">
        <f>Model!W28</f>
        <v>935.51485120560994</v>
      </c>
      <c r="P310">
        <f>Model!X28</f>
        <v>1406.2478430209535</v>
      </c>
      <c r="Q310">
        <f>Model!Y28</f>
        <v>-346.17768161661235</v>
      </c>
      <c r="R310">
        <f>Model!Z28</f>
        <v>3745.2053428135</v>
      </c>
      <c r="S310">
        <f>Model!AA28</f>
        <v>-2279.3551652624624</v>
      </c>
      <c r="T310">
        <f>Model!AB28</f>
        <v>404.73740571145277</v>
      </c>
      <c r="U310">
        <f>Model!AC28</f>
        <v>213.51160770405804</v>
      </c>
      <c r="V310">
        <f>Model!AD28</f>
        <v>-1356.3678659289183</v>
      </c>
      <c r="W310">
        <f>Model!AE28</f>
        <v>615.44794606853031</v>
      </c>
      <c r="X310">
        <f>Model!AF28</f>
        <v>153.77207713311412</v>
      </c>
      <c r="Y310">
        <f>Model!AG28</f>
        <v>966.15326608011333</v>
      </c>
      <c r="Z310">
        <f>Model!AH28</f>
        <v>0</v>
      </c>
      <c r="AA310">
        <f>Model!AI28</f>
        <v>0</v>
      </c>
      <c r="AB310">
        <f>Model!AJ28</f>
        <v>0</v>
      </c>
      <c r="AC310">
        <f>Model!AK28</f>
        <v>0</v>
      </c>
      <c r="AD310">
        <f>Model!AL28</f>
        <v>0</v>
      </c>
      <c r="AE310">
        <f>Model!AM28</f>
        <v>0</v>
      </c>
      <c r="AF310">
        <f>Model!AN28</f>
        <v>0</v>
      </c>
      <c r="AG310">
        <f>Model!AO28</f>
        <v>0</v>
      </c>
      <c r="AH310">
        <f>Model!AP28</f>
        <v>0</v>
      </c>
      <c r="AI310">
        <f>Model!AQ28</f>
        <v>0</v>
      </c>
      <c r="AJ310">
        <f>Model!AR28</f>
        <v>0</v>
      </c>
      <c r="AK310">
        <f>Model!AS28</f>
        <v>0</v>
      </c>
      <c r="AL310">
        <f>Model!AT28</f>
        <v>0</v>
      </c>
      <c r="AM310">
        <f>Model!AU28</f>
        <v>0</v>
      </c>
      <c r="AN310">
        <f>Model!AV28</f>
        <v>0</v>
      </c>
      <c r="AO310">
        <f>Model!AW28</f>
        <v>0</v>
      </c>
    </row>
    <row r="311" spans="1:41">
      <c r="A311" t="str">
        <f>Model!I29</f>
        <v>Incremental EBITDA Margins</v>
      </c>
      <c r="B311">
        <f>Model!J29</f>
        <v>0</v>
      </c>
      <c r="C311">
        <f>Model!K29</f>
        <v>0</v>
      </c>
      <c r="D311">
        <f>Model!L29</f>
        <v>0</v>
      </c>
      <c r="E311">
        <f>Model!M29</f>
        <v>0</v>
      </c>
      <c r="F311">
        <f>Model!N29</f>
        <v>0</v>
      </c>
      <c r="G311">
        <f>Model!O29</f>
        <v>0</v>
      </c>
      <c r="H311">
        <f>Model!P29</f>
        <v>0</v>
      </c>
      <c r="I311">
        <f>Model!Q29</f>
        <v>0</v>
      </c>
      <c r="J311">
        <f>Model!R29</f>
        <v>0</v>
      </c>
      <c r="K311">
        <f>Model!S29</f>
        <v>0</v>
      </c>
      <c r="L311">
        <f>Model!T29</f>
        <v>0</v>
      </c>
      <c r="M311">
        <f>Model!U29</f>
        <v>0</v>
      </c>
      <c r="N311">
        <f>Model!V29</f>
        <v>-1.4120075692413554</v>
      </c>
      <c r="O311">
        <f>Model!W29</f>
        <v>-0.40930554302385058</v>
      </c>
      <c r="P311">
        <f>Model!X29</f>
        <v>-0.22121655199634035</v>
      </c>
      <c r="Q311">
        <f>Model!Y29</f>
        <v>-0.49188502150958158</v>
      </c>
      <c r="R311">
        <f>Model!Z29</f>
        <v>-0.85709517365809607</v>
      </c>
      <c r="S311">
        <f>Model!AA29</f>
        <v>-0.80883383542817699</v>
      </c>
      <c r="T311">
        <f>Model!AB29</f>
        <v>-0.87999949832566171</v>
      </c>
      <c r="U311">
        <f>Model!AC29</f>
        <v>-5.4869970252727378E-2</v>
      </c>
      <c r="V311">
        <f>Model!AD29</f>
        <v>-0.16538357108278517</v>
      </c>
      <c r="W311">
        <f>Model!AE29</f>
        <v>1.0989166624322453E-2</v>
      </c>
      <c r="X311">
        <f>Model!AF29</f>
        <v>-0.16932497870747729</v>
      </c>
      <c r="Y311">
        <f>Model!AG29</f>
        <v>0.11355216614983485</v>
      </c>
      <c r="Z311">
        <f>Model!AH29</f>
        <v>0</v>
      </c>
      <c r="AA311">
        <f>Model!AI29</f>
        <v>0</v>
      </c>
      <c r="AB311">
        <f>Model!AJ29</f>
        <v>0</v>
      </c>
      <c r="AC311">
        <f>Model!AK29</f>
        <v>0</v>
      </c>
      <c r="AD311">
        <f>Model!AL29</f>
        <v>-0.48155248844048509</v>
      </c>
      <c r="AE311">
        <f>Model!AM29</f>
        <v>-0.61985363893004641</v>
      </c>
      <c r="AF311">
        <f>Model!AN29</f>
        <v>-4.4170422401179181E-2</v>
      </c>
      <c r="AG311">
        <f>Model!AO29</f>
        <v>0.48172251815691469</v>
      </c>
      <c r="AH311">
        <f>Model!AP29</f>
        <v>0.32533979576150829</v>
      </c>
      <c r="AI311">
        <f>Model!AQ29</f>
        <v>0.39146548206297899</v>
      </c>
      <c r="AJ311">
        <f>Model!AR29</f>
        <v>0.43953907766909139</v>
      </c>
      <c r="AK311">
        <f>Model!AS29</f>
        <v>0.4495726506317359</v>
      </c>
      <c r="AL311">
        <f>Model!AT29</f>
        <v>0.43965085862953346</v>
      </c>
      <c r="AM311">
        <f>Model!AU29</f>
        <v>0.42857745236108319</v>
      </c>
      <c r="AN311">
        <f>Model!AV29</f>
        <v>0</v>
      </c>
      <c r="AO311">
        <f>Model!AW29</f>
        <v>0</v>
      </c>
    </row>
    <row r="312" spans="1:41">
      <c r="A312">
        <f>Model!I30</f>
        <v>0</v>
      </c>
      <c r="B312">
        <f>Model!J30</f>
        <v>0</v>
      </c>
      <c r="C312">
        <f>Model!K30</f>
        <v>0</v>
      </c>
      <c r="D312">
        <f>Model!L30</f>
        <v>0</v>
      </c>
      <c r="E312">
        <f>Model!M30</f>
        <v>0</v>
      </c>
      <c r="F312">
        <f>Model!N30</f>
        <v>0</v>
      </c>
      <c r="G312">
        <f>Model!O30</f>
        <v>0</v>
      </c>
      <c r="H312">
        <f>Model!P30</f>
        <v>0</v>
      </c>
      <c r="I312">
        <f>Model!Q30</f>
        <v>0</v>
      </c>
      <c r="J312">
        <f>Model!R30</f>
        <v>0</v>
      </c>
      <c r="K312">
        <f>Model!S30</f>
        <v>0</v>
      </c>
      <c r="L312">
        <f>Model!T30</f>
        <v>0</v>
      </c>
      <c r="M312">
        <f>Model!U30</f>
        <v>0</v>
      </c>
      <c r="N312">
        <f>Model!V30</f>
        <v>0</v>
      </c>
      <c r="O312">
        <f>Model!W30</f>
        <v>0</v>
      </c>
      <c r="P312">
        <f>Model!X30</f>
        <v>0</v>
      </c>
      <c r="Q312">
        <f>Model!Y30</f>
        <v>0</v>
      </c>
      <c r="R312">
        <f>Model!Z30</f>
        <v>0</v>
      </c>
      <c r="S312">
        <f>Model!AA30</f>
        <v>0</v>
      </c>
      <c r="T312">
        <f>Model!AB30</f>
        <v>0</v>
      </c>
      <c r="U312">
        <f>Model!AC30</f>
        <v>0</v>
      </c>
      <c r="V312">
        <f>Model!AD30</f>
        <v>0</v>
      </c>
      <c r="W312">
        <f>Model!AE30</f>
        <v>0</v>
      </c>
      <c r="X312">
        <f>Model!AF30</f>
        <v>0</v>
      </c>
      <c r="Y312">
        <f>Model!AG30</f>
        <v>0</v>
      </c>
      <c r="Z312">
        <f>Model!AH30</f>
        <v>0</v>
      </c>
      <c r="AA312">
        <f>Model!AI30</f>
        <v>0</v>
      </c>
      <c r="AB312">
        <f>Model!AJ30</f>
        <v>0</v>
      </c>
      <c r="AC312">
        <f>Model!AK30</f>
        <v>0</v>
      </c>
      <c r="AD312">
        <f>Model!AL30</f>
        <v>0</v>
      </c>
      <c r="AE312">
        <f>Model!AM30</f>
        <v>0</v>
      </c>
      <c r="AF312">
        <f>Model!AN30</f>
        <v>0</v>
      </c>
      <c r="AG312">
        <f>Model!AO30</f>
        <v>0</v>
      </c>
      <c r="AH312">
        <f>Model!AP30</f>
        <v>0</v>
      </c>
      <c r="AI312">
        <f>Model!AQ30</f>
        <v>0</v>
      </c>
      <c r="AJ312">
        <f>Model!AR30</f>
        <v>0</v>
      </c>
      <c r="AK312">
        <f>Model!AS30</f>
        <v>0</v>
      </c>
      <c r="AL312">
        <f>Model!AT30</f>
        <v>0</v>
      </c>
      <c r="AM312">
        <f>Model!AU30</f>
        <v>0</v>
      </c>
      <c r="AN312">
        <f>Model!AV30</f>
        <v>0</v>
      </c>
      <c r="AO312">
        <f>Model!AW30</f>
        <v>0</v>
      </c>
    </row>
    <row r="313" spans="1:41">
      <c r="A313" t="str">
        <f>Model!I31</f>
        <v>Interest Income</v>
      </c>
      <c r="B313">
        <f>Model!J31</f>
        <v>0</v>
      </c>
      <c r="C313">
        <f>Model!K31</f>
        <v>0</v>
      </c>
      <c r="D313">
        <f>Model!L31</f>
        <v>0</v>
      </c>
      <c r="E313">
        <f>Model!M31</f>
        <v>0</v>
      </c>
      <c r="F313">
        <f>Model!N31</f>
        <v>0</v>
      </c>
      <c r="G313">
        <f>Model!O31</f>
        <v>0</v>
      </c>
      <c r="H313">
        <f>Model!P31</f>
        <v>0</v>
      </c>
      <c r="I313">
        <f>Model!Q31</f>
        <v>0</v>
      </c>
      <c r="J313">
        <f>Model!R31</f>
        <v>0.19400000000000001</v>
      </c>
      <c r="K313">
        <f>Model!S31</f>
        <v>0.33200000000000002</v>
      </c>
      <c r="L313">
        <f>Model!T31</f>
        <v>0.47499999999999998</v>
      </c>
      <c r="M313">
        <f>Model!U31</f>
        <v>0.39800000000000002</v>
      </c>
      <c r="N313">
        <f>Model!V31</f>
        <v>0.35899999999999999</v>
      </c>
      <c r="O313">
        <f>Model!W31</f>
        <v>0.874</v>
      </c>
      <c r="P313">
        <f>Model!X31</f>
        <v>1.9379999999999999</v>
      </c>
      <c r="Q313">
        <f>Model!Y31</f>
        <v>1.486</v>
      </c>
      <c r="R313">
        <f>Model!Z31</f>
        <v>2.4239999999999999</v>
      </c>
      <c r="S313">
        <f>Model!AA31</f>
        <v>6.3490000000000002</v>
      </c>
      <c r="T313">
        <f>Model!AB31</f>
        <v>6.2530000000000001</v>
      </c>
      <c r="U313">
        <f>Model!AC31</f>
        <v>6.07</v>
      </c>
      <c r="V313">
        <f>Model!AD31</f>
        <v>1.25</v>
      </c>
      <c r="W313">
        <f>Model!AE31</f>
        <v>1.25</v>
      </c>
      <c r="X313">
        <f>Model!AF31</f>
        <v>1.25</v>
      </c>
      <c r="Y313">
        <f>Model!AG31</f>
        <v>1.25</v>
      </c>
      <c r="Z313">
        <f>Model!AH31</f>
        <v>0</v>
      </c>
      <c r="AA313">
        <f>Model!AI31</f>
        <v>0</v>
      </c>
      <c r="AB313">
        <f>Model!AJ31</f>
        <v>0</v>
      </c>
      <c r="AC313">
        <f>Model!AK31</f>
        <v>1.399</v>
      </c>
      <c r="AD313">
        <f>Model!AL31</f>
        <v>4.657</v>
      </c>
      <c r="AE313">
        <f>Model!AM31</f>
        <v>21.096</v>
      </c>
      <c r="AF313">
        <f>Model!AN31</f>
        <v>5</v>
      </c>
      <c r="AG313">
        <f>Model!AO31</f>
        <v>5</v>
      </c>
      <c r="AH313">
        <f>Model!AP31</f>
        <v>5</v>
      </c>
      <c r="AI313">
        <f>Model!AQ31</f>
        <v>5</v>
      </c>
      <c r="AJ313">
        <f>Model!AR31</f>
        <v>5</v>
      </c>
      <c r="AK313">
        <f>Model!AS31</f>
        <v>5</v>
      </c>
      <c r="AL313">
        <f>Model!AT31</f>
        <v>5</v>
      </c>
      <c r="AM313">
        <f>Model!AU31</f>
        <v>5</v>
      </c>
      <c r="AN313">
        <f>Model!AV31</f>
        <v>0</v>
      </c>
      <c r="AO313">
        <f>Model!AW31</f>
        <v>0</v>
      </c>
    </row>
    <row r="314" spans="1:41">
      <c r="A314" t="str">
        <f>Model!I32</f>
        <v>Interest Expense</v>
      </c>
      <c r="B314">
        <f>Model!J32</f>
        <v>0</v>
      </c>
      <c r="C314">
        <f>Model!K32</f>
        <v>0</v>
      </c>
      <c r="D314">
        <f>Model!L32</f>
        <v>0</v>
      </c>
      <c r="E314">
        <f>Model!M32</f>
        <v>0</v>
      </c>
      <c r="F314">
        <f>Model!N32</f>
        <v>0</v>
      </c>
      <c r="G314">
        <f>Model!O32</f>
        <v>0</v>
      </c>
      <c r="H314">
        <f>Model!P32</f>
        <v>0</v>
      </c>
      <c r="I314">
        <f>Model!Q32</f>
        <v>0</v>
      </c>
      <c r="J314">
        <f>Model!R32</f>
        <v>0</v>
      </c>
      <c r="K314">
        <f>Model!S32</f>
        <v>0</v>
      </c>
      <c r="L314">
        <f>Model!T32</f>
        <v>0</v>
      </c>
      <c r="M314">
        <f>Model!U32</f>
        <v>0</v>
      </c>
      <c r="N314">
        <f>Model!V32</f>
        <v>0</v>
      </c>
      <c r="O314">
        <f>Model!W32</f>
        <v>0</v>
      </c>
      <c r="P314">
        <f>Model!X32</f>
        <v>-0.64800000000000002</v>
      </c>
      <c r="Q314">
        <f>Model!Y32</f>
        <v>-0.77600000000000002</v>
      </c>
      <c r="R314">
        <f>Model!Z32</f>
        <v>-0.69499999999999995</v>
      </c>
      <c r="S314">
        <f>Model!AA32</f>
        <v>-0.998</v>
      </c>
      <c r="T314">
        <f>Model!AB32</f>
        <v>-0.88700000000000001</v>
      </c>
      <c r="U314">
        <f>Model!AC32</f>
        <v>-0.876</v>
      </c>
      <c r="V314">
        <f>Model!AD32</f>
        <v>-0.7</v>
      </c>
      <c r="W314">
        <f>Model!AE32</f>
        <v>-0.7</v>
      </c>
      <c r="X314">
        <f>Model!AF32</f>
        <v>-0.7</v>
      </c>
      <c r="Y314">
        <f>Model!AG32</f>
        <v>-0.7</v>
      </c>
      <c r="Z314">
        <f>Model!AH32</f>
        <v>0</v>
      </c>
      <c r="AA314">
        <f>Model!AI32</f>
        <v>0</v>
      </c>
      <c r="AB314">
        <f>Model!AJ32</f>
        <v>0</v>
      </c>
      <c r="AC314">
        <f>Model!AK32</f>
        <v>0</v>
      </c>
      <c r="AD314">
        <f>Model!AL32</f>
        <v>-1.4239999999999999</v>
      </c>
      <c r="AE314">
        <f>Model!AM32</f>
        <v>-3.456</v>
      </c>
      <c r="AF314">
        <f>Model!AN32</f>
        <v>-2.8</v>
      </c>
      <c r="AG314">
        <f>Model!AO32</f>
        <v>-4.97898</v>
      </c>
      <c r="AH314">
        <f>Model!AP32</f>
        <v>-4.97898</v>
      </c>
      <c r="AI314">
        <f>Model!AQ32</f>
        <v>-4.97898</v>
      </c>
      <c r="AJ314">
        <f>Model!AR32</f>
        <v>-4.97898</v>
      </c>
      <c r="AK314">
        <f>Model!AS32</f>
        <v>-4.97898</v>
      </c>
      <c r="AL314">
        <f>Model!AT32</f>
        <v>-4.97898</v>
      </c>
      <c r="AM314">
        <f>Model!AU32</f>
        <v>-4.97898</v>
      </c>
      <c r="AN314">
        <f>Model!AV32</f>
        <v>0</v>
      </c>
      <c r="AO314">
        <f>Model!AW32</f>
        <v>0</v>
      </c>
    </row>
    <row r="315" spans="1:41">
      <c r="A315" t="str">
        <f>Model!I33</f>
        <v xml:space="preserve">Net Interest Income </v>
      </c>
      <c r="B315">
        <f>Model!J33</f>
        <v>0</v>
      </c>
      <c r="C315">
        <f>Model!K33</f>
        <v>0</v>
      </c>
      <c r="D315">
        <f>Model!L33</f>
        <v>0</v>
      </c>
      <c r="E315">
        <f>Model!M33</f>
        <v>0</v>
      </c>
      <c r="F315">
        <f>Model!N33</f>
        <v>0</v>
      </c>
      <c r="G315">
        <f>Model!O33</f>
        <v>0</v>
      </c>
      <c r="H315">
        <f>Model!P33</f>
        <v>0</v>
      </c>
      <c r="I315">
        <f>Model!Q33</f>
        <v>0</v>
      </c>
      <c r="J315">
        <f>Model!R33</f>
        <v>0.19400000000000001</v>
      </c>
      <c r="K315">
        <f>Model!S33</f>
        <v>0.33200000000000002</v>
      </c>
      <c r="L315">
        <f>Model!T33</f>
        <v>0.47499999999999998</v>
      </c>
      <c r="M315">
        <f>Model!U33</f>
        <v>0.39800000000000002</v>
      </c>
      <c r="N315">
        <f>Model!V33</f>
        <v>0.35899999999999999</v>
      </c>
      <c r="O315">
        <f>Model!W33</f>
        <v>0.874</v>
      </c>
      <c r="P315">
        <f>Model!X33</f>
        <v>1.29</v>
      </c>
      <c r="Q315">
        <f>Model!Y33</f>
        <v>0.71</v>
      </c>
      <c r="R315">
        <f>Model!Z33</f>
        <v>1.7290000000000001</v>
      </c>
      <c r="S315">
        <f>Model!AA33</f>
        <v>5.351</v>
      </c>
      <c r="T315">
        <f>Model!AB33</f>
        <v>5.3659999999999997</v>
      </c>
      <c r="U315">
        <f>Model!AC33</f>
        <v>5.194</v>
      </c>
      <c r="V315">
        <f>Model!AD33</f>
        <v>0.55000000000000004</v>
      </c>
      <c r="W315">
        <f>Model!AE33</f>
        <v>0.55000000000000004</v>
      </c>
      <c r="X315">
        <f>Model!AF33</f>
        <v>0.55000000000000004</v>
      </c>
      <c r="Y315">
        <f>Model!AG33</f>
        <v>0.55000000000000004</v>
      </c>
      <c r="Z315">
        <f>Model!AH33</f>
        <v>0</v>
      </c>
      <c r="AA315">
        <f>Model!AI33</f>
        <v>0</v>
      </c>
      <c r="AB315">
        <f>Model!AJ33</f>
        <v>0</v>
      </c>
      <c r="AC315">
        <f>Model!AK33</f>
        <v>1.399</v>
      </c>
      <c r="AD315">
        <f>Model!AL33</f>
        <v>3.2330000000000001</v>
      </c>
      <c r="AE315">
        <f>Model!AM33</f>
        <v>4.6029999999999998</v>
      </c>
      <c r="AF315">
        <f>Model!AN33</f>
        <v>9.08</v>
      </c>
      <c r="AG315">
        <f>Model!AO33</f>
        <v>2.1020000000000039E-2</v>
      </c>
      <c r="AH315">
        <f>Model!AP33</f>
        <v>2.1020000000000039E-2</v>
      </c>
      <c r="AI315">
        <f>Model!AQ33</f>
        <v>2.1020000000000039E-2</v>
      </c>
      <c r="AJ315">
        <f>Model!AR33</f>
        <v>2.1020000000000039E-2</v>
      </c>
      <c r="AK315">
        <f>Model!AS33</f>
        <v>2.1020000000000039E-2</v>
      </c>
      <c r="AL315">
        <f>Model!AT33</f>
        <v>2.1020000000000039E-2</v>
      </c>
      <c r="AM315">
        <f>Model!AU33</f>
        <v>2.1020000000000039E-2</v>
      </c>
      <c r="AN315">
        <f>Model!AV33</f>
        <v>0</v>
      </c>
      <c r="AO315">
        <f>Model!AW33</f>
        <v>0</v>
      </c>
    </row>
    <row r="316" spans="1:41">
      <c r="A316">
        <f>Model!I34</f>
        <v>0</v>
      </c>
      <c r="B316">
        <f>Model!J34</f>
        <v>0</v>
      </c>
      <c r="C316">
        <f>Model!K34</f>
        <v>0</v>
      </c>
      <c r="D316">
        <f>Model!L34</f>
        <v>0</v>
      </c>
      <c r="E316">
        <f>Model!M34</f>
        <v>0</v>
      </c>
      <c r="F316">
        <f>Model!N34</f>
        <v>0</v>
      </c>
      <c r="G316">
        <f>Model!O34</f>
        <v>0</v>
      </c>
      <c r="H316">
        <f>Model!P34</f>
        <v>0</v>
      </c>
      <c r="I316">
        <f>Model!Q34</f>
        <v>0</v>
      </c>
      <c r="J316">
        <f>Model!R34</f>
        <v>0</v>
      </c>
      <c r="K316">
        <f>Model!S34</f>
        <v>0</v>
      </c>
      <c r="L316">
        <f>Model!T34</f>
        <v>0</v>
      </c>
      <c r="M316">
        <f>Model!U34</f>
        <v>0</v>
      </c>
      <c r="N316">
        <f>Model!V34</f>
        <v>0</v>
      </c>
      <c r="O316">
        <f>Model!W34</f>
        <v>0</v>
      </c>
      <c r="P316">
        <f>Model!X34</f>
        <v>0</v>
      </c>
      <c r="Q316">
        <f>Model!Y34</f>
        <v>0</v>
      </c>
      <c r="R316">
        <f>Model!Z34</f>
        <v>0</v>
      </c>
      <c r="S316">
        <f>Model!AA34</f>
        <v>0</v>
      </c>
      <c r="T316">
        <f>Model!AB34</f>
        <v>0</v>
      </c>
      <c r="U316">
        <f>Model!AC34</f>
        <v>0</v>
      </c>
      <c r="V316">
        <f>Model!AD34</f>
        <v>0</v>
      </c>
      <c r="W316">
        <f>Model!AE34</f>
        <v>0</v>
      </c>
      <c r="X316">
        <f>Model!AF34</f>
        <v>0</v>
      </c>
      <c r="Y316">
        <f>Model!AG34</f>
        <v>0</v>
      </c>
      <c r="Z316">
        <f>Model!AH34</f>
        <v>0</v>
      </c>
      <c r="AA316">
        <f>Model!AI34</f>
        <v>0</v>
      </c>
      <c r="AB316">
        <f>Model!AJ34</f>
        <v>0</v>
      </c>
      <c r="AC316">
        <f>Model!AK34</f>
        <v>0</v>
      </c>
      <c r="AD316">
        <f>Model!AL34</f>
        <v>0</v>
      </c>
      <c r="AE316">
        <f>Model!AM34</f>
        <v>0</v>
      </c>
      <c r="AF316">
        <f>Model!AN34</f>
        <v>0</v>
      </c>
      <c r="AG316">
        <f>Model!AO34</f>
        <v>0</v>
      </c>
      <c r="AH316">
        <f>Model!AP34</f>
        <v>0</v>
      </c>
      <c r="AI316">
        <f>Model!AQ34</f>
        <v>0</v>
      </c>
      <c r="AJ316">
        <f>Model!AR34</f>
        <v>0</v>
      </c>
      <c r="AK316">
        <f>Model!AS34</f>
        <v>0</v>
      </c>
      <c r="AL316">
        <f>Model!AT34</f>
        <v>0</v>
      </c>
      <c r="AM316">
        <f>Model!AU34</f>
        <v>0</v>
      </c>
      <c r="AN316">
        <f>Model!AV34</f>
        <v>0</v>
      </c>
      <c r="AO316">
        <f>Model!AW34</f>
        <v>0</v>
      </c>
    </row>
    <row r="317" spans="1:41">
      <c r="A317" t="str">
        <f>Model!I35</f>
        <v>Other income (expense), net</v>
      </c>
      <c r="B317">
        <f>Model!J35</f>
        <v>0</v>
      </c>
      <c r="C317">
        <f>Model!K35</f>
        <v>0</v>
      </c>
      <c r="D317">
        <f>Model!L35</f>
        <v>0</v>
      </c>
      <c r="E317">
        <f>Model!M35</f>
        <v>0</v>
      </c>
      <c r="F317">
        <f>Model!N35</f>
        <v>0</v>
      </c>
      <c r="G317">
        <f>Model!O35</f>
        <v>0</v>
      </c>
      <c r="H317">
        <f>Model!P35</f>
        <v>0</v>
      </c>
      <c r="I317">
        <f>Model!Q35</f>
        <v>0</v>
      </c>
      <c r="J317">
        <f>Model!R35</f>
        <v>0.04</v>
      </c>
      <c r="K317">
        <f>Model!S35</f>
        <v>-4.5999999999999999E-2</v>
      </c>
      <c r="L317">
        <f>Model!T35</f>
        <v>-0.22900000000000001</v>
      </c>
      <c r="M317">
        <f>Model!U35</f>
        <v>8.3000000000000004E-2</v>
      </c>
      <c r="N317">
        <f>Model!V35</f>
        <v>-0.99299999999999999</v>
      </c>
      <c r="O317">
        <f>Model!W35</f>
        <v>-0.93899999999999995</v>
      </c>
      <c r="P317">
        <f>Model!X35</f>
        <v>-1.421</v>
      </c>
      <c r="Q317">
        <f>Model!Y35</f>
        <v>-1.2150000000000001</v>
      </c>
      <c r="R317">
        <f>Model!Z35</f>
        <v>0.187</v>
      </c>
      <c r="S317">
        <f>Model!AA35</f>
        <v>0.78600000000000003</v>
      </c>
      <c r="T317">
        <f>Model!AB35</f>
        <v>1.002</v>
      </c>
      <c r="U317">
        <f>Model!AC35</f>
        <v>2.5529999999999999</v>
      </c>
      <c r="V317">
        <f>Model!AD35</f>
        <v>0</v>
      </c>
      <c r="W317">
        <f>Model!AE35</f>
        <v>0</v>
      </c>
      <c r="X317">
        <f>Model!AF35</f>
        <v>0</v>
      </c>
      <c r="Y317">
        <f>Model!AG35</f>
        <v>0</v>
      </c>
      <c r="Z317">
        <f>Model!AH35</f>
        <v>0</v>
      </c>
      <c r="AA317">
        <f>Model!AI35</f>
        <v>0</v>
      </c>
      <c r="AB317">
        <f>Model!AJ35</f>
        <v>0</v>
      </c>
      <c r="AC317">
        <f>Model!AK35</f>
        <v>-0.15200000000000002</v>
      </c>
      <c r="AD317">
        <f>Model!AL35</f>
        <v>-4.5679999999999996</v>
      </c>
      <c r="AE317">
        <f>Model!AM35</f>
        <v>4.5280000000000005</v>
      </c>
      <c r="AF317">
        <f>Model!AN35</f>
        <v>0</v>
      </c>
      <c r="AG317">
        <f>Model!AO35</f>
        <v>3.5549999999999997</v>
      </c>
      <c r="AH317">
        <f>Model!AP35</f>
        <v>0</v>
      </c>
      <c r="AI317">
        <f>Model!AQ35</f>
        <v>0</v>
      </c>
      <c r="AJ317">
        <f>Model!AR35</f>
        <v>-0.15200000000000002</v>
      </c>
      <c r="AK317">
        <f>Model!AS35</f>
        <v>-4.72</v>
      </c>
      <c r="AL317">
        <f>Model!AT35</f>
        <v>-0.19199999999999928</v>
      </c>
      <c r="AM317">
        <f>Model!AU35</f>
        <v>-0.19199999999999928</v>
      </c>
      <c r="AN317">
        <f>Model!AV35</f>
        <v>0</v>
      </c>
      <c r="AO317">
        <f>Model!AW35</f>
        <v>0</v>
      </c>
    </row>
    <row r="318" spans="1:41">
      <c r="A318">
        <f>Model!I36</f>
        <v>0</v>
      </c>
      <c r="B318">
        <f>Model!J36</f>
        <v>0</v>
      </c>
      <c r="C318">
        <f>Model!K36</f>
        <v>0</v>
      </c>
      <c r="D318">
        <f>Model!L36</f>
        <v>0</v>
      </c>
      <c r="E318">
        <f>Model!M36</f>
        <v>0</v>
      </c>
      <c r="F318">
        <f>Model!N36</f>
        <v>0</v>
      </c>
      <c r="G318">
        <f>Model!O36</f>
        <v>0</v>
      </c>
      <c r="H318">
        <f>Model!P36</f>
        <v>0</v>
      </c>
      <c r="I318">
        <f>Model!Q36</f>
        <v>0</v>
      </c>
      <c r="J318">
        <f>Model!R36</f>
        <v>0</v>
      </c>
      <c r="K318">
        <f>Model!S36</f>
        <v>0</v>
      </c>
      <c r="L318">
        <f>Model!T36</f>
        <v>0</v>
      </c>
      <c r="M318">
        <f>Model!U36</f>
        <v>0</v>
      </c>
      <c r="N318">
        <f>Model!V36</f>
        <v>0</v>
      </c>
      <c r="O318">
        <f>Model!W36</f>
        <v>0</v>
      </c>
      <c r="P318">
        <f>Model!X36</f>
        <v>0</v>
      </c>
      <c r="Q318">
        <f>Model!Y36</f>
        <v>0</v>
      </c>
      <c r="R318">
        <f>Model!Z36</f>
        <v>0</v>
      </c>
      <c r="S318">
        <f>Model!AA36</f>
        <v>0</v>
      </c>
      <c r="T318">
        <f>Model!AB36</f>
        <v>0</v>
      </c>
      <c r="U318">
        <f>Model!AC36</f>
        <v>0</v>
      </c>
      <c r="V318">
        <f>Model!AD36</f>
        <v>0</v>
      </c>
      <c r="W318">
        <f>Model!AE36</f>
        <v>0</v>
      </c>
      <c r="X318">
        <f>Model!AF36</f>
        <v>0</v>
      </c>
      <c r="Y318">
        <f>Model!AG36</f>
        <v>0</v>
      </c>
      <c r="Z318">
        <f>Model!AH36</f>
        <v>0</v>
      </c>
      <c r="AA318">
        <f>Model!AI36</f>
        <v>0</v>
      </c>
      <c r="AB318">
        <f>Model!AJ36</f>
        <v>0</v>
      </c>
      <c r="AC318">
        <f>Model!AK36</f>
        <v>0</v>
      </c>
      <c r="AD318">
        <f>Model!AL36</f>
        <v>0</v>
      </c>
      <c r="AE318">
        <f>Model!AM36</f>
        <v>0</v>
      </c>
      <c r="AF318">
        <f>Model!AN36</f>
        <v>0</v>
      </c>
      <c r="AG318">
        <f>Model!AO36</f>
        <v>0</v>
      </c>
      <c r="AH318">
        <f>Model!AP36</f>
        <v>0</v>
      </c>
      <c r="AI318">
        <f>Model!AQ36</f>
        <v>0</v>
      </c>
      <c r="AJ318">
        <f>Model!AR36</f>
        <v>0</v>
      </c>
      <c r="AK318">
        <f>Model!AS36</f>
        <v>0</v>
      </c>
      <c r="AL318">
        <f>Model!AT36</f>
        <v>0</v>
      </c>
      <c r="AM318">
        <f>Model!AU36</f>
        <v>0</v>
      </c>
      <c r="AN318">
        <f>Model!AV36</f>
        <v>0</v>
      </c>
      <c r="AO318">
        <f>Model!AW36</f>
        <v>0</v>
      </c>
    </row>
    <row r="319" spans="1:41">
      <c r="A319" t="str">
        <f>Model!I37</f>
        <v>Loss Before Income Taxes</v>
      </c>
      <c r="B319">
        <f>Model!J37</f>
        <v>0</v>
      </c>
      <c r="C319">
        <f>Model!K37</f>
        <v>0</v>
      </c>
      <c r="D319">
        <f>Model!L37</f>
        <v>0</v>
      </c>
      <c r="E319">
        <f>Model!M37</f>
        <v>0</v>
      </c>
      <c r="F319">
        <f>Model!N37</f>
        <v>0</v>
      </c>
      <c r="G319">
        <f>Model!O37</f>
        <v>0</v>
      </c>
      <c r="H319">
        <f>Model!P37</f>
        <v>0</v>
      </c>
      <c r="I319">
        <f>Model!Q37</f>
        <v>0</v>
      </c>
      <c r="J319">
        <f>Model!R37</f>
        <v>-98.611999999999981</v>
      </c>
      <c r="K319">
        <f>Model!S37</f>
        <v>-87.535000000000011</v>
      </c>
      <c r="L319">
        <f>Model!T37</f>
        <v>-96.655999999999992</v>
      </c>
      <c r="M319">
        <f>Model!U37</f>
        <v>-97.678999999999988</v>
      </c>
      <c r="N319">
        <f>Model!V37</f>
        <v>-104.455</v>
      </c>
      <c r="O319">
        <f>Model!W37</f>
        <v>-115.92400000000001</v>
      </c>
      <c r="P319">
        <f>Model!X37</f>
        <v>-131.09900000000002</v>
      </c>
      <c r="Q319">
        <f>Model!Y37</f>
        <v>-170.24200000000002</v>
      </c>
      <c r="R319">
        <f>Model!Z37</f>
        <v>-2211.8510000000001</v>
      </c>
      <c r="S319">
        <f>Model!AA37</f>
        <v>-442.88100000000009</v>
      </c>
      <c r="T319">
        <f>Model!AB37</f>
        <v>-455.459</v>
      </c>
      <c r="U319">
        <f>Model!AC37</f>
        <v>-353.21700000000004</v>
      </c>
      <c r="V319">
        <f>Model!AD37</f>
        <v>-287.09463855421683</v>
      </c>
      <c r="W319">
        <f>Model!AE37</f>
        <v>-307.05685873563226</v>
      </c>
      <c r="X319">
        <f>Model!AF37</f>
        <v>-320.02308964175307</v>
      </c>
      <c r="Y319">
        <f>Model!AG37</f>
        <v>-258.2755318917155</v>
      </c>
      <c r="Z319">
        <f>Model!AH37</f>
        <v>0</v>
      </c>
      <c r="AA319">
        <f>Model!AI37</f>
        <v>0</v>
      </c>
      <c r="AB319">
        <f>Model!AJ37</f>
        <v>0</v>
      </c>
      <c r="AC319">
        <f>Model!AK37</f>
        <v>-380.48199999999997</v>
      </c>
      <c r="AD319">
        <f>Model!AL37</f>
        <v>-521.72</v>
      </c>
      <c r="AE319">
        <f>Model!AM37</f>
        <v>-3463.4079999999999</v>
      </c>
      <c r="AF319">
        <f>Model!AN37</f>
        <v>-1172.4501188233176</v>
      </c>
      <c r="AG319">
        <f>Model!AO37</f>
        <v>-909.3383986213837</v>
      </c>
      <c r="AH319">
        <f>Model!AP37</f>
        <v>-675.89163111927803</v>
      </c>
      <c r="AI319">
        <f>Model!AQ37</f>
        <v>-317.00562297508543</v>
      </c>
      <c r="AJ319">
        <f>Model!AR37</f>
        <v>158.51353008022116</v>
      </c>
      <c r="AK319">
        <f>Model!AS37</f>
        <v>662.89355428493138</v>
      </c>
      <c r="AL319">
        <f>Model!AT37</f>
        <v>1160.5377282354118</v>
      </c>
      <c r="AM319">
        <f>Model!AU37</f>
        <v>1638.5706316070516</v>
      </c>
      <c r="AN319">
        <f>Model!AV37</f>
        <v>0</v>
      </c>
      <c r="AO319">
        <f>Model!AW37</f>
        <v>0</v>
      </c>
    </row>
    <row r="320" spans="1:41">
      <c r="A320">
        <f>Model!I38</f>
        <v>0</v>
      </c>
      <c r="B320">
        <f>Model!J38</f>
        <v>0</v>
      </c>
      <c r="C320">
        <f>Model!K38</f>
        <v>0</v>
      </c>
      <c r="D320">
        <f>Model!L38</f>
        <v>0</v>
      </c>
      <c r="E320">
        <f>Model!M38</f>
        <v>0</v>
      </c>
      <c r="F320">
        <f>Model!N38</f>
        <v>0</v>
      </c>
      <c r="G320">
        <f>Model!O38</f>
        <v>0</v>
      </c>
      <c r="H320">
        <f>Model!P38</f>
        <v>0</v>
      </c>
      <c r="I320">
        <f>Model!Q38</f>
        <v>0</v>
      </c>
      <c r="J320">
        <f>Model!R38</f>
        <v>0</v>
      </c>
      <c r="K320">
        <f>Model!S38</f>
        <v>0</v>
      </c>
      <c r="L320">
        <f>Model!T38</f>
        <v>0</v>
      </c>
      <c r="M320">
        <f>Model!U38</f>
        <v>0</v>
      </c>
      <c r="N320">
        <f>Model!V38</f>
        <v>0</v>
      </c>
      <c r="O320">
        <f>Model!W38</f>
        <v>0</v>
      </c>
      <c r="P320">
        <f>Model!X38</f>
        <v>0</v>
      </c>
      <c r="Q320">
        <f>Model!Y38</f>
        <v>0</v>
      </c>
      <c r="R320">
        <f>Model!Z38</f>
        <v>0</v>
      </c>
      <c r="S320">
        <f>Model!AA38</f>
        <v>0</v>
      </c>
      <c r="T320">
        <f>Model!AB38</f>
        <v>0</v>
      </c>
      <c r="U320">
        <f>Model!AC38</f>
        <v>0</v>
      </c>
      <c r="V320">
        <f>Model!AD38</f>
        <v>0</v>
      </c>
      <c r="W320">
        <f>Model!AE38</f>
        <v>0</v>
      </c>
      <c r="X320">
        <f>Model!AF38</f>
        <v>0</v>
      </c>
      <c r="Y320">
        <f>Model!AG38</f>
        <v>0</v>
      </c>
      <c r="Z320">
        <f>Model!AH38</f>
        <v>0</v>
      </c>
      <c r="AA320">
        <f>Model!AI38</f>
        <v>0</v>
      </c>
      <c r="AB320">
        <f>Model!AJ38</f>
        <v>0</v>
      </c>
      <c r="AC320">
        <f>Model!AK38</f>
        <v>0</v>
      </c>
      <c r="AD320">
        <f>Model!AL38</f>
        <v>0</v>
      </c>
      <c r="AE320">
        <f>Model!AM38</f>
        <v>0</v>
      </c>
      <c r="AF320">
        <f>Model!AN38</f>
        <v>0</v>
      </c>
      <c r="AG320">
        <f>Model!AO38</f>
        <v>0</v>
      </c>
      <c r="AH320">
        <f>Model!AP38</f>
        <v>0</v>
      </c>
      <c r="AI320">
        <f>Model!AQ38</f>
        <v>0</v>
      </c>
      <c r="AJ320">
        <f>Model!AR38</f>
        <v>0</v>
      </c>
      <c r="AK320">
        <f>Model!AS38</f>
        <v>0</v>
      </c>
      <c r="AL320">
        <f>Model!AT38</f>
        <v>0</v>
      </c>
      <c r="AM320">
        <f>Model!AU38</f>
        <v>0</v>
      </c>
      <c r="AN320">
        <f>Model!AV38</f>
        <v>0</v>
      </c>
      <c r="AO320">
        <f>Model!AW38</f>
        <v>0</v>
      </c>
    </row>
    <row r="321" spans="1:41">
      <c r="A321" t="str">
        <f>Model!I39</f>
        <v>Income Tax benefit (expense)</v>
      </c>
      <c r="B321">
        <f>Model!J39</f>
        <v>0</v>
      </c>
      <c r="C321">
        <f>Model!K39</f>
        <v>0</v>
      </c>
      <c r="D321">
        <f>Model!L39</f>
        <v>0</v>
      </c>
      <c r="E321">
        <f>Model!M39</f>
        <v>0</v>
      </c>
      <c r="F321">
        <f>Model!N39</f>
        <v>0</v>
      </c>
      <c r="G321">
        <f>Model!O39</f>
        <v>0</v>
      </c>
      <c r="H321">
        <f>Model!P39</f>
        <v>0</v>
      </c>
      <c r="I321">
        <f>Model!Q39</f>
        <v>0</v>
      </c>
      <c r="J321">
        <f>Model!R39</f>
        <v>0</v>
      </c>
      <c r="K321">
        <f>Model!S39</f>
        <v>7.7</v>
      </c>
      <c r="L321">
        <f>Model!T39</f>
        <v>0</v>
      </c>
      <c r="M321">
        <f>Model!U39</f>
        <v>-0.111</v>
      </c>
      <c r="N321">
        <f>Model!V39</f>
        <v>-0.121</v>
      </c>
      <c r="O321">
        <f>Model!W39</f>
        <v>3.3000000000000002E-2</v>
      </c>
      <c r="P321">
        <f>Model!X39</f>
        <v>6.8710000000000004</v>
      </c>
      <c r="Q321">
        <f>Model!Y39</f>
        <v>0.29699999999999999</v>
      </c>
      <c r="R321">
        <f>Model!Z39</f>
        <v>3.0139999999999998</v>
      </c>
      <c r="S321">
        <f>Model!AA39</f>
        <v>-0.21199999999999999</v>
      </c>
      <c r="T321">
        <f>Model!AB39</f>
        <v>12.3</v>
      </c>
      <c r="U321">
        <f>Model!AC39</f>
        <v>3.24</v>
      </c>
      <c r="V321">
        <f>Model!AD39</f>
        <v>0</v>
      </c>
      <c r="W321">
        <f>Model!AE39</f>
        <v>0</v>
      </c>
      <c r="X321">
        <f>Model!AF39</f>
        <v>0</v>
      </c>
      <c r="Y321">
        <f>Model!AG39</f>
        <v>0</v>
      </c>
      <c r="Z321">
        <f>Model!AH39</f>
        <v>0</v>
      </c>
      <c r="AA321">
        <f>Model!AI39</f>
        <v>0</v>
      </c>
      <c r="AB321">
        <f>Model!AJ39</f>
        <v>0</v>
      </c>
      <c r="AC321">
        <f>Model!AK39</f>
        <v>7.5890000000000004</v>
      </c>
      <c r="AD321">
        <f>Model!AL39</f>
        <v>7.08</v>
      </c>
      <c r="AE321">
        <f>Model!AM39</f>
        <v>18.341999999999999</v>
      </c>
      <c r="AF321">
        <f>Model!AN39</f>
        <v>0</v>
      </c>
      <c r="AG321">
        <f>Model!AO39</f>
        <v>0</v>
      </c>
      <c r="AH321">
        <f>Model!AP39</f>
        <v>0</v>
      </c>
      <c r="AI321">
        <f>Model!AQ39</f>
        <v>0</v>
      </c>
      <c r="AJ321">
        <f>Model!AR39</f>
        <v>-31.702706016044232</v>
      </c>
      <c r="AK321">
        <f>Model!AS39</f>
        <v>-132.57871085698628</v>
      </c>
      <c r="AL321">
        <f>Model!AT39</f>
        <v>-232.10754564708236</v>
      </c>
      <c r="AM321">
        <f>Model!AU39</f>
        <v>-327.71412632141033</v>
      </c>
      <c r="AN321">
        <f>Model!AV39</f>
        <v>0</v>
      </c>
      <c r="AO321">
        <f>Model!AW39</f>
        <v>0</v>
      </c>
    </row>
    <row r="322" spans="1:41">
      <c r="A322" t="str">
        <f>Model!I40</f>
        <v>Tax Rate (GAAP)</v>
      </c>
      <c r="B322">
        <f>Model!J40</f>
        <v>0</v>
      </c>
      <c r="C322">
        <f>Model!K40</f>
        <v>0</v>
      </c>
      <c r="D322">
        <f>Model!L40</f>
        <v>0</v>
      </c>
      <c r="E322">
        <f>Model!M40</f>
        <v>0</v>
      </c>
      <c r="F322">
        <f>Model!N40</f>
        <v>0</v>
      </c>
      <c r="G322">
        <f>Model!O40</f>
        <v>0</v>
      </c>
      <c r="H322">
        <f>Model!P40</f>
        <v>0</v>
      </c>
      <c r="I322">
        <f>Model!Q40</f>
        <v>0</v>
      </c>
      <c r="J322">
        <f>Model!R40</f>
        <v>0</v>
      </c>
      <c r="K322">
        <f>Model!S40</f>
        <v>-8.7964814074370248E-2</v>
      </c>
      <c r="L322">
        <f>Model!T40</f>
        <v>0</v>
      </c>
      <c r="M322">
        <f>Model!U40</f>
        <v>1.136375270017097E-3</v>
      </c>
      <c r="N322">
        <f>Model!V40</f>
        <v>1.1583935666076301E-3</v>
      </c>
      <c r="O322">
        <f>Model!W40</f>
        <v>-2.8466926607087403E-4</v>
      </c>
      <c r="P322">
        <f>Model!X40</f>
        <v>-5.2410773537555584E-2</v>
      </c>
      <c r="Q322">
        <f>Model!Y40</f>
        <v>-1.7445753691803429E-3</v>
      </c>
      <c r="R322">
        <f>Model!Z40</f>
        <v>-1.3626596004884595E-3</v>
      </c>
      <c r="S322">
        <f>Model!AA40</f>
        <v>4.7868389025494424E-4</v>
      </c>
      <c r="T322">
        <f>Model!AB40</f>
        <v>-2.7005723896113592E-2</v>
      </c>
      <c r="U322">
        <f>Model!AC40</f>
        <v>-9.1728314322357066E-3</v>
      </c>
      <c r="V322">
        <f>Model!AD40</f>
        <v>0.25</v>
      </c>
      <c r="W322">
        <f>Model!AE40</f>
        <v>0.25</v>
      </c>
      <c r="X322">
        <f>Model!AF40</f>
        <v>0.25</v>
      </c>
      <c r="Y322">
        <f>Model!AG40</f>
        <v>0.25</v>
      </c>
      <c r="Z322">
        <f>Model!AH40</f>
        <v>0</v>
      </c>
      <c r="AA322">
        <f>Model!AI40</f>
        <v>0</v>
      </c>
      <c r="AB322">
        <f>Model!AJ40</f>
        <v>0</v>
      </c>
      <c r="AC322">
        <f>Model!AK40</f>
        <v>1.9945753018539646E-2</v>
      </c>
      <c r="AD322">
        <f>Model!AL40</f>
        <v>1.3570497584911446E-2</v>
      </c>
      <c r="AE322">
        <f>Model!AM40</f>
        <v>5.2959397218000307E-3</v>
      </c>
      <c r="AF322">
        <f>Model!AN40</f>
        <v>0</v>
      </c>
      <c r="AG322">
        <f>Model!AO40</f>
        <v>0.25</v>
      </c>
      <c r="AH322">
        <f>Model!AP40</f>
        <v>0.25</v>
      </c>
      <c r="AI322">
        <f>Model!AQ40</f>
        <v>0.25</v>
      </c>
      <c r="AJ322">
        <f>Model!AR40</f>
        <v>0.2</v>
      </c>
      <c r="AK322">
        <f>Model!AS40</f>
        <v>0.2</v>
      </c>
      <c r="AL322">
        <f>Model!AT40</f>
        <v>0.2</v>
      </c>
      <c r="AM322">
        <f>Model!AU40</f>
        <v>0.2</v>
      </c>
      <c r="AN322">
        <f>Model!AV40</f>
        <v>0</v>
      </c>
      <c r="AO322">
        <f>Model!AW40</f>
        <v>0</v>
      </c>
    </row>
    <row r="323" spans="1:41">
      <c r="A323">
        <f>Model!I41</f>
        <v>0</v>
      </c>
      <c r="B323">
        <f>Model!J41</f>
        <v>0</v>
      </c>
      <c r="C323">
        <f>Model!K41</f>
        <v>0</v>
      </c>
      <c r="D323">
        <f>Model!L41</f>
        <v>0</v>
      </c>
      <c r="E323">
        <f>Model!M41</f>
        <v>0</v>
      </c>
      <c r="F323">
        <f>Model!N41</f>
        <v>0</v>
      </c>
      <c r="G323">
        <f>Model!O41</f>
        <v>0</v>
      </c>
      <c r="H323">
        <f>Model!P41</f>
        <v>0</v>
      </c>
      <c r="I323">
        <f>Model!Q41</f>
        <v>0</v>
      </c>
      <c r="J323">
        <f>Model!R41</f>
        <v>0</v>
      </c>
      <c r="K323">
        <f>Model!S41</f>
        <v>0</v>
      </c>
      <c r="L323">
        <f>Model!T41</f>
        <v>0</v>
      </c>
      <c r="M323">
        <f>Model!U41</f>
        <v>0</v>
      </c>
      <c r="N323">
        <f>Model!V41</f>
        <v>0</v>
      </c>
      <c r="O323">
        <f>Model!W41</f>
        <v>0</v>
      </c>
      <c r="P323">
        <f>Model!X41</f>
        <v>0</v>
      </c>
      <c r="Q323">
        <f>Model!Y41</f>
        <v>0</v>
      </c>
      <c r="R323">
        <f>Model!Z41</f>
        <v>0</v>
      </c>
      <c r="S323">
        <f>Model!AA41</f>
        <v>0</v>
      </c>
      <c r="T323">
        <f>Model!AB41</f>
        <v>0</v>
      </c>
      <c r="U323">
        <f>Model!AC41</f>
        <v>0</v>
      </c>
      <c r="V323">
        <f>Model!AD41</f>
        <v>0</v>
      </c>
      <c r="W323">
        <f>Model!AE41</f>
        <v>0</v>
      </c>
      <c r="X323">
        <f>Model!AF41</f>
        <v>0</v>
      </c>
      <c r="Y323">
        <f>Model!AG41</f>
        <v>0</v>
      </c>
      <c r="Z323">
        <f>Model!AH41</f>
        <v>0</v>
      </c>
      <c r="AA323">
        <f>Model!AI41</f>
        <v>0</v>
      </c>
      <c r="AB323">
        <f>Model!AJ41</f>
        <v>0</v>
      </c>
      <c r="AC323">
        <f>Model!AK41</f>
        <v>0</v>
      </c>
      <c r="AD323">
        <f>Model!AL41</f>
        <v>0</v>
      </c>
      <c r="AE323">
        <f>Model!AM41</f>
        <v>0</v>
      </c>
      <c r="AF323">
        <f>Model!AN41</f>
        <v>0</v>
      </c>
      <c r="AG323">
        <f>Model!AO41</f>
        <v>0</v>
      </c>
      <c r="AH323">
        <f>Model!AP41</f>
        <v>0</v>
      </c>
      <c r="AI323">
        <f>Model!AQ41</f>
        <v>0</v>
      </c>
      <c r="AJ323">
        <f>Model!AR41</f>
        <v>0</v>
      </c>
      <c r="AK323">
        <f>Model!AS41</f>
        <v>0</v>
      </c>
      <c r="AL323">
        <f>Model!AT41</f>
        <v>0</v>
      </c>
      <c r="AM323">
        <f>Model!AU41</f>
        <v>0</v>
      </c>
      <c r="AN323">
        <f>Model!AV41</f>
        <v>0</v>
      </c>
      <c r="AO323">
        <f>Model!AW41</f>
        <v>0</v>
      </c>
    </row>
    <row r="324" spans="1:41">
      <c r="A324">
        <f>Model!I42</f>
        <v>0</v>
      </c>
      <c r="B324">
        <f>Model!J42</f>
        <v>0</v>
      </c>
      <c r="C324">
        <f>Model!K42</f>
        <v>0</v>
      </c>
      <c r="D324">
        <f>Model!L42</f>
        <v>0</v>
      </c>
      <c r="E324">
        <f>Model!M42</f>
        <v>0</v>
      </c>
      <c r="F324">
        <f>Model!N42</f>
        <v>0</v>
      </c>
      <c r="G324">
        <f>Model!O42</f>
        <v>0</v>
      </c>
      <c r="H324">
        <f>Model!P42</f>
        <v>0</v>
      </c>
      <c r="I324">
        <f>Model!Q42</f>
        <v>0</v>
      </c>
      <c r="J324">
        <f>Model!R42</f>
        <v>0</v>
      </c>
      <c r="K324">
        <f>Model!S42</f>
        <v>0</v>
      </c>
      <c r="L324">
        <f>Model!T42</f>
        <v>0</v>
      </c>
      <c r="M324">
        <f>Model!U42</f>
        <v>0</v>
      </c>
      <c r="N324">
        <f>Model!V42</f>
        <v>0</v>
      </c>
      <c r="O324">
        <f>Model!W42</f>
        <v>0</v>
      </c>
      <c r="P324">
        <f>Model!X42</f>
        <v>0</v>
      </c>
      <c r="Q324">
        <f>Model!Y42</f>
        <v>0</v>
      </c>
      <c r="R324">
        <f>Model!Z42</f>
        <v>0</v>
      </c>
      <c r="S324">
        <f>Model!AA42</f>
        <v>0</v>
      </c>
      <c r="T324">
        <f>Model!AB42</f>
        <v>0</v>
      </c>
      <c r="U324">
        <f>Model!AC42</f>
        <v>0</v>
      </c>
      <c r="V324">
        <f>Model!AD42</f>
        <v>0</v>
      </c>
      <c r="W324">
        <f>Model!AE42</f>
        <v>0</v>
      </c>
      <c r="X324">
        <f>Model!AF42</f>
        <v>0</v>
      </c>
      <c r="Y324">
        <f>Model!AG42</f>
        <v>0</v>
      </c>
      <c r="Z324">
        <f>Model!AH42</f>
        <v>0</v>
      </c>
      <c r="AA324">
        <f>Model!AI42</f>
        <v>0</v>
      </c>
      <c r="AB324">
        <f>Model!AJ42</f>
        <v>0</v>
      </c>
      <c r="AC324">
        <f>Model!AK42</f>
        <v>0</v>
      </c>
      <c r="AD324">
        <f>Model!AL42</f>
        <v>0</v>
      </c>
      <c r="AE324">
        <f>Model!AM42</f>
        <v>0</v>
      </c>
      <c r="AF324">
        <f>Model!AN42</f>
        <v>0</v>
      </c>
      <c r="AG324">
        <f>Model!AO42</f>
        <v>0</v>
      </c>
      <c r="AH324">
        <f>Model!AP42</f>
        <v>0</v>
      </c>
      <c r="AI324">
        <f>Model!AQ42</f>
        <v>0</v>
      </c>
      <c r="AJ324">
        <f>Model!AR42</f>
        <v>0</v>
      </c>
      <c r="AK324">
        <f>Model!AS42</f>
        <v>0</v>
      </c>
      <c r="AL324">
        <f>Model!AT42</f>
        <v>0</v>
      </c>
      <c r="AM324">
        <f>Model!AU42</f>
        <v>0</v>
      </c>
      <c r="AN324">
        <f>Model!AV42</f>
        <v>0</v>
      </c>
      <c r="AO324">
        <f>Model!AW42</f>
        <v>0</v>
      </c>
    </row>
    <row r="325" spans="1:41">
      <c r="A325" t="str">
        <f>Model!I43</f>
        <v>Net Income / (Loss)</v>
      </c>
      <c r="B325">
        <f>Model!J43</f>
        <v>0</v>
      </c>
      <c r="C325">
        <f>Model!K43</f>
        <v>0</v>
      </c>
      <c r="D325">
        <f>Model!L43</f>
        <v>0</v>
      </c>
      <c r="E325">
        <f>Model!M43</f>
        <v>0</v>
      </c>
      <c r="F325">
        <f>Model!N43</f>
        <v>0</v>
      </c>
      <c r="G325">
        <f>Model!O43</f>
        <v>0</v>
      </c>
      <c r="H325">
        <f>Model!P43</f>
        <v>0</v>
      </c>
      <c r="I325">
        <f>Model!Q43</f>
        <v>0</v>
      </c>
      <c r="J325">
        <f>Model!R43</f>
        <v>-98.611999999999981</v>
      </c>
      <c r="K325">
        <f>Model!S43</f>
        <v>-79.835000000000008</v>
      </c>
      <c r="L325">
        <f>Model!T43</f>
        <v>-96.655999999999992</v>
      </c>
      <c r="M325">
        <f>Model!U43</f>
        <v>-97.789999999999992</v>
      </c>
      <c r="N325">
        <f>Model!V43</f>
        <v>-104.57599999999999</v>
      </c>
      <c r="O325">
        <f>Model!W43</f>
        <v>-115.89100000000001</v>
      </c>
      <c r="P325">
        <f>Model!X43</f>
        <v>-124.22800000000002</v>
      </c>
      <c r="Q325">
        <f>Model!Y43</f>
        <v>-169.94500000000002</v>
      </c>
      <c r="R325">
        <f>Model!Z43</f>
        <v>-2208.837</v>
      </c>
      <c r="S325">
        <f>Model!AA43</f>
        <v>-443.09300000000007</v>
      </c>
      <c r="T325">
        <f>Model!AB43</f>
        <v>-443.15899999999999</v>
      </c>
      <c r="U325">
        <f>Model!AC43</f>
        <v>-349.97700000000003</v>
      </c>
      <c r="V325">
        <f>Model!AD43</f>
        <v>-287.09463855421683</v>
      </c>
      <c r="W325">
        <f>Model!AE43</f>
        <v>-307.05685873563226</v>
      </c>
      <c r="X325">
        <f>Model!AF43</f>
        <v>-320.02308964175307</v>
      </c>
      <c r="Y325">
        <f>Model!AG43</f>
        <v>-258.2755318917155</v>
      </c>
      <c r="Z325">
        <f>Model!AH43</f>
        <v>0</v>
      </c>
      <c r="AA325">
        <f>Model!AI43</f>
        <v>0</v>
      </c>
      <c r="AB325">
        <f>Model!AJ43</f>
        <v>0</v>
      </c>
      <c r="AC325">
        <f>Model!AK43</f>
        <v>-372.89300000000003</v>
      </c>
      <c r="AD325">
        <f>Model!AL43</f>
        <v>-514.64</v>
      </c>
      <c r="AE325">
        <f>Model!AM43</f>
        <v>-3445.0660000000003</v>
      </c>
      <c r="AF325">
        <f>Model!AN43</f>
        <v>-1172.4501188233176</v>
      </c>
      <c r="AG325">
        <f>Model!AO43</f>
        <v>-909.3383986213837</v>
      </c>
      <c r="AH325">
        <f>Model!AP43</f>
        <v>-675.89163111927803</v>
      </c>
      <c r="AI325">
        <f>Model!AQ43</f>
        <v>-317.00562297508543</v>
      </c>
      <c r="AJ325">
        <f>Model!AR43</f>
        <v>126.81082406417693</v>
      </c>
      <c r="AK325">
        <f>Model!AS43</f>
        <v>530.31484342794511</v>
      </c>
      <c r="AL325">
        <f>Model!AT43</f>
        <v>928.43018258832944</v>
      </c>
      <c r="AM325">
        <f>Model!AU43</f>
        <v>1310.8565052856413</v>
      </c>
      <c r="AN325">
        <f>Model!AV43</f>
        <v>0</v>
      </c>
      <c r="AO325">
        <f>Model!AW43</f>
        <v>0</v>
      </c>
    </row>
    <row r="326" spans="1:41">
      <c r="A326">
        <f>Model!I46</f>
        <v>0</v>
      </c>
      <c r="B326">
        <f>Model!J46</f>
        <v>0</v>
      </c>
      <c r="C326">
        <f>Model!K46</f>
        <v>0</v>
      </c>
      <c r="D326">
        <f>Model!L46</f>
        <v>0</v>
      </c>
      <c r="E326">
        <f>Model!M46</f>
        <v>0</v>
      </c>
      <c r="F326">
        <f>Model!N46</f>
        <v>0</v>
      </c>
      <c r="G326">
        <f>Model!O46</f>
        <v>0</v>
      </c>
      <c r="H326">
        <f>Model!P46</f>
        <v>0</v>
      </c>
      <c r="I326">
        <f>Model!Q46</f>
        <v>0</v>
      </c>
      <c r="J326">
        <f>Model!R46</f>
        <v>0</v>
      </c>
      <c r="K326">
        <f>Model!S46</f>
        <v>0</v>
      </c>
      <c r="L326">
        <f>Model!T46</f>
        <v>0</v>
      </c>
      <c r="M326">
        <f>Model!U46</f>
        <v>0</v>
      </c>
      <c r="N326">
        <f>Model!V46</f>
        <v>0</v>
      </c>
      <c r="O326">
        <f>Model!W46</f>
        <v>0</v>
      </c>
      <c r="P326">
        <f>Model!X46</f>
        <v>0</v>
      </c>
      <c r="Q326">
        <f>Model!Y46</f>
        <v>0</v>
      </c>
      <c r="R326">
        <f>Model!Z46</f>
        <v>0</v>
      </c>
      <c r="S326">
        <f>Model!AA46</f>
        <v>0</v>
      </c>
      <c r="T326">
        <f>Model!AB46</f>
        <v>0</v>
      </c>
      <c r="U326">
        <f>Model!AC46</f>
        <v>0</v>
      </c>
      <c r="V326">
        <f>Model!AD46</f>
        <v>0</v>
      </c>
      <c r="W326">
        <f>Model!AE46</f>
        <v>0</v>
      </c>
      <c r="X326">
        <f>Model!AF46</f>
        <v>0</v>
      </c>
      <c r="Y326">
        <f>Model!AG46</f>
        <v>0</v>
      </c>
      <c r="Z326">
        <f>Model!AH46</f>
        <v>0</v>
      </c>
      <c r="AA326">
        <f>Model!AI46</f>
        <v>0</v>
      </c>
      <c r="AB326">
        <f>Model!AJ46</f>
        <v>0</v>
      </c>
      <c r="AC326">
        <f>Model!AK46</f>
        <v>0</v>
      </c>
      <c r="AD326">
        <f>Model!AL46</f>
        <v>0</v>
      </c>
      <c r="AE326">
        <f>Model!AM46</f>
        <v>0</v>
      </c>
      <c r="AF326">
        <f>Model!AN46</f>
        <v>0</v>
      </c>
      <c r="AG326">
        <f>Model!AO46</f>
        <v>0</v>
      </c>
      <c r="AH326">
        <f>Model!AP46</f>
        <v>0</v>
      </c>
      <c r="AI326">
        <f>Model!AQ46</f>
        <v>0</v>
      </c>
      <c r="AJ326">
        <f>Model!AR46</f>
        <v>0</v>
      </c>
      <c r="AK326">
        <f>Model!AS46</f>
        <v>0</v>
      </c>
      <c r="AL326">
        <f>Model!AT46</f>
        <v>0</v>
      </c>
      <c r="AM326">
        <f>Model!AU46</f>
        <v>0</v>
      </c>
      <c r="AN326">
        <f>Model!AV46</f>
        <v>0</v>
      </c>
      <c r="AO326">
        <f>Model!AW46</f>
        <v>0</v>
      </c>
    </row>
    <row r="327" spans="1:41">
      <c r="A327" t="str">
        <f>Model!I47</f>
        <v>Basic Shares Outstanding</v>
      </c>
      <c r="B327">
        <f>Model!J47</f>
        <v>0</v>
      </c>
      <c r="C327">
        <f>Model!K47</f>
        <v>0</v>
      </c>
      <c r="D327">
        <f>Model!L47</f>
        <v>0</v>
      </c>
      <c r="E327">
        <f>Model!M47</f>
        <v>0</v>
      </c>
      <c r="F327">
        <f>Model!N47</f>
        <v>0</v>
      </c>
      <c r="G327">
        <f>Model!O47</f>
        <v>0</v>
      </c>
      <c r="H327">
        <f>Model!P47</f>
        <v>0</v>
      </c>
      <c r="I327">
        <f>Model!Q47</f>
        <v>0</v>
      </c>
      <c r="J327">
        <f>Model!R47</f>
        <v>0</v>
      </c>
      <c r="K327">
        <f>Model!S47</f>
        <v>0</v>
      </c>
      <c r="L327">
        <f>Model!T47</f>
        <v>0</v>
      </c>
      <c r="M327">
        <f>Model!U47</f>
        <v>0</v>
      </c>
      <c r="N327">
        <f>Model!V47</f>
        <v>0</v>
      </c>
      <c r="O327">
        <f>Model!W47</f>
        <v>0</v>
      </c>
      <c r="P327">
        <f>Model!X47</f>
        <v>0</v>
      </c>
      <c r="Q327">
        <f>Model!Y47</f>
        <v>0</v>
      </c>
      <c r="R327">
        <f>Model!Z47</f>
        <v>956.20649350649353</v>
      </c>
      <c r="S327">
        <f>Model!AA47</f>
        <v>1422.5510965486665</v>
      </c>
      <c r="T327">
        <f>Model!AB47</f>
        <v>1441</v>
      </c>
      <c r="U327">
        <f>Model!AC47</f>
        <v>1420</v>
      </c>
      <c r="V327">
        <f>Model!AD47</f>
        <v>1430</v>
      </c>
      <c r="W327">
        <f>Model!AE47</f>
        <v>1440</v>
      </c>
      <c r="X327">
        <f>Model!AF47</f>
        <v>1450</v>
      </c>
      <c r="Y327">
        <f>Model!AG47</f>
        <v>1460</v>
      </c>
      <c r="Z327">
        <f>Model!AH47</f>
        <v>0</v>
      </c>
      <c r="AA327">
        <f>Model!AI47</f>
        <v>0</v>
      </c>
      <c r="AB327">
        <f>Model!AJ47</f>
        <v>0</v>
      </c>
      <c r="AC327" t="str">
        <f>Model!AK47</f>
        <v>ND</v>
      </c>
      <c r="AD327" t="str">
        <f>Model!AL47</f>
        <v>ND</v>
      </c>
      <c r="AE327">
        <f>Model!AM47</f>
        <v>1309.93939751379</v>
      </c>
      <c r="AF327">
        <f>Model!AN47</f>
        <v>1445</v>
      </c>
      <c r="AG327">
        <f>Model!AO47</f>
        <v>1480</v>
      </c>
      <c r="AH327">
        <f>Model!AP47</f>
        <v>1513</v>
      </c>
      <c r="AI327">
        <f>Model!AQ47</f>
        <v>1545</v>
      </c>
      <c r="AJ327">
        <f>Model!AR47</f>
        <v>1575</v>
      </c>
      <c r="AK327">
        <f>Model!AS47</f>
        <v>1605</v>
      </c>
      <c r="AL327">
        <f>Model!AT47</f>
        <v>1632</v>
      </c>
      <c r="AM327">
        <f>Model!AU47</f>
        <v>1659</v>
      </c>
      <c r="AN327">
        <f>Model!AV47</f>
        <v>0</v>
      </c>
      <c r="AO327">
        <f>Model!AW47</f>
        <v>0</v>
      </c>
    </row>
    <row r="328" spans="1:41">
      <c r="A328" t="str">
        <f>Model!I48</f>
        <v>Diluted Shares Outstanding</v>
      </c>
      <c r="B328">
        <f>Model!J48</f>
        <v>0</v>
      </c>
      <c r="C328">
        <f>Model!K48</f>
        <v>0</v>
      </c>
      <c r="D328">
        <f>Model!L48</f>
        <v>0</v>
      </c>
      <c r="E328">
        <f>Model!M48</f>
        <v>0</v>
      </c>
      <c r="F328">
        <f>Model!N48</f>
        <v>0</v>
      </c>
      <c r="G328">
        <f>Model!O48</f>
        <v>0</v>
      </c>
      <c r="H328">
        <f>Model!P48</f>
        <v>0</v>
      </c>
      <c r="I328">
        <f>Model!Q48</f>
        <v>0</v>
      </c>
      <c r="J328">
        <f>Model!R48</f>
        <v>0</v>
      </c>
      <c r="K328">
        <f>Model!S48</f>
        <v>0</v>
      </c>
      <c r="L328">
        <f>Model!T48</f>
        <v>0</v>
      </c>
      <c r="M328">
        <f>Model!U48</f>
        <v>0</v>
      </c>
      <c r="N328">
        <f>Model!V48</f>
        <v>0</v>
      </c>
      <c r="O328">
        <f>Model!W48</f>
        <v>0</v>
      </c>
      <c r="P328">
        <f>Model!X48</f>
        <v>0</v>
      </c>
      <c r="Q328">
        <f>Model!Y48</f>
        <v>0</v>
      </c>
      <c r="R328">
        <f>Model!Z48</f>
        <v>1404.1021930973332</v>
      </c>
      <c r="S328">
        <f>Model!AA48</f>
        <v>1422.5510965486665</v>
      </c>
      <c r="T328">
        <f>Model!AB48</f>
        <v>1441</v>
      </c>
      <c r="U328">
        <f>Model!AC48</f>
        <v>1420</v>
      </c>
      <c r="V328">
        <f>Model!AD48</f>
        <v>1430</v>
      </c>
      <c r="W328">
        <f>Model!AE48</f>
        <v>1440</v>
      </c>
      <c r="X328">
        <f>Model!AF48</f>
        <v>1450</v>
      </c>
      <c r="Y328">
        <f>Model!AG48</f>
        <v>1460</v>
      </c>
      <c r="Z328">
        <f>Model!AH48</f>
        <v>0</v>
      </c>
      <c r="AA328">
        <f>Model!AI48</f>
        <v>0</v>
      </c>
      <c r="AB328">
        <f>Model!AJ48</f>
        <v>0</v>
      </c>
      <c r="AC328" t="str">
        <f>Model!AK48</f>
        <v>ND</v>
      </c>
      <c r="AD328" t="str">
        <f>Model!AL48</f>
        <v>ND</v>
      </c>
      <c r="AE328">
        <f>Model!AM48</f>
        <v>1421.9133224114998</v>
      </c>
      <c r="AF328">
        <f>Model!AN48</f>
        <v>1445</v>
      </c>
      <c r="AG328">
        <f>Model!AO48</f>
        <v>1480</v>
      </c>
      <c r="AH328">
        <f>Model!AP48</f>
        <v>1513</v>
      </c>
      <c r="AI328">
        <f>Model!AQ48</f>
        <v>1545</v>
      </c>
      <c r="AJ328">
        <f>Model!AR48</f>
        <v>1575</v>
      </c>
      <c r="AK328">
        <f>Model!AS48</f>
        <v>1605</v>
      </c>
      <c r="AL328">
        <f>Model!AT48</f>
        <v>1632</v>
      </c>
      <c r="AM328">
        <f>Model!AU48</f>
        <v>1659</v>
      </c>
      <c r="AN328">
        <f>Model!AV48</f>
        <v>0</v>
      </c>
      <c r="AO328">
        <f>Model!AW48</f>
        <v>0</v>
      </c>
    </row>
    <row r="330" spans="1:41">
      <c r="A330" t="str">
        <f>Model!I50</f>
        <v>EBITDA Reconciliation</v>
      </c>
      <c r="B330">
        <f>Model!J50</f>
        <v>0</v>
      </c>
      <c r="C330">
        <f>Model!K50</f>
        <v>0</v>
      </c>
      <c r="D330">
        <f>Model!L50</f>
        <v>0</v>
      </c>
      <c r="E330">
        <f>Model!M50</f>
        <v>0</v>
      </c>
      <c r="F330">
        <f>Model!N50</f>
        <v>0</v>
      </c>
      <c r="G330">
        <f>Model!O50</f>
        <v>0</v>
      </c>
      <c r="H330">
        <f>Model!P50</f>
        <v>0</v>
      </c>
      <c r="I330">
        <f>Model!Q50</f>
        <v>0</v>
      </c>
      <c r="J330">
        <f>Model!R50</f>
        <v>0</v>
      </c>
      <c r="K330">
        <f>Model!S50</f>
        <v>0</v>
      </c>
      <c r="L330">
        <f>Model!T50</f>
        <v>0</v>
      </c>
      <c r="M330">
        <f>Model!U50</f>
        <v>0</v>
      </c>
      <c r="N330">
        <f>Model!V50</f>
        <v>0</v>
      </c>
      <c r="O330">
        <f>Model!W50</f>
        <v>0</v>
      </c>
      <c r="P330">
        <f>Model!X50</f>
        <v>0</v>
      </c>
      <c r="Q330">
        <f>Model!Y50</f>
        <v>0</v>
      </c>
      <c r="R330">
        <f>Model!Z50</f>
        <v>0</v>
      </c>
      <c r="S330">
        <f>Model!AA50</f>
        <v>0</v>
      </c>
      <c r="T330">
        <f>Model!AB50</f>
        <v>0</v>
      </c>
      <c r="U330">
        <f>Model!AC50</f>
        <v>0</v>
      </c>
      <c r="V330">
        <f>Model!AD50</f>
        <v>0</v>
      </c>
      <c r="W330">
        <f>Model!AE50</f>
        <v>0</v>
      </c>
      <c r="X330">
        <f>Model!AF50</f>
        <v>0</v>
      </c>
      <c r="Y330">
        <f>Model!AG50</f>
        <v>0</v>
      </c>
      <c r="Z330">
        <f>Model!AH50</f>
        <v>0</v>
      </c>
      <c r="AA330">
        <f>Model!AI50</f>
        <v>0</v>
      </c>
      <c r="AB330">
        <f>Model!AJ50</f>
        <v>0</v>
      </c>
      <c r="AC330">
        <f>Model!AK50</f>
        <v>0</v>
      </c>
      <c r="AD330">
        <f>Model!AL50</f>
        <v>0</v>
      </c>
      <c r="AE330">
        <f>Model!AM50</f>
        <v>0</v>
      </c>
      <c r="AF330">
        <f>Model!AN50</f>
        <v>0</v>
      </c>
      <c r="AG330">
        <f>Model!AO50</f>
        <v>0</v>
      </c>
      <c r="AH330">
        <f>Model!AP50</f>
        <v>0</v>
      </c>
      <c r="AI330">
        <f>Model!AQ50</f>
        <v>0</v>
      </c>
      <c r="AJ330">
        <f>Model!AR50</f>
        <v>0</v>
      </c>
      <c r="AK330">
        <f>Model!AS50</f>
        <v>0</v>
      </c>
      <c r="AL330">
        <f>Model!AT50</f>
        <v>0</v>
      </c>
      <c r="AM330">
        <f>Model!AU50</f>
        <v>0</v>
      </c>
      <c r="AN330">
        <f>Model!AV50</f>
        <v>0</v>
      </c>
      <c r="AO330">
        <f>Model!AW50</f>
        <v>0</v>
      </c>
    </row>
    <row r="331" spans="1:41">
      <c r="A331" t="str">
        <f>Model!I51</f>
        <v>Add (deduct):</v>
      </c>
      <c r="B331">
        <f>Model!J51</f>
        <v>0</v>
      </c>
      <c r="C331">
        <f>Model!K51</f>
        <v>0</v>
      </c>
      <c r="D331">
        <f>Model!L51</f>
        <v>0</v>
      </c>
      <c r="E331">
        <f>Model!M51</f>
        <v>0</v>
      </c>
      <c r="F331">
        <f>Model!N51</f>
        <v>0</v>
      </c>
      <c r="G331">
        <f>Model!O51</f>
        <v>0</v>
      </c>
      <c r="H331">
        <f>Model!P51</f>
        <v>0</v>
      </c>
      <c r="I331">
        <f>Model!Q51</f>
        <v>0</v>
      </c>
      <c r="J331">
        <f>Model!R51</f>
        <v>0</v>
      </c>
      <c r="K331">
        <f>Model!S51</f>
        <v>0</v>
      </c>
      <c r="L331">
        <f>Model!T51</f>
        <v>0</v>
      </c>
      <c r="M331">
        <f>Model!U51</f>
        <v>0</v>
      </c>
      <c r="N331">
        <f>Model!V51</f>
        <v>0</v>
      </c>
      <c r="O331">
        <f>Model!W51</f>
        <v>0</v>
      </c>
      <c r="P331">
        <f>Model!X51</f>
        <v>0</v>
      </c>
      <c r="Q331">
        <f>Model!Y51</f>
        <v>0</v>
      </c>
      <c r="R331">
        <f>Model!Z51</f>
        <v>0</v>
      </c>
      <c r="S331">
        <f>Model!AA51</f>
        <v>0</v>
      </c>
      <c r="T331">
        <f>Model!AB51</f>
        <v>0</v>
      </c>
      <c r="U331">
        <f>Model!AC51</f>
        <v>0</v>
      </c>
      <c r="V331">
        <f>Model!AD51</f>
        <v>0</v>
      </c>
      <c r="W331">
        <f>Model!AE51</f>
        <v>0</v>
      </c>
      <c r="X331">
        <f>Model!AF51</f>
        <v>0</v>
      </c>
      <c r="Y331">
        <f>Model!AG51</f>
        <v>0</v>
      </c>
      <c r="Z331">
        <f>Model!AH51</f>
        <v>0</v>
      </c>
      <c r="AA331">
        <f>Model!AI51</f>
        <v>0</v>
      </c>
      <c r="AB331">
        <f>Model!AJ51</f>
        <v>0</v>
      </c>
      <c r="AC331">
        <f>Model!AK51</f>
        <v>0</v>
      </c>
      <c r="AD331">
        <f>Model!AL51</f>
        <v>0</v>
      </c>
      <c r="AE331">
        <f>Model!AM51</f>
        <v>0</v>
      </c>
      <c r="AF331">
        <f>Model!AN51</f>
        <v>0</v>
      </c>
      <c r="AG331">
        <f>Model!AO51</f>
        <v>0</v>
      </c>
      <c r="AH331">
        <f>Model!AP51</f>
        <v>0</v>
      </c>
      <c r="AI331">
        <f>Model!AQ51</f>
        <v>0</v>
      </c>
      <c r="AJ331">
        <f>Model!AR51</f>
        <v>0</v>
      </c>
      <c r="AK331">
        <f>Model!AS51</f>
        <v>0</v>
      </c>
      <c r="AL331">
        <f>Model!AT51</f>
        <v>0</v>
      </c>
      <c r="AM331">
        <f>Model!AU51</f>
        <v>0</v>
      </c>
      <c r="AN331">
        <f>Model!AV51</f>
        <v>0</v>
      </c>
      <c r="AO331">
        <f>Model!AW51</f>
        <v>0</v>
      </c>
    </row>
    <row r="332" spans="1:41">
      <c r="A332" t="str">
        <f>Model!I52</f>
        <v>Interest income</v>
      </c>
      <c r="B332">
        <f>Model!J52</f>
        <v>0</v>
      </c>
      <c r="C332">
        <f>Model!K52</f>
        <v>0</v>
      </c>
      <c r="D332">
        <f>Model!L52</f>
        <v>0</v>
      </c>
      <c r="E332">
        <f>Model!M52</f>
        <v>0</v>
      </c>
      <c r="F332">
        <f>Model!N52</f>
        <v>0</v>
      </c>
      <c r="G332">
        <f>Model!O52</f>
        <v>0</v>
      </c>
      <c r="H332">
        <f>Model!P52</f>
        <v>0</v>
      </c>
      <c r="I332">
        <f>Model!Q52</f>
        <v>0</v>
      </c>
      <c r="J332">
        <f>Model!R52</f>
        <v>-0.19400000000000001</v>
      </c>
      <c r="K332">
        <f>Model!S52</f>
        <v>-0.33200000000000002</v>
      </c>
      <c r="L332">
        <f>Model!T52</f>
        <v>-0.47499999999999998</v>
      </c>
      <c r="M332">
        <f>Model!U52</f>
        <v>-0.39800000000000002</v>
      </c>
      <c r="N332">
        <f>Model!V52</f>
        <v>-0.35899999999999999</v>
      </c>
      <c r="O332">
        <f>Model!W52</f>
        <v>-0.874</v>
      </c>
      <c r="P332">
        <f>Model!X52</f>
        <v>-1.9379999999999999</v>
      </c>
      <c r="Q332">
        <f>Model!Y52</f>
        <v>-1.486</v>
      </c>
      <c r="R332">
        <f>Model!Z52</f>
        <v>-2.4239999999999999</v>
      </c>
      <c r="S332">
        <f>Model!AA52</f>
        <v>-6.3490000000000002</v>
      </c>
      <c r="T332">
        <f>Model!AB52</f>
        <v>-6.2530000000000001</v>
      </c>
      <c r="U332">
        <f>Model!AC52</f>
        <v>-6.07</v>
      </c>
      <c r="V332">
        <f>Model!AD52</f>
        <v>-1.25</v>
      </c>
      <c r="W332">
        <f>Model!AE52</f>
        <v>-1.25</v>
      </c>
      <c r="X332">
        <f>Model!AF52</f>
        <v>-1.25</v>
      </c>
      <c r="Y332">
        <f>Model!AG52</f>
        <v>-1.25</v>
      </c>
      <c r="Z332">
        <f>Model!AH52</f>
        <v>0</v>
      </c>
      <c r="AA332">
        <f>Model!AI52</f>
        <v>0</v>
      </c>
      <c r="AB332">
        <f>Model!AJ52</f>
        <v>0</v>
      </c>
      <c r="AC332">
        <f>Model!AK52</f>
        <v>-1.399</v>
      </c>
      <c r="AD332">
        <f>Model!AL52</f>
        <v>-4.657</v>
      </c>
      <c r="AE332">
        <f>Model!AM52</f>
        <v>-21.096</v>
      </c>
      <c r="AF332">
        <f>Model!AN52</f>
        <v>-5</v>
      </c>
      <c r="AG332">
        <f>Model!AO52</f>
        <v>-5</v>
      </c>
      <c r="AH332">
        <f>Model!AP52</f>
        <v>-5</v>
      </c>
      <c r="AI332">
        <f>Model!AQ52</f>
        <v>-5</v>
      </c>
      <c r="AJ332">
        <f>Model!AR52</f>
        <v>-5</v>
      </c>
      <c r="AK332">
        <f>Model!AS52</f>
        <v>-5</v>
      </c>
      <c r="AL332">
        <f>Model!AT52</f>
        <v>-5</v>
      </c>
      <c r="AM332">
        <f>Model!AU52</f>
        <v>-5</v>
      </c>
      <c r="AN332">
        <f>Model!AV52</f>
        <v>0</v>
      </c>
      <c r="AO332">
        <f>Model!AW52</f>
        <v>0</v>
      </c>
    </row>
    <row r="333" spans="1:41">
      <c r="A333" t="str">
        <f>Model!I53</f>
        <v>Interest expense</v>
      </c>
      <c r="B333">
        <f>Model!J53</f>
        <v>0</v>
      </c>
      <c r="C333">
        <f>Model!K53</f>
        <v>0</v>
      </c>
      <c r="D333">
        <f>Model!L53</f>
        <v>0</v>
      </c>
      <c r="E333">
        <f>Model!M53</f>
        <v>0</v>
      </c>
      <c r="F333">
        <f>Model!N53</f>
        <v>0</v>
      </c>
      <c r="G333">
        <f>Model!O53</f>
        <v>0</v>
      </c>
      <c r="H333">
        <f>Model!P53</f>
        <v>0</v>
      </c>
      <c r="I333">
        <f>Model!Q53</f>
        <v>0</v>
      </c>
      <c r="J333">
        <f>Model!R53</f>
        <v>0</v>
      </c>
      <c r="K333">
        <f>Model!S53</f>
        <v>0</v>
      </c>
      <c r="L333">
        <f>Model!T53</f>
        <v>0</v>
      </c>
      <c r="M333">
        <f>Model!U53</f>
        <v>0</v>
      </c>
      <c r="N333">
        <f>Model!V53</f>
        <v>0</v>
      </c>
      <c r="O333">
        <f>Model!W53</f>
        <v>0</v>
      </c>
      <c r="P333">
        <f>Model!X53</f>
        <v>0.64800000000000002</v>
      </c>
      <c r="Q333">
        <f>Model!Y53</f>
        <v>0.77600000000000002</v>
      </c>
      <c r="R333">
        <f>Model!Z53</f>
        <v>0.69499999999999995</v>
      </c>
      <c r="S333">
        <f>Model!AA53</f>
        <v>0.998</v>
      </c>
      <c r="T333">
        <f>Model!AB53</f>
        <v>0.88700000000000001</v>
      </c>
      <c r="U333">
        <f>Model!AC53</f>
        <v>0.876</v>
      </c>
      <c r="V333">
        <f>Model!AD53</f>
        <v>0.7</v>
      </c>
      <c r="W333">
        <f>Model!AE53</f>
        <v>0.7</v>
      </c>
      <c r="X333">
        <f>Model!AF53</f>
        <v>0.7</v>
      </c>
      <c r="Y333">
        <f>Model!AG53</f>
        <v>0.7</v>
      </c>
      <c r="Z333">
        <f>Model!AH53</f>
        <v>0</v>
      </c>
      <c r="AA333">
        <f>Model!AI53</f>
        <v>0</v>
      </c>
      <c r="AB333">
        <f>Model!AJ53</f>
        <v>0</v>
      </c>
      <c r="AC333">
        <f>Model!AK53</f>
        <v>0</v>
      </c>
      <c r="AD333">
        <f>Model!AL53</f>
        <v>1.4239999999999999</v>
      </c>
      <c r="AE333">
        <f>Model!AM53</f>
        <v>3.456</v>
      </c>
      <c r="AF333">
        <f>Model!AN53</f>
        <v>2.8</v>
      </c>
      <c r="AG333">
        <f>Model!AO53</f>
        <v>-4.97898</v>
      </c>
      <c r="AH333">
        <f>Model!AP53</f>
        <v>-4.97898</v>
      </c>
      <c r="AI333">
        <f>Model!AQ53</f>
        <v>-4.97898</v>
      </c>
      <c r="AJ333">
        <f>Model!AR53</f>
        <v>-4.97898</v>
      </c>
      <c r="AK333">
        <f>Model!AS53</f>
        <v>-4.97898</v>
      </c>
      <c r="AL333">
        <f>Model!AT53</f>
        <v>-4.97898</v>
      </c>
      <c r="AM333">
        <f>Model!AU53</f>
        <v>-4.97898</v>
      </c>
      <c r="AN333">
        <f>Model!AV53</f>
        <v>0</v>
      </c>
      <c r="AO333">
        <f>Model!AW53</f>
        <v>0</v>
      </c>
    </row>
    <row r="334" spans="1:41">
      <c r="A334" t="str">
        <f>Model!I54</f>
        <v>Other (income) expense, net</v>
      </c>
      <c r="B334">
        <f>Model!J54</f>
        <v>0</v>
      </c>
      <c r="C334">
        <f>Model!K54</f>
        <v>0</v>
      </c>
      <c r="D334">
        <f>Model!L54</f>
        <v>0</v>
      </c>
      <c r="E334">
        <f>Model!M54</f>
        <v>0</v>
      </c>
      <c r="F334">
        <f>Model!N54</f>
        <v>0</v>
      </c>
      <c r="G334">
        <f>Model!O54</f>
        <v>0</v>
      </c>
      <c r="H334">
        <f>Model!P54</f>
        <v>0</v>
      </c>
      <c r="I334">
        <f>Model!Q54</f>
        <v>0</v>
      </c>
      <c r="J334">
        <f>Model!R54</f>
        <v>-0.04</v>
      </c>
      <c r="K334">
        <f>Model!S54</f>
        <v>4.5999999999999999E-2</v>
      </c>
      <c r="L334">
        <f>Model!T54</f>
        <v>0.22900000000000001</v>
      </c>
      <c r="M334">
        <f>Model!U54</f>
        <v>-8.3000000000000004E-2</v>
      </c>
      <c r="N334">
        <f>Model!V54</f>
        <v>0.99299999999999999</v>
      </c>
      <c r="O334">
        <f>Model!W54</f>
        <v>0.93899999999999995</v>
      </c>
      <c r="P334">
        <f>Model!X54</f>
        <v>1.421</v>
      </c>
      <c r="Q334">
        <f>Model!Y54</f>
        <v>1.2150000000000001</v>
      </c>
      <c r="R334">
        <f>Model!Z54</f>
        <v>-0.187</v>
      </c>
      <c r="S334">
        <f>Model!AA54</f>
        <v>-0.78600000000000003</v>
      </c>
      <c r="T334">
        <f>Model!AB54</f>
        <v>-1.002</v>
      </c>
      <c r="U334">
        <f>Model!AC54</f>
        <v>-2.5529999999999999</v>
      </c>
      <c r="V334">
        <f>Model!AD54</f>
        <v>0</v>
      </c>
      <c r="W334">
        <f>Model!AE54</f>
        <v>0</v>
      </c>
      <c r="X334">
        <f>Model!AF54</f>
        <v>0</v>
      </c>
      <c r="Y334">
        <f>Model!AG54</f>
        <v>0</v>
      </c>
      <c r="Z334">
        <f>Model!AH54</f>
        <v>0</v>
      </c>
      <c r="AA334">
        <f>Model!AI54</f>
        <v>0</v>
      </c>
      <c r="AB334">
        <f>Model!AJ54</f>
        <v>0</v>
      </c>
      <c r="AC334">
        <f>Model!AK54</f>
        <v>0.15200000000000002</v>
      </c>
      <c r="AD334">
        <f>Model!AL54</f>
        <v>4.5679999999999996</v>
      </c>
      <c r="AE334">
        <f>Model!AM54</f>
        <v>-4.5280000000000005</v>
      </c>
      <c r="AF334">
        <f>Model!AN54</f>
        <v>0</v>
      </c>
      <c r="AG334">
        <f>Model!AO54</f>
        <v>-3.5549999999999997</v>
      </c>
      <c r="AH334">
        <f>Model!AP54</f>
        <v>0</v>
      </c>
      <c r="AI334">
        <f>Model!AQ54</f>
        <v>0</v>
      </c>
      <c r="AJ334">
        <f>Model!AR54</f>
        <v>0.15200000000000002</v>
      </c>
      <c r="AK334">
        <f>Model!AS54</f>
        <v>4.72</v>
      </c>
      <c r="AL334">
        <f>Model!AT54</f>
        <v>0.19199999999999928</v>
      </c>
      <c r="AM334">
        <f>Model!AU54</f>
        <v>0.19199999999999928</v>
      </c>
      <c r="AN334">
        <f>Model!AV54</f>
        <v>0</v>
      </c>
      <c r="AO334">
        <f>Model!AW54</f>
        <v>0</v>
      </c>
    </row>
    <row r="335" spans="1:41">
      <c r="A335" t="str">
        <f>Model!I55</f>
        <v>Income tax expense (benefit)</v>
      </c>
      <c r="B335">
        <f>Model!J55</f>
        <v>0</v>
      </c>
      <c r="C335">
        <f>Model!K55</f>
        <v>0</v>
      </c>
      <c r="D335">
        <f>Model!L55</f>
        <v>0</v>
      </c>
      <c r="E335">
        <f>Model!M55</f>
        <v>0</v>
      </c>
      <c r="F335">
        <f>Model!N55</f>
        <v>0</v>
      </c>
      <c r="G335">
        <f>Model!O55</f>
        <v>0</v>
      </c>
      <c r="H335">
        <f>Model!P55</f>
        <v>0</v>
      </c>
      <c r="I335">
        <f>Model!Q55</f>
        <v>0</v>
      </c>
      <c r="J335">
        <f>Model!R55</f>
        <v>0</v>
      </c>
      <c r="K335">
        <f>Model!S55</f>
        <v>-7.7</v>
      </c>
      <c r="L335">
        <f>Model!T55</f>
        <v>0</v>
      </c>
      <c r="M335">
        <f>Model!U55</f>
        <v>0.111</v>
      </c>
      <c r="N335">
        <f>Model!V55</f>
        <v>0.121</v>
      </c>
      <c r="O335">
        <f>Model!W55</f>
        <v>-3.3000000000000002E-2</v>
      </c>
      <c r="P335">
        <f>Model!X55</f>
        <v>-6.8710000000000004</v>
      </c>
      <c r="Q335">
        <f>Model!Y55</f>
        <v>-0.29699999999999999</v>
      </c>
      <c r="R335">
        <f>Model!Z55</f>
        <v>-3.0139999999999998</v>
      </c>
      <c r="S335">
        <f>Model!AA55</f>
        <v>0.21199999999999999</v>
      </c>
      <c r="T335">
        <f>Model!AB55</f>
        <v>-12.3</v>
      </c>
      <c r="U335">
        <f>Model!AC55</f>
        <v>-3.24</v>
      </c>
      <c r="V335">
        <f>Model!AD55</f>
        <v>0</v>
      </c>
      <c r="W335">
        <f>Model!AE55</f>
        <v>0</v>
      </c>
      <c r="X335">
        <f>Model!AF55</f>
        <v>0</v>
      </c>
      <c r="Y335">
        <f>Model!AG55</f>
        <v>0</v>
      </c>
      <c r="Z335">
        <f>Model!AH55</f>
        <v>0</v>
      </c>
      <c r="AA335">
        <f>Model!AI55</f>
        <v>0</v>
      </c>
      <c r="AB335">
        <f>Model!AJ55</f>
        <v>0</v>
      </c>
      <c r="AC335">
        <f>Model!AK55</f>
        <v>-7.5890000000000004</v>
      </c>
      <c r="AD335">
        <f>Model!AL55</f>
        <v>-7.08</v>
      </c>
      <c r="AE335">
        <f>Model!AM55</f>
        <v>-18.341999999999999</v>
      </c>
      <c r="AF335">
        <f>Model!AN55</f>
        <v>0</v>
      </c>
      <c r="AG335">
        <f>Model!AO55</f>
        <v>0</v>
      </c>
      <c r="AH335">
        <f>Model!AP55</f>
        <v>0</v>
      </c>
      <c r="AI335">
        <f>Model!AQ55</f>
        <v>0</v>
      </c>
      <c r="AJ335">
        <f>Model!AR55</f>
        <v>31.702706016044232</v>
      </c>
      <c r="AK335">
        <f>Model!AS55</f>
        <v>132.57871085698628</v>
      </c>
      <c r="AL335">
        <f>Model!AT55</f>
        <v>232.10754564708236</v>
      </c>
      <c r="AM335">
        <f>Model!AU55</f>
        <v>327.71412632141033</v>
      </c>
      <c r="AN335">
        <f>Model!AV55</f>
        <v>0</v>
      </c>
      <c r="AO335">
        <f>Model!AW55</f>
        <v>0</v>
      </c>
    </row>
    <row r="336" spans="1:41">
      <c r="A336" t="str">
        <f>Model!I56</f>
        <v>Depreciation &amp; amortization</v>
      </c>
      <c r="B336">
        <f>Model!J56</f>
        <v>0</v>
      </c>
      <c r="C336">
        <f>Model!K56</f>
        <v>0</v>
      </c>
      <c r="D336">
        <f>Model!L56</f>
        <v>0</v>
      </c>
      <c r="E336">
        <f>Model!M56</f>
        <v>0</v>
      </c>
      <c r="F336">
        <f>Model!N56</f>
        <v>0</v>
      </c>
      <c r="G336">
        <f>Model!O56</f>
        <v>0</v>
      </c>
      <c r="H336">
        <f>Model!P56</f>
        <v>0</v>
      </c>
      <c r="I336">
        <f>Model!Q56</f>
        <v>0</v>
      </c>
      <c r="J336">
        <f>Model!R56</f>
        <v>3.198</v>
      </c>
      <c r="K336">
        <f>Model!S56</f>
        <v>3.8820000000000001</v>
      </c>
      <c r="L336">
        <f>Model!T56</f>
        <v>4.1180000000000003</v>
      </c>
      <c r="M336">
        <f>Model!U56</f>
        <v>4.109</v>
      </c>
      <c r="N336">
        <f>Model!V56</f>
        <v>5.0490000000000004</v>
      </c>
      <c r="O336">
        <f>Model!W56</f>
        <v>5.9960000000000004</v>
      </c>
      <c r="P336">
        <f>Model!X56</f>
        <v>7.4370000000000003</v>
      </c>
      <c r="Q336">
        <f>Model!Y56</f>
        <v>10.632999999999999</v>
      </c>
      <c r="R336">
        <f>Model!Z56</f>
        <v>12.45</v>
      </c>
      <c r="S336">
        <f>Model!AA56</f>
        <v>12.585000000000001</v>
      </c>
      <c r="T336">
        <f>Model!AB56</f>
        <v>17.466999999999999</v>
      </c>
      <c r="U336">
        <f>Model!AC56</f>
        <v>18.786000000000001</v>
      </c>
      <c r="V336">
        <f>Model!AD56</f>
        <v>13.97045</v>
      </c>
      <c r="W336">
        <f>Model!AE56</f>
        <v>14.86225</v>
      </c>
      <c r="X336">
        <f>Model!AF56</f>
        <v>19.141200000000005</v>
      </c>
      <c r="Y336">
        <f>Model!AG56</f>
        <v>16.062799999999999</v>
      </c>
      <c r="Z336">
        <f>Model!AH56</f>
        <v>0</v>
      </c>
      <c r="AA336">
        <f>Model!AI56</f>
        <v>0</v>
      </c>
      <c r="AB336">
        <f>Model!AJ56</f>
        <v>0</v>
      </c>
      <c r="AC336">
        <f>Model!AK56</f>
        <v>15.307</v>
      </c>
      <c r="AD336">
        <f>Model!AL56</f>
        <v>29.115000000000002</v>
      </c>
      <c r="AE336">
        <f>Model!AM56</f>
        <v>61.287999999999997</v>
      </c>
      <c r="AF336">
        <f>Model!AN56</f>
        <v>64.036699999999996</v>
      </c>
      <c r="AG336">
        <f>Model!AO56</f>
        <v>72.486699999999985</v>
      </c>
      <c r="AH336">
        <f>Model!AP56</f>
        <v>74.110799999999983</v>
      </c>
      <c r="AI336">
        <f>Model!AQ56</f>
        <v>73.984899999999982</v>
      </c>
      <c r="AJ336">
        <f>Model!AR56</f>
        <v>80.034899999999979</v>
      </c>
      <c r="AK336">
        <f>Model!AS56</f>
        <v>84.984899999999968</v>
      </c>
      <c r="AL336">
        <f>Model!AT56</f>
        <v>89.384899999999973</v>
      </c>
      <c r="AM336">
        <f>Model!AU56</f>
        <v>93.234899999999968</v>
      </c>
      <c r="AN336">
        <f>Model!AV56</f>
        <v>0</v>
      </c>
      <c r="AO336">
        <f>Model!AW56</f>
        <v>0</v>
      </c>
    </row>
    <row r="337" spans="1:41">
      <c r="A337" t="str">
        <f>Model!I57</f>
        <v>Stock-based compensation</v>
      </c>
      <c r="B337">
        <f>Model!J57</f>
        <v>0</v>
      </c>
      <c r="C337">
        <f>Model!K57</f>
        <v>0</v>
      </c>
      <c r="D337">
        <f>Model!L57</f>
        <v>0</v>
      </c>
      <c r="E337">
        <f>Model!M57</f>
        <v>0</v>
      </c>
      <c r="F337">
        <f>Model!N57</f>
        <v>0</v>
      </c>
      <c r="G337">
        <f>Model!O57</f>
        <v>0</v>
      </c>
      <c r="H337">
        <f>Model!P57</f>
        <v>0</v>
      </c>
      <c r="I337">
        <f>Model!Q57</f>
        <v>0</v>
      </c>
      <c r="J337">
        <f>Model!R57</f>
        <v>51.661999999999999</v>
      </c>
      <c r="K337">
        <f>Model!S57</f>
        <v>6.0359999999999996</v>
      </c>
      <c r="L337">
        <f>Model!T57</f>
        <v>8.7089999999999996</v>
      </c>
      <c r="M337">
        <f>Model!U57</f>
        <v>7.117</v>
      </c>
      <c r="N337">
        <f>Model!V57</f>
        <v>5.5380000000000003</v>
      </c>
      <c r="O337">
        <f>Model!W57</f>
        <v>4.742</v>
      </c>
      <c r="P337">
        <f>Model!X57</f>
        <v>14.795</v>
      </c>
      <c r="Q337">
        <f>Model!Y57</f>
        <v>6.7670000000000003</v>
      </c>
      <c r="R337">
        <f>Model!Z57</f>
        <v>2013.0740000000001</v>
      </c>
      <c r="S337">
        <f>Model!AA57</f>
        <v>242.44300000000001</v>
      </c>
      <c r="T337">
        <f>Model!AB57</f>
        <v>225.59200000000001</v>
      </c>
      <c r="U337">
        <f>Model!AC57</f>
        <v>183.256</v>
      </c>
      <c r="V337">
        <f>Model!AD57</f>
        <v>69</v>
      </c>
      <c r="W337">
        <f>Model!AE57</f>
        <v>100</v>
      </c>
      <c r="X337">
        <f>Model!AF57</f>
        <v>100</v>
      </c>
      <c r="Y337">
        <f>Model!AG57</f>
        <v>100</v>
      </c>
      <c r="Z337">
        <f>Model!AH57</f>
        <v>0</v>
      </c>
      <c r="AA337">
        <f>Model!AI57</f>
        <v>0</v>
      </c>
      <c r="AB337">
        <f>Model!AJ57</f>
        <v>0</v>
      </c>
      <c r="AC337">
        <f>Model!AK57</f>
        <v>73.524000000000001</v>
      </c>
      <c r="AD337">
        <f>Model!AL57</f>
        <v>31.842000000000002</v>
      </c>
      <c r="AE337">
        <f>Model!AM57</f>
        <v>2664.3650000000002</v>
      </c>
      <c r="AF337">
        <f>Model!AN57</f>
        <v>369</v>
      </c>
      <c r="AG337">
        <f>Model!AO57</f>
        <v>415</v>
      </c>
      <c r="AH337">
        <f>Model!AP57</f>
        <v>448.20000000000005</v>
      </c>
      <c r="AI337">
        <f>Model!AQ57</f>
        <v>484.0560000000001</v>
      </c>
      <c r="AJ337">
        <f>Model!AR57</f>
        <v>508.25880000000012</v>
      </c>
      <c r="AK337">
        <f>Model!AS57</f>
        <v>533.67174000000011</v>
      </c>
      <c r="AL337">
        <f>Model!AT57</f>
        <v>560.3553270000001</v>
      </c>
      <c r="AM337">
        <f>Model!AU57</f>
        <v>588.37309335000009</v>
      </c>
      <c r="AN337">
        <f>Model!AV57</f>
        <v>0</v>
      </c>
      <c r="AO337">
        <f>Model!AW57</f>
        <v>0</v>
      </c>
    </row>
    <row r="338" spans="1:41">
      <c r="A338" t="str">
        <f>Model!I94</f>
        <v>Weighted Avg. Exercise Price</v>
      </c>
      <c r="B338">
        <f>Model!J94</f>
        <v>0</v>
      </c>
      <c r="C338">
        <f>Model!K94</f>
        <v>0</v>
      </c>
      <c r="D338">
        <f>Model!L94</f>
        <v>0</v>
      </c>
      <c r="E338">
        <f>Model!M94</f>
        <v>0</v>
      </c>
      <c r="F338">
        <f>Model!N94</f>
        <v>0</v>
      </c>
      <c r="G338">
        <f>Model!O94</f>
        <v>0</v>
      </c>
      <c r="H338">
        <f>Model!P94</f>
        <v>0</v>
      </c>
      <c r="I338">
        <f>Model!Q94</f>
        <v>0</v>
      </c>
      <c r="J338">
        <f>Model!R94</f>
        <v>0</v>
      </c>
      <c r="K338">
        <f>Model!S94</f>
        <v>0</v>
      </c>
      <c r="L338">
        <f>Model!T94</f>
        <v>0</v>
      </c>
      <c r="M338">
        <f>Model!U94</f>
        <v>0</v>
      </c>
      <c r="N338">
        <f>Model!V94</f>
        <v>0</v>
      </c>
      <c r="O338">
        <f>Model!W94</f>
        <v>0</v>
      </c>
      <c r="P338">
        <f>Model!X94</f>
        <v>0</v>
      </c>
      <c r="Q338">
        <f>Model!Y94</f>
        <v>0</v>
      </c>
      <c r="R338">
        <f>Model!Z94</f>
        <v>1</v>
      </c>
      <c r="S338">
        <f>Model!AA94</f>
        <v>0</v>
      </c>
      <c r="T338">
        <f>Model!AB94</f>
        <v>0</v>
      </c>
      <c r="U338">
        <f>Model!AC94</f>
        <v>0</v>
      </c>
      <c r="V338">
        <f>Model!AD94</f>
        <v>0</v>
      </c>
      <c r="W338">
        <f>Model!AE94</f>
        <v>0</v>
      </c>
      <c r="X338">
        <f>Model!AF94</f>
        <v>0</v>
      </c>
      <c r="Y338">
        <f>Model!AG94</f>
        <v>0</v>
      </c>
      <c r="Z338">
        <f>Model!AH94</f>
        <v>0</v>
      </c>
      <c r="AA338">
        <f>Model!AI94</f>
        <v>0</v>
      </c>
      <c r="AB338">
        <f>Model!AJ94</f>
        <v>0</v>
      </c>
      <c r="AC338">
        <f>Model!AK94</f>
        <v>0</v>
      </c>
      <c r="AD338">
        <f>Model!AL94</f>
        <v>0</v>
      </c>
      <c r="AE338">
        <f>Model!AM94</f>
        <v>0</v>
      </c>
      <c r="AF338">
        <f>Model!AN94</f>
        <v>0</v>
      </c>
      <c r="AG338">
        <f>Model!AO94</f>
        <v>0</v>
      </c>
      <c r="AH338">
        <f>Model!AP94</f>
        <v>0</v>
      </c>
      <c r="AI338">
        <f>Model!AQ94</f>
        <v>0</v>
      </c>
      <c r="AJ338">
        <f>Model!AR94</f>
        <v>0</v>
      </c>
      <c r="AK338">
        <f>Model!AS94</f>
        <v>0</v>
      </c>
      <c r="AL338">
        <f>Model!AT94</f>
        <v>0</v>
      </c>
      <c r="AM338">
        <f>Model!AU94</f>
        <v>0</v>
      </c>
      <c r="AN338">
        <f>Model!AV94</f>
        <v>0</v>
      </c>
      <c r="AO338">
        <f>Model!AW94</f>
        <v>0</v>
      </c>
    </row>
    <row r="339" spans="1:41">
      <c r="A339" t="str">
        <f>Model!I112</f>
        <v>Balance Sheet</v>
      </c>
      <c r="B339">
        <f>Model!J112</f>
        <v>0</v>
      </c>
      <c r="C339">
        <f>Model!K112</f>
        <v>0</v>
      </c>
      <c r="D339">
        <f>Model!L112</f>
        <v>0</v>
      </c>
      <c r="E339">
        <f>Model!M112</f>
        <v>0</v>
      </c>
      <c r="F339">
        <f>Model!N112</f>
        <v>0</v>
      </c>
      <c r="G339">
        <f>Model!O112</f>
        <v>0</v>
      </c>
      <c r="H339">
        <f>Model!P112</f>
        <v>0</v>
      </c>
      <c r="I339">
        <f>Model!Q112</f>
        <v>0</v>
      </c>
      <c r="J339">
        <f>Model!R112</f>
        <v>0</v>
      </c>
      <c r="K339">
        <f>Model!S112</f>
        <v>0</v>
      </c>
      <c r="L339">
        <f>Model!T112</f>
        <v>0</v>
      </c>
      <c r="M339">
        <f>Model!U112</f>
        <v>0</v>
      </c>
      <c r="N339">
        <f>Model!V112</f>
        <v>0</v>
      </c>
      <c r="O339">
        <f>Model!W112</f>
        <v>0</v>
      </c>
      <c r="P339">
        <f>Model!X112</f>
        <v>0</v>
      </c>
      <c r="Q339">
        <f>Model!Y112</f>
        <v>0</v>
      </c>
      <c r="R339">
        <f>Model!Z112</f>
        <v>0</v>
      </c>
      <c r="S339">
        <f>Model!AA112</f>
        <v>0</v>
      </c>
      <c r="T339">
        <f>Model!AB112</f>
        <v>0</v>
      </c>
      <c r="U339">
        <f>Model!AC112</f>
        <v>0</v>
      </c>
      <c r="V339">
        <f>Model!AD112</f>
        <v>0</v>
      </c>
      <c r="W339">
        <f>Model!AE112</f>
        <v>0</v>
      </c>
      <c r="X339">
        <f>Model!AF112</f>
        <v>0</v>
      </c>
      <c r="Y339">
        <f>Model!AG112</f>
        <v>0</v>
      </c>
      <c r="Z339">
        <f>Model!AH112</f>
        <v>0</v>
      </c>
      <c r="AA339">
        <f>Model!AI112</f>
        <v>0</v>
      </c>
      <c r="AB339">
        <f>Model!AJ112</f>
        <v>0</v>
      </c>
      <c r="AC339">
        <f>Model!AK112</f>
        <v>0</v>
      </c>
      <c r="AD339">
        <f>Model!AL112</f>
        <v>0</v>
      </c>
      <c r="AE339">
        <f>Model!AM112</f>
        <v>0</v>
      </c>
      <c r="AF339">
        <f>Model!AN112</f>
        <v>0</v>
      </c>
      <c r="AG339">
        <f>Model!AO112</f>
        <v>0</v>
      </c>
      <c r="AH339">
        <f>Model!AP112</f>
        <v>0</v>
      </c>
      <c r="AI339">
        <f>Model!AQ112</f>
        <v>0</v>
      </c>
      <c r="AJ339">
        <f>Model!AR112</f>
        <v>0</v>
      </c>
      <c r="AK339">
        <f>Model!AS112</f>
        <v>0</v>
      </c>
      <c r="AL339">
        <f>Model!AT112</f>
        <v>0</v>
      </c>
      <c r="AM339">
        <f>Model!AU112</f>
        <v>0</v>
      </c>
      <c r="AN339">
        <f>Model!AV112</f>
        <v>0</v>
      </c>
      <c r="AO339">
        <f>Model!AW112</f>
        <v>0</v>
      </c>
    </row>
    <row r="340" spans="1:41">
      <c r="A340" t="str">
        <f>Model!I113</f>
        <v>(mn, USD)</v>
      </c>
      <c r="B340">
        <f>Model!J113</f>
        <v>0</v>
      </c>
      <c r="C340">
        <f>Model!K113</f>
        <v>0</v>
      </c>
      <c r="D340">
        <f>Model!L113</f>
        <v>0</v>
      </c>
      <c r="E340">
        <f>Model!M113</f>
        <v>0</v>
      </c>
      <c r="F340">
        <f>Model!N113</f>
        <v>0</v>
      </c>
      <c r="G340">
        <f>Model!O113</f>
        <v>0</v>
      </c>
      <c r="H340">
        <f>Model!P113</f>
        <v>0</v>
      </c>
      <c r="I340">
        <f>Model!Q113</f>
        <v>0</v>
      </c>
      <c r="J340">
        <f>Model!R113</f>
        <v>0</v>
      </c>
      <c r="K340">
        <f>Model!S113</f>
        <v>0</v>
      </c>
      <c r="L340">
        <f>Model!T113</f>
        <v>0</v>
      </c>
      <c r="M340">
        <f>Model!U113</f>
        <v>0</v>
      </c>
      <c r="N340">
        <f>Model!V113</f>
        <v>0</v>
      </c>
      <c r="O340">
        <f>Model!W113</f>
        <v>0</v>
      </c>
      <c r="P340">
        <f>Model!X113</f>
        <v>0</v>
      </c>
      <c r="Q340">
        <f>Model!Y113</f>
        <v>0</v>
      </c>
      <c r="R340">
        <f>Model!Z113</f>
        <v>0</v>
      </c>
      <c r="S340">
        <f>Model!AA113</f>
        <v>0</v>
      </c>
      <c r="T340">
        <f>Model!AB113</f>
        <v>0</v>
      </c>
      <c r="U340">
        <f>Model!AC113</f>
        <v>0</v>
      </c>
      <c r="V340">
        <f>Model!AD113</f>
        <v>0</v>
      </c>
      <c r="W340">
        <f>Model!AE113</f>
        <v>0</v>
      </c>
      <c r="X340">
        <f>Model!AF113</f>
        <v>0</v>
      </c>
      <c r="Y340">
        <f>Model!AG113</f>
        <v>0</v>
      </c>
      <c r="Z340">
        <f>Model!AH113</f>
        <v>0</v>
      </c>
      <c r="AA340">
        <f>Model!AI113</f>
        <v>0</v>
      </c>
      <c r="AB340">
        <f>Model!AJ113</f>
        <v>0</v>
      </c>
      <c r="AC340">
        <f>Model!AK113</f>
        <v>2015</v>
      </c>
      <c r="AD340">
        <f>Model!AL113</f>
        <v>2016</v>
      </c>
      <c r="AE340">
        <f>Model!AM113</f>
        <v>2017</v>
      </c>
      <c r="AF340">
        <f>Model!AN113</f>
        <v>2018</v>
      </c>
      <c r="AG340">
        <f>Model!AO113</f>
        <v>2019</v>
      </c>
      <c r="AH340">
        <f>Model!AP113</f>
        <v>2020</v>
      </c>
      <c r="AI340">
        <f>Model!AQ113</f>
        <v>2021</v>
      </c>
      <c r="AJ340">
        <f>Model!AR113</f>
        <v>2022</v>
      </c>
      <c r="AK340">
        <f>Model!AS113</f>
        <v>2023</v>
      </c>
      <c r="AL340">
        <f>Model!AT113</f>
        <v>2024</v>
      </c>
      <c r="AM340">
        <f>Model!AU113</f>
        <v>2025</v>
      </c>
      <c r="AN340">
        <f>Model!AV113</f>
        <v>0</v>
      </c>
      <c r="AO340">
        <f>Model!AW113</f>
        <v>0</v>
      </c>
    </row>
    <row r="341" spans="1:41">
      <c r="A341" t="str">
        <f>Model!I114</f>
        <v>Assets</v>
      </c>
      <c r="B341">
        <f>Model!J114</f>
        <v>0</v>
      </c>
      <c r="C341">
        <f>Model!K114</f>
        <v>0</v>
      </c>
      <c r="D341">
        <f>Model!L114</f>
        <v>0</v>
      </c>
      <c r="E341">
        <f>Model!M114</f>
        <v>0</v>
      </c>
      <c r="F341">
        <f>Model!N114</f>
        <v>0</v>
      </c>
      <c r="G341">
        <f>Model!O114</f>
        <v>0</v>
      </c>
      <c r="H341">
        <f>Model!P114</f>
        <v>0</v>
      </c>
      <c r="I341">
        <f>Model!Q114</f>
        <v>0</v>
      </c>
      <c r="J341">
        <f>Model!R114</f>
        <v>0</v>
      </c>
      <c r="K341">
        <f>Model!S114</f>
        <v>0</v>
      </c>
      <c r="L341">
        <f>Model!T114</f>
        <v>0</v>
      </c>
      <c r="M341">
        <f>Model!U114</f>
        <v>0</v>
      </c>
      <c r="N341">
        <f>Model!V114</f>
        <v>0</v>
      </c>
      <c r="O341">
        <f>Model!W114</f>
        <v>0</v>
      </c>
      <c r="P341">
        <f>Model!X114</f>
        <v>0</v>
      </c>
      <c r="Q341">
        <f>Model!Y114</f>
        <v>0</v>
      </c>
      <c r="R341">
        <f>Model!Z114</f>
        <v>0</v>
      </c>
      <c r="S341">
        <f>Model!AA114</f>
        <v>0</v>
      </c>
      <c r="T341">
        <f>Model!AB114</f>
        <v>0</v>
      </c>
      <c r="U341">
        <f>Model!AC114</f>
        <v>0</v>
      </c>
      <c r="V341">
        <f>Model!AD114</f>
        <v>0</v>
      </c>
      <c r="W341">
        <f>Model!AE114</f>
        <v>0</v>
      </c>
      <c r="X341">
        <f>Model!AF114</f>
        <v>0</v>
      </c>
      <c r="Y341">
        <f>Model!AG114</f>
        <v>0</v>
      </c>
      <c r="Z341">
        <f>Model!AH114</f>
        <v>0</v>
      </c>
      <c r="AA341">
        <f>Model!AI114</f>
        <v>0</v>
      </c>
      <c r="AB341">
        <f>Model!AJ114</f>
        <v>0</v>
      </c>
      <c r="AC341">
        <f>Model!AK114</f>
        <v>0</v>
      </c>
      <c r="AD341">
        <f>Model!AL114</f>
        <v>0</v>
      </c>
      <c r="AE341">
        <f>Model!AM114</f>
        <v>0</v>
      </c>
      <c r="AF341">
        <f>Model!AN114</f>
        <v>0</v>
      </c>
      <c r="AG341">
        <f>Model!AO114</f>
        <v>0</v>
      </c>
      <c r="AH341">
        <f>Model!AP114</f>
        <v>0</v>
      </c>
      <c r="AI341">
        <f>Model!AQ114</f>
        <v>0</v>
      </c>
      <c r="AJ341">
        <f>Model!AR114</f>
        <v>0</v>
      </c>
      <c r="AK341">
        <f>Model!AS114</f>
        <v>0</v>
      </c>
      <c r="AL341">
        <f>Model!AT114</f>
        <v>0</v>
      </c>
      <c r="AM341">
        <f>Model!AU114</f>
        <v>0</v>
      </c>
      <c r="AN341">
        <f>Model!AV114</f>
        <v>0</v>
      </c>
      <c r="AO341">
        <f>Model!AW114</f>
        <v>0</v>
      </c>
    </row>
    <row r="342" spans="1:41">
      <c r="A342" t="str">
        <f>Model!I115</f>
        <v xml:space="preserve">Current Assets </v>
      </c>
      <c r="B342">
        <f>Model!J115</f>
        <v>0</v>
      </c>
      <c r="C342">
        <f>Model!K115</f>
        <v>0</v>
      </c>
      <c r="D342">
        <f>Model!L115</f>
        <v>0</v>
      </c>
      <c r="E342">
        <f>Model!M115</f>
        <v>0</v>
      </c>
      <c r="F342">
        <f>Model!N115</f>
        <v>0</v>
      </c>
      <c r="G342">
        <f>Model!O115</f>
        <v>0</v>
      </c>
      <c r="H342">
        <f>Model!P115</f>
        <v>0</v>
      </c>
      <c r="I342">
        <f>Model!Q115</f>
        <v>0</v>
      </c>
      <c r="J342">
        <f>Model!R115</f>
        <v>0</v>
      </c>
      <c r="K342">
        <f>Model!S115</f>
        <v>0</v>
      </c>
      <c r="L342">
        <f>Model!T115</f>
        <v>0</v>
      </c>
      <c r="M342">
        <f>Model!U115</f>
        <v>0</v>
      </c>
      <c r="N342">
        <f>Model!V115</f>
        <v>0</v>
      </c>
      <c r="O342">
        <f>Model!W115</f>
        <v>0</v>
      </c>
      <c r="P342">
        <f>Model!X115</f>
        <v>0</v>
      </c>
      <c r="Q342">
        <f>Model!Y115</f>
        <v>0</v>
      </c>
      <c r="R342">
        <f>Model!Z115</f>
        <v>0</v>
      </c>
      <c r="S342">
        <f>Model!AA115</f>
        <v>0</v>
      </c>
      <c r="T342">
        <f>Model!AB115</f>
        <v>0</v>
      </c>
      <c r="U342">
        <f>Model!AC115</f>
        <v>0</v>
      </c>
      <c r="V342">
        <f>Model!AD115</f>
        <v>0</v>
      </c>
      <c r="W342">
        <f>Model!AE115</f>
        <v>0</v>
      </c>
      <c r="X342">
        <f>Model!AF115</f>
        <v>0</v>
      </c>
      <c r="Y342">
        <f>Model!AG115</f>
        <v>0</v>
      </c>
      <c r="Z342">
        <f>Model!AH115</f>
        <v>0</v>
      </c>
      <c r="AA342">
        <f>Model!AI115</f>
        <v>0</v>
      </c>
      <c r="AB342">
        <f>Model!AJ115</f>
        <v>0</v>
      </c>
      <c r="AC342">
        <f>Model!AK115</f>
        <v>0</v>
      </c>
      <c r="AD342">
        <f>Model!AL115</f>
        <v>0</v>
      </c>
      <c r="AE342">
        <f>Model!AM115</f>
        <v>0</v>
      </c>
      <c r="AF342">
        <f>Model!AN115</f>
        <v>0</v>
      </c>
      <c r="AG342">
        <f>Model!AO115</f>
        <v>0</v>
      </c>
      <c r="AH342">
        <f>Model!AP115</f>
        <v>0</v>
      </c>
      <c r="AI342">
        <f>Model!AQ115</f>
        <v>0</v>
      </c>
      <c r="AJ342">
        <f>Model!AR115</f>
        <v>0</v>
      </c>
      <c r="AK342">
        <f>Model!AS115</f>
        <v>0</v>
      </c>
      <c r="AL342">
        <f>Model!AT115</f>
        <v>0</v>
      </c>
      <c r="AM342">
        <f>Model!AU115</f>
        <v>0</v>
      </c>
      <c r="AN342">
        <f>Model!AV115</f>
        <v>0</v>
      </c>
      <c r="AO342">
        <f>Model!AW115</f>
        <v>0</v>
      </c>
    </row>
    <row r="343" spans="1:41">
      <c r="A343" t="str">
        <f>Model!I116</f>
        <v>Cash and Cash Equivalents</v>
      </c>
      <c r="B343">
        <f>Model!J116</f>
        <v>0</v>
      </c>
      <c r="C343">
        <f>Model!K116</f>
        <v>0</v>
      </c>
      <c r="D343">
        <f>Model!L116</f>
        <v>0</v>
      </c>
      <c r="E343">
        <f>Model!M116</f>
        <v>0</v>
      </c>
      <c r="F343">
        <f>Model!N116</f>
        <v>0</v>
      </c>
      <c r="G343">
        <f>Model!O116</f>
        <v>0</v>
      </c>
      <c r="H343">
        <f>Model!P116</f>
        <v>0</v>
      </c>
      <c r="I343">
        <f>Model!Q116</f>
        <v>0</v>
      </c>
      <c r="J343">
        <f>Model!R116</f>
        <v>0</v>
      </c>
      <c r="K343">
        <f>Model!S116</f>
        <v>0</v>
      </c>
      <c r="L343">
        <f>Model!T116</f>
        <v>0</v>
      </c>
      <c r="M343">
        <f>Model!U116</f>
        <v>640.80999999999995</v>
      </c>
      <c r="N343">
        <f>Model!V116</f>
        <v>0</v>
      </c>
      <c r="O343">
        <f>Model!W116</f>
        <v>0</v>
      </c>
      <c r="P343">
        <f>Model!X116</f>
        <v>0</v>
      </c>
      <c r="Q343">
        <f>Model!Y116</f>
        <v>150.12100000000001</v>
      </c>
      <c r="R343">
        <f>Model!Z116</f>
        <v>1427.114</v>
      </c>
      <c r="S343">
        <f>Model!AA116</f>
        <v>501.67700000000002</v>
      </c>
      <c r="T343">
        <f>Model!AB116</f>
        <v>317.55399999999997</v>
      </c>
      <c r="U343">
        <f>Model!AC116</f>
        <v>334.06299999999999</v>
      </c>
      <c r="V343">
        <f>Model!AD116</f>
        <v>123.69154113518158</v>
      </c>
      <c r="W343">
        <f>Model!AE116</f>
        <v>222.28855759050055</v>
      </c>
      <c r="X343">
        <f>Model!AF116</f>
        <v>273.0744443602353</v>
      </c>
      <c r="Y343">
        <f>Model!AG116</f>
        <v>395.26616610161699</v>
      </c>
      <c r="Z343">
        <f>Model!AH116</f>
        <v>0</v>
      </c>
      <c r="AA343">
        <f>Model!AI116</f>
        <v>0</v>
      </c>
      <c r="AB343">
        <f>Model!AJ116</f>
        <v>0</v>
      </c>
      <c r="AC343">
        <f>Model!AK116</f>
        <v>640.80999999999995</v>
      </c>
      <c r="AD343">
        <f>Model!AL116</f>
        <v>150.12100000000001</v>
      </c>
      <c r="AE343">
        <f>Model!AM116</f>
        <v>334.06299999999999</v>
      </c>
      <c r="AF343">
        <f>Model!AN116</f>
        <v>395.26616610161699</v>
      </c>
      <c r="AG343">
        <f>Model!AO116</f>
        <v>657.51054185503165</v>
      </c>
      <c r="AH343">
        <f>Model!AP116</f>
        <v>899.9571522322907</v>
      </c>
      <c r="AI343">
        <f>Model!AQ116</f>
        <v>1266.4926568542551</v>
      </c>
      <c r="AJ343">
        <f>Model!AR116</f>
        <v>1875.7334510818746</v>
      </c>
      <c r="AK343">
        <f>Model!AS116</f>
        <v>2778.8797538076228</v>
      </c>
      <c r="AL343">
        <f>Model!AT116</f>
        <v>4056.9849885019448</v>
      </c>
      <c r="AM343">
        <f>Model!AU116</f>
        <v>5733.3392572949342</v>
      </c>
      <c r="AN343">
        <f>Model!AV116</f>
        <v>0</v>
      </c>
      <c r="AO343">
        <f>Model!AW116</f>
        <v>0</v>
      </c>
    </row>
    <row r="344" spans="1:41">
      <c r="A344" t="str">
        <f>Model!I117</f>
        <v>Marketable Securities</v>
      </c>
      <c r="B344">
        <f>Model!J117</f>
        <v>0</v>
      </c>
      <c r="C344">
        <f>Model!K117</f>
        <v>0</v>
      </c>
      <c r="D344">
        <f>Model!L117</f>
        <v>0</v>
      </c>
      <c r="E344">
        <f>Model!M117</f>
        <v>0</v>
      </c>
      <c r="F344">
        <f>Model!N117</f>
        <v>0</v>
      </c>
      <c r="G344">
        <f>Model!O117</f>
        <v>0</v>
      </c>
      <c r="H344">
        <f>Model!P117</f>
        <v>0</v>
      </c>
      <c r="I344">
        <f>Model!Q117</f>
        <v>0</v>
      </c>
      <c r="J344">
        <f>Model!R117</f>
        <v>0</v>
      </c>
      <c r="K344">
        <f>Model!S117</f>
        <v>0</v>
      </c>
      <c r="L344">
        <f>Model!T117</f>
        <v>0</v>
      </c>
      <c r="M344">
        <f>Model!U117</f>
        <v>0</v>
      </c>
      <c r="N344">
        <f>Model!V117</f>
        <v>0</v>
      </c>
      <c r="O344">
        <f>Model!W117</f>
        <v>0</v>
      </c>
      <c r="P344">
        <f>Model!X117</f>
        <v>0</v>
      </c>
      <c r="Q344">
        <f>Model!Y117</f>
        <v>837.24699999999996</v>
      </c>
      <c r="R344">
        <f>Model!Z117</f>
        <v>1815.442</v>
      </c>
      <c r="S344">
        <f>Model!AA117</f>
        <v>2295.9189999999999</v>
      </c>
      <c r="T344">
        <f>Model!AB117</f>
        <v>1980.5139999999999</v>
      </c>
      <c r="U344">
        <f>Model!AC117</f>
        <v>1708.9760000000001</v>
      </c>
      <c r="V344">
        <f>Model!AD117</f>
        <v>1508.9760000000001</v>
      </c>
      <c r="W344">
        <f>Model!AE117</f>
        <v>1208.9760000000001</v>
      </c>
      <c r="X344">
        <f>Model!AF117</f>
        <v>908.97600000000011</v>
      </c>
      <c r="Y344">
        <f>Model!AG117</f>
        <v>558.97600000000011</v>
      </c>
      <c r="Z344">
        <f>Model!AH117</f>
        <v>0</v>
      </c>
      <c r="AA344">
        <f>Model!AI117</f>
        <v>0</v>
      </c>
      <c r="AB344">
        <f>Model!AJ117</f>
        <v>0</v>
      </c>
      <c r="AC344">
        <f>Model!AK117</f>
        <v>0</v>
      </c>
      <c r="AD344">
        <f>Model!AL117</f>
        <v>837.24699999999996</v>
      </c>
      <c r="AE344">
        <f>Model!AM117</f>
        <v>1708.9760000000001</v>
      </c>
      <c r="AF344">
        <f>Model!AN117</f>
        <v>558.97600000000011</v>
      </c>
      <c r="AG344">
        <f>Model!AO117</f>
        <v>108.97600000000011</v>
      </c>
      <c r="AH344">
        <f>Model!AP117</f>
        <v>108.97600000000011</v>
      </c>
      <c r="AI344">
        <f>Model!AQ117</f>
        <v>108.97600000000011</v>
      </c>
      <c r="AJ344">
        <f>Model!AR117</f>
        <v>108.97600000000011</v>
      </c>
      <c r="AK344">
        <f>Model!AS117</f>
        <v>108.97600000000011</v>
      </c>
      <c r="AL344">
        <f>Model!AT117</f>
        <v>108.97600000000011</v>
      </c>
      <c r="AM344">
        <f>Model!AU117</f>
        <v>108.97600000000011</v>
      </c>
      <c r="AN344">
        <f>Model!AV117</f>
        <v>0</v>
      </c>
      <c r="AO344">
        <f>Model!AW117</f>
        <v>0</v>
      </c>
    </row>
    <row r="345" spans="1:41">
      <c r="A345" t="str">
        <f>Model!I118</f>
        <v xml:space="preserve">Accounts Receivable, net </v>
      </c>
      <c r="B345">
        <f>Model!J118</f>
        <v>0</v>
      </c>
      <c r="C345">
        <f>Model!K118</f>
        <v>0</v>
      </c>
      <c r="D345">
        <f>Model!L118</f>
        <v>0</v>
      </c>
      <c r="E345">
        <f>Model!M118</f>
        <v>0</v>
      </c>
      <c r="F345">
        <f>Model!N118</f>
        <v>0</v>
      </c>
      <c r="G345">
        <f>Model!O118</f>
        <v>0</v>
      </c>
      <c r="H345">
        <f>Model!P118</f>
        <v>0</v>
      </c>
      <c r="I345">
        <f>Model!Q118</f>
        <v>0</v>
      </c>
      <c r="J345">
        <f>Model!R118</f>
        <v>0</v>
      </c>
      <c r="K345">
        <f>Model!S118</f>
        <v>0</v>
      </c>
      <c r="L345">
        <f>Model!T118</f>
        <v>0</v>
      </c>
      <c r="M345">
        <f>Model!U118</f>
        <v>44.325000000000003</v>
      </c>
      <c r="N345">
        <f>Model!V118</f>
        <v>0</v>
      </c>
      <c r="O345">
        <f>Model!W118</f>
        <v>0</v>
      </c>
      <c r="P345">
        <f>Model!X118</f>
        <v>0</v>
      </c>
      <c r="Q345">
        <f>Model!Y118</f>
        <v>162.65899999999999</v>
      </c>
      <c r="R345">
        <f>Model!Z118</f>
        <v>147.67699999999999</v>
      </c>
      <c r="S345">
        <f>Model!AA118</f>
        <v>171.52500000000001</v>
      </c>
      <c r="T345">
        <f>Model!AB118</f>
        <v>194.971</v>
      </c>
      <c r="U345">
        <f>Model!AC118</f>
        <v>279.47300000000001</v>
      </c>
      <c r="V345">
        <f>Model!AD118</f>
        <v>245.72044397519511</v>
      </c>
      <c r="W345">
        <f>Model!AE118</f>
        <v>278.52477830804037</v>
      </c>
      <c r="X345">
        <f>Model!AF118</f>
        <v>319.73680008848839</v>
      </c>
      <c r="Y345">
        <f>Model!AG118</f>
        <v>418.68174579006143</v>
      </c>
      <c r="Z345">
        <f>Model!AH118</f>
        <v>0</v>
      </c>
      <c r="AA345">
        <f>Model!AI118</f>
        <v>0</v>
      </c>
      <c r="AB345">
        <f>Model!AJ118</f>
        <v>0</v>
      </c>
      <c r="AC345">
        <f>Model!AK118</f>
        <v>44.325000000000003</v>
      </c>
      <c r="AD345">
        <f>Model!AL118</f>
        <v>162.65899999999999</v>
      </c>
      <c r="AE345">
        <f>Model!AM118</f>
        <v>279.47300000000001</v>
      </c>
      <c r="AF345">
        <f>Model!AN118</f>
        <v>418.68174579006143</v>
      </c>
      <c r="AG345">
        <f>Model!AO118</f>
        <v>547.04670454660413</v>
      </c>
      <c r="AH345">
        <f>Model!AP118</f>
        <v>548.59628601967722</v>
      </c>
      <c r="AI345">
        <f>Model!AQ118</f>
        <v>745.75689056343367</v>
      </c>
      <c r="AJ345">
        <f>Model!AR118</f>
        <v>970.88335703372934</v>
      </c>
      <c r="AK345">
        <f>Model!AS118</f>
        <v>1205.5104565596282</v>
      </c>
      <c r="AL345">
        <f>Model!AT118</f>
        <v>1438.7100014906089</v>
      </c>
      <c r="AM345">
        <f>Model!AU118</f>
        <v>1671.4092973863628</v>
      </c>
      <c r="AN345">
        <f>Model!AV118</f>
        <v>0</v>
      </c>
      <c r="AO345">
        <f>Model!AW118</f>
        <v>0</v>
      </c>
    </row>
    <row r="346" spans="1:41">
      <c r="A346" t="str">
        <f>Model!I119</f>
        <v>Prepaid Expenses and other current assets</v>
      </c>
      <c r="B346">
        <f>Model!J119</f>
        <v>0</v>
      </c>
      <c r="C346">
        <f>Model!K119</f>
        <v>0</v>
      </c>
      <c r="D346">
        <f>Model!L119</f>
        <v>0</v>
      </c>
      <c r="E346">
        <f>Model!M119</f>
        <v>0</v>
      </c>
      <c r="F346">
        <f>Model!N119</f>
        <v>0</v>
      </c>
      <c r="G346">
        <f>Model!O119</f>
        <v>0</v>
      </c>
      <c r="H346">
        <f>Model!P119</f>
        <v>0</v>
      </c>
      <c r="I346">
        <f>Model!Q119</f>
        <v>0</v>
      </c>
      <c r="J346">
        <f>Model!R119</f>
        <v>0</v>
      </c>
      <c r="K346">
        <f>Model!S119</f>
        <v>0</v>
      </c>
      <c r="L346">
        <f>Model!T119</f>
        <v>0</v>
      </c>
      <c r="M346">
        <f>Model!U119</f>
        <v>7.4290000000000003</v>
      </c>
      <c r="N346">
        <f>Model!V119</f>
        <v>0</v>
      </c>
      <c r="O346">
        <f>Model!W119</f>
        <v>0</v>
      </c>
      <c r="P346">
        <f>Model!X119</f>
        <v>0</v>
      </c>
      <c r="Q346">
        <f>Model!Y119</f>
        <v>29.957999999999998</v>
      </c>
      <c r="R346">
        <f>Model!Z119</f>
        <v>72.972999999999999</v>
      </c>
      <c r="S346">
        <f>Model!AA119</f>
        <v>77.777000000000001</v>
      </c>
      <c r="T346">
        <f>Model!AB119</f>
        <v>54.692</v>
      </c>
      <c r="U346">
        <f>Model!AC119</f>
        <v>44.281999999999996</v>
      </c>
      <c r="V346">
        <f>Model!AD119</f>
        <v>44.82</v>
      </c>
      <c r="W346">
        <f>Model!AE119</f>
        <v>53.1</v>
      </c>
      <c r="X346">
        <f>Model!AF119</f>
        <v>61.379999999999995</v>
      </c>
      <c r="Y346">
        <f>Model!AG119</f>
        <v>77.039999999999992</v>
      </c>
      <c r="Z346">
        <f>Model!AH119</f>
        <v>0</v>
      </c>
      <c r="AA346">
        <f>Model!AI119</f>
        <v>0</v>
      </c>
      <c r="AB346">
        <f>Model!AJ119</f>
        <v>0</v>
      </c>
      <c r="AC346">
        <f>Model!AK119</f>
        <v>7.4290000000000003</v>
      </c>
      <c r="AD346">
        <f>Model!AL119</f>
        <v>29.957999999999998</v>
      </c>
      <c r="AE346">
        <f>Model!AM119</f>
        <v>44.281999999999996</v>
      </c>
      <c r="AF346">
        <f>Model!AN119</f>
        <v>77.039999999999992</v>
      </c>
      <c r="AG346">
        <f>Model!AO119</f>
        <v>103.73587792178564</v>
      </c>
      <c r="AH346">
        <f>Model!AP119</f>
        <v>130.91711770321331</v>
      </c>
      <c r="AI346">
        <f>Model!AQ119</f>
        <v>155.0899994467344</v>
      </c>
      <c r="AJ346">
        <f>Model!AR119</f>
        <v>172.12426440112523</v>
      </c>
      <c r="AK346">
        <f>Model!AS119</f>
        <v>213.72042177872251</v>
      </c>
      <c r="AL346">
        <f>Model!AT119</f>
        <v>255.06349336309583</v>
      </c>
      <c r="AM346">
        <f>Model!AU119</f>
        <v>296.31787767460378</v>
      </c>
      <c r="AN346">
        <f>Model!AV119</f>
        <v>0</v>
      </c>
      <c r="AO346">
        <f>Model!AW119</f>
        <v>0</v>
      </c>
    </row>
    <row r="347" spans="1:41">
      <c r="A347" t="str">
        <f>Model!I120</f>
        <v>Total Current Assets</v>
      </c>
      <c r="B347">
        <f>Model!J120</f>
        <v>0</v>
      </c>
      <c r="C347">
        <f>Model!K120</f>
        <v>0</v>
      </c>
      <c r="D347">
        <f>Model!L120</f>
        <v>0</v>
      </c>
      <c r="E347">
        <f>Model!M120</f>
        <v>0</v>
      </c>
      <c r="F347">
        <f>Model!N120</f>
        <v>0</v>
      </c>
      <c r="G347">
        <f>Model!O120</f>
        <v>0</v>
      </c>
      <c r="H347">
        <f>Model!P120</f>
        <v>0</v>
      </c>
      <c r="I347">
        <f>Model!Q120</f>
        <v>0</v>
      </c>
      <c r="J347">
        <f>Model!R120</f>
        <v>0</v>
      </c>
      <c r="K347">
        <f>Model!S120</f>
        <v>0</v>
      </c>
      <c r="L347">
        <f>Model!T120</f>
        <v>0</v>
      </c>
      <c r="M347">
        <f>Model!U120</f>
        <v>692.56399999999996</v>
      </c>
      <c r="N347">
        <f>Model!V120</f>
        <v>0</v>
      </c>
      <c r="O347">
        <f>Model!W120</f>
        <v>0</v>
      </c>
      <c r="P347">
        <f>Model!X120</f>
        <v>0</v>
      </c>
      <c r="Q347">
        <f>Model!Y120</f>
        <v>1179.9850000000001</v>
      </c>
      <c r="R347">
        <f>Model!Z120</f>
        <v>3463.2060000000001</v>
      </c>
      <c r="S347">
        <f>Model!AA120</f>
        <v>3046.8980000000001</v>
      </c>
      <c r="T347">
        <f>Model!AB120</f>
        <v>2547.7309999999998</v>
      </c>
      <c r="U347">
        <f>Model!AC120</f>
        <v>2366.7940000000003</v>
      </c>
      <c r="V347">
        <f>Model!AD120</f>
        <v>1923.2079851103767</v>
      </c>
      <c r="W347">
        <f>Model!AE120</f>
        <v>1762.889335898541</v>
      </c>
      <c r="X347">
        <f>Model!AF120</f>
        <v>1563.167244448724</v>
      </c>
      <c r="Y347">
        <f>Model!AG120</f>
        <v>1449.9639118916784</v>
      </c>
      <c r="Z347">
        <f>Model!AH120</f>
        <v>0</v>
      </c>
      <c r="AA347">
        <f>Model!AI120</f>
        <v>0</v>
      </c>
      <c r="AB347">
        <f>Model!AJ120</f>
        <v>0</v>
      </c>
      <c r="AC347">
        <f>Model!AK120</f>
        <v>692.56399999999996</v>
      </c>
      <c r="AD347">
        <f>Model!AL120</f>
        <v>1179.9850000000001</v>
      </c>
      <c r="AE347">
        <f>Model!AM120</f>
        <v>2366.7940000000003</v>
      </c>
      <c r="AF347">
        <f>Model!AN120</f>
        <v>1449.9639118916784</v>
      </c>
      <c r="AG347">
        <f>Model!AO120</f>
        <v>1417.2691243234217</v>
      </c>
      <c r="AH347">
        <f>Model!AP120</f>
        <v>1688.4465559551813</v>
      </c>
      <c r="AI347">
        <f>Model!AQ120</f>
        <v>2276.3155468644236</v>
      </c>
      <c r="AJ347">
        <f>Model!AR120</f>
        <v>3127.7170725167293</v>
      </c>
      <c r="AK347">
        <f>Model!AS120</f>
        <v>4307.0866321459735</v>
      </c>
      <c r="AL347">
        <f>Model!AT120</f>
        <v>5859.7344833556499</v>
      </c>
      <c r="AM347">
        <f>Model!AU120</f>
        <v>7810.0424323559009</v>
      </c>
      <c r="AN347">
        <f>Model!AV120</f>
        <v>0</v>
      </c>
      <c r="AO347">
        <f>Model!AW120</f>
        <v>0</v>
      </c>
    </row>
    <row r="348" spans="1:41">
      <c r="A348">
        <f>Model!I121</f>
        <v>0</v>
      </c>
      <c r="B348">
        <f>Model!J121</f>
        <v>0</v>
      </c>
      <c r="C348">
        <f>Model!K121</f>
        <v>0</v>
      </c>
      <c r="D348">
        <f>Model!L121</f>
        <v>0</v>
      </c>
      <c r="E348">
        <f>Model!M121</f>
        <v>0</v>
      </c>
      <c r="F348">
        <f>Model!N121</f>
        <v>0</v>
      </c>
      <c r="G348">
        <f>Model!O121</f>
        <v>0</v>
      </c>
      <c r="H348">
        <f>Model!P121</f>
        <v>0</v>
      </c>
      <c r="I348">
        <f>Model!Q121</f>
        <v>0</v>
      </c>
      <c r="J348">
        <f>Model!R121</f>
        <v>0</v>
      </c>
      <c r="K348">
        <f>Model!S121</f>
        <v>0</v>
      </c>
      <c r="L348">
        <f>Model!T121</f>
        <v>0</v>
      </c>
      <c r="M348">
        <f>Model!U121</f>
        <v>0</v>
      </c>
      <c r="N348">
        <f>Model!V121</f>
        <v>0</v>
      </c>
      <c r="O348">
        <f>Model!W121</f>
        <v>0</v>
      </c>
      <c r="P348">
        <f>Model!X121</f>
        <v>0</v>
      </c>
      <c r="Q348">
        <f>Model!Y121</f>
        <v>0</v>
      </c>
      <c r="R348">
        <f>Model!Z121</f>
        <v>0</v>
      </c>
      <c r="S348">
        <f>Model!AA121</f>
        <v>0</v>
      </c>
      <c r="T348">
        <f>Model!AB121</f>
        <v>0</v>
      </c>
      <c r="U348">
        <f>Model!AC121</f>
        <v>0</v>
      </c>
      <c r="V348">
        <f>Model!AD121</f>
        <v>0</v>
      </c>
      <c r="W348">
        <f>Model!AE121</f>
        <v>0</v>
      </c>
      <c r="X348">
        <f>Model!AF121</f>
        <v>0</v>
      </c>
      <c r="Y348">
        <f>Model!AG121</f>
        <v>0</v>
      </c>
      <c r="Z348">
        <f>Model!AH121</f>
        <v>0</v>
      </c>
      <c r="AA348">
        <f>Model!AI121</f>
        <v>0</v>
      </c>
      <c r="AB348">
        <f>Model!AJ121</f>
        <v>0</v>
      </c>
      <c r="AC348">
        <f>Model!AK121</f>
        <v>0</v>
      </c>
      <c r="AD348">
        <f>Model!AL121</f>
        <v>0</v>
      </c>
      <c r="AE348">
        <f>Model!AM121</f>
        <v>0</v>
      </c>
      <c r="AF348">
        <f>Model!AN121</f>
        <v>0</v>
      </c>
      <c r="AG348">
        <f>Model!AO121</f>
        <v>0</v>
      </c>
      <c r="AH348">
        <f>Model!AP121</f>
        <v>0</v>
      </c>
      <c r="AI348">
        <f>Model!AQ121</f>
        <v>0</v>
      </c>
      <c r="AJ348">
        <f>Model!AR121</f>
        <v>0</v>
      </c>
      <c r="AK348">
        <f>Model!AS121</f>
        <v>0</v>
      </c>
      <c r="AL348">
        <f>Model!AT121</f>
        <v>0</v>
      </c>
      <c r="AM348">
        <f>Model!AU121</f>
        <v>0</v>
      </c>
      <c r="AN348">
        <f>Model!AV121</f>
        <v>0</v>
      </c>
      <c r="AO348">
        <f>Model!AW121</f>
        <v>0</v>
      </c>
    </row>
    <row r="349" spans="1:41">
      <c r="A349" t="str">
        <f>Model!I122</f>
        <v>PP&amp;E, net</v>
      </c>
      <c r="B349">
        <f>Model!J122</f>
        <v>0</v>
      </c>
      <c r="C349">
        <f>Model!K122</f>
        <v>0</v>
      </c>
      <c r="D349">
        <f>Model!L122</f>
        <v>0</v>
      </c>
      <c r="E349">
        <f>Model!M122</f>
        <v>0</v>
      </c>
      <c r="F349">
        <f>Model!N122</f>
        <v>0</v>
      </c>
      <c r="G349">
        <f>Model!O122</f>
        <v>0</v>
      </c>
      <c r="H349">
        <f>Model!P122</f>
        <v>0</v>
      </c>
      <c r="I349">
        <f>Model!Q122</f>
        <v>0</v>
      </c>
      <c r="J349">
        <f>Model!R122</f>
        <v>0</v>
      </c>
      <c r="K349">
        <f>Model!S122</f>
        <v>0</v>
      </c>
      <c r="L349">
        <f>Model!T122</f>
        <v>0</v>
      </c>
      <c r="M349">
        <f>Model!U122</f>
        <v>44.079000000000001</v>
      </c>
      <c r="N349">
        <f>Model!V122</f>
        <v>0</v>
      </c>
      <c r="O349">
        <f>Model!W122</f>
        <v>0</v>
      </c>
      <c r="P349">
        <f>Model!X122</f>
        <v>0</v>
      </c>
      <c r="Q349">
        <f>Model!Y122</f>
        <v>100.58499999999999</v>
      </c>
      <c r="R349">
        <f>Model!Z122</f>
        <v>116.13200000000001</v>
      </c>
      <c r="S349">
        <f>Model!AA122</f>
        <v>128.03100000000001</v>
      </c>
      <c r="T349">
        <f>Model!AB122</f>
        <v>143.11199999999999</v>
      </c>
      <c r="U349">
        <f>Model!AC122</f>
        <v>166.762</v>
      </c>
      <c r="V349">
        <f>Model!AD122</f>
        <v>174.28455</v>
      </c>
      <c r="W349">
        <f>Model!AE122</f>
        <v>182.28730000000002</v>
      </c>
      <c r="X349">
        <f>Model!AF122</f>
        <v>192.59410000000003</v>
      </c>
      <c r="Y349">
        <f>Model!AG122</f>
        <v>201.2433</v>
      </c>
      <c r="Z349">
        <f>Model!AH122</f>
        <v>0</v>
      </c>
      <c r="AA349">
        <f>Model!AI122</f>
        <v>0</v>
      </c>
      <c r="AB349">
        <f>Model!AJ122</f>
        <v>0</v>
      </c>
      <c r="AC349">
        <f>Model!AK122</f>
        <v>44.079000000000001</v>
      </c>
      <c r="AD349">
        <f>Model!AL122</f>
        <v>100.58499999999999</v>
      </c>
      <c r="AE349">
        <f>Model!AM122</f>
        <v>166.762</v>
      </c>
      <c r="AF349">
        <f>Model!AN122</f>
        <v>201.2433</v>
      </c>
      <c r="AG349">
        <f>Model!AO122</f>
        <v>240.27460000000002</v>
      </c>
      <c r="AH349">
        <f>Model!AP122</f>
        <v>289.68180000000001</v>
      </c>
      <c r="AI349">
        <f>Model!AQ122</f>
        <v>350.2149</v>
      </c>
      <c r="AJ349">
        <f>Model!AR122</f>
        <v>415.69799999999998</v>
      </c>
      <c r="AK349">
        <f>Model!AS122</f>
        <v>485.23110000000003</v>
      </c>
      <c r="AL349">
        <f>Model!AT122</f>
        <v>558.36419999999998</v>
      </c>
      <c r="AM349">
        <f>Model!AU122</f>
        <v>634.64730000000009</v>
      </c>
      <c r="AN349">
        <f>Model!AV122</f>
        <v>0</v>
      </c>
      <c r="AO349">
        <f>Model!AW122</f>
        <v>0</v>
      </c>
    </row>
    <row r="350" spans="1:41">
      <c r="A350" t="str">
        <f>Model!I123</f>
        <v xml:space="preserve">Intangible assets, net </v>
      </c>
      <c r="B350">
        <f>Model!J123</f>
        <v>0</v>
      </c>
      <c r="C350">
        <f>Model!K123</f>
        <v>0</v>
      </c>
      <c r="D350">
        <f>Model!L123</f>
        <v>0</v>
      </c>
      <c r="E350">
        <f>Model!M123</f>
        <v>0</v>
      </c>
      <c r="F350">
        <f>Model!N123</f>
        <v>0</v>
      </c>
      <c r="G350">
        <f>Model!O123</f>
        <v>0</v>
      </c>
      <c r="H350">
        <f>Model!P123</f>
        <v>0</v>
      </c>
      <c r="I350">
        <f>Model!Q123</f>
        <v>0</v>
      </c>
      <c r="J350">
        <f>Model!R123</f>
        <v>0</v>
      </c>
      <c r="K350">
        <f>Model!S123</f>
        <v>0</v>
      </c>
      <c r="L350">
        <f>Model!T123</f>
        <v>0</v>
      </c>
      <c r="M350">
        <f>Model!U123</f>
        <v>43.23</v>
      </c>
      <c r="N350">
        <f>Model!V123</f>
        <v>0</v>
      </c>
      <c r="O350">
        <f>Model!W123</f>
        <v>0</v>
      </c>
      <c r="P350">
        <f>Model!X123</f>
        <v>0</v>
      </c>
      <c r="Q350">
        <f>Model!Y123</f>
        <v>75.981999999999999</v>
      </c>
      <c r="R350">
        <f>Model!Z123</f>
        <v>79.781000000000006</v>
      </c>
      <c r="S350">
        <f>Model!AA123</f>
        <v>136.005</v>
      </c>
      <c r="T350">
        <f>Model!AB123</f>
        <v>164.61199999999999</v>
      </c>
      <c r="U350">
        <f>Model!AC123</f>
        <v>166.47300000000001</v>
      </c>
      <c r="V350">
        <f>Model!AD123</f>
        <v>166.47300000000001</v>
      </c>
      <c r="W350">
        <f>Model!AE123</f>
        <v>166.47300000000001</v>
      </c>
      <c r="X350">
        <f>Model!AF123</f>
        <v>166.47300000000001</v>
      </c>
      <c r="Y350">
        <f>Model!AG123</f>
        <v>166.47300000000001</v>
      </c>
      <c r="Z350">
        <f>Model!AH123</f>
        <v>0</v>
      </c>
      <c r="AA350">
        <f>Model!AI123</f>
        <v>0</v>
      </c>
      <c r="AB350">
        <f>Model!AJ123</f>
        <v>0</v>
      </c>
      <c r="AC350">
        <f>Model!AK123</f>
        <v>43.23</v>
      </c>
      <c r="AD350">
        <f>Model!AL123</f>
        <v>75.981999999999999</v>
      </c>
      <c r="AE350">
        <f>Model!AM123</f>
        <v>166.47300000000001</v>
      </c>
      <c r="AF350">
        <f>Model!AN123</f>
        <v>166.47300000000001</v>
      </c>
      <c r="AG350">
        <f>Model!AO123</f>
        <v>166.47300000000001</v>
      </c>
      <c r="AH350">
        <f>Model!AP123</f>
        <v>166.47300000000001</v>
      </c>
      <c r="AI350">
        <f>Model!AQ123</f>
        <v>166.47300000000001</v>
      </c>
      <c r="AJ350">
        <f>Model!AR123</f>
        <v>166.47300000000001</v>
      </c>
      <c r="AK350">
        <f>Model!AS123</f>
        <v>166.47300000000001</v>
      </c>
      <c r="AL350">
        <f>Model!AT123</f>
        <v>166.47300000000001</v>
      </c>
      <c r="AM350">
        <f>Model!AU123</f>
        <v>166.47300000000001</v>
      </c>
      <c r="AN350">
        <f>Model!AV123</f>
        <v>0</v>
      </c>
      <c r="AO350">
        <f>Model!AW123</f>
        <v>0</v>
      </c>
    </row>
    <row r="351" spans="1:41">
      <c r="A351" t="str">
        <f>Model!I124</f>
        <v>Goodwill</v>
      </c>
      <c r="B351">
        <f>Model!J124</f>
        <v>0</v>
      </c>
      <c r="C351">
        <f>Model!K124</f>
        <v>0</v>
      </c>
      <c r="D351">
        <f>Model!L124</f>
        <v>0</v>
      </c>
      <c r="E351">
        <f>Model!M124</f>
        <v>0</v>
      </c>
      <c r="F351">
        <f>Model!N124</f>
        <v>0</v>
      </c>
      <c r="G351">
        <f>Model!O124</f>
        <v>0</v>
      </c>
      <c r="H351">
        <f>Model!P124</f>
        <v>0</v>
      </c>
      <c r="I351">
        <f>Model!Q124</f>
        <v>0</v>
      </c>
      <c r="J351">
        <f>Model!R124</f>
        <v>0</v>
      </c>
      <c r="K351">
        <f>Model!S124</f>
        <v>0</v>
      </c>
      <c r="L351">
        <f>Model!T124</f>
        <v>0</v>
      </c>
      <c r="M351">
        <f>Model!U124</f>
        <v>133.94399999999999</v>
      </c>
      <c r="N351">
        <f>Model!V124</f>
        <v>0</v>
      </c>
      <c r="O351">
        <f>Model!W124</f>
        <v>0</v>
      </c>
      <c r="P351">
        <f>Model!X124</f>
        <v>0</v>
      </c>
      <c r="Q351">
        <f>Model!Y124</f>
        <v>319.137</v>
      </c>
      <c r="R351">
        <f>Model!Z124</f>
        <v>332.20499999999998</v>
      </c>
      <c r="S351">
        <f>Model!AA124</f>
        <v>502.82499999999999</v>
      </c>
      <c r="T351">
        <f>Model!AB124</f>
        <v>612.82299999999998</v>
      </c>
      <c r="U351">
        <f>Model!AC124</f>
        <v>639.88199999999995</v>
      </c>
      <c r="V351">
        <f>Model!AD124</f>
        <v>639.88199999999995</v>
      </c>
      <c r="W351">
        <f>Model!AE124</f>
        <v>639.88199999999995</v>
      </c>
      <c r="X351">
        <f>Model!AF124</f>
        <v>639.88199999999995</v>
      </c>
      <c r="Y351">
        <f>Model!AG124</f>
        <v>639.88199999999995</v>
      </c>
      <c r="Z351">
        <f>Model!AH124</f>
        <v>0</v>
      </c>
      <c r="AA351">
        <f>Model!AI124</f>
        <v>0</v>
      </c>
      <c r="AB351">
        <f>Model!AJ124</f>
        <v>0</v>
      </c>
      <c r="AC351">
        <f>Model!AK124</f>
        <v>133.94399999999999</v>
      </c>
      <c r="AD351">
        <f>Model!AL124</f>
        <v>319.137</v>
      </c>
      <c r="AE351">
        <f>Model!AM124</f>
        <v>639.88199999999995</v>
      </c>
      <c r="AF351">
        <f>Model!AN124</f>
        <v>639.88199999999995</v>
      </c>
      <c r="AG351">
        <f>Model!AO124</f>
        <v>639.88199999999995</v>
      </c>
      <c r="AH351">
        <f>Model!AP124</f>
        <v>639.88199999999995</v>
      </c>
      <c r="AI351">
        <f>Model!AQ124</f>
        <v>639.88199999999995</v>
      </c>
      <c r="AJ351">
        <f>Model!AR124</f>
        <v>639.88199999999995</v>
      </c>
      <c r="AK351">
        <f>Model!AS124</f>
        <v>639.88199999999995</v>
      </c>
      <c r="AL351">
        <f>Model!AT124</f>
        <v>639.88199999999995</v>
      </c>
      <c r="AM351">
        <f>Model!AU124</f>
        <v>639.88199999999995</v>
      </c>
      <c r="AN351">
        <f>Model!AV124</f>
        <v>0</v>
      </c>
      <c r="AO351">
        <f>Model!AW124</f>
        <v>0</v>
      </c>
    </row>
    <row r="352" spans="1:41">
      <c r="A352" t="str">
        <f>Model!I125</f>
        <v>Other Assets</v>
      </c>
      <c r="B352">
        <f>Model!J125</f>
        <v>0</v>
      </c>
      <c r="C352">
        <f>Model!K125</f>
        <v>0</v>
      </c>
      <c r="D352">
        <f>Model!L125</f>
        <v>0</v>
      </c>
      <c r="E352">
        <f>Model!M125</f>
        <v>0</v>
      </c>
      <c r="F352">
        <f>Model!N125</f>
        <v>0</v>
      </c>
      <c r="G352">
        <f>Model!O125</f>
        <v>0</v>
      </c>
      <c r="H352">
        <f>Model!P125</f>
        <v>0</v>
      </c>
      <c r="I352">
        <f>Model!Q125</f>
        <v>0</v>
      </c>
      <c r="J352">
        <f>Model!R125</f>
        <v>0</v>
      </c>
      <c r="K352">
        <f>Model!S125</f>
        <v>0</v>
      </c>
      <c r="L352">
        <f>Model!T125</f>
        <v>0</v>
      </c>
      <c r="M352">
        <f>Model!U125</f>
        <v>25.119</v>
      </c>
      <c r="N352">
        <f>Model!V125</f>
        <v>0</v>
      </c>
      <c r="O352">
        <f>Model!W125</f>
        <v>0</v>
      </c>
      <c r="P352">
        <f>Model!X125</f>
        <v>0</v>
      </c>
      <c r="Q352">
        <f>Model!Y125</f>
        <v>47.103000000000002</v>
      </c>
      <c r="R352">
        <f>Model!Z125</f>
        <v>50.453000000000003</v>
      </c>
      <c r="S352">
        <f>Model!AA125</f>
        <v>61.715000000000003</v>
      </c>
      <c r="T352">
        <f>Model!AB125</f>
        <v>74.102000000000004</v>
      </c>
      <c r="U352">
        <f>Model!AC125</f>
        <v>81.655000000000001</v>
      </c>
      <c r="V352">
        <f>Model!AD125</f>
        <v>91.655000000000001</v>
      </c>
      <c r="W352">
        <f>Model!AE125</f>
        <v>91.655000000000001</v>
      </c>
      <c r="X352">
        <f>Model!AF125</f>
        <v>91.655000000000001</v>
      </c>
      <c r="Y352">
        <f>Model!AG125</f>
        <v>91.655000000000001</v>
      </c>
      <c r="Z352">
        <f>Model!AH125</f>
        <v>0</v>
      </c>
      <c r="AA352">
        <f>Model!AI125</f>
        <v>0</v>
      </c>
      <c r="AB352">
        <f>Model!AJ125</f>
        <v>0</v>
      </c>
      <c r="AC352">
        <f>Model!AK125</f>
        <v>25.119</v>
      </c>
      <c r="AD352">
        <f>Model!AL125</f>
        <v>47.103000000000002</v>
      </c>
      <c r="AE352">
        <f>Model!AM125</f>
        <v>81.655000000000001</v>
      </c>
      <c r="AF352">
        <f>Model!AN125</f>
        <v>91.655000000000001</v>
      </c>
      <c r="AG352">
        <f>Model!AO125</f>
        <v>101.655</v>
      </c>
      <c r="AH352">
        <f>Model!AP125</f>
        <v>111.655</v>
      </c>
      <c r="AI352">
        <f>Model!AQ125</f>
        <v>121.655</v>
      </c>
      <c r="AJ352">
        <f>Model!AR125</f>
        <v>131.655</v>
      </c>
      <c r="AK352">
        <f>Model!AS125</f>
        <v>141.655</v>
      </c>
      <c r="AL352">
        <f>Model!AT125</f>
        <v>151.655</v>
      </c>
      <c r="AM352">
        <f>Model!AU125</f>
        <v>161.655</v>
      </c>
      <c r="AN352">
        <f>Model!AV125</f>
        <v>0</v>
      </c>
      <c r="AO352">
        <f>Model!AW125</f>
        <v>0</v>
      </c>
    </row>
    <row r="353" spans="1:41">
      <c r="A353" t="str">
        <f>Model!I126</f>
        <v xml:space="preserve">Total Assets </v>
      </c>
      <c r="B353">
        <f>Model!J126</f>
        <v>0</v>
      </c>
      <c r="C353">
        <f>Model!K126</f>
        <v>0</v>
      </c>
      <c r="D353">
        <f>Model!L126</f>
        <v>0</v>
      </c>
      <c r="E353">
        <f>Model!M126</f>
        <v>0</v>
      </c>
      <c r="F353">
        <f>Model!N126</f>
        <v>0</v>
      </c>
      <c r="G353">
        <f>Model!O126</f>
        <v>0</v>
      </c>
      <c r="H353">
        <f>Model!P126</f>
        <v>0</v>
      </c>
      <c r="I353">
        <f>Model!Q126</f>
        <v>0</v>
      </c>
      <c r="J353">
        <f>Model!R126</f>
        <v>0</v>
      </c>
      <c r="K353">
        <f>Model!S126</f>
        <v>0</v>
      </c>
      <c r="L353">
        <f>Model!T126</f>
        <v>0</v>
      </c>
      <c r="M353">
        <f>Model!U126</f>
        <v>938.93599999999992</v>
      </c>
      <c r="N353">
        <f>Model!V126</f>
        <v>0</v>
      </c>
      <c r="O353">
        <f>Model!W126</f>
        <v>0</v>
      </c>
      <c r="P353">
        <f>Model!X126</f>
        <v>0</v>
      </c>
      <c r="Q353">
        <f>Model!Y126</f>
        <v>1722.7920000000001</v>
      </c>
      <c r="R353">
        <f>Model!Z126</f>
        <v>4041.777</v>
      </c>
      <c r="S353">
        <f>Model!AA126</f>
        <v>3875.4740000000002</v>
      </c>
      <c r="T353">
        <f>Model!AB126</f>
        <v>3542.3799999999997</v>
      </c>
      <c r="U353">
        <f>Model!AC126</f>
        <v>3421.5660000000003</v>
      </c>
      <c r="V353">
        <f>Model!AD126</f>
        <v>2995.5025351103768</v>
      </c>
      <c r="W353">
        <f>Model!AE126</f>
        <v>2843.1866358985408</v>
      </c>
      <c r="X353">
        <f>Model!AF126</f>
        <v>2653.771344448724</v>
      </c>
      <c r="Y353">
        <f>Model!AG126</f>
        <v>2549.2172118916787</v>
      </c>
      <c r="Z353">
        <f>Model!AH126</f>
        <v>0</v>
      </c>
      <c r="AA353">
        <f>Model!AI126</f>
        <v>0</v>
      </c>
      <c r="AB353">
        <f>Model!AJ126</f>
        <v>0</v>
      </c>
      <c r="AC353">
        <f>Model!AK126</f>
        <v>938.93599999999992</v>
      </c>
      <c r="AD353">
        <f>Model!AL126</f>
        <v>1722.7920000000001</v>
      </c>
      <c r="AE353">
        <f>Model!AM126</f>
        <v>3421.5660000000003</v>
      </c>
      <c r="AF353">
        <f>Model!AN126</f>
        <v>2549.2172118916787</v>
      </c>
      <c r="AG353">
        <f>Model!AO126</f>
        <v>2565.5537243234216</v>
      </c>
      <c r="AH353">
        <f>Model!AP126</f>
        <v>2896.1383559551814</v>
      </c>
      <c r="AI353">
        <f>Model!AQ126</f>
        <v>3554.5404468644238</v>
      </c>
      <c r="AJ353">
        <f>Model!AR126</f>
        <v>4481.4250725167294</v>
      </c>
      <c r="AK353">
        <f>Model!AS126</f>
        <v>5740.3277321459736</v>
      </c>
      <c r="AL353">
        <f>Model!AT126</f>
        <v>7376.1086833556501</v>
      </c>
      <c r="AM353">
        <f>Model!AU126</f>
        <v>9412.6997323559008</v>
      </c>
      <c r="AN353">
        <f>Model!AV126</f>
        <v>0</v>
      </c>
      <c r="AO353">
        <f>Model!AW126</f>
        <v>0</v>
      </c>
    </row>
    <row r="354" spans="1:41">
      <c r="A354">
        <f>Model!I127</f>
        <v>0</v>
      </c>
      <c r="B354">
        <f>Model!J127</f>
        <v>0</v>
      </c>
      <c r="C354">
        <f>Model!K127</f>
        <v>0</v>
      </c>
      <c r="D354">
        <f>Model!L127</f>
        <v>0</v>
      </c>
      <c r="E354">
        <f>Model!M127</f>
        <v>0</v>
      </c>
      <c r="F354">
        <f>Model!N127</f>
        <v>0</v>
      </c>
      <c r="G354">
        <f>Model!O127</f>
        <v>0</v>
      </c>
      <c r="H354">
        <f>Model!P127</f>
        <v>0</v>
      </c>
      <c r="I354">
        <f>Model!Q127</f>
        <v>0</v>
      </c>
      <c r="J354">
        <f>Model!R127</f>
        <v>0</v>
      </c>
      <c r="K354">
        <f>Model!S127</f>
        <v>0</v>
      </c>
      <c r="L354">
        <f>Model!T127</f>
        <v>0</v>
      </c>
      <c r="M354">
        <f>Model!U127</f>
        <v>0</v>
      </c>
      <c r="N354">
        <f>Model!V127</f>
        <v>0</v>
      </c>
      <c r="O354">
        <f>Model!W127</f>
        <v>0</v>
      </c>
      <c r="P354">
        <f>Model!X127</f>
        <v>0</v>
      </c>
      <c r="Q354">
        <f>Model!Y127</f>
        <v>0</v>
      </c>
      <c r="R354">
        <f>Model!Z127</f>
        <v>0</v>
      </c>
      <c r="S354">
        <f>Model!AA127</f>
        <v>0</v>
      </c>
      <c r="T354">
        <f>Model!AB127</f>
        <v>0</v>
      </c>
      <c r="U354">
        <f>Model!AC127</f>
        <v>0</v>
      </c>
      <c r="V354">
        <f>Model!AD127</f>
        <v>0</v>
      </c>
      <c r="W354">
        <f>Model!AE127</f>
        <v>0</v>
      </c>
      <c r="X354">
        <f>Model!AF127</f>
        <v>0</v>
      </c>
      <c r="Y354">
        <f>Model!AG127</f>
        <v>0</v>
      </c>
      <c r="Z354">
        <f>Model!AH127</f>
        <v>0</v>
      </c>
      <c r="AA354">
        <f>Model!AI127</f>
        <v>0</v>
      </c>
      <c r="AB354">
        <f>Model!AJ127</f>
        <v>0</v>
      </c>
      <c r="AC354">
        <f>Model!AK127</f>
        <v>0</v>
      </c>
      <c r="AD354">
        <f>Model!AL127</f>
        <v>0</v>
      </c>
      <c r="AE354">
        <f>Model!AM127</f>
        <v>0</v>
      </c>
      <c r="AF354">
        <f>Model!AN127</f>
        <v>0</v>
      </c>
      <c r="AG354">
        <f>Model!AO127</f>
        <v>0</v>
      </c>
      <c r="AH354">
        <f>Model!AP127</f>
        <v>0</v>
      </c>
      <c r="AI354">
        <f>Model!AQ127</f>
        <v>0</v>
      </c>
      <c r="AJ354">
        <f>Model!AR127</f>
        <v>0</v>
      </c>
      <c r="AK354">
        <f>Model!AS127</f>
        <v>0</v>
      </c>
      <c r="AL354">
        <f>Model!AT127</f>
        <v>0</v>
      </c>
      <c r="AM354">
        <f>Model!AU127</f>
        <v>0</v>
      </c>
      <c r="AN354">
        <f>Model!AV127</f>
        <v>0</v>
      </c>
      <c r="AO354">
        <f>Model!AW127</f>
        <v>0</v>
      </c>
    </row>
    <row r="355" spans="1:41">
      <c r="A355" t="str">
        <f>Model!I128</f>
        <v>Liabilities</v>
      </c>
      <c r="B355">
        <f>Model!J128</f>
        <v>0</v>
      </c>
      <c r="C355">
        <f>Model!K128</f>
        <v>0</v>
      </c>
      <c r="D355">
        <f>Model!L128</f>
        <v>0</v>
      </c>
      <c r="E355">
        <f>Model!M128</f>
        <v>0</v>
      </c>
      <c r="F355">
        <f>Model!N128</f>
        <v>0</v>
      </c>
      <c r="G355">
        <f>Model!O128</f>
        <v>0</v>
      </c>
      <c r="H355">
        <f>Model!P128</f>
        <v>0</v>
      </c>
      <c r="I355">
        <f>Model!Q128</f>
        <v>0</v>
      </c>
      <c r="J355">
        <f>Model!R128</f>
        <v>0</v>
      </c>
      <c r="K355">
        <f>Model!S128</f>
        <v>0</v>
      </c>
      <c r="L355">
        <f>Model!T128</f>
        <v>0</v>
      </c>
      <c r="M355">
        <f>Model!U128</f>
        <v>0</v>
      </c>
      <c r="N355">
        <f>Model!V128</f>
        <v>0</v>
      </c>
      <c r="O355">
        <f>Model!W128</f>
        <v>0</v>
      </c>
      <c r="P355">
        <f>Model!X128</f>
        <v>0</v>
      </c>
      <c r="Q355">
        <f>Model!Y128</f>
        <v>0</v>
      </c>
      <c r="R355">
        <f>Model!Z128</f>
        <v>0</v>
      </c>
      <c r="S355">
        <f>Model!AA128</f>
        <v>0</v>
      </c>
      <c r="T355">
        <f>Model!AB128</f>
        <v>0</v>
      </c>
      <c r="U355">
        <f>Model!AC128</f>
        <v>0</v>
      </c>
      <c r="V355">
        <f>Model!AD128</f>
        <v>0</v>
      </c>
      <c r="W355">
        <f>Model!AE128</f>
        <v>0</v>
      </c>
      <c r="X355">
        <f>Model!AF128</f>
        <v>0</v>
      </c>
      <c r="Y355">
        <f>Model!AG128</f>
        <v>0</v>
      </c>
      <c r="Z355">
        <f>Model!AH128</f>
        <v>0</v>
      </c>
      <c r="AA355">
        <f>Model!AI128</f>
        <v>0</v>
      </c>
      <c r="AB355">
        <f>Model!AJ128</f>
        <v>0</v>
      </c>
      <c r="AC355">
        <f>Model!AK128</f>
        <v>0</v>
      </c>
      <c r="AD355">
        <f>Model!AL128</f>
        <v>0</v>
      </c>
      <c r="AE355">
        <f>Model!AM128</f>
        <v>0</v>
      </c>
      <c r="AF355">
        <f>Model!AN128</f>
        <v>0</v>
      </c>
      <c r="AG355">
        <f>Model!AO128</f>
        <v>0</v>
      </c>
      <c r="AH355">
        <f>Model!AP128</f>
        <v>0</v>
      </c>
      <c r="AI355">
        <f>Model!AQ128</f>
        <v>0</v>
      </c>
      <c r="AJ355">
        <f>Model!AR128</f>
        <v>0</v>
      </c>
      <c r="AK355">
        <f>Model!AS128</f>
        <v>0</v>
      </c>
      <c r="AL355">
        <f>Model!AT128</f>
        <v>0</v>
      </c>
      <c r="AM355">
        <f>Model!AU128</f>
        <v>0</v>
      </c>
      <c r="AN355">
        <f>Model!AV128</f>
        <v>0</v>
      </c>
      <c r="AO355">
        <f>Model!AW128</f>
        <v>0</v>
      </c>
    </row>
    <row r="356" spans="1:41">
      <c r="A356" t="str">
        <f>Model!I129</f>
        <v xml:space="preserve">Current Liabilities </v>
      </c>
      <c r="B356">
        <f>Model!J129</f>
        <v>0</v>
      </c>
      <c r="C356">
        <f>Model!K129</f>
        <v>0</v>
      </c>
      <c r="D356">
        <f>Model!L129</f>
        <v>0</v>
      </c>
      <c r="E356">
        <f>Model!M129</f>
        <v>0</v>
      </c>
      <c r="F356">
        <f>Model!N129</f>
        <v>0</v>
      </c>
      <c r="G356">
        <f>Model!O129</f>
        <v>0</v>
      </c>
      <c r="H356">
        <f>Model!P129</f>
        <v>0</v>
      </c>
      <c r="I356">
        <f>Model!Q129</f>
        <v>0</v>
      </c>
      <c r="J356">
        <f>Model!R129</f>
        <v>0</v>
      </c>
      <c r="K356">
        <f>Model!S129</f>
        <v>0</v>
      </c>
      <c r="L356">
        <f>Model!T129</f>
        <v>0</v>
      </c>
      <c r="M356">
        <f>Model!U129</f>
        <v>0</v>
      </c>
      <c r="N356">
        <f>Model!V129</f>
        <v>0</v>
      </c>
      <c r="O356">
        <f>Model!W129</f>
        <v>0</v>
      </c>
      <c r="P356">
        <f>Model!X129</f>
        <v>0</v>
      </c>
      <c r="Q356">
        <f>Model!Y129</f>
        <v>0</v>
      </c>
      <c r="R356">
        <f>Model!Z129</f>
        <v>0</v>
      </c>
      <c r="S356">
        <f>Model!AA129</f>
        <v>0</v>
      </c>
      <c r="T356">
        <f>Model!AB129</f>
        <v>0</v>
      </c>
      <c r="U356">
        <f>Model!AC129</f>
        <v>0</v>
      </c>
      <c r="V356">
        <f>Model!AD129</f>
        <v>0</v>
      </c>
      <c r="W356">
        <f>Model!AE129</f>
        <v>0</v>
      </c>
      <c r="X356">
        <f>Model!AF129</f>
        <v>0</v>
      </c>
      <c r="Y356">
        <f>Model!AG129</f>
        <v>0</v>
      </c>
      <c r="Z356">
        <f>Model!AH129</f>
        <v>0</v>
      </c>
      <c r="AA356">
        <f>Model!AI129</f>
        <v>0</v>
      </c>
      <c r="AB356">
        <f>Model!AJ129</f>
        <v>0</v>
      </c>
      <c r="AC356">
        <f>Model!AK129</f>
        <v>0</v>
      </c>
      <c r="AD356">
        <f>Model!AL129</f>
        <v>0</v>
      </c>
      <c r="AE356">
        <f>Model!AM129</f>
        <v>0</v>
      </c>
      <c r="AF356">
        <f>Model!AN129</f>
        <v>0</v>
      </c>
      <c r="AG356">
        <f>Model!AO129</f>
        <v>0</v>
      </c>
      <c r="AH356">
        <f>Model!AP129</f>
        <v>0</v>
      </c>
      <c r="AI356">
        <f>Model!AQ129</f>
        <v>0</v>
      </c>
      <c r="AJ356">
        <f>Model!AR129</f>
        <v>0</v>
      </c>
      <c r="AK356">
        <f>Model!AS129</f>
        <v>0</v>
      </c>
      <c r="AL356">
        <f>Model!AT129</f>
        <v>0</v>
      </c>
      <c r="AM356">
        <f>Model!AU129</f>
        <v>0</v>
      </c>
      <c r="AN356">
        <f>Model!AV129</f>
        <v>0</v>
      </c>
      <c r="AO356">
        <f>Model!AW129</f>
        <v>0</v>
      </c>
    </row>
    <row r="357" spans="1:41">
      <c r="A357" t="str">
        <f>Model!I130</f>
        <v>Accounts Payable</v>
      </c>
      <c r="B357">
        <f>Model!J130</f>
        <v>0</v>
      </c>
      <c r="C357">
        <f>Model!K130</f>
        <v>0</v>
      </c>
      <c r="D357">
        <f>Model!L130</f>
        <v>0</v>
      </c>
      <c r="E357">
        <f>Model!M130</f>
        <v>0</v>
      </c>
      <c r="F357">
        <f>Model!N130</f>
        <v>0</v>
      </c>
      <c r="G357">
        <f>Model!O130</f>
        <v>0</v>
      </c>
      <c r="H357">
        <f>Model!P130</f>
        <v>0</v>
      </c>
      <c r="I357">
        <f>Model!Q130</f>
        <v>0</v>
      </c>
      <c r="J357">
        <f>Model!R130</f>
        <v>0</v>
      </c>
      <c r="K357">
        <f>Model!S130</f>
        <v>0</v>
      </c>
      <c r="L357">
        <f>Model!T130</f>
        <v>0</v>
      </c>
      <c r="M357">
        <f>Model!U130</f>
        <v>0.70199999999999996</v>
      </c>
      <c r="N357">
        <f>Model!V130</f>
        <v>0</v>
      </c>
      <c r="O357">
        <f>Model!W130</f>
        <v>0</v>
      </c>
      <c r="P357">
        <f>Model!X130</f>
        <v>0</v>
      </c>
      <c r="Q357">
        <f>Model!Y130</f>
        <v>8.4190000000000005</v>
      </c>
      <c r="R357">
        <f>Model!Z130</f>
        <v>13.849</v>
      </c>
      <c r="S357">
        <f>Model!AA130</f>
        <v>17.77</v>
      </c>
      <c r="T357">
        <f>Model!AB130</f>
        <v>15.207000000000001</v>
      </c>
      <c r="U357">
        <f>Model!AC130</f>
        <v>71.194000000000003</v>
      </c>
      <c r="V357">
        <f>Model!AD130</f>
        <v>13.787173664594096</v>
      </c>
      <c r="W357">
        <f>Model!AE130</f>
        <v>16.028133188390562</v>
      </c>
      <c r="X357">
        <f>Model!AF130</f>
        <v>19.035931380326371</v>
      </c>
      <c r="Y357">
        <f>Model!AG130</f>
        <v>20.55733071499656</v>
      </c>
      <c r="Z357">
        <f>Model!AH130</f>
        <v>0</v>
      </c>
      <c r="AA357">
        <f>Model!AI130</f>
        <v>0</v>
      </c>
      <c r="AB357">
        <f>Model!AJ130</f>
        <v>0</v>
      </c>
      <c r="AC357">
        <f>Model!AK130</f>
        <v>0.70199999999999996</v>
      </c>
      <c r="AD357">
        <f>Model!AL130</f>
        <v>8.4190000000000005</v>
      </c>
      <c r="AE357">
        <f>Model!AM130</f>
        <v>71.194000000000003</v>
      </c>
      <c r="AF357">
        <f>Model!AN130</f>
        <v>20.55733071499656</v>
      </c>
      <c r="AG357">
        <f>Model!AO130</f>
        <v>39.673620989433665</v>
      </c>
      <c r="AH357">
        <f>Model!AP130</f>
        <v>84.113168135380846</v>
      </c>
      <c r="AI357">
        <f>Model!AQ130</f>
        <v>121.84315340886185</v>
      </c>
      <c r="AJ357">
        <f>Model!AR130</f>
        <v>143.89132297283822</v>
      </c>
      <c r="AK357">
        <f>Model!AS130</f>
        <v>167.14257390307466</v>
      </c>
      <c r="AL357">
        <f>Model!AT130</f>
        <v>191.06487646342643</v>
      </c>
      <c r="AM357">
        <f>Model!AU130</f>
        <v>215.97221409058955</v>
      </c>
      <c r="AN357">
        <f>Model!AV130</f>
        <v>0</v>
      </c>
      <c r="AO357">
        <f>Model!AW130</f>
        <v>0</v>
      </c>
    </row>
    <row r="358" spans="1:41">
      <c r="A358" t="str">
        <f>Model!I131</f>
        <v>Accured Expenses and other current liabilities</v>
      </c>
      <c r="B358">
        <f>Model!J131</f>
        <v>0</v>
      </c>
      <c r="C358">
        <f>Model!K131</f>
        <v>0</v>
      </c>
      <c r="D358">
        <f>Model!L131</f>
        <v>0</v>
      </c>
      <c r="E358">
        <f>Model!M131</f>
        <v>0</v>
      </c>
      <c r="F358">
        <f>Model!N131</f>
        <v>0</v>
      </c>
      <c r="G358">
        <f>Model!O131</f>
        <v>0</v>
      </c>
      <c r="H358">
        <f>Model!P131</f>
        <v>0</v>
      </c>
      <c r="I358">
        <f>Model!Q131</f>
        <v>0</v>
      </c>
      <c r="J358">
        <f>Model!R131</f>
        <v>0</v>
      </c>
      <c r="K358">
        <f>Model!S131</f>
        <v>0</v>
      </c>
      <c r="L358">
        <f>Model!T131</f>
        <v>0</v>
      </c>
      <c r="M358">
        <f>Model!U131</f>
        <v>155.55600000000001</v>
      </c>
      <c r="N358">
        <f>Model!V131</f>
        <v>0</v>
      </c>
      <c r="O358">
        <f>Model!W131</f>
        <v>0</v>
      </c>
      <c r="P358">
        <f>Model!X131</f>
        <v>0</v>
      </c>
      <c r="Q358">
        <f>Model!Y131</f>
        <v>335.517</v>
      </c>
      <c r="R358">
        <f>Model!Z131</f>
        <v>228.43600000000001</v>
      </c>
      <c r="S358">
        <f>Model!AA131</f>
        <v>240.53899999999999</v>
      </c>
      <c r="T358">
        <f>Model!AB131</f>
        <v>280.95699999999999</v>
      </c>
      <c r="U358">
        <f>Model!AC131</f>
        <v>275.06200000000001</v>
      </c>
      <c r="V358">
        <f>Model!AD131</f>
        <v>124.5</v>
      </c>
      <c r="W358">
        <f>Model!AE131</f>
        <v>177</v>
      </c>
      <c r="X358">
        <f>Model!AF131</f>
        <v>204.6</v>
      </c>
      <c r="Y358">
        <f>Model!AG131</f>
        <v>256.8</v>
      </c>
      <c r="Z358">
        <f>Model!AH131</f>
        <v>0</v>
      </c>
      <c r="AA358">
        <f>Model!AI131</f>
        <v>0</v>
      </c>
      <c r="AB358">
        <f>Model!AJ131</f>
        <v>0</v>
      </c>
      <c r="AC358">
        <f>Model!AK131</f>
        <v>155.55600000000001</v>
      </c>
      <c r="AD358">
        <f>Model!AL131</f>
        <v>335.517</v>
      </c>
      <c r="AE358">
        <f>Model!AM131</f>
        <v>275.06200000000001</v>
      </c>
      <c r="AF358">
        <f>Model!AN131</f>
        <v>256.8</v>
      </c>
      <c r="AG358">
        <f>Model!AO131</f>
        <v>748.35862077868956</v>
      </c>
      <c r="AH358">
        <f>Model!AP131</f>
        <v>1262.1953363837802</v>
      </c>
      <c r="AI358">
        <f>Model!AQ131</f>
        <v>1715.8170649946264</v>
      </c>
      <c r="AJ358">
        <f>Model!AR131</f>
        <v>1985.583897018779</v>
      </c>
      <c r="AK358">
        <f>Model!AS131</f>
        <v>2157.2487222898417</v>
      </c>
      <c r="AL358">
        <f>Model!AT131</f>
        <v>2280.3218613508366</v>
      </c>
      <c r="AM358">
        <f>Model!AU131</f>
        <v>2392.775974088283</v>
      </c>
      <c r="AN358">
        <f>Model!AV131</f>
        <v>0</v>
      </c>
      <c r="AO358">
        <f>Model!AW131</f>
        <v>0</v>
      </c>
    </row>
    <row r="359" spans="1:41">
      <c r="A359" t="str">
        <f>Model!I132</f>
        <v xml:space="preserve">Total Current Liabilities </v>
      </c>
      <c r="B359">
        <f>Model!J132</f>
        <v>0</v>
      </c>
      <c r="C359">
        <f>Model!K132</f>
        <v>0</v>
      </c>
      <c r="D359">
        <f>Model!L132</f>
        <v>0</v>
      </c>
      <c r="E359">
        <f>Model!M132</f>
        <v>0</v>
      </c>
      <c r="F359">
        <f>Model!N132</f>
        <v>0</v>
      </c>
      <c r="G359">
        <f>Model!O132</f>
        <v>0</v>
      </c>
      <c r="H359">
        <f>Model!P132</f>
        <v>0</v>
      </c>
      <c r="I359">
        <f>Model!Q132</f>
        <v>0</v>
      </c>
      <c r="J359">
        <f>Model!R132</f>
        <v>0</v>
      </c>
      <c r="K359">
        <f>Model!S132</f>
        <v>0</v>
      </c>
      <c r="L359">
        <f>Model!T132</f>
        <v>0</v>
      </c>
      <c r="M359">
        <f>Model!U132</f>
        <v>156.25800000000001</v>
      </c>
      <c r="N359">
        <f>Model!V132</f>
        <v>0</v>
      </c>
      <c r="O359">
        <f>Model!W132</f>
        <v>0</v>
      </c>
      <c r="P359">
        <f>Model!X132</f>
        <v>0</v>
      </c>
      <c r="Q359">
        <f>Model!Y132</f>
        <v>343.93599999999998</v>
      </c>
      <c r="R359">
        <f>Model!Z132</f>
        <v>242.285</v>
      </c>
      <c r="S359">
        <f>Model!AA132</f>
        <v>258.30899999999997</v>
      </c>
      <c r="T359">
        <f>Model!AB132</f>
        <v>296.16399999999999</v>
      </c>
      <c r="U359">
        <f>Model!AC132</f>
        <v>346.25600000000003</v>
      </c>
      <c r="V359">
        <f>Model!AD132</f>
        <v>138.28717366459409</v>
      </c>
      <c r="W359">
        <f>Model!AE132</f>
        <v>193.02813318839057</v>
      </c>
      <c r="X359">
        <f>Model!AF132</f>
        <v>223.63593138032635</v>
      </c>
      <c r="Y359">
        <f>Model!AG132</f>
        <v>277.35733071499658</v>
      </c>
      <c r="Z359">
        <f>Model!AH132</f>
        <v>0</v>
      </c>
      <c r="AA359">
        <f>Model!AI132</f>
        <v>0</v>
      </c>
      <c r="AB359">
        <f>Model!AJ132</f>
        <v>0</v>
      </c>
      <c r="AC359">
        <f>Model!AK132</f>
        <v>156.25800000000001</v>
      </c>
      <c r="AD359">
        <f>Model!AL132</f>
        <v>343.93599999999998</v>
      </c>
      <c r="AE359">
        <f>Model!AM132</f>
        <v>346.25600000000003</v>
      </c>
      <c r="AF359">
        <f>Model!AN132</f>
        <v>277.35733071499658</v>
      </c>
      <c r="AG359">
        <f>Model!AO132</f>
        <v>788.03224176812319</v>
      </c>
      <c r="AH359">
        <f>Model!AP132</f>
        <v>1346.308504519161</v>
      </c>
      <c r="AI359">
        <f>Model!AQ132</f>
        <v>1837.6602184034882</v>
      </c>
      <c r="AJ359">
        <f>Model!AR132</f>
        <v>2129.4752199916175</v>
      </c>
      <c r="AK359">
        <f>Model!AS132</f>
        <v>2324.3912961929163</v>
      </c>
      <c r="AL359">
        <f>Model!AT132</f>
        <v>2471.3867378142631</v>
      </c>
      <c r="AM359">
        <f>Model!AU132</f>
        <v>2608.7481881788726</v>
      </c>
      <c r="AN359">
        <f>Model!AV132</f>
        <v>0</v>
      </c>
      <c r="AO359">
        <f>Model!AW132</f>
        <v>0</v>
      </c>
    </row>
    <row r="360" spans="1:41">
      <c r="A360">
        <f>Model!I133</f>
        <v>0</v>
      </c>
      <c r="B360">
        <f>Model!J133</f>
        <v>0</v>
      </c>
      <c r="C360">
        <f>Model!K133</f>
        <v>0</v>
      </c>
      <c r="D360">
        <f>Model!L133</f>
        <v>0</v>
      </c>
      <c r="E360">
        <f>Model!M133</f>
        <v>0</v>
      </c>
      <c r="F360">
        <f>Model!N133</f>
        <v>0</v>
      </c>
      <c r="G360">
        <f>Model!O133</f>
        <v>0</v>
      </c>
      <c r="H360">
        <f>Model!P133</f>
        <v>0</v>
      </c>
      <c r="I360">
        <f>Model!Q133</f>
        <v>0</v>
      </c>
      <c r="J360">
        <f>Model!R133</f>
        <v>0</v>
      </c>
      <c r="K360">
        <f>Model!S133</f>
        <v>0</v>
      </c>
      <c r="L360">
        <f>Model!T133</f>
        <v>0</v>
      </c>
      <c r="M360">
        <f>Model!U133</f>
        <v>0</v>
      </c>
      <c r="N360">
        <f>Model!V133</f>
        <v>0</v>
      </c>
      <c r="O360">
        <f>Model!W133</f>
        <v>0</v>
      </c>
      <c r="P360">
        <f>Model!X133</f>
        <v>0</v>
      </c>
      <c r="Q360">
        <f>Model!Y133</f>
        <v>0</v>
      </c>
      <c r="R360">
        <f>Model!Z133</f>
        <v>0</v>
      </c>
      <c r="S360">
        <f>Model!AA133</f>
        <v>0</v>
      </c>
      <c r="T360">
        <f>Model!AB133</f>
        <v>0</v>
      </c>
      <c r="U360">
        <f>Model!AC133</f>
        <v>0</v>
      </c>
      <c r="V360">
        <f>Model!AD133</f>
        <v>0</v>
      </c>
      <c r="W360">
        <f>Model!AE133</f>
        <v>0</v>
      </c>
      <c r="X360">
        <f>Model!AF133</f>
        <v>0</v>
      </c>
      <c r="Y360">
        <f>Model!AG133</f>
        <v>0</v>
      </c>
      <c r="Z360">
        <f>Model!AH133</f>
        <v>0</v>
      </c>
      <c r="AA360">
        <f>Model!AI133</f>
        <v>0</v>
      </c>
      <c r="AB360">
        <f>Model!AJ133</f>
        <v>0</v>
      </c>
      <c r="AC360">
        <f>Model!AK133</f>
        <v>0</v>
      </c>
      <c r="AD360">
        <f>Model!AL133</f>
        <v>0</v>
      </c>
      <c r="AE360">
        <f>Model!AM133</f>
        <v>0</v>
      </c>
      <c r="AF360">
        <f>Model!AN133</f>
        <v>0</v>
      </c>
      <c r="AG360">
        <f>Model!AO133</f>
        <v>0</v>
      </c>
      <c r="AH360">
        <f>Model!AP133</f>
        <v>0</v>
      </c>
      <c r="AI360">
        <f>Model!AQ133</f>
        <v>0</v>
      </c>
      <c r="AJ360">
        <f>Model!AR133</f>
        <v>0</v>
      </c>
      <c r="AK360">
        <f>Model!AS133</f>
        <v>0</v>
      </c>
      <c r="AL360">
        <f>Model!AT133</f>
        <v>0</v>
      </c>
      <c r="AM360">
        <f>Model!AU133</f>
        <v>0</v>
      </c>
      <c r="AN360">
        <f>Model!AV133</f>
        <v>0</v>
      </c>
      <c r="AO360">
        <f>Model!AW133</f>
        <v>0</v>
      </c>
    </row>
    <row r="361" spans="1:41">
      <c r="A361" t="str">
        <f>Model!I134</f>
        <v>Other Liabilities</v>
      </c>
      <c r="B361">
        <f>Model!J134</f>
        <v>0</v>
      </c>
      <c r="C361">
        <f>Model!K134</f>
        <v>0</v>
      </c>
      <c r="D361">
        <f>Model!L134</f>
        <v>0</v>
      </c>
      <c r="E361">
        <f>Model!M134</f>
        <v>0</v>
      </c>
      <c r="F361">
        <f>Model!N134</f>
        <v>0</v>
      </c>
      <c r="G361">
        <f>Model!O134</f>
        <v>0</v>
      </c>
      <c r="H361">
        <f>Model!P134</f>
        <v>0</v>
      </c>
      <c r="I361">
        <f>Model!Q134</f>
        <v>0</v>
      </c>
      <c r="J361">
        <f>Model!R134</f>
        <v>0</v>
      </c>
      <c r="K361">
        <f>Model!S134</f>
        <v>0</v>
      </c>
      <c r="L361">
        <f>Model!T134</f>
        <v>0</v>
      </c>
      <c r="M361">
        <f>Model!U134</f>
        <v>18.533000000000001</v>
      </c>
      <c r="N361">
        <f>Model!V134</f>
        <v>0</v>
      </c>
      <c r="O361">
        <f>Model!W134</f>
        <v>0</v>
      </c>
      <c r="P361">
        <f>Model!X134</f>
        <v>0</v>
      </c>
      <c r="Q361">
        <f>Model!Y134</f>
        <v>47.134</v>
      </c>
      <c r="R361">
        <f>Model!Z134</f>
        <v>63.973999999999997</v>
      </c>
      <c r="S361">
        <f>Model!AA134</f>
        <v>76.257999999999996</v>
      </c>
      <c r="T361">
        <f>Model!AB134</f>
        <v>70.945999999999998</v>
      </c>
      <c r="U361">
        <f>Model!AC134</f>
        <v>82.983000000000004</v>
      </c>
      <c r="V361">
        <f>Model!AD134</f>
        <v>82.983000000000004</v>
      </c>
      <c r="W361">
        <f>Model!AE134</f>
        <v>82.983000000000004</v>
      </c>
      <c r="X361">
        <f>Model!AF134</f>
        <v>82.983000000000004</v>
      </c>
      <c r="Y361">
        <f>Model!AG134</f>
        <v>82.983000000000004</v>
      </c>
      <c r="Z361">
        <f>Model!AH134</f>
        <v>0</v>
      </c>
      <c r="AA361">
        <f>Model!AI134</f>
        <v>0</v>
      </c>
      <c r="AB361">
        <f>Model!AJ134</f>
        <v>0</v>
      </c>
      <c r="AC361">
        <f>Model!AK134</f>
        <v>18.533000000000001</v>
      </c>
      <c r="AD361">
        <f>Model!AL134</f>
        <v>47.134</v>
      </c>
      <c r="AE361">
        <f>Model!AM134</f>
        <v>82.983000000000004</v>
      </c>
      <c r="AF361">
        <f>Model!AN134</f>
        <v>82.983000000000004</v>
      </c>
      <c r="AG361">
        <f>Model!AO134</f>
        <v>82.983000000000004</v>
      </c>
      <c r="AH361">
        <f>Model!AP134</f>
        <v>82.983000000000004</v>
      </c>
      <c r="AI361">
        <f>Model!AQ134</f>
        <v>82.983000000000004</v>
      </c>
      <c r="AJ361">
        <f>Model!AR134</f>
        <v>82.983000000000004</v>
      </c>
      <c r="AK361">
        <f>Model!AS134</f>
        <v>82.983000000000004</v>
      </c>
      <c r="AL361">
        <f>Model!AT134</f>
        <v>82.983000000000004</v>
      </c>
      <c r="AM361">
        <f>Model!AU134</f>
        <v>82.983000000000004</v>
      </c>
      <c r="AN361">
        <f>Model!AV134</f>
        <v>0</v>
      </c>
      <c r="AO361">
        <f>Model!AW134</f>
        <v>0</v>
      </c>
    </row>
    <row r="362" spans="1:41">
      <c r="A362">
        <f>Model!I135</f>
        <v>0</v>
      </c>
      <c r="B362">
        <f>Model!J135</f>
        <v>0</v>
      </c>
      <c r="C362">
        <f>Model!K135</f>
        <v>0</v>
      </c>
      <c r="D362">
        <f>Model!L135</f>
        <v>0</v>
      </c>
      <c r="E362">
        <f>Model!M135</f>
        <v>0</v>
      </c>
      <c r="F362">
        <f>Model!N135</f>
        <v>0</v>
      </c>
      <c r="G362">
        <f>Model!O135</f>
        <v>0</v>
      </c>
      <c r="H362">
        <f>Model!P135</f>
        <v>0</v>
      </c>
      <c r="I362">
        <f>Model!Q135</f>
        <v>0</v>
      </c>
      <c r="J362">
        <f>Model!R135</f>
        <v>0</v>
      </c>
      <c r="K362">
        <f>Model!S135</f>
        <v>0</v>
      </c>
      <c r="L362">
        <f>Model!T135</f>
        <v>0</v>
      </c>
      <c r="M362">
        <f>Model!U135</f>
        <v>0</v>
      </c>
      <c r="N362">
        <f>Model!V135</f>
        <v>0</v>
      </c>
      <c r="O362">
        <f>Model!W135</f>
        <v>0</v>
      </c>
      <c r="P362">
        <f>Model!X135</f>
        <v>0</v>
      </c>
      <c r="Q362">
        <f>Model!Y135</f>
        <v>0</v>
      </c>
      <c r="R362">
        <f>Model!Z135</f>
        <v>0</v>
      </c>
      <c r="S362">
        <f>Model!AA135</f>
        <v>0</v>
      </c>
      <c r="T362">
        <f>Model!AB135</f>
        <v>0</v>
      </c>
      <c r="U362">
        <f>Model!AC135</f>
        <v>0</v>
      </c>
      <c r="V362">
        <f>Model!AD135</f>
        <v>0</v>
      </c>
      <c r="W362">
        <f>Model!AE135</f>
        <v>0</v>
      </c>
      <c r="X362">
        <f>Model!AF135</f>
        <v>0</v>
      </c>
      <c r="Y362">
        <f>Model!AG135</f>
        <v>0</v>
      </c>
      <c r="Z362">
        <f>Model!AH135</f>
        <v>0</v>
      </c>
      <c r="AA362">
        <f>Model!AI135</f>
        <v>0</v>
      </c>
      <c r="AB362">
        <f>Model!AJ135</f>
        <v>0</v>
      </c>
      <c r="AC362">
        <f>Model!AK135</f>
        <v>0</v>
      </c>
      <c r="AD362">
        <f>Model!AL135</f>
        <v>0</v>
      </c>
      <c r="AE362">
        <f>Model!AM135</f>
        <v>0</v>
      </c>
      <c r="AF362">
        <f>Model!AN135</f>
        <v>0</v>
      </c>
      <c r="AG362">
        <f>Model!AO135</f>
        <v>0</v>
      </c>
      <c r="AH362">
        <f>Model!AP135</f>
        <v>0</v>
      </c>
      <c r="AI362">
        <f>Model!AQ135</f>
        <v>0</v>
      </c>
      <c r="AJ362">
        <f>Model!AR135</f>
        <v>0</v>
      </c>
      <c r="AK362">
        <f>Model!AS135</f>
        <v>0</v>
      </c>
      <c r="AL362">
        <f>Model!AT135</f>
        <v>0</v>
      </c>
      <c r="AM362">
        <f>Model!AU135</f>
        <v>0</v>
      </c>
      <c r="AN362">
        <f>Model!AV135</f>
        <v>0</v>
      </c>
      <c r="AO362">
        <f>Model!AW135</f>
        <v>0</v>
      </c>
    </row>
    <row r="363" spans="1:41">
      <c r="A363" t="str">
        <f>Model!I136</f>
        <v>Total Liabilities</v>
      </c>
      <c r="B363">
        <f>Model!J136</f>
        <v>0</v>
      </c>
      <c r="C363">
        <f>Model!K136</f>
        <v>0</v>
      </c>
      <c r="D363">
        <f>Model!L136</f>
        <v>0</v>
      </c>
      <c r="E363">
        <f>Model!M136</f>
        <v>0</v>
      </c>
      <c r="F363">
        <f>Model!N136</f>
        <v>0</v>
      </c>
      <c r="G363">
        <f>Model!O136</f>
        <v>0</v>
      </c>
      <c r="H363">
        <f>Model!P136</f>
        <v>0</v>
      </c>
      <c r="I363">
        <f>Model!Q136</f>
        <v>0</v>
      </c>
      <c r="J363">
        <f>Model!R136</f>
        <v>0</v>
      </c>
      <c r="K363">
        <f>Model!S136</f>
        <v>0</v>
      </c>
      <c r="L363">
        <f>Model!T136</f>
        <v>0</v>
      </c>
      <c r="M363">
        <f>Model!U136</f>
        <v>174.791</v>
      </c>
      <c r="N363">
        <f>Model!V136</f>
        <v>0</v>
      </c>
      <c r="O363">
        <f>Model!W136</f>
        <v>0</v>
      </c>
      <c r="P363">
        <f>Model!X136</f>
        <v>0</v>
      </c>
      <c r="Q363">
        <f>Model!Y136</f>
        <v>391.07</v>
      </c>
      <c r="R363">
        <f>Model!Z136</f>
        <v>306.25900000000001</v>
      </c>
      <c r="S363">
        <f>Model!AA136</f>
        <v>334.56699999999995</v>
      </c>
      <c r="T363">
        <f>Model!AB136</f>
        <v>367.11</v>
      </c>
      <c r="U363">
        <f>Model!AC136</f>
        <v>429.23900000000003</v>
      </c>
      <c r="V363">
        <f>Model!AD136</f>
        <v>221.2701736645941</v>
      </c>
      <c r="W363">
        <f>Model!AE136</f>
        <v>276.01113318839055</v>
      </c>
      <c r="X363">
        <f>Model!AF136</f>
        <v>306.61893138032633</v>
      </c>
      <c r="Y363">
        <f>Model!AG136</f>
        <v>360.34033071499658</v>
      </c>
      <c r="Z363">
        <f>Model!AH136</f>
        <v>0</v>
      </c>
      <c r="AA363">
        <f>Model!AI136</f>
        <v>0</v>
      </c>
      <c r="AB363">
        <f>Model!AJ136</f>
        <v>0</v>
      </c>
      <c r="AC363">
        <f>Model!AK136</f>
        <v>174.791</v>
      </c>
      <c r="AD363">
        <f>Model!AL136</f>
        <v>391.07</v>
      </c>
      <c r="AE363">
        <f>Model!AM136</f>
        <v>429.23900000000003</v>
      </c>
      <c r="AF363">
        <f>Model!AN136</f>
        <v>360.34033071499658</v>
      </c>
      <c r="AG363">
        <f>Model!AO136</f>
        <v>871.01524176812313</v>
      </c>
      <c r="AH363">
        <f>Model!AP136</f>
        <v>1429.291504519161</v>
      </c>
      <c r="AI363">
        <f>Model!AQ136</f>
        <v>1920.6432184034882</v>
      </c>
      <c r="AJ363">
        <f>Model!AR136</f>
        <v>2212.4582199916176</v>
      </c>
      <c r="AK363">
        <f>Model!AS136</f>
        <v>2407.3742961929165</v>
      </c>
      <c r="AL363">
        <f>Model!AT136</f>
        <v>2554.3697378142633</v>
      </c>
      <c r="AM363">
        <f>Model!AU136</f>
        <v>2691.7311881788728</v>
      </c>
      <c r="AN363">
        <f>Model!AV136</f>
        <v>0</v>
      </c>
      <c r="AO363">
        <f>Model!AW136</f>
        <v>0</v>
      </c>
    </row>
    <row r="364" spans="1:41">
      <c r="A364">
        <f>Model!I137</f>
        <v>0</v>
      </c>
      <c r="B364">
        <f>Model!J137</f>
        <v>0</v>
      </c>
      <c r="C364">
        <f>Model!K137</f>
        <v>0</v>
      </c>
      <c r="D364">
        <f>Model!L137</f>
        <v>0</v>
      </c>
      <c r="E364">
        <f>Model!M137</f>
        <v>0</v>
      </c>
      <c r="F364">
        <f>Model!N137</f>
        <v>0</v>
      </c>
      <c r="G364">
        <f>Model!O137</f>
        <v>0</v>
      </c>
      <c r="H364">
        <f>Model!P137</f>
        <v>0</v>
      </c>
      <c r="I364">
        <f>Model!Q137</f>
        <v>0</v>
      </c>
      <c r="J364">
        <f>Model!R137</f>
        <v>0</v>
      </c>
      <c r="K364">
        <f>Model!S137</f>
        <v>0</v>
      </c>
      <c r="L364">
        <f>Model!T137</f>
        <v>0</v>
      </c>
      <c r="M364">
        <f>Model!U137</f>
        <v>0</v>
      </c>
      <c r="N364">
        <f>Model!V137</f>
        <v>0</v>
      </c>
      <c r="O364">
        <f>Model!W137</f>
        <v>0</v>
      </c>
      <c r="P364">
        <f>Model!X137</f>
        <v>0</v>
      </c>
      <c r="Q364">
        <f>Model!Y137</f>
        <v>0</v>
      </c>
      <c r="R364">
        <f>Model!Z137</f>
        <v>0</v>
      </c>
      <c r="S364">
        <f>Model!AA137</f>
        <v>0</v>
      </c>
      <c r="T364">
        <f>Model!AB137</f>
        <v>0</v>
      </c>
      <c r="U364">
        <f>Model!AC137</f>
        <v>0</v>
      </c>
      <c r="V364">
        <f>Model!AD137</f>
        <v>0</v>
      </c>
      <c r="W364">
        <f>Model!AE137</f>
        <v>0</v>
      </c>
      <c r="X364">
        <f>Model!AF137</f>
        <v>0</v>
      </c>
      <c r="Y364">
        <f>Model!AG137</f>
        <v>0</v>
      </c>
      <c r="Z364">
        <f>Model!AH137</f>
        <v>0</v>
      </c>
      <c r="AA364">
        <f>Model!AI137</f>
        <v>0</v>
      </c>
      <c r="AB364">
        <f>Model!AJ137</f>
        <v>0</v>
      </c>
      <c r="AC364">
        <f>Model!AK137</f>
        <v>0</v>
      </c>
      <c r="AD364">
        <f>Model!AL137</f>
        <v>0</v>
      </c>
      <c r="AE364">
        <f>Model!AM137</f>
        <v>0</v>
      </c>
      <c r="AF364">
        <f>Model!AN137</f>
        <v>0</v>
      </c>
      <c r="AG364">
        <f>Model!AO137</f>
        <v>0</v>
      </c>
      <c r="AH364">
        <f>Model!AP137</f>
        <v>0</v>
      </c>
      <c r="AI364">
        <f>Model!AQ137</f>
        <v>0</v>
      </c>
      <c r="AJ364">
        <f>Model!AR137</f>
        <v>0</v>
      </c>
      <c r="AK364">
        <f>Model!AS137</f>
        <v>0</v>
      </c>
      <c r="AL364">
        <f>Model!AT137</f>
        <v>0</v>
      </c>
      <c r="AM364">
        <f>Model!AU137</f>
        <v>0</v>
      </c>
      <c r="AN364">
        <f>Model!AV137</f>
        <v>0</v>
      </c>
      <c r="AO364">
        <f>Model!AW137</f>
        <v>0</v>
      </c>
    </row>
    <row r="365" spans="1:41">
      <c r="A365" t="str">
        <f>Model!I138</f>
        <v>Stockholders Equity</v>
      </c>
      <c r="B365">
        <f>Model!J138</f>
        <v>0</v>
      </c>
      <c r="C365">
        <f>Model!K138</f>
        <v>0</v>
      </c>
      <c r="D365">
        <f>Model!L138</f>
        <v>0</v>
      </c>
      <c r="E365">
        <f>Model!M138</f>
        <v>0</v>
      </c>
      <c r="F365">
        <f>Model!N138</f>
        <v>0</v>
      </c>
      <c r="G365">
        <f>Model!O138</f>
        <v>0</v>
      </c>
      <c r="H365">
        <f>Model!P138</f>
        <v>0</v>
      </c>
      <c r="I365">
        <f>Model!Q138</f>
        <v>0</v>
      </c>
      <c r="J365">
        <f>Model!R138</f>
        <v>0</v>
      </c>
      <c r="K365">
        <f>Model!S138</f>
        <v>0</v>
      </c>
      <c r="L365">
        <f>Model!T138</f>
        <v>0</v>
      </c>
      <c r="M365">
        <f>Model!U138</f>
        <v>0</v>
      </c>
      <c r="N365">
        <f>Model!V138</f>
        <v>0</v>
      </c>
      <c r="O365">
        <f>Model!W138</f>
        <v>0</v>
      </c>
      <c r="P365">
        <f>Model!X138</f>
        <v>0</v>
      </c>
      <c r="Q365">
        <f>Model!Y138</f>
        <v>0</v>
      </c>
      <c r="R365">
        <f>Model!Z138</f>
        <v>0</v>
      </c>
      <c r="S365">
        <f>Model!AA138</f>
        <v>0</v>
      </c>
      <c r="T365">
        <f>Model!AB138</f>
        <v>0</v>
      </c>
      <c r="U365">
        <f>Model!AC138</f>
        <v>0</v>
      </c>
      <c r="V365">
        <f>Model!AD138</f>
        <v>0</v>
      </c>
      <c r="W365">
        <f>Model!AE138</f>
        <v>0</v>
      </c>
      <c r="X365">
        <f>Model!AF138</f>
        <v>0</v>
      </c>
      <c r="Y365">
        <f>Model!AG138</f>
        <v>0</v>
      </c>
      <c r="Z365">
        <f>Model!AH138</f>
        <v>0</v>
      </c>
      <c r="AA365">
        <f>Model!AI138</f>
        <v>0</v>
      </c>
      <c r="AB365">
        <f>Model!AJ138</f>
        <v>0</v>
      </c>
      <c r="AC365">
        <f>Model!AK138</f>
        <v>0</v>
      </c>
      <c r="AD365">
        <f>Model!AL138</f>
        <v>0</v>
      </c>
      <c r="AE365">
        <f>Model!AM138</f>
        <v>0</v>
      </c>
      <c r="AF365">
        <f>Model!AN138</f>
        <v>0</v>
      </c>
      <c r="AG365">
        <f>Model!AO138</f>
        <v>0</v>
      </c>
      <c r="AH365">
        <f>Model!AP138</f>
        <v>0</v>
      </c>
      <c r="AI365">
        <f>Model!AQ138</f>
        <v>0</v>
      </c>
      <c r="AJ365">
        <f>Model!AR138</f>
        <v>0</v>
      </c>
      <c r="AK365">
        <f>Model!AS138</f>
        <v>0</v>
      </c>
      <c r="AL365">
        <f>Model!AT138</f>
        <v>0</v>
      </c>
      <c r="AM365">
        <f>Model!AU138</f>
        <v>0</v>
      </c>
      <c r="AN365">
        <f>Model!AV138</f>
        <v>0</v>
      </c>
      <c r="AO365">
        <f>Model!AW138</f>
        <v>0</v>
      </c>
    </row>
    <row r="366" spans="1:41">
      <c r="A366" t="str">
        <f>Model!I139</f>
        <v>Convertible preferred stock and common stock</v>
      </c>
      <c r="B366">
        <f>Model!J139</f>
        <v>0</v>
      </c>
      <c r="C366">
        <f>Model!K139</f>
        <v>0</v>
      </c>
      <c r="D366">
        <f>Model!L139</f>
        <v>0</v>
      </c>
      <c r="E366">
        <f>Model!M139</f>
        <v>0</v>
      </c>
      <c r="F366">
        <f>Model!N139</f>
        <v>0</v>
      </c>
      <c r="G366">
        <f>Model!O139</f>
        <v>0</v>
      </c>
      <c r="H366">
        <f>Model!P139</f>
        <v>0</v>
      </c>
      <c r="I366">
        <f>Model!Q139</f>
        <v>0</v>
      </c>
      <c r="J366">
        <f>Model!R139</f>
        <v>0</v>
      </c>
      <c r="K366">
        <f>Model!S139</f>
        <v>0</v>
      </c>
      <c r="L366">
        <f>Model!T139</f>
        <v>0</v>
      </c>
      <c r="M366">
        <f>Model!U139</f>
        <v>8.9999999999999993E-3</v>
      </c>
      <c r="N366">
        <f>Model!V139</f>
        <v>0</v>
      </c>
      <c r="O366">
        <f>Model!W139</f>
        <v>0</v>
      </c>
      <c r="P366">
        <f>Model!X139</f>
        <v>0</v>
      </c>
      <c r="Q366">
        <f>Model!Y139</f>
        <v>0.01</v>
      </c>
      <c r="R366">
        <f>Model!Z139</f>
        <v>1.2E-2</v>
      </c>
      <c r="S366">
        <f>Model!AA139</f>
        <v>1.2E-2</v>
      </c>
      <c r="T366">
        <f>Model!AB139</f>
        <v>1.1999999999999999E-2</v>
      </c>
      <c r="U366">
        <f>Model!AC139</f>
        <v>1.1999999999999999E-2</v>
      </c>
      <c r="V366">
        <f>Model!AD139</f>
        <v>1.1999999999999999E-2</v>
      </c>
      <c r="W366">
        <f>Model!AE139</f>
        <v>1.1999999999999999E-2</v>
      </c>
      <c r="X366">
        <f>Model!AF139</f>
        <v>1.1999999999999999E-2</v>
      </c>
      <c r="Y366">
        <f>Model!AG139</f>
        <v>1.1999999999999999E-2</v>
      </c>
      <c r="Z366">
        <f>Model!AH139</f>
        <v>0</v>
      </c>
      <c r="AA366">
        <f>Model!AI139</f>
        <v>0</v>
      </c>
      <c r="AB366">
        <f>Model!AJ139</f>
        <v>0</v>
      </c>
      <c r="AC366">
        <f>Model!AK139</f>
        <v>8.9999999999999993E-3</v>
      </c>
      <c r="AD366">
        <f>Model!AL139</f>
        <v>0.01</v>
      </c>
      <c r="AE366">
        <f>Model!AM139</f>
        <v>1.1999999999999999E-2</v>
      </c>
      <c r="AF366">
        <f>Model!AN139</f>
        <v>1.1999999999999999E-2</v>
      </c>
      <c r="AG366">
        <f>Model!AO139</f>
        <v>1.1999999999999999E-2</v>
      </c>
      <c r="AH366">
        <f>Model!AP139</f>
        <v>1.1999999999999999E-2</v>
      </c>
      <c r="AI366">
        <f>Model!AQ139</f>
        <v>1.1999999999999999E-2</v>
      </c>
      <c r="AJ366">
        <f>Model!AR139</f>
        <v>1.1999999999999999E-2</v>
      </c>
      <c r="AK366">
        <f>Model!AS139</f>
        <v>1.1999999999999999E-2</v>
      </c>
      <c r="AL366">
        <f>Model!AT139</f>
        <v>1.1999999999999999E-2</v>
      </c>
      <c r="AM366">
        <f>Model!AU139</f>
        <v>1.1999999999999999E-2</v>
      </c>
      <c r="AN366">
        <f>Model!AV139</f>
        <v>0</v>
      </c>
      <c r="AO366">
        <f>Model!AW139</f>
        <v>0</v>
      </c>
    </row>
    <row r="367" spans="1:41">
      <c r="A367" t="str">
        <f>Model!I140</f>
        <v xml:space="preserve">Notes Receivable from officers/stockholders </v>
      </c>
      <c r="B367">
        <f>Model!J140</f>
        <v>0</v>
      </c>
      <c r="C367">
        <f>Model!K140</f>
        <v>0</v>
      </c>
      <c r="D367">
        <f>Model!L140</f>
        <v>0</v>
      </c>
      <c r="E367">
        <f>Model!M140</f>
        <v>0</v>
      </c>
      <c r="F367">
        <f>Model!N140</f>
        <v>0</v>
      </c>
      <c r="G367">
        <f>Model!O140</f>
        <v>0</v>
      </c>
      <c r="H367">
        <f>Model!P140</f>
        <v>0</v>
      </c>
      <c r="I367">
        <f>Model!Q140</f>
        <v>0</v>
      </c>
      <c r="J367">
        <f>Model!R140</f>
        <v>0</v>
      </c>
      <c r="K367">
        <f>Model!S140</f>
        <v>0</v>
      </c>
      <c r="L367">
        <f>Model!T140</f>
        <v>0</v>
      </c>
      <c r="M367">
        <f>Model!U140</f>
        <v>-10</v>
      </c>
      <c r="N367">
        <f>Model!V140</f>
        <v>0</v>
      </c>
      <c r="O367">
        <f>Model!W140</f>
        <v>0</v>
      </c>
      <c r="P367">
        <f>Model!X140</f>
        <v>0</v>
      </c>
      <c r="Q367">
        <f>Model!Y140</f>
        <v>0</v>
      </c>
      <c r="R367">
        <f>Model!Z140</f>
        <v>0</v>
      </c>
      <c r="S367">
        <f>Model!AA140</f>
        <v>0</v>
      </c>
      <c r="T367">
        <f>Model!AB140</f>
        <v>0</v>
      </c>
      <c r="U367">
        <f>Model!AC140</f>
        <v>0</v>
      </c>
      <c r="V367">
        <f>Model!AD140</f>
        <v>0</v>
      </c>
      <c r="W367">
        <f>Model!AE140</f>
        <v>0</v>
      </c>
      <c r="X367">
        <f>Model!AF140</f>
        <v>0</v>
      </c>
      <c r="Y367">
        <f>Model!AG140</f>
        <v>0</v>
      </c>
      <c r="Z367">
        <f>Model!AH140</f>
        <v>0</v>
      </c>
      <c r="AA367">
        <f>Model!AI140</f>
        <v>0</v>
      </c>
      <c r="AB367">
        <f>Model!AJ140</f>
        <v>0</v>
      </c>
      <c r="AC367">
        <f>Model!AK140</f>
        <v>-10</v>
      </c>
      <c r="AD367">
        <f>Model!AL140</f>
        <v>0</v>
      </c>
      <c r="AE367">
        <f>Model!AM140</f>
        <v>0</v>
      </c>
      <c r="AF367">
        <f>Model!AN140</f>
        <v>0</v>
      </c>
      <c r="AG367">
        <f>Model!AO140</f>
        <v>0</v>
      </c>
      <c r="AH367">
        <f>Model!AP140</f>
        <v>0</v>
      </c>
      <c r="AI367">
        <f>Model!AQ140</f>
        <v>0</v>
      </c>
      <c r="AJ367">
        <f>Model!AR140</f>
        <v>0</v>
      </c>
      <c r="AK367">
        <f>Model!AS140</f>
        <v>0</v>
      </c>
      <c r="AL367">
        <f>Model!AT140</f>
        <v>0</v>
      </c>
      <c r="AM367">
        <f>Model!AU140</f>
        <v>0</v>
      </c>
      <c r="AN367">
        <f>Model!AV140</f>
        <v>0</v>
      </c>
      <c r="AO367">
        <f>Model!AW140</f>
        <v>0</v>
      </c>
    </row>
    <row r="368" spans="1:41">
      <c r="A368" t="str">
        <f>Model!I141</f>
        <v>APIC</v>
      </c>
      <c r="B368">
        <f>Model!J141</f>
        <v>0</v>
      </c>
      <c r="C368">
        <f>Model!K141</f>
        <v>0</v>
      </c>
      <c r="D368">
        <f>Model!L141</f>
        <v>0</v>
      </c>
      <c r="E368">
        <f>Model!M141</f>
        <v>0</v>
      </c>
      <c r="F368">
        <f>Model!N141</f>
        <v>0</v>
      </c>
      <c r="G368">
        <f>Model!O141</f>
        <v>0</v>
      </c>
      <c r="H368">
        <f>Model!P141</f>
        <v>0</v>
      </c>
      <c r="I368">
        <f>Model!Q141</f>
        <v>0</v>
      </c>
      <c r="J368">
        <f>Model!R141</f>
        <v>0</v>
      </c>
      <c r="K368">
        <f>Model!S141</f>
        <v>0</v>
      </c>
      <c r="L368">
        <f>Model!T141</f>
        <v>0</v>
      </c>
      <c r="M368">
        <f>Model!U141</f>
        <v>1467.355</v>
      </c>
      <c r="N368">
        <f>Model!V141</f>
        <v>0</v>
      </c>
      <c r="O368">
        <f>Model!W141</f>
        <v>0</v>
      </c>
      <c r="P368">
        <f>Model!X141</f>
        <v>0</v>
      </c>
      <c r="Q368">
        <f>Model!Y141</f>
        <v>3639.62</v>
      </c>
      <c r="R368">
        <f>Model!Z141</f>
        <v>7157.585</v>
      </c>
      <c r="S368">
        <f>Model!AA141</f>
        <v>7400.8419999999996</v>
      </c>
      <c r="T368">
        <f>Model!AB141</f>
        <v>7470.2719999999999</v>
      </c>
      <c r="U368">
        <f>Model!AC141</f>
        <v>7634.8249999999998</v>
      </c>
      <c r="V368">
        <f>Model!AD141</f>
        <v>7703.8249999999998</v>
      </c>
      <c r="W368">
        <f>Model!AE141</f>
        <v>7803.8249999999998</v>
      </c>
      <c r="X368">
        <f>Model!AF141</f>
        <v>7903.8249999999998</v>
      </c>
      <c r="Y368">
        <f>Model!AG141</f>
        <v>8003.8249999999998</v>
      </c>
      <c r="Z368">
        <f>Model!AH141</f>
        <v>0</v>
      </c>
      <c r="AA368">
        <f>Model!AI141</f>
        <v>0</v>
      </c>
      <c r="AB368">
        <f>Model!AJ141</f>
        <v>0</v>
      </c>
      <c r="AC368">
        <f>Model!AK141</f>
        <v>1467.355</v>
      </c>
      <c r="AD368">
        <f>Model!AL141</f>
        <v>3639.62</v>
      </c>
      <c r="AE368">
        <f>Model!AM141</f>
        <v>7634.8249999999998</v>
      </c>
      <c r="AF368">
        <f>Model!AN141</f>
        <v>8003.8249999999998</v>
      </c>
      <c r="AG368">
        <f>Model!AO141</f>
        <v>8418.8250000000007</v>
      </c>
      <c r="AH368">
        <f>Model!AP141</f>
        <v>8867.0250000000015</v>
      </c>
      <c r="AI368">
        <f>Model!AQ141</f>
        <v>9351.0810000000019</v>
      </c>
      <c r="AJ368">
        <f>Model!AR141</f>
        <v>9859.3398000000016</v>
      </c>
      <c r="AK368">
        <f>Model!AS141</f>
        <v>10393.011540000001</v>
      </c>
      <c r="AL368">
        <f>Model!AT141</f>
        <v>10953.366867000001</v>
      </c>
      <c r="AM368">
        <f>Model!AU141</f>
        <v>11541.739960350002</v>
      </c>
      <c r="AN368">
        <f>Model!AV141</f>
        <v>0</v>
      </c>
      <c r="AO368">
        <f>Model!AW141</f>
        <v>0</v>
      </c>
    </row>
    <row r="369" spans="1:41">
      <c r="A369" t="str">
        <f>Model!I142</f>
        <v xml:space="preserve">Accumulated other comprehensive income </v>
      </c>
      <c r="B369">
        <f>Model!J142</f>
        <v>0</v>
      </c>
      <c r="C369">
        <f>Model!K142</f>
        <v>0</v>
      </c>
      <c r="D369">
        <f>Model!L142</f>
        <v>0</v>
      </c>
      <c r="E369">
        <f>Model!M142</f>
        <v>0</v>
      </c>
      <c r="F369">
        <f>Model!N142</f>
        <v>0</v>
      </c>
      <c r="G369">
        <f>Model!O142</f>
        <v>0</v>
      </c>
      <c r="H369">
        <f>Model!P142</f>
        <v>0</v>
      </c>
      <c r="I369">
        <f>Model!Q142</f>
        <v>0</v>
      </c>
      <c r="J369">
        <f>Model!R142</f>
        <v>0</v>
      </c>
      <c r="K369">
        <f>Model!S142</f>
        <v>0</v>
      </c>
      <c r="L369">
        <f>Model!T142</f>
        <v>0</v>
      </c>
      <c r="M369">
        <f>Model!U142</f>
        <v>0</v>
      </c>
      <c r="N369">
        <f>Model!V142</f>
        <v>0</v>
      </c>
      <c r="O369">
        <f>Model!W142</f>
        <v>0</v>
      </c>
      <c r="P369">
        <f>Model!X142</f>
        <v>0</v>
      </c>
      <c r="Q369">
        <f>Model!Y142</f>
        <v>-2.0569999999999999</v>
      </c>
      <c r="R369">
        <f>Model!Z142</f>
        <v>-1.635</v>
      </c>
      <c r="S369">
        <f>Model!AA142</f>
        <v>3.59</v>
      </c>
      <c r="T369">
        <f>Model!AB142</f>
        <v>11.682</v>
      </c>
      <c r="U369">
        <f>Model!AC142</f>
        <v>14.157</v>
      </c>
      <c r="V369">
        <f>Model!AD142</f>
        <v>14.157</v>
      </c>
      <c r="W369">
        <f>Model!AE142</f>
        <v>14.157</v>
      </c>
      <c r="X369">
        <f>Model!AF142</f>
        <v>14.157</v>
      </c>
      <c r="Y369">
        <f>Model!AG142</f>
        <v>14.157</v>
      </c>
      <c r="Z369">
        <f>Model!AH142</f>
        <v>0</v>
      </c>
      <c r="AA369">
        <f>Model!AI142</f>
        <v>0</v>
      </c>
      <c r="AB369">
        <f>Model!AJ142</f>
        <v>0</v>
      </c>
      <c r="AC369">
        <f>Model!AK142</f>
        <v>0</v>
      </c>
      <c r="AD369">
        <f>Model!AL142</f>
        <v>-2.0569999999999999</v>
      </c>
      <c r="AE369">
        <f>Model!AM142</f>
        <v>14.157</v>
      </c>
      <c r="AF369">
        <f>Model!AN142</f>
        <v>14.157</v>
      </c>
      <c r="AG369">
        <f>Model!AO142</f>
        <v>14.157</v>
      </c>
      <c r="AH369">
        <f>Model!AP142</f>
        <v>14.157</v>
      </c>
      <c r="AI369">
        <f>Model!AQ142</f>
        <v>14.157</v>
      </c>
      <c r="AJ369">
        <f>Model!AR142</f>
        <v>14.157</v>
      </c>
      <c r="AK369">
        <f>Model!AS142</f>
        <v>14.157</v>
      </c>
      <c r="AL369">
        <f>Model!AT142</f>
        <v>14.157</v>
      </c>
      <c r="AM369">
        <f>Model!AU142</f>
        <v>14.157</v>
      </c>
      <c r="AN369">
        <f>Model!AV142</f>
        <v>0</v>
      </c>
      <c r="AO369">
        <f>Model!AW142</f>
        <v>0</v>
      </c>
    </row>
    <row r="370" spans="1:41">
      <c r="A370" t="str">
        <f>Model!I143</f>
        <v xml:space="preserve">Accumulated deficit </v>
      </c>
      <c r="B370">
        <f>Model!J143</f>
        <v>0</v>
      </c>
      <c r="C370">
        <f>Model!K143</f>
        <v>0</v>
      </c>
      <c r="D370">
        <f>Model!L143</f>
        <v>0</v>
      </c>
      <c r="E370">
        <f>Model!M143</f>
        <v>0</v>
      </c>
      <c r="F370">
        <f>Model!N143</f>
        <v>0</v>
      </c>
      <c r="G370">
        <f>Model!O143</f>
        <v>0</v>
      </c>
      <c r="H370">
        <f>Model!P143</f>
        <v>0</v>
      </c>
      <c r="I370">
        <f>Model!Q143</f>
        <v>0</v>
      </c>
      <c r="J370">
        <f>Model!R143</f>
        <v>0</v>
      </c>
      <c r="K370">
        <f>Model!S143</f>
        <v>0</v>
      </c>
      <c r="L370">
        <f>Model!T143</f>
        <v>0</v>
      </c>
      <c r="M370">
        <f>Model!U143</f>
        <v>-693.21900000000005</v>
      </c>
      <c r="N370">
        <f>Model!V143</f>
        <v>0</v>
      </c>
      <c r="O370">
        <f>Model!W143</f>
        <v>0</v>
      </c>
      <c r="P370">
        <f>Model!X143</f>
        <v>0</v>
      </c>
      <c r="Q370">
        <f>Model!Y143</f>
        <v>-2305.8510000000001</v>
      </c>
      <c r="R370">
        <f>Model!Z143</f>
        <v>-3420.444</v>
      </c>
      <c r="S370">
        <f>Model!AA143</f>
        <v>-3863.5369999999998</v>
      </c>
      <c r="T370">
        <f>Model!AB143</f>
        <v>-4306.6959999999999</v>
      </c>
      <c r="U370">
        <f>Model!AC143</f>
        <v>-4656.6670000000004</v>
      </c>
      <c r="V370">
        <f>Model!AD143</f>
        <v>-4943.7616385542169</v>
      </c>
      <c r="W370">
        <f>Model!AE143</f>
        <v>-5250.8184972898489</v>
      </c>
      <c r="X370">
        <f>Model!AF143</f>
        <v>-5570.8415869316023</v>
      </c>
      <c r="Y370">
        <f>Model!AG143</f>
        <v>-5829.1171188233175</v>
      </c>
      <c r="Z370">
        <f>Model!AH143</f>
        <v>0</v>
      </c>
      <c r="AA370">
        <f>Model!AI143</f>
        <v>0</v>
      </c>
      <c r="AB370">
        <f>Model!AJ143</f>
        <v>0</v>
      </c>
      <c r="AC370">
        <f>Model!AK143</f>
        <v>-693.21900000000005</v>
      </c>
      <c r="AD370">
        <f>Model!AL143</f>
        <v>-2305.8510000000001</v>
      </c>
      <c r="AE370">
        <f>Model!AM143</f>
        <v>-4656.6670000000004</v>
      </c>
      <c r="AF370">
        <f>Model!AN143</f>
        <v>-5829.1171188233175</v>
      </c>
      <c r="AG370">
        <f>Model!AO143</f>
        <v>-6738.4555174447014</v>
      </c>
      <c r="AH370">
        <f>Model!AP143</f>
        <v>-7414.3471485639793</v>
      </c>
      <c r="AI370">
        <f>Model!AQ143</f>
        <v>-7731.3527715390646</v>
      </c>
      <c r="AJ370">
        <f>Model!AR143</f>
        <v>-7604.5419474748878</v>
      </c>
      <c r="AK370">
        <f>Model!AS143</f>
        <v>-7074.2271040469423</v>
      </c>
      <c r="AL370">
        <f>Model!AT143</f>
        <v>-6145.7969214586128</v>
      </c>
      <c r="AM370">
        <f>Model!AU143</f>
        <v>-4834.9404161729717</v>
      </c>
      <c r="AN370">
        <f>Model!AV143</f>
        <v>0</v>
      </c>
      <c r="AO370">
        <f>Model!AW143</f>
        <v>0</v>
      </c>
    </row>
    <row r="371" spans="1:41">
      <c r="A371" t="str">
        <f>Model!I144</f>
        <v xml:space="preserve">Total Stockholders Equity </v>
      </c>
      <c r="B371">
        <f>Model!J144</f>
        <v>0</v>
      </c>
      <c r="C371">
        <f>Model!K144</f>
        <v>0</v>
      </c>
      <c r="D371">
        <f>Model!L144</f>
        <v>0</v>
      </c>
      <c r="E371">
        <f>Model!M144</f>
        <v>0</v>
      </c>
      <c r="F371">
        <f>Model!N144</f>
        <v>0</v>
      </c>
      <c r="G371">
        <f>Model!O144</f>
        <v>0</v>
      </c>
      <c r="H371">
        <f>Model!P144</f>
        <v>0</v>
      </c>
      <c r="I371">
        <f>Model!Q144</f>
        <v>0</v>
      </c>
      <c r="J371">
        <f>Model!R144</f>
        <v>0</v>
      </c>
      <c r="K371">
        <f>Model!S144</f>
        <v>0</v>
      </c>
      <c r="L371">
        <f>Model!T144</f>
        <v>0</v>
      </c>
      <c r="M371">
        <f>Model!U144</f>
        <v>764.14499999999998</v>
      </c>
      <c r="N371">
        <f>Model!V144</f>
        <v>0</v>
      </c>
      <c r="O371">
        <f>Model!W144</f>
        <v>0</v>
      </c>
      <c r="P371">
        <f>Model!X144</f>
        <v>0</v>
      </c>
      <c r="Q371">
        <f>Model!Y144</f>
        <v>1331.7220000000002</v>
      </c>
      <c r="R371">
        <f>Model!Z144</f>
        <v>3735.5179999999996</v>
      </c>
      <c r="S371">
        <f>Model!AA144</f>
        <v>3540.9069999999997</v>
      </c>
      <c r="T371">
        <f>Model!AB144</f>
        <v>3175.2699999999995</v>
      </c>
      <c r="U371">
        <f>Model!AC144</f>
        <v>2992.3269999999993</v>
      </c>
      <c r="V371">
        <f>Model!AD144</f>
        <v>2774.2323614457828</v>
      </c>
      <c r="W371">
        <f>Model!AE144</f>
        <v>2567.1755027101508</v>
      </c>
      <c r="X371">
        <f>Model!AF144</f>
        <v>2347.1524130683974</v>
      </c>
      <c r="Y371">
        <f>Model!AG144</f>
        <v>2188.8768811766822</v>
      </c>
      <c r="Z371">
        <f>Model!AH144</f>
        <v>0</v>
      </c>
      <c r="AA371">
        <f>Model!AI144</f>
        <v>0</v>
      </c>
      <c r="AB371">
        <f>Model!AJ144</f>
        <v>0</v>
      </c>
      <c r="AC371">
        <f>Model!AK144</f>
        <v>764.14499999999998</v>
      </c>
      <c r="AD371">
        <f>Model!AL144</f>
        <v>1331.7220000000002</v>
      </c>
      <c r="AE371">
        <f>Model!AM144</f>
        <v>2992.3269999999993</v>
      </c>
      <c r="AF371">
        <f>Model!AN144</f>
        <v>2188.8768811766822</v>
      </c>
      <c r="AG371">
        <f>Model!AO144</f>
        <v>1694.5384825552992</v>
      </c>
      <c r="AH371">
        <f>Model!AP144</f>
        <v>1466.846851436022</v>
      </c>
      <c r="AI371">
        <f>Model!AQ144</f>
        <v>1633.8972284609372</v>
      </c>
      <c r="AJ371">
        <f>Model!AR144</f>
        <v>2268.9668525251136</v>
      </c>
      <c r="AK371">
        <f>Model!AS144</f>
        <v>3332.9534359530589</v>
      </c>
      <c r="AL371">
        <f>Model!AT144</f>
        <v>4821.7389455413877</v>
      </c>
      <c r="AM371">
        <f>Model!AU144</f>
        <v>6720.9685441770298</v>
      </c>
      <c r="AN371">
        <f>Model!AV144</f>
        <v>0</v>
      </c>
      <c r="AO371">
        <f>Model!AW144</f>
        <v>0</v>
      </c>
    </row>
    <row r="372" spans="1:41">
      <c r="A372">
        <f>Model!I145</f>
        <v>0</v>
      </c>
      <c r="B372">
        <f>Model!J145</f>
        <v>0</v>
      </c>
      <c r="C372">
        <f>Model!K145</f>
        <v>0</v>
      </c>
      <c r="D372">
        <f>Model!L145</f>
        <v>0</v>
      </c>
      <c r="E372">
        <f>Model!M145</f>
        <v>0</v>
      </c>
      <c r="F372">
        <f>Model!N145</f>
        <v>0</v>
      </c>
      <c r="G372">
        <f>Model!O145</f>
        <v>0</v>
      </c>
      <c r="H372">
        <f>Model!P145</f>
        <v>0</v>
      </c>
      <c r="I372">
        <f>Model!Q145</f>
        <v>0</v>
      </c>
      <c r="J372">
        <f>Model!R145</f>
        <v>0</v>
      </c>
      <c r="K372">
        <f>Model!S145</f>
        <v>0</v>
      </c>
      <c r="L372">
        <f>Model!T145</f>
        <v>0</v>
      </c>
      <c r="M372">
        <f>Model!U145</f>
        <v>0</v>
      </c>
      <c r="N372">
        <f>Model!V145</f>
        <v>0</v>
      </c>
      <c r="O372">
        <f>Model!W145</f>
        <v>0</v>
      </c>
      <c r="P372">
        <f>Model!X145</f>
        <v>0</v>
      </c>
      <c r="Q372">
        <f>Model!Y145</f>
        <v>0</v>
      </c>
      <c r="R372">
        <f>Model!Z145</f>
        <v>0</v>
      </c>
      <c r="S372">
        <f>Model!AA145</f>
        <v>0</v>
      </c>
      <c r="T372">
        <f>Model!AB145</f>
        <v>0</v>
      </c>
      <c r="U372">
        <f>Model!AC145</f>
        <v>0</v>
      </c>
      <c r="V372">
        <f>Model!AD145</f>
        <v>0</v>
      </c>
      <c r="W372">
        <f>Model!AE145</f>
        <v>0</v>
      </c>
      <c r="X372">
        <f>Model!AF145</f>
        <v>0</v>
      </c>
      <c r="Y372">
        <f>Model!AG145</f>
        <v>0</v>
      </c>
      <c r="Z372">
        <f>Model!AH145</f>
        <v>0</v>
      </c>
      <c r="AA372">
        <f>Model!AI145</f>
        <v>0</v>
      </c>
      <c r="AB372">
        <f>Model!AJ145</f>
        <v>0</v>
      </c>
      <c r="AC372">
        <f>Model!AK145</f>
        <v>0</v>
      </c>
      <c r="AD372">
        <f>Model!AL145</f>
        <v>0</v>
      </c>
      <c r="AE372">
        <f>Model!AM145</f>
        <v>0</v>
      </c>
      <c r="AF372">
        <f>Model!AN145</f>
        <v>0</v>
      </c>
      <c r="AG372">
        <f>Model!AO145</f>
        <v>0</v>
      </c>
      <c r="AH372">
        <f>Model!AP145</f>
        <v>0</v>
      </c>
      <c r="AI372">
        <f>Model!AQ145</f>
        <v>0</v>
      </c>
      <c r="AJ372">
        <f>Model!AR145</f>
        <v>0</v>
      </c>
      <c r="AK372">
        <f>Model!AS145</f>
        <v>0</v>
      </c>
      <c r="AL372">
        <f>Model!AT145</f>
        <v>0</v>
      </c>
      <c r="AM372">
        <f>Model!AU145</f>
        <v>0</v>
      </c>
      <c r="AN372">
        <f>Model!AV145</f>
        <v>0</v>
      </c>
      <c r="AO372">
        <f>Model!AW145</f>
        <v>0</v>
      </c>
    </row>
    <row r="373" spans="1:41">
      <c r="A373" t="str">
        <f>Model!I146</f>
        <v>Total Liabilities and stockholders equity</v>
      </c>
      <c r="B373">
        <f>Model!J146</f>
        <v>0</v>
      </c>
      <c r="C373">
        <f>Model!K146</f>
        <v>0</v>
      </c>
      <c r="D373">
        <f>Model!L146</f>
        <v>0</v>
      </c>
      <c r="E373">
        <f>Model!M146</f>
        <v>0</v>
      </c>
      <c r="F373">
        <f>Model!N146</f>
        <v>0</v>
      </c>
      <c r="G373">
        <f>Model!O146</f>
        <v>0</v>
      </c>
      <c r="H373">
        <f>Model!P146</f>
        <v>0</v>
      </c>
      <c r="I373">
        <f>Model!Q146</f>
        <v>0</v>
      </c>
      <c r="J373">
        <f>Model!R146</f>
        <v>0</v>
      </c>
      <c r="K373">
        <f>Model!S146</f>
        <v>0</v>
      </c>
      <c r="L373">
        <f>Model!T146</f>
        <v>0</v>
      </c>
      <c r="M373">
        <f>Model!U146</f>
        <v>938.93599999999992</v>
      </c>
      <c r="N373">
        <f>Model!V146</f>
        <v>0</v>
      </c>
      <c r="O373">
        <f>Model!W146</f>
        <v>0</v>
      </c>
      <c r="P373">
        <f>Model!X146</f>
        <v>0</v>
      </c>
      <c r="Q373">
        <f>Model!Y146</f>
        <v>1722.7920000000001</v>
      </c>
      <c r="R373">
        <f>Model!Z146</f>
        <v>4041.7769999999996</v>
      </c>
      <c r="S373">
        <f>Model!AA146</f>
        <v>3875.4739999999997</v>
      </c>
      <c r="T373">
        <f>Model!AB146</f>
        <v>3542.3799999999997</v>
      </c>
      <c r="U373">
        <f>Model!AC146</f>
        <v>3421.5659999999993</v>
      </c>
      <c r="V373">
        <f>Model!AD146</f>
        <v>2995.5025351103768</v>
      </c>
      <c r="W373">
        <f>Model!AE146</f>
        <v>2843.1866358985412</v>
      </c>
      <c r="X373">
        <f>Model!AF146</f>
        <v>2653.7713444487235</v>
      </c>
      <c r="Y373">
        <f>Model!AG146</f>
        <v>2549.2172118916787</v>
      </c>
      <c r="Z373">
        <f>Model!AH146</f>
        <v>0</v>
      </c>
      <c r="AA373">
        <f>Model!AI146</f>
        <v>0</v>
      </c>
      <c r="AB373">
        <f>Model!AJ146</f>
        <v>0</v>
      </c>
      <c r="AC373">
        <f>Model!AK146</f>
        <v>938.93599999999992</v>
      </c>
      <c r="AD373">
        <f>Model!AL146</f>
        <v>1722.7920000000001</v>
      </c>
      <c r="AE373">
        <f>Model!AM146</f>
        <v>3421.5659999999993</v>
      </c>
      <c r="AF373">
        <f>Model!AN146</f>
        <v>2549.2172118916787</v>
      </c>
      <c r="AG373">
        <f>Model!AO146</f>
        <v>2565.5537243234221</v>
      </c>
      <c r="AH373">
        <f>Model!AP146</f>
        <v>2896.1383559551832</v>
      </c>
      <c r="AI373">
        <f>Model!AQ146</f>
        <v>3554.5404468644256</v>
      </c>
      <c r="AJ373">
        <f>Model!AR146</f>
        <v>4481.4250725167312</v>
      </c>
      <c r="AK373">
        <f>Model!AS146</f>
        <v>5740.3277321459755</v>
      </c>
      <c r="AL373">
        <f>Model!AT146</f>
        <v>7376.108683355651</v>
      </c>
      <c r="AM373">
        <f>Model!AU146</f>
        <v>9412.6997323559026</v>
      </c>
      <c r="AN373">
        <f>Model!AV146</f>
        <v>0</v>
      </c>
      <c r="AO373">
        <f>Model!AW146</f>
        <v>0</v>
      </c>
    </row>
    <row r="374" spans="1:41">
      <c r="A374" t="str">
        <f>Model!I147</f>
        <v>Check</v>
      </c>
      <c r="B374">
        <f>Model!J147</f>
        <v>0</v>
      </c>
      <c r="C374">
        <f>Model!K147</f>
        <v>0</v>
      </c>
      <c r="D374">
        <f>Model!L147</f>
        <v>0</v>
      </c>
      <c r="E374">
        <f>Model!M147</f>
        <v>0</v>
      </c>
      <c r="F374">
        <f>Model!N147</f>
        <v>0</v>
      </c>
      <c r="G374">
        <f>Model!O147</f>
        <v>0</v>
      </c>
      <c r="H374">
        <f>Model!P147</f>
        <v>0</v>
      </c>
      <c r="I374">
        <f>Model!Q147</f>
        <v>0</v>
      </c>
      <c r="J374">
        <f>Model!R147</f>
        <v>0</v>
      </c>
      <c r="K374">
        <f>Model!S147</f>
        <v>0</v>
      </c>
      <c r="L374">
        <f>Model!T147</f>
        <v>0</v>
      </c>
      <c r="M374">
        <f>Model!U147</f>
        <v>0</v>
      </c>
      <c r="N374">
        <f>Model!V147</f>
        <v>0</v>
      </c>
      <c r="O374">
        <f>Model!W147</f>
        <v>0</v>
      </c>
      <c r="P374">
        <f>Model!X147</f>
        <v>0</v>
      </c>
      <c r="Q374">
        <f>Model!Y147</f>
        <v>0</v>
      </c>
      <c r="R374">
        <f>Model!Z147</f>
        <v>0</v>
      </c>
      <c r="S374">
        <f>Model!AA147</f>
        <v>0</v>
      </c>
      <c r="T374">
        <f>Model!AB147</f>
        <v>0</v>
      </c>
      <c r="U374">
        <f>Model!AC147</f>
        <v>0</v>
      </c>
      <c r="V374">
        <f>Model!AD147</f>
        <v>0</v>
      </c>
      <c r="W374">
        <f>Model!AE147</f>
        <v>0</v>
      </c>
      <c r="X374">
        <f>Model!AF147</f>
        <v>0</v>
      </c>
      <c r="Y374">
        <f>Model!AG147</f>
        <v>0</v>
      </c>
      <c r="Z374">
        <f>Model!AH147</f>
        <v>0</v>
      </c>
      <c r="AA374">
        <f>Model!AI147</f>
        <v>0</v>
      </c>
      <c r="AB374">
        <f>Model!AJ147</f>
        <v>0</v>
      </c>
      <c r="AC374">
        <f>Model!AK147</f>
        <v>0</v>
      </c>
      <c r="AD374">
        <f>Model!AL147</f>
        <v>0</v>
      </c>
      <c r="AE374">
        <f>Model!AM147</f>
        <v>0</v>
      </c>
      <c r="AF374">
        <f>Model!AN147</f>
        <v>0</v>
      </c>
      <c r="AG374">
        <f>Model!AO147</f>
        <v>0</v>
      </c>
      <c r="AH374">
        <f>Model!AP147</f>
        <v>0</v>
      </c>
      <c r="AI374">
        <f>Model!AQ147</f>
        <v>0</v>
      </c>
      <c r="AJ374">
        <f>Model!AR147</f>
        <v>0</v>
      </c>
      <c r="AK374">
        <f>Model!AS147</f>
        <v>0</v>
      </c>
      <c r="AL374">
        <f>Model!AT147</f>
        <v>0</v>
      </c>
      <c r="AM374">
        <f>Model!AU147</f>
        <v>0</v>
      </c>
      <c r="AN374">
        <f>Model!AV147</f>
        <v>0</v>
      </c>
      <c r="AO374">
        <f>Model!AW147</f>
        <v>0</v>
      </c>
    </row>
    <row r="375" spans="1:41">
      <c r="A375">
        <f>Model!I148</f>
        <v>0</v>
      </c>
      <c r="B375">
        <f>Model!J148</f>
        <v>0</v>
      </c>
      <c r="C375">
        <f>Model!K148</f>
        <v>0</v>
      </c>
      <c r="D375">
        <f>Model!L148</f>
        <v>0</v>
      </c>
      <c r="E375">
        <f>Model!M148</f>
        <v>0</v>
      </c>
      <c r="F375">
        <f>Model!N148</f>
        <v>0</v>
      </c>
      <c r="G375">
        <f>Model!O148</f>
        <v>0</v>
      </c>
      <c r="H375">
        <f>Model!P148</f>
        <v>0</v>
      </c>
      <c r="I375">
        <f>Model!Q148</f>
        <v>0</v>
      </c>
      <c r="J375">
        <f>Model!R148</f>
        <v>0</v>
      </c>
      <c r="K375">
        <f>Model!S148</f>
        <v>0</v>
      </c>
      <c r="L375">
        <f>Model!T148</f>
        <v>0</v>
      </c>
      <c r="M375">
        <f>Model!U148</f>
        <v>0</v>
      </c>
      <c r="N375">
        <f>Model!V148</f>
        <v>0</v>
      </c>
      <c r="O375">
        <f>Model!W148</f>
        <v>0</v>
      </c>
      <c r="P375">
        <f>Model!X148</f>
        <v>0</v>
      </c>
      <c r="Q375">
        <f>Model!Y148</f>
        <v>0</v>
      </c>
      <c r="R375">
        <f>Model!Z148</f>
        <v>0</v>
      </c>
      <c r="S375">
        <f>Model!AA148</f>
        <v>0</v>
      </c>
      <c r="T375">
        <f>Model!AB148</f>
        <v>0</v>
      </c>
      <c r="U375">
        <f>Model!AC148</f>
        <v>0</v>
      </c>
      <c r="V375">
        <f>Model!AD148</f>
        <v>0</v>
      </c>
      <c r="W375">
        <f>Model!AE148</f>
        <v>0</v>
      </c>
      <c r="X375">
        <f>Model!AF148</f>
        <v>0</v>
      </c>
      <c r="Y375">
        <f>Model!AG148</f>
        <v>0</v>
      </c>
      <c r="Z375">
        <f>Model!AH148</f>
        <v>0</v>
      </c>
      <c r="AA375">
        <f>Model!AI148</f>
        <v>0</v>
      </c>
      <c r="AB375">
        <f>Model!AJ148</f>
        <v>0</v>
      </c>
      <c r="AC375">
        <f>Model!AK148</f>
        <v>0</v>
      </c>
      <c r="AD375">
        <f>Model!AL148</f>
        <v>0</v>
      </c>
      <c r="AE375">
        <f>Model!AM148</f>
        <v>0</v>
      </c>
      <c r="AF375">
        <f>Model!AN148</f>
        <v>0</v>
      </c>
      <c r="AG375">
        <f>Model!AO148</f>
        <v>0</v>
      </c>
      <c r="AH375">
        <f>Model!AP148</f>
        <v>0</v>
      </c>
      <c r="AI375">
        <f>Model!AQ148</f>
        <v>0</v>
      </c>
      <c r="AJ375">
        <f>Model!AR148</f>
        <v>0</v>
      </c>
      <c r="AK375">
        <f>Model!AS148</f>
        <v>0</v>
      </c>
      <c r="AL375">
        <f>Model!AT148</f>
        <v>0</v>
      </c>
      <c r="AM375">
        <f>Model!AU148</f>
        <v>0</v>
      </c>
      <c r="AN375">
        <f>Model!AV148</f>
        <v>0</v>
      </c>
      <c r="AO375">
        <f>Model!AW148</f>
        <v>0</v>
      </c>
    </row>
    <row r="376" spans="1:41">
      <c r="A376" t="str">
        <f>Model!I149</f>
        <v>Balance Sheet Assumptions</v>
      </c>
      <c r="B376">
        <f>Model!J149</f>
        <v>0</v>
      </c>
      <c r="C376">
        <f>Model!K149</f>
        <v>0</v>
      </c>
      <c r="D376">
        <f>Model!L149</f>
        <v>0</v>
      </c>
      <c r="E376">
        <f>Model!M149</f>
        <v>0</v>
      </c>
      <c r="F376">
        <f>Model!N149</f>
        <v>0</v>
      </c>
      <c r="G376">
        <f>Model!O149</f>
        <v>0</v>
      </c>
      <c r="H376">
        <f>Model!P149</f>
        <v>0</v>
      </c>
      <c r="I376">
        <f>Model!Q149</f>
        <v>0</v>
      </c>
      <c r="J376">
        <f>Model!R149</f>
        <v>0</v>
      </c>
      <c r="K376">
        <f>Model!S149</f>
        <v>0</v>
      </c>
      <c r="L376">
        <f>Model!T149</f>
        <v>0</v>
      </c>
      <c r="M376">
        <f>Model!U149</f>
        <v>0</v>
      </c>
      <c r="N376">
        <f>Model!V149</f>
        <v>0</v>
      </c>
      <c r="O376">
        <f>Model!W149</f>
        <v>0</v>
      </c>
      <c r="P376">
        <f>Model!X149</f>
        <v>0</v>
      </c>
      <c r="Q376">
        <f>Model!Y149</f>
        <v>0</v>
      </c>
      <c r="R376">
        <f>Model!Z149</f>
        <v>0</v>
      </c>
      <c r="S376">
        <f>Model!AA149</f>
        <v>0</v>
      </c>
      <c r="T376">
        <f>Model!AB149</f>
        <v>0</v>
      </c>
      <c r="U376">
        <f>Model!AC149</f>
        <v>0</v>
      </c>
      <c r="V376">
        <f>Model!AD149</f>
        <v>0</v>
      </c>
      <c r="W376">
        <f>Model!AE149</f>
        <v>0</v>
      </c>
      <c r="X376">
        <f>Model!AF149</f>
        <v>0</v>
      </c>
      <c r="Y376">
        <f>Model!AG149</f>
        <v>0</v>
      </c>
      <c r="Z376">
        <f>Model!AH149</f>
        <v>0</v>
      </c>
      <c r="AA376">
        <f>Model!AI149</f>
        <v>0</v>
      </c>
      <c r="AB376">
        <f>Model!AJ149</f>
        <v>0</v>
      </c>
      <c r="AC376">
        <f>Model!AK149</f>
        <v>0</v>
      </c>
      <c r="AD376">
        <f>Model!AL149</f>
        <v>0</v>
      </c>
      <c r="AE376">
        <f>Model!AM149</f>
        <v>0</v>
      </c>
      <c r="AF376">
        <f>Model!AN149</f>
        <v>0</v>
      </c>
      <c r="AG376">
        <f>Model!AO149</f>
        <v>0</v>
      </c>
      <c r="AH376">
        <f>Model!AP149</f>
        <v>0</v>
      </c>
      <c r="AI376">
        <f>Model!AQ149</f>
        <v>0</v>
      </c>
      <c r="AJ376">
        <f>Model!AR149</f>
        <v>0</v>
      </c>
      <c r="AK376">
        <f>Model!AS149</f>
        <v>0</v>
      </c>
      <c r="AL376">
        <f>Model!AT149</f>
        <v>0</v>
      </c>
      <c r="AM376">
        <f>Model!AU149</f>
        <v>0</v>
      </c>
      <c r="AN376">
        <f>Model!AV149</f>
        <v>0</v>
      </c>
      <c r="AO376">
        <f>Model!AW149</f>
        <v>0</v>
      </c>
    </row>
    <row r="377" spans="1:41">
      <c r="A377" t="str">
        <f>Model!I150</f>
        <v>Days Sales Outstanding</v>
      </c>
      <c r="B377">
        <f>Model!J150</f>
        <v>0</v>
      </c>
      <c r="C377">
        <f>Model!K150</f>
        <v>0</v>
      </c>
      <c r="D377">
        <f>Model!L150</f>
        <v>0</v>
      </c>
      <c r="E377">
        <f>Model!M150</f>
        <v>0</v>
      </c>
      <c r="F377">
        <f>Model!N150</f>
        <v>0</v>
      </c>
      <c r="G377">
        <f>Model!O150</f>
        <v>0</v>
      </c>
      <c r="H377">
        <f>Model!P150</f>
        <v>0</v>
      </c>
      <c r="I377">
        <f>Model!Q150</f>
        <v>0</v>
      </c>
      <c r="J377">
        <f>Model!R150</f>
        <v>0</v>
      </c>
      <c r="K377">
        <f>Model!S150</f>
        <v>0</v>
      </c>
      <c r="L377">
        <f>Model!T150</f>
        <v>0</v>
      </c>
      <c r="M377">
        <f>Model!U150</f>
        <v>0</v>
      </c>
      <c r="N377">
        <f>Model!V150</f>
        <v>0</v>
      </c>
      <c r="O377">
        <f>Model!W150</f>
        <v>0</v>
      </c>
      <c r="P377">
        <f>Model!X150</f>
        <v>0</v>
      </c>
      <c r="Q377">
        <f>Model!Y150</f>
        <v>358.34028440023661</v>
      </c>
      <c r="R377">
        <f>Model!Z150</f>
        <v>360.19261867849889</v>
      </c>
      <c r="S377">
        <f>Model!AA150</f>
        <v>344.61540366927028</v>
      </c>
      <c r="T377">
        <f>Model!AB150</f>
        <v>342.24026988943768</v>
      </c>
      <c r="U377">
        <f>Model!AC150</f>
        <v>357.05335797516921</v>
      </c>
      <c r="V377">
        <f>Model!AD150</f>
        <v>360.19261867849889</v>
      </c>
      <c r="W377">
        <f>Model!AE150</f>
        <v>344.61540366927028</v>
      </c>
      <c r="X377">
        <f>Model!AF150</f>
        <v>342.24026988943768</v>
      </c>
      <c r="Y377">
        <f>Model!AG150</f>
        <v>357.05335797516921</v>
      </c>
      <c r="Z377">
        <f>Model!AH150</f>
        <v>0</v>
      </c>
      <c r="AA377">
        <f>Model!AI150</f>
        <v>0</v>
      </c>
      <c r="AB377">
        <f>Model!AJ150</f>
        <v>0</v>
      </c>
      <c r="AC377">
        <f>Model!AK150</f>
        <v>275.78925387382168</v>
      </c>
      <c r="AD377">
        <f>Model!AL150</f>
        <v>146.78164912159255</v>
      </c>
      <c r="AE377">
        <f>Model!AM150</f>
        <v>123.65327432362486</v>
      </c>
      <c r="AF377">
        <f>Model!AN150</f>
        <v>116.38906109167739</v>
      </c>
      <c r="AG377">
        <f>Model!AO150</f>
        <v>101.38906109167739</v>
      </c>
      <c r="AH377">
        <f>Model!AP150</f>
        <v>71.389061091677391</v>
      </c>
      <c r="AI377">
        <f>Model!AQ150</f>
        <v>71.389061091677391</v>
      </c>
      <c r="AJ377">
        <f>Model!AR150</f>
        <v>71.389061091677391</v>
      </c>
      <c r="AK377">
        <f>Model!AS150</f>
        <v>71.389061091677391</v>
      </c>
      <c r="AL377">
        <f>Model!AT150</f>
        <v>71.389061091677391</v>
      </c>
      <c r="AM377">
        <f>Model!AU150</f>
        <v>71.389061091677391</v>
      </c>
      <c r="AN377">
        <f>Model!AV150</f>
        <v>0</v>
      </c>
      <c r="AO377">
        <f>Model!AW150</f>
        <v>0</v>
      </c>
    </row>
    <row r="378" spans="1:41">
      <c r="A378" t="str">
        <f>Model!I151</f>
        <v>Prepaid Expenses &amp; Other Current Assets</v>
      </c>
      <c r="B378">
        <f>Model!J151</f>
        <v>0</v>
      </c>
      <c r="C378">
        <f>Model!K151</f>
        <v>0</v>
      </c>
      <c r="D378">
        <f>Model!L151</f>
        <v>0</v>
      </c>
      <c r="E378">
        <f>Model!M151</f>
        <v>0</v>
      </c>
      <c r="F378">
        <f>Model!N151</f>
        <v>0</v>
      </c>
      <c r="G378">
        <f>Model!O151</f>
        <v>0</v>
      </c>
      <c r="H378">
        <f>Model!P151</f>
        <v>0</v>
      </c>
      <c r="I378">
        <f>Model!Q151</f>
        <v>0</v>
      </c>
      <c r="J378">
        <f>Model!R151</f>
        <v>0</v>
      </c>
      <c r="K378">
        <f>Model!S151</f>
        <v>0</v>
      </c>
      <c r="L378">
        <f>Model!T151</f>
        <v>0</v>
      </c>
      <c r="M378">
        <f>Model!U151</f>
        <v>0</v>
      </c>
      <c r="N378">
        <f>Model!V151</f>
        <v>0</v>
      </c>
      <c r="O378">
        <f>Model!W151</f>
        <v>0</v>
      </c>
      <c r="P378">
        <f>Model!X151</f>
        <v>0</v>
      </c>
      <c r="Q378">
        <f>Model!Y151</f>
        <v>0.18081626247872432</v>
      </c>
      <c r="R378">
        <f>Model!Z151</f>
        <v>0.48763097401903133</v>
      </c>
      <c r="S378">
        <f>Model!AA151</f>
        <v>0.42812006319115326</v>
      </c>
      <c r="T378">
        <f>Model!AB151</f>
        <v>0.26302197300143793</v>
      </c>
      <c r="U378">
        <f>Model!AC151</f>
        <v>0.15499854739178068</v>
      </c>
      <c r="V378">
        <f>Model!AD151</f>
        <v>0.18</v>
      </c>
      <c r="W378">
        <f>Model!AE151</f>
        <v>0.18</v>
      </c>
      <c r="X378">
        <f>Model!AF151</f>
        <v>0.18</v>
      </c>
      <c r="Y378">
        <f>Model!AG151</f>
        <v>0.18</v>
      </c>
      <c r="Z378">
        <f>Model!AH151</f>
        <v>0</v>
      </c>
      <c r="AA378">
        <f>Model!AI151</f>
        <v>0</v>
      </c>
      <c r="AB378">
        <f>Model!AJ151</f>
        <v>0</v>
      </c>
      <c r="AC378">
        <f>Model!AK151</f>
        <v>0.12663859673047748</v>
      </c>
      <c r="AD378">
        <f>Model!AL151</f>
        <v>7.4065100548355675E-2</v>
      </c>
      <c r="AE378">
        <f>Model!AM151</f>
        <v>5.36784698205586E-2</v>
      </c>
      <c r="AF378">
        <f>Model!AN151</f>
        <v>5.867479055597867E-2</v>
      </c>
      <c r="AG378">
        <f>Model!AO151</f>
        <v>5.2674790555978672E-2</v>
      </c>
      <c r="AH378">
        <f>Model!AP151</f>
        <v>4.6674790555978674E-2</v>
      </c>
      <c r="AI378">
        <f>Model!AQ151</f>
        <v>4.0674790555978675E-2</v>
      </c>
      <c r="AJ378">
        <f>Model!AR151</f>
        <v>3.4674790555978677E-2</v>
      </c>
      <c r="AK378">
        <f>Model!AS151</f>
        <v>3.4674790555978677E-2</v>
      </c>
      <c r="AL378">
        <f>Model!AT151</f>
        <v>3.4674790555978677E-2</v>
      </c>
      <c r="AM378">
        <f>Model!AU151</f>
        <v>3.4674790555978677E-2</v>
      </c>
      <c r="AN378">
        <f>Model!AV151</f>
        <v>0</v>
      </c>
      <c r="AO378">
        <f>Model!AW151</f>
        <v>0</v>
      </c>
    </row>
    <row r="379" spans="1:41">
      <c r="A379" t="str">
        <f>Model!I152</f>
        <v>Days Payable Outstanding</v>
      </c>
      <c r="B379">
        <f>Model!J152</f>
        <v>0</v>
      </c>
      <c r="C379">
        <f>Model!K152</f>
        <v>0</v>
      </c>
      <c r="D379">
        <f>Model!L152</f>
        <v>0</v>
      </c>
      <c r="E379">
        <f>Model!M152</f>
        <v>0</v>
      </c>
      <c r="F379">
        <f>Model!N152</f>
        <v>0</v>
      </c>
      <c r="G379">
        <f>Model!O152</f>
        <v>0</v>
      </c>
      <c r="H379">
        <f>Model!P152</f>
        <v>0</v>
      </c>
      <c r="I379">
        <f>Model!Q152</f>
        <v>0</v>
      </c>
      <c r="J379">
        <f>Model!R152</f>
        <v>0</v>
      </c>
      <c r="K379">
        <f>Model!S152</f>
        <v>0</v>
      </c>
      <c r="L379">
        <f>Model!T152</f>
        <v>0</v>
      </c>
      <c r="M379">
        <f>Model!U152</f>
        <v>0</v>
      </c>
      <c r="N379">
        <f>Model!V152</f>
        <v>0</v>
      </c>
      <c r="O379">
        <f>Model!W152</f>
        <v>0</v>
      </c>
      <c r="P379">
        <f>Model!X152</f>
        <v>0</v>
      </c>
      <c r="Q379">
        <f>Model!Y152</f>
        <v>20.038702314965768</v>
      </c>
      <c r="R379">
        <f>Model!Z152</f>
        <v>30.943602394740388</v>
      </c>
      <c r="S379">
        <f>Model!AA152</f>
        <v>42.629873544180668</v>
      </c>
      <c r="T379">
        <f>Model!AB152</f>
        <v>26.342152721750274</v>
      </c>
      <c r="U379">
        <f>Model!AC152</f>
        <v>135.87635819834139</v>
      </c>
      <c r="V379">
        <f>Model!AD152</f>
        <v>29.388608628925947</v>
      </c>
      <c r="W379">
        <f>Model!AE152</f>
        <v>29.388608628925947</v>
      </c>
      <c r="X379">
        <f>Model!AF152</f>
        <v>29.388608628925947</v>
      </c>
      <c r="Y379">
        <f>Model!AG152</f>
        <v>29.388608628925947</v>
      </c>
      <c r="Z379">
        <f>Model!AH152</f>
        <v>0</v>
      </c>
      <c r="AA379">
        <f>Model!AI152</f>
        <v>0</v>
      </c>
      <c r="AB379">
        <f>Model!AJ152</f>
        <v>0</v>
      </c>
      <c r="AC379">
        <f>Model!AK152</f>
        <v>1.4052242775897907</v>
      </c>
      <c r="AD379">
        <f>Model!AL152</f>
        <v>6.803646548288536</v>
      </c>
      <c r="AE379">
        <f>Model!AM152</f>
        <v>36.219075017213456</v>
      </c>
      <c r="AF379">
        <f>Model!AN152</f>
        <v>8.7042760856858656</v>
      </c>
      <c r="AG379">
        <f>Model!AO152</f>
        <v>13.704276085685866</v>
      </c>
      <c r="AH379">
        <f>Model!AP152</f>
        <v>23.704276085685866</v>
      </c>
      <c r="AI379">
        <f>Model!AQ152</f>
        <v>28.704276085685866</v>
      </c>
      <c r="AJ379">
        <f>Model!AR152</f>
        <v>28.704276085685866</v>
      </c>
      <c r="AK379">
        <f>Model!AS152</f>
        <v>28.704276085685866</v>
      </c>
      <c r="AL379">
        <f>Model!AT152</f>
        <v>28.704276085685866</v>
      </c>
      <c r="AM379">
        <f>Model!AU152</f>
        <v>28.704276085685866</v>
      </c>
      <c r="AN379">
        <f>Model!AV152</f>
        <v>0</v>
      </c>
      <c r="AO379">
        <f>Model!AW152</f>
        <v>0</v>
      </c>
    </row>
    <row r="380" spans="1:41">
      <c r="A380" t="str">
        <f>Model!I153</f>
        <v>Accrued Expenses as % of Rev</v>
      </c>
      <c r="B380">
        <f>Model!J153</f>
        <v>0</v>
      </c>
      <c r="C380">
        <f>Model!K153</f>
        <v>0</v>
      </c>
      <c r="D380">
        <f>Model!L153</f>
        <v>0</v>
      </c>
      <c r="E380">
        <f>Model!M153</f>
        <v>0</v>
      </c>
      <c r="F380">
        <f>Model!N153</f>
        <v>0</v>
      </c>
      <c r="G380">
        <f>Model!O153</f>
        <v>0</v>
      </c>
      <c r="H380">
        <f>Model!P153</f>
        <v>0</v>
      </c>
      <c r="I380">
        <f>Model!Q153</f>
        <v>0</v>
      </c>
      <c r="J380">
        <f>Model!R153</f>
        <v>0</v>
      </c>
      <c r="K380">
        <f>Model!S153</f>
        <v>0</v>
      </c>
      <c r="L380">
        <f>Model!T153</f>
        <v>0</v>
      </c>
      <c r="M380">
        <f>Model!U153</f>
        <v>0</v>
      </c>
      <c r="N380">
        <f>Model!V153</f>
        <v>0</v>
      </c>
      <c r="O380">
        <f>Model!W153</f>
        <v>0</v>
      </c>
      <c r="P380">
        <f>Model!X153</f>
        <v>0</v>
      </c>
      <c r="Q380">
        <f>Model!Y153</f>
        <v>2.1879165308118682</v>
      </c>
      <c r="R380">
        <f>Model!Z153</f>
        <v>1.3983765717014165</v>
      </c>
      <c r="S380">
        <f>Model!AA153</f>
        <v>1.5809540710360963</v>
      </c>
      <c r="T380">
        <f>Model!AB153</f>
        <v>1.3333823738787907</v>
      </c>
      <c r="U380">
        <f>Model!AC153</f>
        <v>1.4382627610512115</v>
      </c>
      <c r="V380">
        <f>Model!AD153</f>
        <v>0.5</v>
      </c>
      <c r="W380">
        <f>Model!AE153</f>
        <v>0.6</v>
      </c>
      <c r="X380">
        <f>Model!AF153</f>
        <v>0.6</v>
      </c>
      <c r="Y380">
        <f>Model!AG153</f>
        <v>0.6</v>
      </c>
      <c r="Z380">
        <f>Model!AH153</f>
        <v>0</v>
      </c>
      <c r="AA380">
        <f>Model!AI153</f>
        <v>0</v>
      </c>
      <c r="AB380">
        <f>Model!AJ153</f>
        <v>0</v>
      </c>
      <c r="AC380">
        <f>Model!AK153</f>
        <v>0.85310489686905322</v>
      </c>
      <c r="AD380">
        <f>Model!AL153</f>
        <v>0.74285303104104861</v>
      </c>
      <c r="AE380">
        <f>Model!AM153</f>
        <v>0.38338197702456717</v>
      </c>
      <c r="AF380">
        <f>Model!AN153</f>
        <v>0.29789834469008869</v>
      </c>
      <c r="AG380">
        <f>Model!AO153</f>
        <v>0.38</v>
      </c>
      <c r="AH380">
        <f>Model!AP153</f>
        <v>0.45</v>
      </c>
      <c r="AI380">
        <f>Model!AQ153</f>
        <v>0.45</v>
      </c>
      <c r="AJ380">
        <f>Model!AR153</f>
        <v>0.4</v>
      </c>
      <c r="AK380">
        <f>Model!AS153</f>
        <v>0.35</v>
      </c>
      <c r="AL380">
        <f>Model!AT153</f>
        <v>0.31</v>
      </c>
      <c r="AM380">
        <f>Model!AU153</f>
        <v>0.28000000000000003</v>
      </c>
      <c r="AN380">
        <f>Model!AV153</f>
        <v>0</v>
      </c>
      <c r="AO380">
        <f>Model!AW153</f>
        <v>0</v>
      </c>
    </row>
    <row r="381" spans="1:41">
      <c r="A381">
        <f>Model!I154</f>
        <v>0</v>
      </c>
      <c r="B381">
        <f>Model!J154</f>
        <v>0</v>
      </c>
      <c r="C381">
        <f>Model!K154</f>
        <v>0</v>
      </c>
      <c r="D381">
        <f>Model!L154</f>
        <v>0</v>
      </c>
      <c r="E381">
        <f>Model!M154</f>
        <v>0</v>
      </c>
      <c r="F381">
        <f>Model!N154</f>
        <v>0</v>
      </c>
      <c r="G381">
        <f>Model!O154</f>
        <v>0</v>
      </c>
      <c r="H381">
        <f>Model!P154</f>
        <v>0</v>
      </c>
      <c r="I381">
        <f>Model!Q154</f>
        <v>0</v>
      </c>
      <c r="J381">
        <f>Model!R154</f>
        <v>0</v>
      </c>
      <c r="K381">
        <f>Model!S154</f>
        <v>0</v>
      </c>
      <c r="L381">
        <f>Model!T154</f>
        <v>0</v>
      </c>
      <c r="M381">
        <f>Model!U154</f>
        <v>0</v>
      </c>
      <c r="N381">
        <f>Model!V154</f>
        <v>0</v>
      </c>
      <c r="O381">
        <f>Model!W154</f>
        <v>0</v>
      </c>
      <c r="P381">
        <f>Model!X154</f>
        <v>0</v>
      </c>
      <c r="Q381">
        <f>Model!Y154</f>
        <v>0</v>
      </c>
      <c r="R381">
        <f>Model!Z154</f>
        <v>0</v>
      </c>
      <c r="S381">
        <f>Model!AA154</f>
        <v>0</v>
      </c>
      <c r="T381">
        <f>Model!AB154</f>
        <v>0</v>
      </c>
      <c r="U381">
        <f>Model!AC154</f>
        <v>0</v>
      </c>
      <c r="V381">
        <f>Model!AD154</f>
        <v>0</v>
      </c>
      <c r="W381">
        <f>Model!AE154</f>
        <v>0</v>
      </c>
      <c r="X381">
        <f>Model!AF154</f>
        <v>0</v>
      </c>
      <c r="Y381">
        <f>Model!AG154</f>
        <v>0</v>
      </c>
      <c r="Z381">
        <f>Model!AH154</f>
        <v>0</v>
      </c>
      <c r="AA381">
        <f>Model!AI154</f>
        <v>0</v>
      </c>
      <c r="AB381">
        <f>Model!AJ154</f>
        <v>0</v>
      </c>
      <c r="AC381">
        <f>Model!AK154</f>
        <v>0</v>
      </c>
      <c r="AD381">
        <f>Model!AL154</f>
        <v>0</v>
      </c>
      <c r="AE381">
        <f>Model!AM154</f>
        <v>0</v>
      </c>
      <c r="AF381">
        <f>Model!AN154</f>
        <v>0</v>
      </c>
      <c r="AG381">
        <f>Model!AO154</f>
        <v>0</v>
      </c>
      <c r="AH381">
        <f>Model!AP154</f>
        <v>0</v>
      </c>
      <c r="AI381">
        <f>Model!AQ154</f>
        <v>0</v>
      </c>
      <c r="AJ381">
        <f>Model!AR154</f>
        <v>0</v>
      </c>
      <c r="AK381">
        <f>Model!AS154</f>
        <v>0</v>
      </c>
      <c r="AL381">
        <f>Model!AT154</f>
        <v>0</v>
      </c>
      <c r="AM381">
        <f>Model!AU154</f>
        <v>0</v>
      </c>
      <c r="AN381">
        <f>Model!AV154</f>
        <v>0</v>
      </c>
      <c r="AO381">
        <f>Model!AW154</f>
        <v>0</v>
      </c>
    </row>
    <row r="382" spans="1:41">
      <c r="A382" t="str">
        <f>Model!I155</f>
        <v xml:space="preserve">Balance Sheet Details </v>
      </c>
      <c r="B382">
        <f>Model!J155</f>
        <v>0</v>
      </c>
      <c r="C382">
        <f>Model!K155</f>
        <v>0</v>
      </c>
      <c r="D382">
        <f>Model!L155</f>
        <v>0</v>
      </c>
      <c r="E382">
        <f>Model!M155</f>
        <v>0</v>
      </c>
      <c r="F382">
        <f>Model!N155</f>
        <v>0</v>
      </c>
      <c r="G382">
        <f>Model!O155</f>
        <v>0</v>
      </c>
      <c r="H382">
        <f>Model!P155</f>
        <v>0</v>
      </c>
      <c r="I382">
        <f>Model!Q155</f>
        <v>0</v>
      </c>
      <c r="J382">
        <f>Model!R155</f>
        <v>0</v>
      </c>
      <c r="K382">
        <f>Model!S155</f>
        <v>0</v>
      </c>
      <c r="L382">
        <f>Model!T155</f>
        <v>0</v>
      </c>
      <c r="M382">
        <f>Model!U155</f>
        <v>0</v>
      </c>
      <c r="N382">
        <f>Model!V155</f>
        <v>0</v>
      </c>
      <c r="O382">
        <f>Model!W155</f>
        <v>0</v>
      </c>
      <c r="P382">
        <f>Model!X155</f>
        <v>0</v>
      </c>
      <c r="Q382">
        <f>Model!Y155</f>
        <v>0</v>
      </c>
      <c r="R382">
        <f>Model!Z155</f>
        <v>0</v>
      </c>
      <c r="S382">
        <f>Model!AA155</f>
        <v>0</v>
      </c>
      <c r="T382">
        <f>Model!AB155</f>
        <v>0</v>
      </c>
      <c r="U382">
        <f>Model!AC155</f>
        <v>0</v>
      </c>
      <c r="V382">
        <f>Model!AD155</f>
        <v>0</v>
      </c>
      <c r="W382">
        <f>Model!AE155</f>
        <v>0</v>
      </c>
      <c r="X382">
        <f>Model!AF155</f>
        <v>0</v>
      </c>
      <c r="Y382">
        <f>Model!AG155</f>
        <v>0</v>
      </c>
      <c r="Z382">
        <f>Model!AH155</f>
        <v>0</v>
      </c>
      <c r="AA382">
        <f>Model!AI155</f>
        <v>0</v>
      </c>
      <c r="AB382">
        <f>Model!AJ155</f>
        <v>0</v>
      </c>
      <c r="AC382">
        <f>Model!AK155</f>
        <v>0</v>
      </c>
      <c r="AD382">
        <f>Model!AL155</f>
        <v>0</v>
      </c>
      <c r="AE382">
        <f>Model!AM155</f>
        <v>0</v>
      </c>
      <c r="AF382">
        <f>Model!AN155</f>
        <v>0</v>
      </c>
      <c r="AG382">
        <f>Model!AO155</f>
        <v>0</v>
      </c>
      <c r="AH382">
        <f>Model!AP155</f>
        <v>0</v>
      </c>
      <c r="AI382">
        <f>Model!AQ155</f>
        <v>0</v>
      </c>
      <c r="AJ382">
        <f>Model!AR155</f>
        <v>0</v>
      </c>
      <c r="AK382">
        <f>Model!AS155</f>
        <v>0</v>
      </c>
      <c r="AL382">
        <f>Model!AT155</f>
        <v>0</v>
      </c>
      <c r="AM382">
        <f>Model!AU155</f>
        <v>0</v>
      </c>
      <c r="AN382">
        <f>Model!AV155</f>
        <v>0</v>
      </c>
      <c r="AO382">
        <f>Model!AW155</f>
        <v>0</v>
      </c>
    </row>
    <row r="383" spans="1:41">
      <c r="A383" t="str">
        <f>Model!I156</f>
        <v>PP&amp;E</v>
      </c>
      <c r="B383">
        <f>Model!J156</f>
        <v>0</v>
      </c>
      <c r="C383">
        <f>Model!K156</f>
        <v>0</v>
      </c>
      <c r="D383">
        <f>Model!L156</f>
        <v>0</v>
      </c>
      <c r="E383">
        <f>Model!M156</f>
        <v>0</v>
      </c>
      <c r="F383">
        <f>Model!N156</f>
        <v>0</v>
      </c>
      <c r="G383">
        <f>Model!O156</f>
        <v>0</v>
      </c>
      <c r="H383">
        <f>Model!P156</f>
        <v>0</v>
      </c>
      <c r="I383">
        <f>Model!Q156</f>
        <v>0</v>
      </c>
      <c r="J383">
        <f>Model!R156</f>
        <v>0</v>
      </c>
      <c r="K383">
        <f>Model!S156</f>
        <v>0</v>
      </c>
      <c r="L383">
        <f>Model!T156</f>
        <v>0</v>
      </c>
      <c r="M383">
        <f>Model!U156</f>
        <v>0</v>
      </c>
      <c r="N383">
        <f>Model!V156</f>
        <v>0</v>
      </c>
      <c r="O383">
        <f>Model!W156</f>
        <v>0</v>
      </c>
      <c r="P383">
        <f>Model!X156</f>
        <v>0</v>
      </c>
      <c r="Q383">
        <f>Model!Y156</f>
        <v>0</v>
      </c>
      <c r="R383">
        <f>Model!Z156</f>
        <v>0</v>
      </c>
      <c r="S383">
        <f>Model!AA156</f>
        <v>0</v>
      </c>
      <c r="T383">
        <f>Model!AB156</f>
        <v>0</v>
      </c>
      <c r="U383">
        <f>Model!AC156</f>
        <v>0</v>
      </c>
      <c r="V383">
        <f>Model!AD156</f>
        <v>0</v>
      </c>
      <c r="W383">
        <f>Model!AE156</f>
        <v>0</v>
      </c>
      <c r="X383">
        <f>Model!AF156</f>
        <v>0</v>
      </c>
      <c r="Y383">
        <f>Model!AG156</f>
        <v>0</v>
      </c>
      <c r="Z383">
        <f>Model!AH156</f>
        <v>0</v>
      </c>
      <c r="AA383">
        <f>Model!AI156</f>
        <v>0</v>
      </c>
      <c r="AB383">
        <f>Model!AJ156</f>
        <v>0</v>
      </c>
      <c r="AC383">
        <f>Model!AK156</f>
        <v>0</v>
      </c>
      <c r="AD383">
        <f>Model!AL156</f>
        <v>0</v>
      </c>
      <c r="AE383">
        <f>Model!AM156</f>
        <v>0</v>
      </c>
      <c r="AF383">
        <f>Model!AN156</f>
        <v>0</v>
      </c>
      <c r="AG383">
        <f>Model!AO156</f>
        <v>0</v>
      </c>
      <c r="AH383">
        <f>Model!AP156</f>
        <v>0</v>
      </c>
      <c r="AI383">
        <f>Model!AQ156</f>
        <v>0</v>
      </c>
      <c r="AJ383">
        <f>Model!AR156</f>
        <v>0</v>
      </c>
      <c r="AK383">
        <f>Model!AS156</f>
        <v>0</v>
      </c>
      <c r="AL383">
        <f>Model!AT156</f>
        <v>0</v>
      </c>
      <c r="AM383">
        <f>Model!AU156</f>
        <v>0</v>
      </c>
      <c r="AN383">
        <f>Model!AV156</f>
        <v>0</v>
      </c>
      <c r="AO383">
        <f>Model!AW156</f>
        <v>0</v>
      </c>
    </row>
    <row r="384" spans="1:41">
      <c r="A384" t="str">
        <f>Model!I157</f>
        <v>Computer Hardware and Software</v>
      </c>
      <c r="B384">
        <f>Model!J157</f>
        <v>0</v>
      </c>
      <c r="C384">
        <f>Model!K157</f>
        <v>0</v>
      </c>
      <c r="D384">
        <f>Model!L157</f>
        <v>0</v>
      </c>
      <c r="E384">
        <f>Model!M157</f>
        <v>0</v>
      </c>
      <c r="F384">
        <f>Model!N157</f>
        <v>0</v>
      </c>
      <c r="G384">
        <f>Model!O157</f>
        <v>0</v>
      </c>
      <c r="H384">
        <f>Model!P157</f>
        <v>0</v>
      </c>
      <c r="I384">
        <f>Model!Q157</f>
        <v>0</v>
      </c>
      <c r="J384">
        <f>Model!R157</f>
        <v>0</v>
      </c>
      <c r="K384">
        <f>Model!S157</f>
        <v>0</v>
      </c>
      <c r="L384">
        <f>Model!T157</f>
        <v>0</v>
      </c>
      <c r="M384">
        <f>Model!U157</f>
        <v>15.055</v>
      </c>
      <c r="N384">
        <f>Model!V157</f>
        <v>0</v>
      </c>
      <c r="O384">
        <f>Model!W157</f>
        <v>18.388999999999999</v>
      </c>
      <c r="P384">
        <f>Model!X157</f>
        <v>0</v>
      </c>
      <c r="Q384">
        <f>Model!Y157</f>
        <v>0</v>
      </c>
      <c r="R384">
        <f>Model!Z157</f>
        <v>0</v>
      </c>
      <c r="S384">
        <f>Model!AA157</f>
        <v>0</v>
      </c>
      <c r="T384">
        <f>Model!AB157</f>
        <v>0</v>
      </c>
      <c r="U384">
        <f>Model!AC157</f>
        <v>0</v>
      </c>
      <c r="V384">
        <f>Model!AD157</f>
        <v>0</v>
      </c>
      <c r="W384">
        <f>Model!AE157</f>
        <v>0</v>
      </c>
      <c r="X384">
        <f>Model!AF157</f>
        <v>0</v>
      </c>
      <c r="Y384">
        <f>Model!AG157</f>
        <v>0</v>
      </c>
      <c r="Z384">
        <f>Model!AH157</f>
        <v>0</v>
      </c>
      <c r="AA384">
        <f>Model!AI157</f>
        <v>0</v>
      </c>
      <c r="AB384">
        <f>Model!AJ157</f>
        <v>0</v>
      </c>
      <c r="AC384">
        <f>Model!AK157</f>
        <v>0</v>
      </c>
      <c r="AD384">
        <f>Model!AL157</f>
        <v>0</v>
      </c>
      <c r="AE384">
        <f>Model!AM157</f>
        <v>0</v>
      </c>
      <c r="AF384">
        <f>Model!AN157</f>
        <v>0</v>
      </c>
      <c r="AG384">
        <f>Model!AO157</f>
        <v>0</v>
      </c>
      <c r="AH384">
        <f>Model!AP157</f>
        <v>0</v>
      </c>
      <c r="AI384">
        <f>Model!AQ157</f>
        <v>0</v>
      </c>
      <c r="AJ384">
        <f>Model!AR157</f>
        <v>0</v>
      </c>
      <c r="AK384">
        <f>Model!AS157</f>
        <v>0</v>
      </c>
      <c r="AL384">
        <f>Model!AT157</f>
        <v>0</v>
      </c>
      <c r="AM384">
        <f>Model!AU157</f>
        <v>0</v>
      </c>
      <c r="AN384">
        <f>Model!AV157</f>
        <v>0</v>
      </c>
      <c r="AO384">
        <f>Model!AW157</f>
        <v>0</v>
      </c>
    </row>
    <row r="385" spans="1:41">
      <c r="A385" t="str">
        <f>Model!I158</f>
        <v xml:space="preserve">Buildings </v>
      </c>
      <c r="B385">
        <f>Model!J158</f>
        <v>0</v>
      </c>
      <c r="C385">
        <f>Model!K158</f>
        <v>0</v>
      </c>
      <c r="D385">
        <f>Model!L158</f>
        <v>0</v>
      </c>
      <c r="E385">
        <f>Model!M158</f>
        <v>0</v>
      </c>
      <c r="F385">
        <f>Model!N158</f>
        <v>0</v>
      </c>
      <c r="G385">
        <f>Model!O158</f>
        <v>0</v>
      </c>
      <c r="H385">
        <f>Model!P158</f>
        <v>0</v>
      </c>
      <c r="I385">
        <f>Model!Q158</f>
        <v>0</v>
      </c>
      <c r="J385">
        <f>Model!R158</f>
        <v>0</v>
      </c>
      <c r="K385">
        <f>Model!S158</f>
        <v>0</v>
      </c>
      <c r="L385">
        <f>Model!T158</f>
        <v>0</v>
      </c>
      <c r="M385">
        <f>Model!U158</f>
        <v>5.52</v>
      </c>
      <c r="N385">
        <f>Model!V158</f>
        <v>0</v>
      </c>
      <c r="O385">
        <f>Model!W158</f>
        <v>5.52</v>
      </c>
      <c r="P385">
        <f>Model!X158</f>
        <v>0</v>
      </c>
      <c r="Q385">
        <f>Model!Y158</f>
        <v>0</v>
      </c>
      <c r="R385">
        <f>Model!Z158</f>
        <v>0</v>
      </c>
      <c r="S385">
        <f>Model!AA158</f>
        <v>0</v>
      </c>
      <c r="T385">
        <f>Model!AB158</f>
        <v>0</v>
      </c>
      <c r="U385">
        <f>Model!AC158</f>
        <v>0</v>
      </c>
      <c r="V385">
        <f>Model!AD158</f>
        <v>0</v>
      </c>
      <c r="W385">
        <f>Model!AE158</f>
        <v>0</v>
      </c>
      <c r="X385">
        <f>Model!AF158</f>
        <v>0</v>
      </c>
      <c r="Y385">
        <f>Model!AG158</f>
        <v>0</v>
      </c>
      <c r="Z385">
        <f>Model!AH158</f>
        <v>0</v>
      </c>
      <c r="AA385">
        <f>Model!AI158</f>
        <v>0</v>
      </c>
      <c r="AB385">
        <f>Model!AJ158</f>
        <v>0</v>
      </c>
      <c r="AC385">
        <f>Model!AK158</f>
        <v>0</v>
      </c>
      <c r="AD385">
        <f>Model!AL158</f>
        <v>0</v>
      </c>
      <c r="AE385">
        <f>Model!AM158</f>
        <v>0</v>
      </c>
      <c r="AF385">
        <f>Model!AN158</f>
        <v>0</v>
      </c>
      <c r="AG385">
        <f>Model!AO158</f>
        <v>0</v>
      </c>
      <c r="AH385">
        <f>Model!AP158</f>
        <v>0</v>
      </c>
      <c r="AI385">
        <f>Model!AQ158</f>
        <v>0</v>
      </c>
      <c r="AJ385">
        <f>Model!AR158</f>
        <v>0</v>
      </c>
      <c r="AK385">
        <f>Model!AS158</f>
        <v>0</v>
      </c>
      <c r="AL385">
        <f>Model!AT158</f>
        <v>0</v>
      </c>
      <c r="AM385">
        <f>Model!AU158</f>
        <v>0</v>
      </c>
      <c r="AN385">
        <f>Model!AV158</f>
        <v>0</v>
      </c>
      <c r="AO385">
        <f>Model!AW158</f>
        <v>0</v>
      </c>
    </row>
    <row r="386" spans="1:41">
      <c r="A386" t="str">
        <f>Model!I159</f>
        <v>Leasehold improvements</v>
      </c>
      <c r="B386">
        <f>Model!J159</f>
        <v>0</v>
      </c>
      <c r="C386">
        <f>Model!K159</f>
        <v>0</v>
      </c>
      <c r="D386">
        <f>Model!L159</f>
        <v>0</v>
      </c>
      <c r="E386">
        <f>Model!M159</f>
        <v>0</v>
      </c>
      <c r="F386">
        <f>Model!N159</f>
        <v>0</v>
      </c>
      <c r="G386">
        <f>Model!O159</f>
        <v>0</v>
      </c>
      <c r="H386">
        <f>Model!P159</f>
        <v>0</v>
      </c>
      <c r="I386">
        <f>Model!Q159</f>
        <v>0</v>
      </c>
      <c r="J386">
        <f>Model!R159</f>
        <v>0</v>
      </c>
      <c r="K386">
        <f>Model!S159</f>
        <v>0</v>
      </c>
      <c r="L386">
        <f>Model!T159</f>
        <v>0</v>
      </c>
      <c r="M386">
        <f>Model!U159</f>
        <v>2.5190000000000001</v>
      </c>
      <c r="N386">
        <f>Model!V159</f>
        <v>0</v>
      </c>
      <c r="O386">
        <f>Model!W159</f>
        <v>5.2519999999999998</v>
      </c>
      <c r="P386">
        <f>Model!X159</f>
        <v>0</v>
      </c>
      <c r="Q386">
        <f>Model!Y159</f>
        <v>0</v>
      </c>
      <c r="R386">
        <f>Model!Z159</f>
        <v>0</v>
      </c>
      <c r="S386">
        <f>Model!AA159</f>
        <v>0</v>
      </c>
      <c r="T386">
        <f>Model!AB159</f>
        <v>0</v>
      </c>
      <c r="U386">
        <f>Model!AC159</f>
        <v>0</v>
      </c>
      <c r="V386">
        <f>Model!AD159</f>
        <v>0</v>
      </c>
      <c r="W386">
        <f>Model!AE159</f>
        <v>0</v>
      </c>
      <c r="X386">
        <f>Model!AF159</f>
        <v>0</v>
      </c>
      <c r="Y386">
        <f>Model!AG159</f>
        <v>0</v>
      </c>
      <c r="Z386">
        <f>Model!AH159</f>
        <v>0</v>
      </c>
      <c r="AA386">
        <f>Model!AI159</f>
        <v>0</v>
      </c>
      <c r="AB386">
        <f>Model!AJ159</f>
        <v>0</v>
      </c>
      <c r="AC386">
        <f>Model!AK159</f>
        <v>0</v>
      </c>
      <c r="AD386">
        <f>Model!AL159</f>
        <v>0</v>
      </c>
      <c r="AE386">
        <f>Model!AM159</f>
        <v>0</v>
      </c>
      <c r="AF386">
        <f>Model!AN159</f>
        <v>0</v>
      </c>
      <c r="AG386">
        <f>Model!AO159</f>
        <v>0</v>
      </c>
      <c r="AH386">
        <f>Model!AP159</f>
        <v>0</v>
      </c>
      <c r="AI386">
        <f>Model!AQ159</f>
        <v>0</v>
      </c>
      <c r="AJ386">
        <f>Model!AR159</f>
        <v>0</v>
      </c>
      <c r="AK386">
        <f>Model!AS159</f>
        <v>0</v>
      </c>
      <c r="AL386">
        <f>Model!AT159</f>
        <v>0</v>
      </c>
      <c r="AM386">
        <f>Model!AU159</f>
        <v>0</v>
      </c>
      <c r="AN386">
        <f>Model!AV159</f>
        <v>0</v>
      </c>
      <c r="AO386">
        <f>Model!AW159</f>
        <v>0</v>
      </c>
    </row>
    <row r="387" spans="1:41">
      <c r="A387" t="str">
        <f>Model!I160</f>
        <v>Land</v>
      </c>
      <c r="B387">
        <f>Model!J160</f>
        <v>0</v>
      </c>
      <c r="C387">
        <f>Model!K160</f>
        <v>0</v>
      </c>
      <c r="D387">
        <f>Model!L160</f>
        <v>0</v>
      </c>
      <c r="E387">
        <f>Model!M160</f>
        <v>0</v>
      </c>
      <c r="F387">
        <f>Model!N160</f>
        <v>0</v>
      </c>
      <c r="G387">
        <f>Model!O160</f>
        <v>0</v>
      </c>
      <c r="H387">
        <f>Model!P160</f>
        <v>0</v>
      </c>
      <c r="I387">
        <f>Model!Q160</f>
        <v>0</v>
      </c>
      <c r="J387">
        <f>Model!R160</f>
        <v>0</v>
      </c>
      <c r="K387">
        <f>Model!S160</f>
        <v>0</v>
      </c>
      <c r="L387">
        <f>Model!T160</f>
        <v>0</v>
      </c>
      <c r="M387">
        <f>Model!U160</f>
        <v>4.63</v>
      </c>
      <c r="N387">
        <f>Model!V160</f>
        <v>0</v>
      </c>
      <c r="O387">
        <f>Model!W160</f>
        <v>4.63</v>
      </c>
      <c r="P387">
        <f>Model!X160</f>
        <v>0</v>
      </c>
      <c r="Q387">
        <f>Model!Y160</f>
        <v>0</v>
      </c>
      <c r="R387">
        <f>Model!Z160</f>
        <v>0</v>
      </c>
      <c r="S387">
        <f>Model!AA160</f>
        <v>0</v>
      </c>
      <c r="T387">
        <f>Model!AB160</f>
        <v>0</v>
      </c>
      <c r="U387">
        <f>Model!AC160</f>
        <v>0</v>
      </c>
      <c r="V387">
        <f>Model!AD160</f>
        <v>0</v>
      </c>
      <c r="W387">
        <f>Model!AE160</f>
        <v>0</v>
      </c>
      <c r="X387">
        <f>Model!AF160</f>
        <v>0</v>
      </c>
      <c r="Y387">
        <f>Model!AG160</f>
        <v>0</v>
      </c>
      <c r="Z387">
        <f>Model!AH160</f>
        <v>0</v>
      </c>
      <c r="AA387">
        <f>Model!AI160</f>
        <v>0</v>
      </c>
      <c r="AB387">
        <f>Model!AJ160</f>
        <v>0</v>
      </c>
      <c r="AC387">
        <f>Model!AK160</f>
        <v>0</v>
      </c>
      <c r="AD387">
        <f>Model!AL160</f>
        <v>0</v>
      </c>
      <c r="AE387">
        <f>Model!AM160</f>
        <v>0</v>
      </c>
      <c r="AF387">
        <f>Model!AN160</f>
        <v>0</v>
      </c>
      <c r="AG387">
        <f>Model!AO160</f>
        <v>0</v>
      </c>
      <c r="AH387">
        <f>Model!AP160</f>
        <v>0</v>
      </c>
      <c r="AI387">
        <f>Model!AQ160</f>
        <v>0</v>
      </c>
      <c r="AJ387">
        <f>Model!AR160</f>
        <v>0</v>
      </c>
      <c r="AK387">
        <f>Model!AS160</f>
        <v>0</v>
      </c>
      <c r="AL387">
        <f>Model!AT160</f>
        <v>0</v>
      </c>
      <c r="AM387">
        <f>Model!AU160</f>
        <v>0</v>
      </c>
      <c r="AN387">
        <f>Model!AV160</f>
        <v>0</v>
      </c>
      <c r="AO387">
        <f>Model!AW160</f>
        <v>0</v>
      </c>
    </row>
    <row r="388" spans="1:41">
      <c r="A388" t="str">
        <f>Model!I161</f>
        <v>Furniture and equipment</v>
      </c>
      <c r="B388">
        <f>Model!J161</f>
        <v>0</v>
      </c>
      <c r="C388">
        <f>Model!K161</f>
        <v>0</v>
      </c>
      <c r="D388">
        <f>Model!L161</f>
        <v>0</v>
      </c>
      <c r="E388">
        <f>Model!M161</f>
        <v>0</v>
      </c>
      <c r="F388">
        <f>Model!N161</f>
        <v>0</v>
      </c>
      <c r="G388">
        <f>Model!O161</f>
        <v>0</v>
      </c>
      <c r="H388">
        <f>Model!P161</f>
        <v>0</v>
      </c>
      <c r="I388">
        <f>Model!Q161</f>
        <v>0</v>
      </c>
      <c r="J388">
        <f>Model!R161</f>
        <v>0</v>
      </c>
      <c r="K388">
        <f>Model!S161</f>
        <v>0</v>
      </c>
      <c r="L388">
        <f>Model!T161</f>
        <v>0</v>
      </c>
      <c r="M388">
        <f>Model!U161</f>
        <v>3.3580000000000001</v>
      </c>
      <c r="N388">
        <f>Model!V161</f>
        <v>0</v>
      </c>
      <c r="O388">
        <f>Model!W161</f>
        <v>6.8920000000000003</v>
      </c>
      <c r="P388">
        <f>Model!X161</f>
        <v>0</v>
      </c>
      <c r="Q388">
        <f>Model!Y161</f>
        <v>0</v>
      </c>
      <c r="R388">
        <f>Model!Z161</f>
        <v>0</v>
      </c>
      <c r="S388">
        <f>Model!AA161</f>
        <v>0</v>
      </c>
      <c r="T388">
        <f>Model!AB161</f>
        <v>0</v>
      </c>
      <c r="U388">
        <f>Model!AC161</f>
        <v>0</v>
      </c>
      <c r="V388">
        <f>Model!AD161</f>
        <v>0</v>
      </c>
      <c r="W388">
        <f>Model!AE161</f>
        <v>0</v>
      </c>
      <c r="X388">
        <f>Model!AF161</f>
        <v>0</v>
      </c>
      <c r="Y388">
        <f>Model!AG161</f>
        <v>0</v>
      </c>
      <c r="Z388">
        <f>Model!AH161</f>
        <v>0</v>
      </c>
      <c r="AA388">
        <f>Model!AI161</f>
        <v>0</v>
      </c>
      <c r="AB388">
        <f>Model!AJ161</f>
        <v>0</v>
      </c>
      <c r="AC388">
        <f>Model!AK161</f>
        <v>0</v>
      </c>
      <c r="AD388">
        <f>Model!AL161</f>
        <v>0</v>
      </c>
      <c r="AE388">
        <f>Model!AM161</f>
        <v>0</v>
      </c>
      <c r="AF388">
        <f>Model!AN161</f>
        <v>0</v>
      </c>
      <c r="AG388">
        <f>Model!AO161</f>
        <v>0</v>
      </c>
      <c r="AH388">
        <f>Model!AP161</f>
        <v>0</v>
      </c>
      <c r="AI388">
        <f>Model!AQ161</f>
        <v>0</v>
      </c>
      <c r="AJ388">
        <f>Model!AR161</f>
        <v>0</v>
      </c>
      <c r="AK388">
        <f>Model!AS161</f>
        <v>0</v>
      </c>
      <c r="AL388">
        <f>Model!AT161</f>
        <v>0</v>
      </c>
      <c r="AM388">
        <f>Model!AU161</f>
        <v>0</v>
      </c>
      <c r="AN388">
        <f>Model!AV161</f>
        <v>0</v>
      </c>
      <c r="AO388">
        <f>Model!AW161</f>
        <v>0</v>
      </c>
    </row>
    <row r="389" spans="1:41">
      <c r="A389" t="str">
        <f>Model!I162</f>
        <v>Construction in progress</v>
      </c>
      <c r="B389">
        <f>Model!J162</f>
        <v>0</v>
      </c>
      <c r="C389">
        <f>Model!K162</f>
        <v>0</v>
      </c>
      <c r="D389">
        <f>Model!L162</f>
        <v>0</v>
      </c>
      <c r="E389">
        <f>Model!M162</f>
        <v>0</v>
      </c>
      <c r="F389">
        <f>Model!N162</f>
        <v>0</v>
      </c>
      <c r="G389">
        <f>Model!O162</f>
        <v>0</v>
      </c>
      <c r="H389">
        <f>Model!P162</f>
        <v>0</v>
      </c>
      <c r="I389">
        <f>Model!Q162</f>
        <v>0</v>
      </c>
      <c r="J389">
        <f>Model!R162</f>
        <v>0</v>
      </c>
      <c r="K389">
        <f>Model!S162</f>
        <v>0</v>
      </c>
      <c r="L389">
        <f>Model!T162</f>
        <v>0</v>
      </c>
      <c r="M389">
        <f>Model!U162</f>
        <v>19.724</v>
      </c>
      <c r="N389">
        <f>Model!V162</f>
        <v>0</v>
      </c>
      <c r="O389">
        <f>Model!W162</f>
        <v>39.444000000000003</v>
      </c>
      <c r="P389">
        <f>Model!X162</f>
        <v>0</v>
      </c>
      <c r="Q389">
        <f>Model!Y162</f>
        <v>0</v>
      </c>
      <c r="R389">
        <f>Model!Z162</f>
        <v>0</v>
      </c>
      <c r="S389">
        <f>Model!AA162</f>
        <v>0</v>
      </c>
      <c r="T389">
        <f>Model!AB162</f>
        <v>0</v>
      </c>
      <c r="U389">
        <f>Model!AC162</f>
        <v>0</v>
      </c>
      <c r="V389">
        <f>Model!AD162</f>
        <v>0</v>
      </c>
      <c r="W389">
        <f>Model!AE162</f>
        <v>0</v>
      </c>
      <c r="X389">
        <f>Model!AF162</f>
        <v>0</v>
      </c>
      <c r="Y389">
        <f>Model!AG162</f>
        <v>0</v>
      </c>
      <c r="Z389">
        <f>Model!AH162</f>
        <v>0</v>
      </c>
      <c r="AA389">
        <f>Model!AI162</f>
        <v>0</v>
      </c>
      <c r="AB389">
        <f>Model!AJ162</f>
        <v>0</v>
      </c>
      <c r="AC389">
        <f>Model!AK162</f>
        <v>0</v>
      </c>
      <c r="AD389">
        <f>Model!AL162</f>
        <v>0</v>
      </c>
      <c r="AE389">
        <f>Model!AM162</f>
        <v>0</v>
      </c>
      <c r="AF389">
        <f>Model!AN162</f>
        <v>0</v>
      </c>
      <c r="AG389">
        <f>Model!AO162</f>
        <v>0</v>
      </c>
      <c r="AH389">
        <f>Model!AP162</f>
        <v>0</v>
      </c>
      <c r="AI389">
        <f>Model!AQ162</f>
        <v>0</v>
      </c>
      <c r="AJ389">
        <f>Model!AR162</f>
        <v>0</v>
      </c>
      <c r="AK389">
        <f>Model!AS162</f>
        <v>0</v>
      </c>
      <c r="AL389">
        <f>Model!AT162</f>
        <v>0</v>
      </c>
      <c r="AM389">
        <f>Model!AU162</f>
        <v>0</v>
      </c>
      <c r="AN389">
        <f>Model!AV162</f>
        <v>0</v>
      </c>
      <c r="AO389">
        <f>Model!AW162</f>
        <v>0</v>
      </c>
    </row>
    <row r="390" spans="1:41">
      <c r="A390" t="str">
        <f>Model!I163</f>
        <v xml:space="preserve">Gross PP&amp;E </v>
      </c>
      <c r="B390">
        <f>Model!J163</f>
        <v>0</v>
      </c>
      <c r="C390">
        <f>Model!K163</f>
        <v>0</v>
      </c>
      <c r="D390">
        <f>Model!L163</f>
        <v>0</v>
      </c>
      <c r="E390">
        <f>Model!M163</f>
        <v>0</v>
      </c>
      <c r="F390">
        <f>Model!N163</f>
        <v>0</v>
      </c>
      <c r="G390">
        <f>Model!O163</f>
        <v>0</v>
      </c>
      <c r="H390">
        <f>Model!P163</f>
        <v>0</v>
      </c>
      <c r="I390">
        <f>Model!Q163</f>
        <v>0</v>
      </c>
      <c r="J390">
        <f>Model!R163</f>
        <v>0</v>
      </c>
      <c r="K390">
        <f>Model!S163</f>
        <v>0</v>
      </c>
      <c r="L390">
        <f>Model!T163</f>
        <v>0</v>
      </c>
      <c r="M390">
        <f>Model!U163</f>
        <v>50.805999999999997</v>
      </c>
      <c r="N390">
        <f>Model!V163</f>
        <v>0</v>
      </c>
      <c r="O390">
        <f>Model!W163</f>
        <v>80.12700000000001</v>
      </c>
      <c r="P390">
        <f>Model!X163</f>
        <v>0</v>
      </c>
      <c r="Q390">
        <f>Model!Y163</f>
        <v>0</v>
      </c>
      <c r="R390">
        <f>Model!Z163</f>
        <v>0</v>
      </c>
      <c r="S390">
        <f>Model!AA163</f>
        <v>0</v>
      </c>
      <c r="T390">
        <f>Model!AB163</f>
        <v>0</v>
      </c>
      <c r="U390">
        <f>Model!AC163</f>
        <v>0</v>
      </c>
      <c r="V390">
        <f>Model!AD163</f>
        <v>0</v>
      </c>
      <c r="W390">
        <f>Model!AE163</f>
        <v>0</v>
      </c>
      <c r="X390">
        <f>Model!AF163</f>
        <v>0</v>
      </c>
      <c r="Y390">
        <f>Model!AG163</f>
        <v>0</v>
      </c>
      <c r="Z390">
        <f>Model!AH163</f>
        <v>0</v>
      </c>
      <c r="AA390">
        <f>Model!AI163</f>
        <v>0</v>
      </c>
      <c r="AB390">
        <f>Model!AJ163</f>
        <v>0</v>
      </c>
      <c r="AC390">
        <f>Model!AK163</f>
        <v>0</v>
      </c>
      <c r="AD390">
        <f>Model!AL163</f>
        <v>0</v>
      </c>
      <c r="AE390">
        <f>Model!AM163</f>
        <v>0</v>
      </c>
      <c r="AF390">
        <f>Model!AN163</f>
        <v>0</v>
      </c>
      <c r="AG390">
        <f>Model!AO163</f>
        <v>0</v>
      </c>
      <c r="AH390">
        <f>Model!AP163</f>
        <v>0</v>
      </c>
      <c r="AI390">
        <f>Model!AQ163</f>
        <v>0</v>
      </c>
      <c r="AJ390">
        <f>Model!AR163</f>
        <v>0</v>
      </c>
      <c r="AK390">
        <f>Model!AS163</f>
        <v>0</v>
      </c>
      <c r="AL390">
        <f>Model!AT163</f>
        <v>0</v>
      </c>
      <c r="AM390">
        <f>Model!AU163</f>
        <v>0</v>
      </c>
      <c r="AN390">
        <f>Model!AV163</f>
        <v>0</v>
      </c>
      <c r="AO390">
        <f>Model!AW163</f>
        <v>0</v>
      </c>
    </row>
    <row r="391" spans="1:41">
      <c r="A391" t="str">
        <f>Model!I164</f>
        <v>Accumulated Depreciation</v>
      </c>
      <c r="B391">
        <f>Model!J164</f>
        <v>0</v>
      </c>
      <c r="C391">
        <f>Model!K164</f>
        <v>0</v>
      </c>
      <c r="D391">
        <f>Model!L164</f>
        <v>0</v>
      </c>
      <c r="E391">
        <f>Model!M164</f>
        <v>0</v>
      </c>
      <c r="F391">
        <f>Model!N164</f>
        <v>0</v>
      </c>
      <c r="G391">
        <f>Model!O164</f>
        <v>0</v>
      </c>
      <c r="H391">
        <f>Model!P164</f>
        <v>0</v>
      </c>
      <c r="I391">
        <f>Model!Q164</f>
        <v>0</v>
      </c>
      <c r="J391">
        <f>Model!R164</f>
        <v>0</v>
      </c>
      <c r="K391">
        <f>Model!S164</f>
        <v>0</v>
      </c>
      <c r="L391">
        <f>Model!T164</f>
        <v>0</v>
      </c>
      <c r="M391">
        <f>Model!U164</f>
        <v>-6.7270000000000003</v>
      </c>
      <c r="N391">
        <f>Model!V164</f>
        <v>0</v>
      </c>
      <c r="O391">
        <f>Model!W164</f>
        <v>-10.862</v>
      </c>
      <c r="P391">
        <f>Model!X164</f>
        <v>0</v>
      </c>
      <c r="Q391">
        <f>Model!Y164</f>
        <v>0</v>
      </c>
      <c r="R391">
        <f>Model!Z164</f>
        <v>0</v>
      </c>
      <c r="S391">
        <f>Model!AA164</f>
        <v>0</v>
      </c>
      <c r="T391">
        <f>Model!AB164</f>
        <v>0</v>
      </c>
      <c r="U391">
        <f>Model!AC164</f>
        <v>0</v>
      </c>
      <c r="V391">
        <f>Model!AD164</f>
        <v>0</v>
      </c>
      <c r="W391">
        <f>Model!AE164</f>
        <v>0</v>
      </c>
      <c r="X391">
        <f>Model!AF164</f>
        <v>0</v>
      </c>
      <c r="Y391">
        <f>Model!AG164</f>
        <v>0</v>
      </c>
      <c r="Z391">
        <f>Model!AH164</f>
        <v>0</v>
      </c>
      <c r="AA391">
        <f>Model!AI164</f>
        <v>0</v>
      </c>
      <c r="AB391">
        <f>Model!AJ164</f>
        <v>0</v>
      </c>
      <c r="AC391">
        <f>Model!AK164</f>
        <v>0</v>
      </c>
      <c r="AD391">
        <f>Model!AL164</f>
        <v>0</v>
      </c>
      <c r="AE391">
        <f>Model!AM164</f>
        <v>0</v>
      </c>
      <c r="AF391">
        <f>Model!AN164</f>
        <v>0</v>
      </c>
      <c r="AG391">
        <f>Model!AO164</f>
        <v>0</v>
      </c>
      <c r="AH391">
        <f>Model!AP164</f>
        <v>0</v>
      </c>
      <c r="AI391">
        <f>Model!AQ164</f>
        <v>0</v>
      </c>
      <c r="AJ391">
        <f>Model!AR164</f>
        <v>0</v>
      </c>
      <c r="AK391">
        <f>Model!AS164</f>
        <v>0</v>
      </c>
      <c r="AL391">
        <f>Model!AT164</f>
        <v>0</v>
      </c>
      <c r="AM391">
        <f>Model!AU164</f>
        <v>0</v>
      </c>
      <c r="AN391">
        <f>Model!AV164</f>
        <v>0</v>
      </c>
      <c r="AO391">
        <f>Model!AW164</f>
        <v>0</v>
      </c>
    </row>
    <row r="392" spans="1:41">
      <c r="A392" t="str">
        <f>Model!I165</f>
        <v>Net PP&amp;E</v>
      </c>
      <c r="B392">
        <f>Model!J165</f>
        <v>0</v>
      </c>
      <c r="C392">
        <f>Model!K165</f>
        <v>0</v>
      </c>
      <c r="D392">
        <f>Model!L165</f>
        <v>0</v>
      </c>
      <c r="E392">
        <f>Model!M165</f>
        <v>0</v>
      </c>
      <c r="F392">
        <f>Model!N165</f>
        <v>0</v>
      </c>
      <c r="G392">
        <f>Model!O165</f>
        <v>0</v>
      </c>
      <c r="H392">
        <f>Model!P165</f>
        <v>0</v>
      </c>
      <c r="I392">
        <f>Model!Q165</f>
        <v>0</v>
      </c>
      <c r="J392">
        <f>Model!R165</f>
        <v>0</v>
      </c>
      <c r="K392">
        <f>Model!S165</f>
        <v>0</v>
      </c>
      <c r="L392">
        <f>Model!T165</f>
        <v>0</v>
      </c>
      <c r="M392">
        <f>Model!U165</f>
        <v>44.078999999999994</v>
      </c>
      <c r="N392">
        <f>Model!V165</f>
        <v>0</v>
      </c>
      <c r="O392">
        <f>Model!W165</f>
        <v>69.265000000000015</v>
      </c>
      <c r="P392">
        <f>Model!X165</f>
        <v>0</v>
      </c>
      <c r="Q392">
        <f>Model!Y165</f>
        <v>0</v>
      </c>
      <c r="R392">
        <f>Model!Z165</f>
        <v>0</v>
      </c>
      <c r="S392">
        <f>Model!AA165</f>
        <v>0</v>
      </c>
      <c r="T392">
        <f>Model!AB165</f>
        <v>0</v>
      </c>
      <c r="U392">
        <f>Model!AC165</f>
        <v>0</v>
      </c>
      <c r="V392">
        <f>Model!AD165</f>
        <v>0</v>
      </c>
      <c r="W392">
        <f>Model!AE165</f>
        <v>0</v>
      </c>
      <c r="X392">
        <f>Model!AF165</f>
        <v>0</v>
      </c>
      <c r="Y392">
        <f>Model!AG165</f>
        <v>0</v>
      </c>
      <c r="Z392">
        <f>Model!AH165</f>
        <v>0</v>
      </c>
      <c r="AA392">
        <f>Model!AI165</f>
        <v>0</v>
      </c>
      <c r="AB392">
        <f>Model!AJ165</f>
        <v>0</v>
      </c>
      <c r="AC392">
        <f>Model!AK165</f>
        <v>0</v>
      </c>
      <c r="AD392">
        <f>Model!AL165</f>
        <v>0</v>
      </c>
      <c r="AE392">
        <f>Model!AM165</f>
        <v>0</v>
      </c>
      <c r="AF392">
        <f>Model!AN165</f>
        <v>0</v>
      </c>
      <c r="AG392">
        <f>Model!AO165</f>
        <v>0</v>
      </c>
      <c r="AH392">
        <f>Model!AP165</f>
        <v>0</v>
      </c>
      <c r="AI392">
        <f>Model!AQ165</f>
        <v>0</v>
      </c>
      <c r="AJ392">
        <f>Model!AR165</f>
        <v>0</v>
      </c>
      <c r="AK392">
        <f>Model!AS165</f>
        <v>0</v>
      </c>
      <c r="AL392">
        <f>Model!AT165</f>
        <v>0</v>
      </c>
      <c r="AM392">
        <f>Model!AU165</f>
        <v>0</v>
      </c>
      <c r="AN392">
        <f>Model!AV165</f>
        <v>0</v>
      </c>
      <c r="AO392">
        <f>Model!AW165</f>
        <v>0</v>
      </c>
    </row>
    <row r="393" spans="1:41">
      <c r="A393">
        <f>Model!I166</f>
        <v>0</v>
      </c>
      <c r="B393">
        <f>Model!J166</f>
        <v>0</v>
      </c>
      <c r="C393">
        <f>Model!K166</f>
        <v>0</v>
      </c>
      <c r="D393">
        <f>Model!L166</f>
        <v>0</v>
      </c>
      <c r="E393">
        <f>Model!M166</f>
        <v>0</v>
      </c>
      <c r="F393">
        <f>Model!N166</f>
        <v>0</v>
      </c>
      <c r="G393">
        <f>Model!O166</f>
        <v>0</v>
      </c>
      <c r="H393">
        <f>Model!P166</f>
        <v>0</v>
      </c>
      <c r="I393">
        <f>Model!Q166</f>
        <v>0</v>
      </c>
      <c r="J393">
        <f>Model!R166</f>
        <v>0</v>
      </c>
      <c r="K393">
        <f>Model!S166</f>
        <v>0</v>
      </c>
      <c r="L393">
        <f>Model!T166</f>
        <v>0</v>
      </c>
      <c r="M393">
        <f>Model!U166</f>
        <v>0</v>
      </c>
      <c r="N393">
        <f>Model!V166</f>
        <v>0</v>
      </c>
      <c r="O393">
        <f>Model!W166</f>
        <v>0</v>
      </c>
      <c r="P393">
        <f>Model!X166</f>
        <v>0</v>
      </c>
      <c r="Q393">
        <f>Model!Y166</f>
        <v>0</v>
      </c>
      <c r="R393">
        <f>Model!Z166</f>
        <v>0</v>
      </c>
      <c r="S393">
        <f>Model!AA166</f>
        <v>0</v>
      </c>
      <c r="T393">
        <f>Model!AB166</f>
        <v>0</v>
      </c>
      <c r="U393">
        <f>Model!AC166</f>
        <v>0</v>
      </c>
      <c r="V393">
        <f>Model!AD166</f>
        <v>0</v>
      </c>
      <c r="W393">
        <f>Model!AE166</f>
        <v>0</v>
      </c>
      <c r="X393">
        <f>Model!AF166</f>
        <v>0</v>
      </c>
      <c r="Y393">
        <f>Model!AG166</f>
        <v>0</v>
      </c>
      <c r="Z393">
        <f>Model!AH166</f>
        <v>0</v>
      </c>
      <c r="AA393">
        <f>Model!AI166</f>
        <v>0</v>
      </c>
      <c r="AB393">
        <f>Model!AJ166</f>
        <v>0</v>
      </c>
      <c r="AC393">
        <f>Model!AK166</f>
        <v>0</v>
      </c>
      <c r="AD393">
        <f>Model!AL166</f>
        <v>0</v>
      </c>
      <c r="AE393">
        <f>Model!AM166</f>
        <v>0</v>
      </c>
      <c r="AF393">
        <f>Model!AN166</f>
        <v>0</v>
      </c>
      <c r="AG393">
        <f>Model!AO166</f>
        <v>0</v>
      </c>
      <c r="AH393">
        <f>Model!AP166</f>
        <v>0</v>
      </c>
      <c r="AI393">
        <f>Model!AQ166</f>
        <v>0</v>
      </c>
      <c r="AJ393">
        <f>Model!AR166</f>
        <v>0</v>
      </c>
      <c r="AK393">
        <f>Model!AS166</f>
        <v>0</v>
      </c>
      <c r="AL393">
        <f>Model!AT166</f>
        <v>0</v>
      </c>
      <c r="AM393">
        <f>Model!AU166</f>
        <v>0</v>
      </c>
      <c r="AN393">
        <f>Model!AV166</f>
        <v>0</v>
      </c>
      <c r="AO393">
        <f>Model!AW166</f>
        <v>0</v>
      </c>
    </row>
    <row r="394" spans="1:41">
      <c r="A394" t="str">
        <f>Model!I167</f>
        <v>Cash Flow Statement</v>
      </c>
      <c r="B394">
        <f>Model!J167</f>
        <v>0</v>
      </c>
      <c r="C394">
        <f>Model!K167</f>
        <v>0</v>
      </c>
      <c r="D394">
        <f>Model!L167</f>
        <v>0</v>
      </c>
      <c r="E394">
        <f>Model!M167</f>
        <v>0</v>
      </c>
      <c r="F394">
        <f>Model!N167</f>
        <v>0</v>
      </c>
      <c r="G394">
        <f>Model!O167</f>
        <v>0</v>
      </c>
      <c r="H394">
        <f>Model!P167</f>
        <v>0</v>
      </c>
      <c r="I394">
        <f>Model!Q167</f>
        <v>0</v>
      </c>
      <c r="J394">
        <f>Model!R167</f>
        <v>0</v>
      </c>
      <c r="K394">
        <f>Model!S167</f>
        <v>0</v>
      </c>
      <c r="L394">
        <f>Model!T167</f>
        <v>0</v>
      </c>
      <c r="M394">
        <f>Model!U167</f>
        <v>0</v>
      </c>
      <c r="N394">
        <f>Model!V167</f>
        <v>0</v>
      </c>
      <c r="O394">
        <f>Model!W167</f>
        <v>0</v>
      </c>
      <c r="P394">
        <f>Model!X167</f>
        <v>0</v>
      </c>
      <c r="Q394">
        <f>Model!Y167</f>
        <v>0</v>
      </c>
      <c r="R394">
        <f>Model!Z167</f>
        <v>0</v>
      </c>
      <c r="S394">
        <f>Model!AA167</f>
        <v>0</v>
      </c>
      <c r="T394">
        <f>Model!AB167</f>
        <v>0</v>
      </c>
      <c r="U394">
        <f>Model!AC167</f>
        <v>0</v>
      </c>
      <c r="V394">
        <f>Model!AD167</f>
        <v>0</v>
      </c>
      <c r="W394">
        <f>Model!AE167</f>
        <v>0</v>
      </c>
      <c r="X394">
        <f>Model!AF167</f>
        <v>0</v>
      </c>
      <c r="Y394">
        <f>Model!AG167</f>
        <v>0</v>
      </c>
      <c r="Z394">
        <f>Model!AH167</f>
        <v>0</v>
      </c>
      <c r="AA394">
        <f>Model!AI167</f>
        <v>0</v>
      </c>
      <c r="AB394">
        <f>Model!AJ167</f>
        <v>0</v>
      </c>
      <c r="AC394">
        <f>Model!AK167</f>
        <v>0</v>
      </c>
      <c r="AD394">
        <f>Model!AL167</f>
        <v>0</v>
      </c>
      <c r="AE394">
        <f>Model!AM167</f>
        <v>0</v>
      </c>
      <c r="AF394">
        <f>Model!AN167</f>
        <v>0</v>
      </c>
      <c r="AG394">
        <f>Model!AO167</f>
        <v>0</v>
      </c>
      <c r="AH394">
        <f>Model!AP167</f>
        <v>0</v>
      </c>
      <c r="AI394">
        <f>Model!AQ167</f>
        <v>0</v>
      </c>
      <c r="AJ394">
        <f>Model!AR167</f>
        <v>0</v>
      </c>
      <c r="AK394">
        <f>Model!AS167</f>
        <v>0</v>
      </c>
      <c r="AL394">
        <f>Model!AT167</f>
        <v>0</v>
      </c>
      <c r="AM394">
        <f>Model!AU167</f>
        <v>0</v>
      </c>
      <c r="AN394">
        <f>Model!AV167</f>
        <v>0</v>
      </c>
      <c r="AO394">
        <f>Model!AW167</f>
        <v>0</v>
      </c>
    </row>
    <row r="395" spans="1:41">
      <c r="A395" t="str">
        <f>Model!I168</f>
        <v>(mn, USD)</v>
      </c>
      <c r="B395">
        <f>Model!J168</f>
        <v>0</v>
      </c>
      <c r="C395">
        <f>Model!K168</f>
        <v>0</v>
      </c>
      <c r="D395">
        <f>Model!L168</f>
        <v>0</v>
      </c>
      <c r="E395">
        <f>Model!M168</f>
        <v>0</v>
      </c>
      <c r="F395">
        <f>Model!N168</f>
        <v>0</v>
      </c>
      <c r="G395">
        <f>Model!O168</f>
        <v>0</v>
      </c>
      <c r="H395">
        <f>Model!P168</f>
        <v>0</v>
      </c>
      <c r="I395">
        <f>Model!Q168</f>
        <v>0</v>
      </c>
      <c r="J395">
        <f>Model!R168</f>
        <v>0</v>
      </c>
      <c r="K395">
        <f>Model!S168</f>
        <v>0</v>
      </c>
      <c r="L395">
        <f>Model!T168</f>
        <v>0</v>
      </c>
      <c r="M395">
        <f>Model!U168</f>
        <v>0</v>
      </c>
      <c r="N395">
        <f>Model!V168</f>
        <v>0</v>
      </c>
      <c r="O395">
        <f>Model!W168</f>
        <v>0</v>
      </c>
      <c r="P395">
        <f>Model!X168</f>
        <v>0</v>
      </c>
      <c r="Q395">
        <f>Model!Y168</f>
        <v>0</v>
      </c>
      <c r="R395">
        <f>Model!Z168</f>
        <v>0</v>
      </c>
      <c r="S395">
        <f>Model!AA168</f>
        <v>0</v>
      </c>
      <c r="T395">
        <f>Model!AB168</f>
        <v>0</v>
      </c>
      <c r="U395">
        <f>Model!AC168</f>
        <v>0</v>
      </c>
      <c r="V395">
        <f>Model!AD168</f>
        <v>0</v>
      </c>
      <c r="W395">
        <f>Model!AE168</f>
        <v>0</v>
      </c>
      <c r="X395">
        <f>Model!AF168</f>
        <v>0</v>
      </c>
      <c r="Y395">
        <f>Model!AG168</f>
        <v>0</v>
      </c>
      <c r="Z395">
        <f>Model!AH168</f>
        <v>0</v>
      </c>
      <c r="AA395">
        <f>Model!AI168</f>
        <v>0</v>
      </c>
      <c r="AB395">
        <f>Model!AJ168</f>
        <v>0</v>
      </c>
      <c r="AC395">
        <f>Model!AK168</f>
        <v>2015</v>
      </c>
      <c r="AD395">
        <f>Model!AL168</f>
        <v>2016</v>
      </c>
      <c r="AE395">
        <f>Model!AM168</f>
        <v>2017</v>
      </c>
      <c r="AF395">
        <f>Model!AN168</f>
        <v>2018</v>
      </c>
      <c r="AG395">
        <f>Model!AO168</f>
        <v>2019</v>
      </c>
      <c r="AH395">
        <f>Model!AP168</f>
        <v>2020</v>
      </c>
      <c r="AI395">
        <f>Model!AQ168</f>
        <v>2021</v>
      </c>
      <c r="AJ395">
        <f>Model!AR168</f>
        <v>2022</v>
      </c>
      <c r="AK395">
        <f>Model!AS168</f>
        <v>2023</v>
      </c>
      <c r="AL395">
        <f>Model!AT168</f>
        <v>2024</v>
      </c>
      <c r="AM395">
        <f>Model!AU168</f>
        <v>2025</v>
      </c>
      <c r="AN395">
        <f>Model!AV168</f>
        <v>0</v>
      </c>
      <c r="AO395">
        <f>Model!AW168</f>
        <v>0</v>
      </c>
    </row>
    <row r="396" spans="1:41">
      <c r="A396" t="str">
        <f>Model!I169</f>
        <v xml:space="preserve">Operating Cash Flow </v>
      </c>
      <c r="B396">
        <f>Model!J169</f>
        <v>0</v>
      </c>
      <c r="C396">
        <f>Model!K169</f>
        <v>0</v>
      </c>
      <c r="D396">
        <f>Model!L169</f>
        <v>0</v>
      </c>
      <c r="E396">
        <f>Model!M169</f>
        <v>0</v>
      </c>
      <c r="F396">
        <f>Model!N169</f>
        <v>0</v>
      </c>
      <c r="G396">
        <f>Model!O169</f>
        <v>0</v>
      </c>
      <c r="H396">
        <f>Model!P169</f>
        <v>0</v>
      </c>
      <c r="I396">
        <f>Model!Q169</f>
        <v>0</v>
      </c>
      <c r="J396">
        <f>Model!R169</f>
        <v>0</v>
      </c>
      <c r="K396">
        <f>Model!S169</f>
        <v>0</v>
      </c>
      <c r="L396">
        <f>Model!T169</f>
        <v>0</v>
      </c>
      <c r="M396">
        <f>Model!U169</f>
        <v>0</v>
      </c>
      <c r="N396">
        <f>Model!V169</f>
        <v>0</v>
      </c>
      <c r="O396">
        <f>Model!W169</f>
        <v>0</v>
      </c>
      <c r="P396">
        <f>Model!X169</f>
        <v>0</v>
      </c>
      <c r="Q396">
        <f>Model!Y169</f>
        <v>0</v>
      </c>
      <c r="R396">
        <f>Model!Z169</f>
        <v>0</v>
      </c>
      <c r="S396">
        <f>Model!AA169</f>
        <v>0</v>
      </c>
      <c r="T396">
        <f>Model!AB169</f>
        <v>0</v>
      </c>
      <c r="U396">
        <f>Model!AC169</f>
        <v>0</v>
      </c>
      <c r="V396">
        <f>Model!AD169</f>
        <v>0</v>
      </c>
      <c r="W396">
        <f>Model!AE169</f>
        <v>0</v>
      </c>
      <c r="X396">
        <f>Model!AF169</f>
        <v>0</v>
      </c>
      <c r="Y396">
        <f>Model!AG169</f>
        <v>0</v>
      </c>
      <c r="Z396">
        <f>Model!AH169</f>
        <v>0</v>
      </c>
      <c r="AA396">
        <f>Model!AI169</f>
        <v>0</v>
      </c>
      <c r="AB396">
        <f>Model!AJ169</f>
        <v>0</v>
      </c>
      <c r="AC396">
        <f>Model!AK169</f>
        <v>0</v>
      </c>
      <c r="AD396">
        <f>Model!AL169</f>
        <v>0</v>
      </c>
      <c r="AE396">
        <f>Model!AM169</f>
        <v>0</v>
      </c>
      <c r="AF396">
        <f>Model!AN169</f>
        <v>0</v>
      </c>
      <c r="AG396">
        <f>Model!AO169</f>
        <v>0</v>
      </c>
      <c r="AH396">
        <f>Model!AP169</f>
        <v>0</v>
      </c>
      <c r="AI396">
        <f>Model!AQ169</f>
        <v>0</v>
      </c>
      <c r="AJ396">
        <f>Model!AR169</f>
        <v>0</v>
      </c>
      <c r="AK396">
        <f>Model!AS169</f>
        <v>0</v>
      </c>
      <c r="AL396">
        <f>Model!AT169</f>
        <v>0</v>
      </c>
      <c r="AM396">
        <f>Model!AU169</f>
        <v>0</v>
      </c>
      <c r="AN396">
        <f>Model!AV169</f>
        <v>0</v>
      </c>
      <c r="AO396">
        <f>Model!AW169</f>
        <v>0</v>
      </c>
    </row>
    <row r="397" spans="1:41">
      <c r="A397" t="str">
        <f>Model!I170</f>
        <v xml:space="preserve">Net Income </v>
      </c>
      <c r="B397">
        <f>Model!J170</f>
        <v>0</v>
      </c>
      <c r="C397">
        <f>Model!K170</f>
        <v>0</v>
      </c>
      <c r="D397">
        <f>Model!L170</f>
        <v>0</v>
      </c>
      <c r="E397">
        <f>Model!M170</f>
        <v>0</v>
      </c>
      <c r="F397">
        <f>Model!N170</f>
        <v>0</v>
      </c>
      <c r="G397">
        <f>Model!O170</f>
        <v>0</v>
      </c>
      <c r="H397">
        <f>Model!P170</f>
        <v>0</v>
      </c>
      <c r="I397">
        <f>Model!Q170</f>
        <v>0</v>
      </c>
      <c r="J397">
        <f>Model!R170</f>
        <v>0</v>
      </c>
      <c r="K397">
        <f>Model!S170</f>
        <v>0</v>
      </c>
      <c r="L397">
        <f>Model!T170</f>
        <v>0</v>
      </c>
      <c r="M397">
        <f>Model!U170</f>
        <v>0</v>
      </c>
      <c r="N397">
        <f>Model!V170</f>
        <v>0</v>
      </c>
      <c r="O397">
        <f>Model!W170</f>
        <v>0</v>
      </c>
      <c r="P397">
        <f>Model!X170</f>
        <v>0</v>
      </c>
      <c r="Q397">
        <f>Model!Y170</f>
        <v>0</v>
      </c>
      <c r="R397">
        <f>Model!Z170</f>
        <v>-2208.837</v>
      </c>
      <c r="S397">
        <f>Model!AA170</f>
        <v>-443.09300000000007</v>
      </c>
      <c r="T397">
        <f>Model!AB170</f>
        <v>-443.15899999999999</v>
      </c>
      <c r="U397">
        <f>Model!AC170</f>
        <v>-349.97700000000003</v>
      </c>
      <c r="V397">
        <f>Model!AD170</f>
        <v>-287.09463855421683</v>
      </c>
      <c r="W397">
        <f>Model!AE170</f>
        <v>-307.05685873563226</v>
      </c>
      <c r="X397">
        <f>Model!AF170</f>
        <v>-320.02308964175307</v>
      </c>
      <c r="Y397">
        <f>Model!AG170</f>
        <v>-258.2755318917155</v>
      </c>
      <c r="Z397">
        <f>Model!AH170</f>
        <v>0</v>
      </c>
      <c r="AA397">
        <f>Model!AI170</f>
        <v>0</v>
      </c>
      <c r="AB397">
        <f>Model!AJ170</f>
        <v>0</v>
      </c>
      <c r="AC397">
        <f>Model!AK170</f>
        <v>-372.89300000000003</v>
      </c>
      <c r="AD397">
        <f>Model!AL170</f>
        <v>-514.64300000000003</v>
      </c>
      <c r="AE397">
        <f>Model!AM170</f>
        <v>-3445.0660000000003</v>
      </c>
      <c r="AF397">
        <f>Model!AN170</f>
        <v>-1172.4501188233176</v>
      </c>
      <c r="AG397">
        <f>Model!AO170</f>
        <v>-909.3383986213837</v>
      </c>
      <c r="AH397">
        <f>Model!AP170</f>
        <v>-675.89163111927803</v>
      </c>
      <c r="AI397">
        <f>Model!AQ170</f>
        <v>-317.00562297508543</v>
      </c>
      <c r="AJ397">
        <f>Model!AR170</f>
        <v>126.81082406417693</v>
      </c>
      <c r="AK397">
        <f>Model!AS170</f>
        <v>530.31484342794511</v>
      </c>
      <c r="AL397">
        <f>Model!AT170</f>
        <v>928.43018258832944</v>
      </c>
      <c r="AM397">
        <f>Model!AU170</f>
        <v>1310.8565052856413</v>
      </c>
      <c r="AN397">
        <f>Model!AV170</f>
        <v>0</v>
      </c>
      <c r="AO397">
        <f>Model!AW170</f>
        <v>0</v>
      </c>
    </row>
    <row r="398" spans="1:41">
      <c r="A398" t="str">
        <f>Model!I171</f>
        <v>Depreciation and amortization</v>
      </c>
      <c r="B398">
        <f>Model!J171</f>
        <v>0</v>
      </c>
      <c r="C398">
        <f>Model!K171</f>
        <v>0</v>
      </c>
      <c r="D398">
        <f>Model!L171</f>
        <v>0</v>
      </c>
      <c r="E398">
        <f>Model!M171</f>
        <v>0</v>
      </c>
      <c r="F398">
        <f>Model!N171</f>
        <v>0</v>
      </c>
      <c r="G398">
        <f>Model!O171</f>
        <v>0</v>
      </c>
      <c r="H398">
        <f>Model!P171</f>
        <v>0</v>
      </c>
      <c r="I398">
        <f>Model!Q171</f>
        <v>0</v>
      </c>
      <c r="J398">
        <f>Model!R171</f>
        <v>3.198</v>
      </c>
      <c r="K398">
        <f>Model!S171</f>
        <v>3.8820000000000001</v>
      </c>
      <c r="L398">
        <f>Model!T171</f>
        <v>4.1180000000000003</v>
      </c>
      <c r="M398">
        <f>Model!U171</f>
        <v>4.109</v>
      </c>
      <c r="N398">
        <f>Model!V171</f>
        <v>5.0490000000000004</v>
      </c>
      <c r="O398">
        <f>Model!W171</f>
        <v>5.9960000000000004</v>
      </c>
      <c r="P398">
        <f>Model!X171</f>
        <v>7.4370000000000003</v>
      </c>
      <c r="Q398">
        <f>Model!Y171</f>
        <v>10.632999999999999</v>
      </c>
      <c r="R398">
        <f>Model!Z171</f>
        <v>12.45</v>
      </c>
      <c r="S398">
        <f>Model!AA171</f>
        <v>12.585000000000001</v>
      </c>
      <c r="T398">
        <f>Model!AB171</f>
        <v>17.466999999999999</v>
      </c>
      <c r="U398">
        <f>Model!AC171</f>
        <v>18.786000000000001</v>
      </c>
      <c r="V398">
        <f>Model!AD171</f>
        <v>13.97045</v>
      </c>
      <c r="W398">
        <f>Model!AE171</f>
        <v>14.86225</v>
      </c>
      <c r="X398">
        <f>Model!AF171</f>
        <v>19.141200000000005</v>
      </c>
      <c r="Y398">
        <f>Model!AG171</f>
        <v>16.062799999999999</v>
      </c>
      <c r="Z398">
        <f>Model!AH171</f>
        <v>0</v>
      </c>
      <c r="AA398">
        <f>Model!AI171</f>
        <v>0</v>
      </c>
      <c r="AB398">
        <f>Model!AJ171</f>
        <v>0</v>
      </c>
      <c r="AC398">
        <f>Model!AK171</f>
        <v>15.307</v>
      </c>
      <c r="AD398">
        <f>Model!AL171</f>
        <v>29.115000000000002</v>
      </c>
      <c r="AE398">
        <f>Model!AM171</f>
        <v>61.287999999999997</v>
      </c>
      <c r="AF398">
        <f>Model!AN171</f>
        <v>64.036699999999996</v>
      </c>
      <c r="AG398">
        <f>Model!AO171</f>
        <v>72.486699999999985</v>
      </c>
      <c r="AH398">
        <f>Model!AP171</f>
        <v>74.110799999999983</v>
      </c>
      <c r="AI398">
        <f>Model!AQ171</f>
        <v>73.984899999999982</v>
      </c>
      <c r="AJ398">
        <f>Model!AR171</f>
        <v>80.034899999999979</v>
      </c>
      <c r="AK398">
        <f>Model!AS171</f>
        <v>84.984899999999968</v>
      </c>
      <c r="AL398">
        <f>Model!AT171</f>
        <v>89.384899999999973</v>
      </c>
      <c r="AM398">
        <f>Model!AU171</f>
        <v>93.234899999999968</v>
      </c>
      <c r="AN398">
        <f>Model!AV171</f>
        <v>0</v>
      </c>
      <c r="AO398">
        <f>Model!AW171</f>
        <v>0</v>
      </c>
    </row>
    <row r="399" spans="1:41">
      <c r="A399" t="str">
        <f>Model!I172</f>
        <v>Stock-based compensation</v>
      </c>
      <c r="B399">
        <f>Model!J172</f>
        <v>0</v>
      </c>
      <c r="C399">
        <f>Model!K172</f>
        <v>0</v>
      </c>
      <c r="D399">
        <f>Model!L172</f>
        <v>0</v>
      </c>
      <c r="E399">
        <f>Model!M172</f>
        <v>0</v>
      </c>
      <c r="F399">
        <f>Model!N172</f>
        <v>0</v>
      </c>
      <c r="G399">
        <f>Model!O172</f>
        <v>0</v>
      </c>
      <c r="H399">
        <f>Model!P172</f>
        <v>0</v>
      </c>
      <c r="I399">
        <f>Model!Q172</f>
        <v>0</v>
      </c>
      <c r="J399">
        <f>Model!R172</f>
        <v>0</v>
      </c>
      <c r="K399">
        <f>Model!S172</f>
        <v>0</v>
      </c>
      <c r="L399">
        <f>Model!T172</f>
        <v>0</v>
      </c>
      <c r="M399">
        <f>Model!U172</f>
        <v>0</v>
      </c>
      <c r="N399">
        <f>Model!V172</f>
        <v>0</v>
      </c>
      <c r="O399">
        <f>Model!W172</f>
        <v>0</v>
      </c>
      <c r="P399">
        <f>Model!X172</f>
        <v>0</v>
      </c>
      <c r="Q399">
        <f>Model!Y172</f>
        <v>0</v>
      </c>
      <c r="R399">
        <f>Model!Z172</f>
        <v>1992.1210000000001</v>
      </c>
      <c r="S399">
        <f>Model!AA172</f>
        <v>245.02799999999979</v>
      </c>
      <c r="T399">
        <f>Model!AB172</f>
        <v>221.70200000000023</v>
      </c>
      <c r="U399">
        <f>Model!AC172</f>
        <v>181.04399999999987</v>
      </c>
      <c r="V399">
        <f>Model!AD172</f>
        <v>69</v>
      </c>
      <c r="W399">
        <f>Model!AE172</f>
        <v>100</v>
      </c>
      <c r="X399">
        <f>Model!AF172</f>
        <v>100</v>
      </c>
      <c r="Y399">
        <f>Model!AG172</f>
        <v>100</v>
      </c>
      <c r="Z399">
        <f>Model!AH172</f>
        <v>0</v>
      </c>
      <c r="AA399">
        <f>Model!AI172</f>
        <v>0</v>
      </c>
      <c r="AB399">
        <f>Model!AJ172</f>
        <v>0</v>
      </c>
      <c r="AC399">
        <f>Model!AK172</f>
        <v>73.524000000000001</v>
      </c>
      <c r="AD399">
        <f>Model!AL172</f>
        <v>31.842000000000002</v>
      </c>
      <c r="AE399">
        <f>Model!AM172</f>
        <v>2639.895</v>
      </c>
      <c r="AF399">
        <f>Model!AN172</f>
        <v>369</v>
      </c>
      <c r="AG399">
        <f>Model!AO172</f>
        <v>415</v>
      </c>
      <c r="AH399">
        <f>Model!AP172</f>
        <v>448.20000000000005</v>
      </c>
      <c r="AI399">
        <f>Model!AQ172</f>
        <v>484.0560000000001</v>
      </c>
      <c r="AJ399">
        <f>Model!AR172</f>
        <v>508.25880000000012</v>
      </c>
      <c r="AK399">
        <f>Model!AS172</f>
        <v>533.67174000000011</v>
      </c>
      <c r="AL399">
        <f>Model!AT172</f>
        <v>560.3553270000001</v>
      </c>
      <c r="AM399">
        <f>Model!AU172</f>
        <v>588.37309335000009</v>
      </c>
      <c r="AN399">
        <f>Model!AV172</f>
        <v>0</v>
      </c>
      <c r="AO399">
        <f>Model!AW172</f>
        <v>0</v>
      </c>
    </row>
    <row r="400" spans="1:41">
      <c r="A400" t="str">
        <f>Model!I173</f>
        <v>Deferred income taxes</v>
      </c>
      <c r="B400">
        <f>Model!J173</f>
        <v>0</v>
      </c>
      <c r="C400">
        <f>Model!K173</f>
        <v>0</v>
      </c>
      <c r="D400">
        <f>Model!L173</f>
        <v>0</v>
      </c>
      <c r="E400">
        <f>Model!M173</f>
        <v>0</v>
      </c>
      <c r="F400">
        <f>Model!N173</f>
        <v>0</v>
      </c>
      <c r="G400">
        <f>Model!O173</f>
        <v>0</v>
      </c>
      <c r="H400">
        <f>Model!P173</f>
        <v>0</v>
      </c>
      <c r="I400">
        <f>Model!Q173</f>
        <v>0</v>
      </c>
      <c r="J400">
        <f>Model!R173</f>
        <v>0</v>
      </c>
      <c r="K400">
        <f>Model!S173</f>
        <v>0</v>
      </c>
      <c r="L400">
        <f>Model!T173</f>
        <v>0</v>
      </c>
      <c r="M400">
        <f>Model!U173</f>
        <v>0</v>
      </c>
      <c r="N400">
        <f>Model!V173</f>
        <v>0</v>
      </c>
      <c r="O400">
        <f>Model!W173</f>
        <v>0</v>
      </c>
      <c r="P400">
        <f>Model!X173</f>
        <v>0</v>
      </c>
      <c r="Q400">
        <f>Model!Y173</f>
        <v>0</v>
      </c>
      <c r="R400">
        <f>Model!Z173</f>
        <v>-1.488</v>
      </c>
      <c r="S400">
        <f>Model!AA173</f>
        <v>-0.27699999999999991</v>
      </c>
      <c r="T400">
        <f>Model!AB173</f>
        <v>-12.632000000000001</v>
      </c>
      <c r="U400">
        <f>Model!AC173</f>
        <v>-3.0929999999999969</v>
      </c>
      <c r="V400">
        <f>Model!AD173</f>
        <v>0</v>
      </c>
      <c r="W400">
        <f>Model!AE173</f>
        <v>0</v>
      </c>
      <c r="X400">
        <f>Model!AF173</f>
        <v>0</v>
      </c>
      <c r="Y400">
        <f>Model!AG173</f>
        <v>0</v>
      </c>
      <c r="Z400">
        <f>Model!AH173</f>
        <v>0</v>
      </c>
      <c r="AA400">
        <f>Model!AI173</f>
        <v>0</v>
      </c>
      <c r="AB400">
        <f>Model!AJ173</f>
        <v>0</v>
      </c>
      <c r="AC400">
        <f>Model!AK173</f>
        <v>-7.7</v>
      </c>
      <c r="AD400">
        <f>Model!AL173</f>
        <v>-7.952</v>
      </c>
      <c r="AE400">
        <f>Model!AM173</f>
        <v>-17.489999999999998</v>
      </c>
      <c r="AF400">
        <f>Model!AN173</f>
        <v>0</v>
      </c>
      <c r="AG400">
        <f>Model!AO173</f>
        <v>0</v>
      </c>
      <c r="AH400">
        <f>Model!AP173</f>
        <v>0</v>
      </c>
      <c r="AI400">
        <f>Model!AQ173</f>
        <v>0</v>
      </c>
      <c r="AJ400">
        <f>Model!AR173</f>
        <v>0</v>
      </c>
      <c r="AK400">
        <f>Model!AS173</f>
        <v>0</v>
      </c>
      <c r="AL400">
        <f>Model!AT173</f>
        <v>0</v>
      </c>
      <c r="AM400">
        <f>Model!AU173</f>
        <v>0</v>
      </c>
      <c r="AN400">
        <f>Model!AV173</f>
        <v>0</v>
      </c>
      <c r="AO400">
        <f>Model!AW173</f>
        <v>0</v>
      </c>
    </row>
    <row r="401" spans="1:41">
      <c r="A401" t="str">
        <f>Model!I174</f>
        <v xml:space="preserve">Other </v>
      </c>
      <c r="B401">
        <f>Model!J174</f>
        <v>0</v>
      </c>
      <c r="C401">
        <f>Model!K174</f>
        <v>0</v>
      </c>
      <c r="D401">
        <f>Model!L174</f>
        <v>0</v>
      </c>
      <c r="E401">
        <f>Model!M174</f>
        <v>0</v>
      </c>
      <c r="F401">
        <f>Model!N174</f>
        <v>0</v>
      </c>
      <c r="G401">
        <f>Model!O174</f>
        <v>0</v>
      </c>
      <c r="H401">
        <f>Model!P174</f>
        <v>0</v>
      </c>
      <c r="I401">
        <f>Model!Q174</f>
        <v>0</v>
      </c>
      <c r="J401">
        <f>Model!R174</f>
        <v>0</v>
      </c>
      <c r="K401">
        <f>Model!S174</f>
        <v>0</v>
      </c>
      <c r="L401">
        <f>Model!T174</f>
        <v>0</v>
      </c>
      <c r="M401">
        <f>Model!U174</f>
        <v>0</v>
      </c>
      <c r="N401">
        <f>Model!V174</f>
        <v>0</v>
      </c>
      <c r="O401">
        <f>Model!W174</f>
        <v>0</v>
      </c>
      <c r="P401">
        <f>Model!X174</f>
        <v>0</v>
      </c>
      <c r="Q401">
        <f>Model!Y174</f>
        <v>0</v>
      </c>
      <c r="R401">
        <f>Model!Z174</f>
        <v>1.8919999999999999</v>
      </c>
      <c r="S401">
        <f>Model!AA174</f>
        <v>-3.5640000000000001</v>
      </c>
      <c r="T401">
        <f>Model!AB174</f>
        <v>19.955000000000002</v>
      </c>
      <c r="U401">
        <f>Model!AC174</f>
        <v>-2.6420000000000017</v>
      </c>
      <c r="V401">
        <f>Model!AD174</f>
        <v>-10</v>
      </c>
      <c r="W401">
        <f>Model!AE174</f>
        <v>0</v>
      </c>
      <c r="X401">
        <f>Model!AF174</f>
        <v>0</v>
      </c>
      <c r="Y401">
        <f>Model!AG174</f>
        <v>0</v>
      </c>
      <c r="Z401">
        <f>Model!AH174</f>
        <v>0</v>
      </c>
      <c r="AA401">
        <f>Model!AI174</f>
        <v>0</v>
      </c>
      <c r="AB401">
        <f>Model!AJ174</f>
        <v>0</v>
      </c>
      <c r="AC401">
        <f>Model!AK174</f>
        <v>0.626</v>
      </c>
      <c r="AD401">
        <f>Model!AL174</f>
        <v>0.88900000000000001</v>
      </c>
      <c r="AE401">
        <f>Model!AM174</f>
        <v>15.641</v>
      </c>
      <c r="AF401">
        <f>Model!AN174</f>
        <v>-10</v>
      </c>
      <c r="AG401">
        <f>Model!AO174</f>
        <v>-10</v>
      </c>
      <c r="AH401">
        <f>Model!AP174</f>
        <v>-10</v>
      </c>
      <c r="AI401">
        <f>Model!AQ174</f>
        <v>-10</v>
      </c>
      <c r="AJ401">
        <f>Model!AR174</f>
        <v>-10</v>
      </c>
      <c r="AK401">
        <f>Model!AS174</f>
        <v>-10</v>
      </c>
      <c r="AL401">
        <f>Model!AT174</f>
        <v>-10</v>
      </c>
      <c r="AM401">
        <f>Model!AU174</f>
        <v>-10</v>
      </c>
      <c r="AN401">
        <f>Model!AV174</f>
        <v>0</v>
      </c>
      <c r="AO401">
        <f>Model!AW174</f>
        <v>0</v>
      </c>
    </row>
    <row r="402" spans="1:41">
      <c r="A402">
        <f>Model!I175</f>
        <v>0</v>
      </c>
      <c r="B402">
        <f>Model!J175</f>
        <v>0</v>
      </c>
      <c r="C402">
        <f>Model!K175</f>
        <v>0</v>
      </c>
      <c r="D402">
        <f>Model!L175</f>
        <v>0</v>
      </c>
      <c r="E402">
        <f>Model!M175</f>
        <v>0</v>
      </c>
      <c r="F402">
        <f>Model!N175</f>
        <v>0</v>
      </c>
      <c r="G402">
        <f>Model!O175</f>
        <v>0</v>
      </c>
      <c r="H402">
        <f>Model!P175</f>
        <v>0</v>
      </c>
      <c r="I402">
        <f>Model!Q175</f>
        <v>0</v>
      </c>
      <c r="J402">
        <f>Model!R175</f>
        <v>0</v>
      </c>
      <c r="K402">
        <f>Model!S175</f>
        <v>0</v>
      </c>
      <c r="L402">
        <f>Model!T175</f>
        <v>0</v>
      </c>
      <c r="M402">
        <f>Model!U175</f>
        <v>0</v>
      </c>
      <c r="N402">
        <f>Model!V175</f>
        <v>0</v>
      </c>
      <c r="O402">
        <f>Model!W175</f>
        <v>0</v>
      </c>
      <c r="P402">
        <f>Model!X175</f>
        <v>0</v>
      </c>
      <c r="Q402">
        <f>Model!Y175</f>
        <v>0</v>
      </c>
      <c r="R402">
        <f>Model!Z175</f>
        <v>0</v>
      </c>
      <c r="S402">
        <f>Model!AA175</f>
        <v>0</v>
      </c>
      <c r="T402">
        <f>Model!AB175</f>
        <v>0</v>
      </c>
      <c r="U402">
        <f>Model!AC175</f>
        <v>0</v>
      </c>
      <c r="V402">
        <f>Model!AD175</f>
        <v>0</v>
      </c>
      <c r="W402">
        <f>Model!AE175</f>
        <v>0</v>
      </c>
      <c r="X402">
        <f>Model!AF175</f>
        <v>0</v>
      </c>
      <c r="Y402">
        <f>Model!AG175</f>
        <v>0</v>
      </c>
      <c r="Z402">
        <f>Model!AH175</f>
        <v>0</v>
      </c>
      <c r="AA402">
        <f>Model!AI175</f>
        <v>0</v>
      </c>
      <c r="AB402">
        <f>Model!AJ175</f>
        <v>0</v>
      </c>
      <c r="AC402">
        <f>Model!AK175</f>
        <v>0</v>
      </c>
      <c r="AD402">
        <f>Model!AL175</f>
        <v>0</v>
      </c>
      <c r="AE402">
        <f>Model!AM175</f>
        <v>0</v>
      </c>
      <c r="AF402">
        <f>Model!AN175</f>
        <v>0</v>
      </c>
      <c r="AG402">
        <f>Model!AO175</f>
        <v>0</v>
      </c>
      <c r="AH402">
        <f>Model!AP175</f>
        <v>0</v>
      </c>
      <c r="AI402">
        <f>Model!AQ175</f>
        <v>0</v>
      </c>
      <c r="AJ402">
        <f>Model!AR175</f>
        <v>0</v>
      </c>
      <c r="AK402">
        <f>Model!AS175</f>
        <v>0</v>
      </c>
      <c r="AL402">
        <f>Model!AT175</f>
        <v>0</v>
      </c>
      <c r="AM402">
        <f>Model!AU175</f>
        <v>0</v>
      </c>
      <c r="AN402">
        <f>Model!AV175</f>
        <v>0</v>
      </c>
      <c r="AO402">
        <f>Model!AW175</f>
        <v>0</v>
      </c>
    </row>
    <row r="403" spans="1:41">
      <c r="A403" t="str">
        <f>Model!I176</f>
        <v xml:space="preserve">Changes in working capital: </v>
      </c>
      <c r="B403">
        <f>Model!J176</f>
        <v>0</v>
      </c>
      <c r="C403">
        <f>Model!K176</f>
        <v>0</v>
      </c>
      <c r="D403">
        <f>Model!L176</f>
        <v>0</v>
      </c>
      <c r="E403">
        <f>Model!M176</f>
        <v>0</v>
      </c>
      <c r="F403">
        <f>Model!N176</f>
        <v>0</v>
      </c>
      <c r="G403">
        <f>Model!O176</f>
        <v>0</v>
      </c>
      <c r="H403">
        <f>Model!P176</f>
        <v>0</v>
      </c>
      <c r="I403">
        <f>Model!Q176</f>
        <v>0</v>
      </c>
      <c r="J403">
        <f>Model!R176</f>
        <v>0</v>
      </c>
      <c r="K403">
        <f>Model!S176</f>
        <v>0</v>
      </c>
      <c r="L403">
        <f>Model!T176</f>
        <v>0</v>
      </c>
      <c r="M403">
        <f>Model!U176</f>
        <v>0</v>
      </c>
      <c r="N403">
        <f>Model!V176</f>
        <v>0</v>
      </c>
      <c r="O403">
        <f>Model!W176</f>
        <v>0</v>
      </c>
      <c r="P403">
        <f>Model!X176</f>
        <v>0</v>
      </c>
      <c r="Q403">
        <f>Model!Y176</f>
        <v>0</v>
      </c>
      <c r="R403">
        <f>Model!Z176</f>
        <v>0</v>
      </c>
      <c r="S403">
        <f>Model!AA176</f>
        <v>0</v>
      </c>
      <c r="T403">
        <f>Model!AB176</f>
        <v>0</v>
      </c>
      <c r="U403">
        <f>Model!AC176</f>
        <v>0</v>
      </c>
      <c r="V403">
        <f>Model!AD176</f>
        <v>0</v>
      </c>
      <c r="W403">
        <f>Model!AE176</f>
        <v>0</v>
      </c>
      <c r="X403">
        <f>Model!AF176</f>
        <v>0</v>
      </c>
      <c r="Y403">
        <f>Model!AG176</f>
        <v>0</v>
      </c>
      <c r="Z403">
        <f>Model!AH176</f>
        <v>0</v>
      </c>
      <c r="AA403">
        <f>Model!AI176</f>
        <v>0</v>
      </c>
      <c r="AB403">
        <f>Model!AJ176</f>
        <v>0</v>
      </c>
      <c r="AC403">
        <f>Model!AK176</f>
        <v>0</v>
      </c>
      <c r="AD403">
        <f>Model!AL176</f>
        <v>0</v>
      </c>
      <c r="AE403">
        <f>Model!AM176</f>
        <v>0</v>
      </c>
      <c r="AF403">
        <f>Model!AN176</f>
        <v>0</v>
      </c>
      <c r="AG403">
        <f>Model!AO176</f>
        <v>0</v>
      </c>
      <c r="AH403">
        <f>Model!AP176</f>
        <v>0</v>
      </c>
      <c r="AI403">
        <f>Model!AQ176</f>
        <v>0</v>
      </c>
      <c r="AJ403">
        <f>Model!AR176</f>
        <v>0</v>
      </c>
      <c r="AK403">
        <f>Model!AS176</f>
        <v>0</v>
      </c>
      <c r="AL403">
        <f>Model!AT176</f>
        <v>0</v>
      </c>
      <c r="AM403">
        <f>Model!AU176</f>
        <v>0</v>
      </c>
      <c r="AN403">
        <f>Model!AV176</f>
        <v>0</v>
      </c>
      <c r="AO403">
        <f>Model!AW176</f>
        <v>0</v>
      </c>
    </row>
    <row r="404" spans="1:41">
      <c r="A404" t="str">
        <f>Model!I177</f>
        <v>Accounts Receivable</v>
      </c>
      <c r="B404">
        <f>Model!J177</f>
        <v>0</v>
      </c>
      <c r="C404">
        <f>Model!K177</f>
        <v>0</v>
      </c>
      <c r="D404">
        <f>Model!L177</f>
        <v>0</v>
      </c>
      <c r="E404">
        <f>Model!M177</f>
        <v>0</v>
      </c>
      <c r="F404">
        <f>Model!N177</f>
        <v>0</v>
      </c>
      <c r="G404">
        <f>Model!O177</f>
        <v>0</v>
      </c>
      <c r="H404">
        <f>Model!P177</f>
        <v>0</v>
      </c>
      <c r="I404">
        <f>Model!Q177</f>
        <v>0</v>
      </c>
      <c r="J404">
        <f>Model!R177</f>
        <v>0</v>
      </c>
      <c r="K404">
        <f>Model!S177</f>
        <v>0</v>
      </c>
      <c r="L404">
        <f>Model!T177</f>
        <v>0</v>
      </c>
      <c r="M404">
        <f>Model!U177</f>
        <v>0</v>
      </c>
      <c r="N404">
        <f>Model!V177</f>
        <v>0</v>
      </c>
      <c r="O404">
        <f>Model!W177</f>
        <v>0</v>
      </c>
      <c r="P404">
        <f>Model!X177</f>
        <v>0</v>
      </c>
      <c r="Q404">
        <f>Model!Y177</f>
        <v>0</v>
      </c>
      <c r="R404">
        <f>Model!Z177</f>
        <v>13.444000000000001</v>
      </c>
      <c r="S404">
        <f>Model!AA177</f>
        <v>-21.652999999999999</v>
      </c>
      <c r="T404">
        <f>Model!AB177</f>
        <v>-16.304000000000002</v>
      </c>
      <c r="U404">
        <f>Model!AC177</f>
        <v>-79.844000000000008</v>
      </c>
      <c r="V404">
        <f>Model!AD177</f>
        <v>33.752556024804903</v>
      </c>
      <c r="W404">
        <f>Model!AE177</f>
        <v>-32.804334332845258</v>
      </c>
      <c r="X404">
        <f>Model!AF177</f>
        <v>-41.212021780448026</v>
      </c>
      <c r="Y404">
        <f>Model!AG177</f>
        <v>-98.944945701573033</v>
      </c>
      <c r="Z404">
        <f>Model!AH177</f>
        <v>0</v>
      </c>
      <c r="AA404">
        <f>Model!AI177</f>
        <v>0</v>
      </c>
      <c r="AB404">
        <f>Model!AJ177</f>
        <v>0</v>
      </c>
      <c r="AC404">
        <f>Model!AK177</f>
        <v>-41.905000000000001</v>
      </c>
      <c r="AD404">
        <f>Model!AL177</f>
        <v>-118.434</v>
      </c>
      <c r="AE404">
        <f>Model!AM177</f>
        <v>-104.357</v>
      </c>
      <c r="AF404">
        <f>Model!AN177</f>
        <v>-139.20874579006141</v>
      </c>
      <c r="AG404">
        <f>Model!AO177</f>
        <v>-128.36495875654271</v>
      </c>
      <c r="AH404">
        <f>Model!AP177</f>
        <v>-1.5495814730730899</v>
      </c>
      <c r="AI404">
        <f>Model!AQ177</f>
        <v>-197.16060454375645</v>
      </c>
      <c r="AJ404">
        <f>Model!AR177</f>
        <v>-225.12646647029567</v>
      </c>
      <c r="AK404">
        <f>Model!AS177</f>
        <v>-234.62709952589887</v>
      </c>
      <c r="AL404">
        <f>Model!AT177</f>
        <v>-233.19954493098066</v>
      </c>
      <c r="AM404">
        <f>Model!AU177</f>
        <v>-232.69929589575395</v>
      </c>
      <c r="AN404">
        <f>Model!AV177</f>
        <v>0</v>
      </c>
      <c r="AO404">
        <f>Model!AW177</f>
        <v>0</v>
      </c>
    </row>
    <row r="405" spans="1:41">
      <c r="A405" t="str">
        <f>Model!I178</f>
        <v xml:space="preserve">Prepaid expenses and other current asstes </v>
      </c>
      <c r="B405">
        <f>Model!J178</f>
        <v>0</v>
      </c>
      <c r="C405">
        <f>Model!K178</f>
        <v>0</v>
      </c>
      <c r="D405">
        <f>Model!L178</f>
        <v>0</v>
      </c>
      <c r="E405">
        <f>Model!M178</f>
        <v>0</v>
      </c>
      <c r="F405">
        <f>Model!N178</f>
        <v>0</v>
      </c>
      <c r="G405">
        <f>Model!O178</f>
        <v>0</v>
      </c>
      <c r="H405">
        <f>Model!P178</f>
        <v>0</v>
      </c>
      <c r="I405">
        <f>Model!Q178</f>
        <v>0</v>
      </c>
      <c r="J405">
        <f>Model!R178</f>
        <v>0</v>
      </c>
      <c r="K405">
        <f>Model!S178</f>
        <v>0</v>
      </c>
      <c r="L405">
        <f>Model!T178</f>
        <v>0</v>
      </c>
      <c r="M405">
        <f>Model!U178</f>
        <v>0</v>
      </c>
      <c r="N405">
        <f>Model!V178</f>
        <v>0</v>
      </c>
      <c r="O405">
        <f>Model!W178</f>
        <v>0</v>
      </c>
      <c r="P405">
        <f>Model!X178</f>
        <v>0</v>
      </c>
      <c r="Q405">
        <f>Model!Y178</f>
        <v>0</v>
      </c>
      <c r="R405">
        <f>Model!Z178</f>
        <v>-40.721000000000004</v>
      </c>
      <c r="S405">
        <f>Model!AA178</f>
        <v>-17.221999999999994</v>
      </c>
      <c r="T405">
        <f>Model!AB178</f>
        <v>0.43299999999999272</v>
      </c>
      <c r="U405">
        <f>Model!AC178</f>
        <v>12.956000000000003</v>
      </c>
      <c r="V405">
        <f>Model!AD178</f>
        <v>-0.53800000000000381</v>
      </c>
      <c r="W405">
        <f>Model!AE178</f>
        <v>-8.2800000000000011</v>
      </c>
      <c r="X405">
        <f>Model!AF178</f>
        <v>-8.279999999999994</v>
      </c>
      <c r="Y405">
        <f>Model!AG178</f>
        <v>-15.659999999999997</v>
      </c>
      <c r="Z405">
        <f>Model!AH178</f>
        <v>0</v>
      </c>
      <c r="AA405">
        <f>Model!AI178</f>
        <v>0</v>
      </c>
      <c r="AB405">
        <f>Model!AJ178</f>
        <v>0</v>
      </c>
      <c r="AC405">
        <f>Model!AK178</f>
        <v>-11.041</v>
      </c>
      <c r="AD405">
        <f>Model!AL178</f>
        <v>-25.585000000000001</v>
      </c>
      <c r="AE405">
        <f>Model!AM178</f>
        <v>-44.554000000000002</v>
      </c>
      <c r="AF405">
        <f>Model!AN178</f>
        <v>-32.757999999999996</v>
      </c>
      <c r="AG405">
        <f>Model!AO178</f>
        <v>-26.695877921785652</v>
      </c>
      <c r="AH405">
        <f>Model!AP178</f>
        <v>-27.181239781427664</v>
      </c>
      <c r="AI405">
        <f>Model!AQ178</f>
        <v>-24.172881743521089</v>
      </c>
      <c r="AJ405">
        <f>Model!AR178</f>
        <v>-17.034264954390835</v>
      </c>
      <c r="AK405">
        <f>Model!AS178</f>
        <v>-41.596157377597279</v>
      </c>
      <c r="AL405">
        <f>Model!AT178</f>
        <v>-41.34307158437332</v>
      </c>
      <c r="AM405">
        <f>Model!AU178</f>
        <v>-41.254384311507948</v>
      </c>
      <c r="AN405">
        <f>Model!AV178</f>
        <v>0</v>
      </c>
      <c r="AO405">
        <f>Model!AW178</f>
        <v>0</v>
      </c>
    </row>
    <row r="406" spans="1:41">
      <c r="A406" t="str">
        <f>Model!I179</f>
        <v>Accounts Payable</v>
      </c>
      <c r="B406">
        <f>Model!J179</f>
        <v>0</v>
      </c>
      <c r="C406">
        <f>Model!K179</f>
        <v>0</v>
      </c>
      <c r="D406">
        <f>Model!L179</f>
        <v>0</v>
      </c>
      <c r="E406">
        <f>Model!M179</f>
        <v>0</v>
      </c>
      <c r="F406">
        <f>Model!N179</f>
        <v>0</v>
      </c>
      <c r="G406">
        <f>Model!O179</f>
        <v>0</v>
      </c>
      <c r="H406">
        <f>Model!P179</f>
        <v>0</v>
      </c>
      <c r="I406">
        <f>Model!Q179</f>
        <v>0</v>
      </c>
      <c r="J406">
        <f>Model!R179</f>
        <v>0</v>
      </c>
      <c r="K406">
        <f>Model!S179</f>
        <v>0</v>
      </c>
      <c r="L406">
        <f>Model!T179</f>
        <v>0</v>
      </c>
      <c r="M406">
        <f>Model!U179</f>
        <v>0</v>
      </c>
      <c r="N406">
        <f>Model!V179</f>
        <v>0</v>
      </c>
      <c r="O406">
        <f>Model!W179</f>
        <v>0</v>
      </c>
      <c r="P406">
        <f>Model!X179</f>
        <v>0</v>
      </c>
      <c r="Q406">
        <f>Model!Y179</f>
        <v>0</v>
      </c>
      <c r="R406">
        <f>Model!Z179</f>
        <v>5.6189999999999998</v>
      </c>
      <c r="S406">
        <f>Model!AA179</f>
        <v>3.6980000000000004</v>
      </c>
      <c r="T406">
        <f>Model!AB179</f>
        <v>-5.2140000000000004</v>
      </c>
      <c r="U406">
        <f>Model!AC179</f>
        <v>45.592999999999996</v>
      </c>
      <c r="V406">
        <f>Model!AD179</f>
        <v>-57.40682633540591</v>
      </c>
      <c r="W406">
        <f>Model!AE179</f>
        <v>2.2409595237964659</v>
      </c>
      <c r="X406">
        <f>Model!AF179</f>
        <v>3.0077981919358088</v>
      </c>
      <c r="Y406">
        <f>Model!AG179</f>
        <v>1.5213993346701891</v>
      </c>
      <c r="Z406">
        <f>Model!AH179</f>
        <v>0</v>
      </c>
      <c r="AA406">
        <f>Model!AI179</f>
        <v>0</v>
      </c>
      <c r="AB406">
        <f>Model!AJ179</f>
        <v>0</v>
      </c>
      <c r="AC406">
        <f>Model!AK179</f>
        <v>-6.7240000000000002</v>
      </c>
      <c r="AD406">
        <f>Model!AL179</f>
        <v>6.4859999999999998</v>
      </c>
      <c r="AE406">
        <f>Model!AM179</f>
        <v>49.695999999999998</v>
      </c>
      <c r="AF406">
        <f>Model!AN179</f>
        <v>-50.63666928500345</v>
      </c>
      <c r="AG406">
        <f>Model!AO179</f>
        <v>19.116290274437105</v>
      </c>
      <c r="AH406">
        <f>Model!AP179</f>
        <v>44.439547145947181</v>
      </c>
      <c r="AI406">
        <f>Model!AQ179</f>
        <v>37.729985273481006</v>
      </c>
      <c r="AJ406">
        <f>Model!AR179</f>
        <v>22.048169563976373</v>
      </c>
      <c r="AK406">
        <f>Model!AS179</f>
        <v>23.251250930236438</v>
      </c>
      <c r="AL406">
        <f>Model!AT179</f>
        <v>23.922302560351767</v>
      </c>
      <c r="AM406">
        <f>Model!AU179</f>
        <v>24.907337627163116</v>
      </c>
      <c r="AN406">
        <f>Model!AV179</f>
        <v>0</v>
      </c>
      <c r="AO406">
        <f>Model!AW179</f>
        <v>0</v>
      </c>
    </row>
    <row r="407" spans="1:41">
      <c r="A407" t="str">
        <f>Model!I180</f>
        <v xml:space="preserve">Accrued expenses and other current liabilities </v>
      </c>
      <c r="B407">
        <f>Model!J180</f>
        <v>0</v>
      </c>
      <c r="C407">
        <f>Model!K180</f>
        <v>0</v>
      </c>
      <c r="D407">
        <f>Model!L180</f>
        <v>0</v>
      </c>
      <c r="E407">
        <f>Model!M180</f>
        <v>0</v>
      </c>
      <c r="F407">
        <f>Model!N180</f>
        <v>0</v>
      </c>
      <c r="G407">
        <f>Model!O180</f>
        <v>0</v>
      </c>
      <c r="H407">
        <f>Model!P180</f>
        <v>0</v>
      </c>
      <c r="I407">
        <f>Model!Q180</f>
        <v>0</v>
      </c>
      <c r="J407">
        <f>Model!R180</f>
        <v>0</v>
      </c>
      <c r="K407">
        <f>Model!S180</f>
        <v>0</v>
      </c>
      <c r="L407">
        <f>Model!T180</f>
        <v>0</v>
      </c>
      <c r="M407">
        <f>Model!U180</f>
        <v>0</v>
      </c>
      <c r="N407">
        <f>Model!V180</f>
        <v>0</v>
      </c>
      <c r="O407">
        <f>Model!W180</f>
        <v>0</v>
      </c>
      <c r="P407">
        <f>Model!X180</f>
        <v>0</v>
      </c>
      <c r="Q407">
        <f>Model!Y180</f>
        <v>0</v>
      </c>
      <c r="R407">
        <f>Model!Z180</f>
        <v>70.522999999999996</v>
      </c>
      <c r="S407">
        <f>Model!AA180</f>
        <v>14.924000000000007</v>
      </c>
      <c r="T407">
        <f>Model!AB180</f>
        <v>23.73899999999999</v>
      </c>
      <c r="U407">
        <f>Model!AC180</f>
        <v>1.0940000000000083</v>
      </c>
      <c r="V407">
        <f>Model!AD180</f>
        <v>-150.56200000000001</v>
      </c>
      <c r="W407">
        <f>Model!AE180</f>
        <v>52.5</v>
      </c>
      <c r="X407">
        <f>Model!AF180</f>
        <v>27.599999999999994</v>
      </c>
      <c r="Y407">
        <f>Model!AG180</f>
        <v>52.200000000000017</v>
      </c>
      <c r="Z407">
        <f>Model!AH180</f>
        <v>0</v>
      </c>
      <c r="AA407">
        <f>Model!AI180</f>
        <v>0</v>
      </c>
      <c r="AB407">
        <f>Model!AJ180</f>
        <v>0</v>
      </c>
      <c r="AC407">
        <f>Model!AK180</f>
        <v>44.184000000000005</v>
      </c>
      <c r="AD407">
        <f>Model!AL180</f>
        <v>-12.963000000000001</v>
      </c>
      <c r="AE407">
        <f>Model!AM180</f>
        <v>110.28</v>
      </c>
      <c r="AF407">
        <f>Model!AN180</f>
        <v>-18.262</v>
      </c>
      <c r="AG407">
        <f>Model!AO180</f>
        <v>491.55862077868954</v>
      </c>
      <c r="AH407">
        <f>Model!AP180</f>
        <v>513.8367156050906</v>
      </c>
      <c r="AI407">
        <f>Model!AQ180</f>
        <v>453.62172861084628</v>
      </c>
      <c r="AJ407">
        <f>Model!AR180</f>
        <v>269.76683202415256</v>
      </c>
      <c r="AK407">
        <f>Model!AS180</f>
        <v>171.66482527106268</v>
      </c>
      <c r="AL407">
        <f>Model!AT180</f>
        <v>123.07313906099489</v>
      </c>
      <c r="AM407">
        <f>Model!AU180</f>
        <v>112.45411273744639</v>
      </c>
      <c r="AN407">
        <f>Model!AV180</f>
        <v>0</v>
      </c>
      <c r="AO407">
        <f>Model!AW180</f>
        <v>0</v>
      </c>
    </row>
    <row r="408" spans="1:41">
      <c r="A408" t="str">
        <f>Model!I181</f>
        <v>Working Capital</v>
      </c>
      <c r="B408">
        <f>Model!J181</f>
        <v>0</v>
      </c>
      <c r="C408">
        <f>Model!K181</f>
        <v>0</v>
      </c>
      <c r="D408">
        <f>Model!L181</f>
        <v>0</v>
      </c>
      <c r="E408">
        <f>Model!M181</f>
        <v>0</v>
      </c>
      <c r="F408">
        <f>Model!N181</f>
        <v>0</v>
      </c>
      <c r="G408">
        <f>Model!O181</f>
        <v>0</v>
      </c>
      <c r="H408">
        <f>Model!P181</f>
        <v>0</v>
      </c>
      <c r="I408">
        <f>Model!Q181</f>
        <v>0</v>
      </c>
      <c r="J408">
        <f>Model!R181</f>
        <v>0</v>
      </c>
      <c r="K408">
        <f>Model!S181</f>
        <v>0</v>
      </c>
      <c r="L408">
        <f>Model!T181</f>
        <v>0</v>
      </c>
      <c r="M408">
        <f>Model!U181</f>
        <v>0</v>
      </c>
      <c r="N408">
        <f>Model!V181</f>
        <v>0</v>
      </c>
      <c r="O408">
        <f>Model!W181</f>
        <v>0</v>
      </c>
      <c r="P408">
        <f>Model!X181</f>
        <v>0</v>
      </c>
      <c r="Q408">
        <f>Model!Y181</f>
        <v>0</v>
      </c>
      <c r="R408">
        <f>Model!Z181</f>
        <v>48.864999999999995</v>
      </c>
      <c r="S408">
        <f>Model!AA181</f>
        <v>-20.252999999999986</v>
      </c>
      <c r="T408">
        <f>Model!AB181</f>
        <v>2.6539999999999822</v>
      </c>
      <c r="U408">
        <f>Model!AC181</f>
        <v>-20.201000000000001</v>
      </c>
      <c r="V408">
        <f>Model!AD181</f>
        <v>-174.75427031060102</v>
      </c>
      <c r="W408">
        <f>Model!AE181</f>
        <v>13.656625190951203</v>
      </c>
      <c r="X408">
        <f>Model!AF181</f>
        <v>-18.884223588512214</v>
      </c>
      <c r="Y408">
        <f>Model!AG181</f>
        <v>-60.88354636690282</v>
      </c>
      <c r="Z408">
        <f>Model!AH181</f>
        <v>0</v>
      </c>
      <c r="AA408">
        <f>Model!AI181</f>
        <v>0</v>
      </c>
      <c r="AB408">
        <f>Model!AJ181</f>
        <v>0</v>
      </c>
      <c r="AC408">
        <f>Model!AK181</f>
        <v>-15.485999999999997</v>
      </c>
      <c r="AD408">
        <f>Model!AL181</f>
        <v>-150.49600000000001</v>
      </c>
      <c r="AE408">
        <f>Model!AM181</f>
        <v>11.064999999999998</v>
      </c>
      <c r="AF408">
        <f>Model!AN181</f>
        <v>-240.86541507506485</v>
      </c>
      <c r="AG408">
        <f>Model!AO181</f>
        <v>355.61407437479829</v>
      </c>
      <c r="AH408">
        <f>Model!AP181</f>
        <v>529.54544149653702</v>
      </c>
      <c r="AI408">
        <f>Model!AQ181</f>
        <v>270.01822759704976</v>
      </c>
      <c r="AJ408">
        <f>Model!AR181</f>
        <v>49.654270163442447</v>
      </c>
      <c r="AK408">
        <f>Model!AS181</f>
        <v>-81.307180702197002</v>
      </c>
      <c r="AL408">
        <f>Model!AT181</f>
        <v>-127.54717489400733</v>
      </c>
      <c r="AM408">
        <f>Model!AU181</f>
        <v>-136.59222984265236</v>
      </c>
      <c r="AN408">
        <f>Model!AV181</f>
        <v>0</v>
      </c>
      <c r="AO408">
        <f>Model!AW181</f>
        <v>0</v>
      </c>
    </row>
    <row r="409" spans="1:41">
      <c r="A409">
        <f>Model!I182</f>
        <v>0</v>
      </c>
      <c r="B409">
        <f>Model!J182</f>
        <v>0</v>
      </c>
      <c r="C409">
        <f>Model!K182</f>
        <v>0</v>
      </c>
      <c r="D409">
        <f>Model!L182</f>
        <v>0</v>
      </c>
      <c r="E409">
        <f>Model!M182</f>
        <v>0</v>
      </c>
      <c r="F409">
        <f>Model!N182</f>
        <v>0</v>
      </c>
      <c r="G409">
        <f>Model!O182</f>
        <v>0</v>
      </c>
      <c r="H409">
        <f>Model!P182</f>
        <v>0</v>
      </c>
      <c r="I409">
        <f>Model!Q182</f>
        <v>0</v>
      </c>
      <c r="J409">
        <f>Model!R182</f>
        <v>0</v>
      </c>
      <c r="K409">
        <f>Model!S182</f>
        <v>0</v>
      </c>
      <c r="L409">
        <f>Model!T182</f>
        <v>0</v>
      </c>
      <c r="M409">
        <f>Model!U182</f>
        <v>0</v>
      </c>
      <c r="N409">
        <f>Model!V182</f>
        <v>0</v>
      </c>
      <c r="O409">
        <f>Model!W182</f>
        <v>0</v>
      </c>
      <c r="P409">
        <f>Model!X182</f>
        <v>0</v>
      </c>
      <c r="Q409">
        <f>Model!Y182</f>
        <v>0</v>
      </c>
      <c r="R409">
        <f>Model!Z182</f>
        <v>0</v>
      </c>
      <c r="S409">
        <f>Model!AA182</f>
        <v>0</v>
      </c>
      <c r="T409">
        <f>Model!AB182</f>
        <v>0</v>
      </c>
      <c r="U409">
        <f>Model!AC182</f>
        <v>0</v>
      </c>
      <c r="V409">
        <f>Model!AD182</f>
        <v>0</v>
      </c>
      <c r="W409">
        <f>Model!AE182</f>
        <v>0</v>
      </c>
      <c r="X409">
        <f>Model!AF182</f>
        <v>0</v>
      </c>
      <c r="Y409">
        <f>Model!AG182</f>
        <v>0</v>
      </c>
      <c r="Z409">
        <f>Model!AH182</f>
        <v>0</v>
      </c>
      <c r="AA409">
        <f>Model!AI182</f>
        <v>0</v>
      </c>
      <c r="AB409">
        <f>Model!AJ182</f>
        <v>0</v>
      </c>
      <c r="AC409">
        <f>Model!AK182</f>
        <v>0</v>
      </c>
      <c r="AD409">
        <f>Model!AL182</f>
        <v>0</v>
      </c>
      <c r="AE409">
        <f>Model!AM182</f>
        <v>0</v>
      </c>
      <c r="AF409">
        <f>Model!AN182</f>
        <v>0</v>
      </c>
      <c r="AG409">
        <f>Model!AO182</f>
        <v>0</v>
      </c>
      <c r="AH409">
        <f>Model!AP182</f>
        <v>0</v>
      </c>
      <c r="AI409">
        <f>Model!AQ182</f>
        <v>0</v>
      </c>
      <c r="AJ409">
        <f>Model!AR182</f>
        <v>0</v>
      </c>
      <c r="AK409">
        <f>Model!AS182</f>
        <v>0</v>
      </c>
      <c r="AL409">
        <f>Model!AT182</f>
        <v>0</v>
      </c>
      <c r="AM409">
        <f>Model!AU182</f>
        <v>0</v>
      </c>
      <c r="AN409">
        <f>Model!AV182</f>
        <v>0</v>
      </c>
      <c r="AO409">
        <f>Model!AW182</f>
        <v>0</v>
      </c>
    </row>
    <row r="410" spans="1:41">
      <c r="A410" t="str">
        <f>Model!I183</f>
        <v>Funds from operations</v>
      </c>
      <c r="B410">
        <f>Model!J183</f>
        <v>0</v>
      </c>
      <c r="C410">
        <f>Model!K183</f>
        <v>0</v>
      </c>
      <c r="D410">
        <f>Model!L183</f>
        <v>0</v>
      </c>
      <c r="E410">
        <f>Model!M183</f>
        <v>0</v>
      </c>
      <c r="F410">
        <f>Model!N183</f>
        <v>0</v>
      </c>
      <c r="G410">
        <f>Model!O183</f>
        <v>0</v>
      </c>
      <c r="H410">
        <f>Model!P183</f>
        <v>0</v>
      </c>
      <c r="I410">
        <f>Model!Q183</f>
        <v>0</v>
      </c>
      <c r="J410">
        <f>Model!R183</f>
        <v>0</v>
      </c>
      <c r="K410">
        <f>Model!S183</f>
        <v>0</v>
      </c>
      <c r="L410">
        <f>Model!T183</f>
        <v>0</v>
      </c>
      <c r="M410">
        <f>Model!U183</f>
        <v>0</v>
      </c>
      <c r="N410">
        <f>Model!V183</f>
        <v>0</v>
      </c>
      <c r="O410">
        <f>Model!W183</f>
        <v>0</v>
      </c>
      <c r="P410">
        <f>Model!X183</f>
        <v>0</v>
      </c>
      <c r="Q410">
        <f>Model!Y183</f>
        <v>0</v>
      </c>
      <c r="R410">
        <f>Model!Z183</f>
        <v>-154.99700000000007</v>
      </c>
      <c r="S410">
        <f>Model!AA183</f>
        <v>-209.57400000000027</v>
      </c>
      <c r="T410">
        <f>Model!AB183</f>
        <v>-194.01299999999981</v>
      </c>
      <c r="U410">
        <f>Model!AC183</f>
        <v>-176.08300000000014</v>
      </c>
      <c r="V410">
        <f>Model!AD183</f>
        <v>-388.87845886481784</v>
      </c>
      <c r="W410">
        <f>Model!AE183</f>
        <v>-178.53798354468103</v>
      </c>
      <c r="X410">
        <f>Model!AF183</f>
        <v>-219.76611323026526</v>
      </c>
      <c r="Y410">
        <f>Model!AG183</f>
        <v>-203.09627825861833</v>
      </c>
      <c r="Z410">
        <f>Model!AH183</f>
        <v>0</v>
      </c>
      <c r="AA410">
        <f>Model!AI183</f>
        <v>0</v>
      </c>
      <c r="AB410">
        <f>Model!AJ183</f>
        <v>0</v>
      </c>
      <c r="AC410">
        <f>Model!AK183</f>
        <v>-306.62200000000001</v>
      </c>
      <c r="AD410">
        <f>Model!AL183</f>
        <v>-611.245</v>
      </c>
      <c r="AE410">
        <f>Model!AM183</f>
        <v>-734.66700000000037</v>
      </c>
      <c r="AF410">
        <f>Model!AN183</f>
        <v>-990.27883389838235</v>
      </c>
      <c r="AG410">
        <f>Model!AO183</f>
        <v>-76.237624246585483</v>
      </c>
      <c r="AH410">
        <f>Model!AP183</f>
        <v>365.96461037725908</v>
      </c>
      <c r="AI410">
        <f>Model!AQ183</f>
        <v>501.05350462196441</v>
      </c>
      <c r="AJ410">
        <f>Model!AR183</f>
        <v>754.75879422761943</v>
      </c>
      <c r="AK410">
        <f>Model!AS183</f>
        <v>1057.6643027257483</v>
      </c>
      <c r="AL410">
        <f>Model!AT183</f>
        <v>1440.6232346943223</v>
      </c>
      <c r="AM410">
        <f>Model!AU183</f>
        <v>1845.872268792989</v>
      </c>
      <c r="AN410">
        <f>Model!AV183</f>
        <v>0</v>
      </c>
      <c r="AO410">
        <f>Model!AW183</f>
        <v>0</v>
      </c>
    </row>
    <row r="411" spans="1:41">
      <c r="A411">
        <f>Model!I184</f>
        <v>0</v>
      </c>
      <c r="B411">
        <f>Model!J184</f>
        <v>0</v>
      </c>
      <c r="C411">
        <f>Model!K184</f>
        <v>0</v>
      </c>
      <c r="D411">
        <f>Model!L184</f>
        <v>0</v>
      </c>
      <c r="E411">
        <f>Model!M184</f>
        <v>0</v>
      </c>
      <c r="F411">
        <f>Model!N184</f>
        <v>0</v>
      </c>
      <c r="G411">
        <f>Model!O184</f>
        <v>0</v>
      </c>
      <c r="H411">
        <f>Model!P184</f>
        <v>0</v>
      </c>
      <c r="I411">
        <f>Model!Q184</f>
        <v>0</v>
      </c>
      <c r="J411">
        <f>Model!R184</f>
        <v>0</v>
      </c>
      <c r="K411">
        <f>Model!S184</f>
        <v>0</v>
      </c>
      <c r="L411">
        <f>Model!T184</f>
        <v>0</v>
      </c>
      <c r="M411">
        <f>Model!U184</f>
        <v>0</v>
      </c>
      <c r="N411">
        <f>Model!V184</f>
        <v>0</v>
      </c>
      <c r="O411">
        <f>Model!W184</f>
        <v>0</v>
      </c>
      <c r="P411">
        <f>Model!X184</f>
        <v>0</v>
      </c>
      <c r="Q411">
        <f>Model!Y184</f>
        <v>0</v>
      </c>
      <c r="R411">
        <f>Model!Z184</f>
        <v>0</v>
      </c>
      <c r="S411">
        <f>Model!AA184</f>
        <v>0</v>
      </c>
      <c r="T411">
        <f>Model!AB184</f>
        <v>0</v>
      </c>
      <c r="U411">
        <f>Model!AC184</f>
        <v>0</v>
      </c>
      <c r="V411">
        <f>Model!AD184</f>
        <v>0</v>
      </c>
      <c r="W411">
        <f>Model!AE184</f>
        <v>0</v>
      </c>
      <c r="X411">
        <f>Model!AF184</f>
        <v>0</v>
      </c>
      <c r="Y411">
        <f>Model!AG184</f>
        <v>0</v>
      </c>
      <c r="Z411">
        <f>Model!AH184</f>
        <v>0</v>
      </c>
      <c r="AA411">
        <f>Model!AI184</f>
        <v>0</v>
      </c>
      <c r="AB411">
        <f>Model!AJ184</f>
        <v>0</v>
      </c>
      <c r="AC411">
        <f>Model!AK184</f>
        <v>0</v>
      </c>
      <c r="AD411">
        <f>Model!AL184</f>
        <v>0</v>
      </c>
      <c r="AE411">
        <f>Model!AM184</f>
        <v>0</v>
      </c>
      <c r="AF411">
        <f>Model!AN184</f>
        <v>0</v>
      </c>
      <c r="AG411">
        <f>Model!AO184</f>
        <v>0</v>
      </c>
      <c r="AH411">
        <f>Model!AP184</f>
        <v>0</v>
      </c>
      <c r="AI411">
        <f>Model!AQ184</f>
        <v>0</v>
      </c>
      <c r="AJ411">
        <f>Model!AR184</f>
        <v>0</v>
      </c>
      <c r="AK411">
        <f>Model!AS184</f>
        <v>0</v>
      </c>
      <c r="AL411">
        <f>Model!AT184</f>
        <v>0</v>
      </c>
      <c r="AM411">
        <f>Model!AU184</f>
        <v>0</v>
      </c>
      <c r="AN411">
        <f>Model!AV184</f>
        <v>0</v>
      </c>
      <c r="AO411">
        <f>Model!AW184</f>
        <v>0</v>
      </c>
    </row>
    <row r="412" spans="1:41">
      <c r="A412" t="str">
        <f>Model!I185</f>
        <v xml:space="preserve">Cash Flow from Investing </v>
      </c>
      <c r="B412">
        <f>Model!J185</f>
        <v>0</v>
      </c>
      <c r="C412">
        <f>Model!K185</f>
        <v>0</v>
      </c>
      <c r="D412">
        <f>Model!L185</f>
        <v>0</v>
      </c>
      <c r="E412">
        <f>Model!M185</f>
        <v>0</v>
      </c>
      <c r="F412">
        <f>Model!N185</f>
        <v>0</v>
      </c>
      <c r="G412">
        <f>Model!O185</f>
        <v>0</v>
      </c>
      <c r="H412">
        <f>Model!P185</f>
        <v>0</v>
      </c>
      <c r="I412">
        <f>Model!Q185</f>
        <v>0</v>
      </c>
      <c r="J412">
        <f>Model!R185</f>
        <v>0</v>
      </c>
      <c r="K412">
        <f>Model!S185</f>
        <v>0</v>
      </c>
      <c r="L412">
        <f>Model!T185</f>
        <v>0</v>
      </c>
      <c r="M412">
        <f>Model!U185</f>
        <v>0</v>
      </c>
      <c r="N412">
        <f>Model!V185</f>
        <v>0</v>
      </c>
      <c r="O412">
        <f>Model!W185</f>
        <v>0</v>
      </c>
      <c r="P412">
        <f>Model!X185</f>
        <v>0</v>
      </c>
      <c r="Q412">
        <f>Model!Y185</f>
        <v>0</v>
      </c>
      <c r="R412">
        <f>Model!Z185</f>
        <v>0</v>
      </c>
      <c r="S412">
        <f>Model!AA185</f>
        <v>0</v>
      </c>
      <c r="T412">
        <f>Model!AB185</f>
        <v>0</v>
      </c>
      <c r="U412">
        <f>Model!AC185</f>
        <v>0</v>
      </c>
      <c r="V412">
        <f>Model!AD185</f>
        <v>0</v>
      </c>
      <c r="W412">
        <f>Model!AE185</f>
        <v>0</v>
      </c>
      <c r="X412">
        <f>Model!AF185</f>
        <v>0</v>
      </c>
      <c r="Y412">
        <f>Model!AG185</f>
        <v>0</v>
      </c>
      <c r="Z412">
        <f>Model!AH185</f>
        <v>0</v>
      </c>
      <c r="AA412">
        <f>Model!AI185</f>
        <v>0</v>
      </c>
      <c r="AB412">
        <f>Model!AJ185</f>
        <v>0</v>
      </c>
      <c r="AC412">
        <f>Model!AK185</f>
        <v>0</v>
      </c>
      <c r="AD412">
        <f>Model!AL185</f>
        <v>0</v>
      </c>
      <c r="AE412">
        <f>Model!AM185</f>
        <v>0</v>
      </c>
      <c r="AF412">
        <f>Model!AN185</f>
        <v>0</v>
      </c>
      <c r="AG412">
        <f>Model!AO185</f>
        <v>0</v>
      </c>
      <c r="AH412">
        <f>Model!AP185</f>
        <v>0</v>
      </c>
      <c r="AI412">
        <f>Model!AQ185</f>
        <v>0</v>
      </c>
      <c r="AJ412">
        <f>Model!AR185</f>
        <v>0</v>
      </c>
      <c r="AK412">
        <f>Model!AS185</f>
        <v>0</v>
      </c>
      <c r="AL412">
        <f>Model!AT185</f>
        <v>0</v>
      </c>
      <c r="AM412">
        <f>Model!AU185</f>
        <v>0</v>
      </c>
      <c r="AN412">
        <f>Model!AV185</f>
        <v>0</v>
      </c>
      <c r="AO412">
        <f>Model!AW185</f>
        <v>0</v>
      </c>
    </row>
    <row r="413" spans="1:41">
      <c r="A413" t="str">
        <f>Model!I186</f>
        <v xml:space="preserve">Purchases of property and equipment </v>
      </c>
      <c r="B413">
        <f>Model!J186</f>
        <v>0</v>
      </c>
      <c r="C413">
        <f>Model!K186</f>
        <v>0</v>
      </c>
      <c r="D413">
        <f>Model!L186</f>
        <v>0</v>
      </c>
      <c r="E413">
        <f>Model!M186</f>
        <v>0</v>
      </c>
      <c r="F413">
        <f>Model!N186</f>
        <v>0</v>
      </c>
      <c r="G413">
        <f>Model!O186</f>
        <v>0</v>
      </c>
      <c r="H413">
        <f>Model!P186</f>
        <v>0</v>
      </c>
      <c r="I413">
        <f>Model!Q186</f>
        <v>0</v>
      </c>
      <c r="J413">
        <f>Model!R186</f>
        <v>-1.5680000000000001</v>
      </c>
      <c r="K413">
        <f>Model!S186</f>
        <v>-8.4730000000000008</v>
      </c>
      <c r="L413">
        <f>Model!T186</f>
        <v>-4.3520000000000003</v>
      </c>
      <c r="M413">
        <f>Model!U186</f>
        <v>-4.8120000000000003</v>
      </c>
      <c r="N413">
        <f>Model!V186</f>
        <v>-12.452</v>
      </c>
      <c r="O413">
        <f>Model!W186</f>
        <v>-16.420999999999999</v>
      </c>
      <c r="P413">
        <f>Model!X186</f>
        <v>-17.192</v>
      </c>
      <c r="Q413">
        <f>Model!Y186</f>
        <v>-20.576000000000001</v>
      </c>
      <c r="R413">
        <f>Model!Z186</f>
        <v>-17.992999999999999</v>
      </c>
      <c r="S413">
        <f>Model!AA186</f>
        <v>-19.364999999999998</v>
      </c>
      <c r="T413">
        <f>Model!AB186</f>
        <v>-25.948000000000004</v>
      </c>
      <c r="U413">
        <f>Model!AC186</f>
        <v>-21.212</v>
      </c>
      <c r="V413">
        <f>Model!AD186</f>
        <v>-21.492999999999999</v>
      </c>
      <c r="W413">
        <f>Model!AE186</f>
        <v>-22.864999999999998</v>
      </c>
      <c r="X413">
        <f>Model!AF186</f>
        <v>-29.448000000000004</v>
      </c>
      <c r="Y413">
        <f>Model!AG186</f>
        <v>-24.712</v>
      </c>
      <c r="Z413">
        <f>Model!AH186</f>
        <v>0</v>
      </c>
      <c r="AA413">
        <f>Model!AI186</f>
        <v>0</v>
      </c>
      <c r="AB413">
        <f>Model!AJ186</f>
        <v>0</v>
      </c>
      <c r="AC413">
        <f>Model!AK186</f>
        <v>-19.204999999999998</v>
      </c>
      <c r="AD413">
        <f>Model!AL186</f>
        <v>-66.441000000000003</v>
      </c>
      <c r="AE413">
        <f>Model!AM186</f>
        <v>-84.518000000000001</v>
      </c>
      <c r="AF413">
        <f>Model!AN186</f>
        <v>-98.518000000000001</v>
      </c>
      <c r="AG413">
        <f>Model!AO186</f>
        <v>-111.518</v>
      </c>
      <c r="AH413">
        <f>Model!AP186</f>
        <v>-123.518</v>
      </c>
      <c r="AI413">
        <f>Model!AQ186</f>
        <v>-134.518</v>
      </c>
      <c r="AJ413">
        <f>Model!AR186</f>
        <v>-145.518</v>
      </c>
      <c r="AK413">
        <f>Model!AS186</f>
        <v>-154.518</v>
      </c>
      <c r="AL413">
        <f>Model!AT186</f>
        <v>-162.518</v>
      </c>
      <c r="AM413">
        <f>Model!AU186</f>
        <v>-169.518</v>
      </c>
      <c r="AN413">
        <f>Model!AV186</f>
        <v>0</v>
      </c>
      <c r="AO413">
        <f>Model!AW186</f>
        <v>0</v>
      </c>
    </row>
    <row r="414" spans="1:41">
      <c r="A414" t="str">
        <f>Model!I187</f>
        <v xml:space="preserve">Purchases of intangible assets </v>
      </c>
      <c r="B414">
        <f>Model!J187</f>
        <v>0</v>
      </c>
      <c r="C414">
        <f>Model!K187</f>
        <v>0</v>
      </c>
      <c r="D414">
        <f>Model!L187</f>
        <v>0</v>
      </c>
      <c r="E414">
        <f>Model!M187</f>
        <v>0</v>
      </c>
      <c r="F414">
        <f>Model!N187</f>
        <v>0</v>
      </c>
      <c r="G414">
        <f>Model!O187</f>
        <v>0</v>
      </c>
      <c r="H414">
        <f>Model!P187</f>
        <v>0</v>
      </c>
      <c r="I414">
        <f>Model!Q187</f>
        <v>0</v>
      </c>
      <c r="J414">
        <f>Model!R187</f>
        <v>0</v>
      </c>
      <c r="K414">
        <f>Model!S187</f>
        <v>0</v>
      </c>
      <c r="L414">
        <f>Model!T187</f>
        <v>0</v>
      </c>
      <c r="M414">
        <f>Model!U187</f>
        <v>0</v>
      </c>
      <c r="N414">
        <f>Model!V187</f>
        <v>0</v>
      </c>
      <c r="O414">
        <f>Model!W187</f>
        <v>0</v>
      </c>
      <c r="P414">
        <f>Model!X187</f>
        <v>0</v>
      </c>
      <c r="Q414">
        <f>Model!Y187</f>
        <v>0</v>
      </c>
      <c r="R414">
        <f>Model!Z187</f>
        <v>0</v>
      </c>
      <c r="S414">
        <f>Model!AA187</f>
        <v>-7.72</v>
      </c>
      <c r="T414">
        <f>Model!AB187</f>
        <v>-0.3050000000000006</v>
      </c>
      <c r="U414">
        <f>Model!AC187</f>
        <v>-8.1999999999998963E-2</v>
      </c>
      <c r="V414">
        <f>Model!AD187</f>
        <v>0</v>
      </c>
      <c r="W414">
        <f>Model!AE187</f>
        <v>0</v>
      </c>
      <c r="X414">
        <f>Model!AF187</f>
        <v>0</v>
      </c>
      <c r="Y414">
        <f>Model!AG187</f>
        <v>0</v>
      </c>
      <c r="Z414">
        <f>Model!AH187</f>
        <v>0</v>
      </c>
      <c r="AA414">
        <f>Model!AI187</f>
        <v>0</v>
      </c>
      <c r="AB414">
        <f>Model!AJ187</f>
        <v>0</v>
      </c>
      <c r="AC414">
        <f>Model!AK187</f>
        <v>-9.1</v>
      </c>
      <c r="AD414">
        <f>Model!AL187</f>
        <v>-0.57199999999999995</v>
      </c>
      <c r="AE414">
        <f>Model!AM187</f>
        <v>-8.1069999999999993</v>
      </c>
      <c r="AF414">
        <f>Model!AN187</f>
        <v>0</v>
      </c>
      <c r="AG414">
        <f>Model!AO187</f>
        <v>0</v>
      </c>
      <c r="AH414">
        <f>Model!AP187</f>
        <v>0</v>
      </c>
      <c r="AI414">
        <f>Model!AQ187</f>
        <v>0</v>
      </c>
      <c r="AJ414">
        <f>Model!AR187</f>
        <v>0</v>
      </c>
      <c r="AK414">
        <f>Model!AS187</f>
        <v>0</v>
      </c>
      <c r="AL414">
        <f>Model!AT187</f>
        <v>0</v>
      </c>
      <c r="AM414">
        <f>Model!AU187</f>
        <v>0</v>
      </c>
      <c r="AN414">
        <f>Model!AV187</f>
        <v>0</v>
      </c>
      <c r="AO414">
        <f>Model!AW187</f>
        <v>0</v>
      </c>
    </row>
    <row r="415" spans="1:41">
      <c r="A415" t="str">
        <f>Model!I188</f>
        <v xml:space="preserve">Non-marketable investments </v>
      </c>
      <c r="B415">
        <f>Model!J188</f>
        <v>0</v>
      </c>
      <c r="C415">
        <f>Model!K188</f>
        <v>0</v>
      </c>
      <c r="D415">
        <f>Model!L188</f>
        <v>0</v>
      </c>
      <c r="E415">
        <f>Model!M188</f>
        <v>0</v>
      </c>
      <c r="F415">
        <f>Model!N188</f>
        <v>0</v>
      </c>
      <c r="G415">
        <f>Model!O188</f>
        <v>0</v>
      </c>
      <c r="H415">
        <f>Model!P188</f>
        <v>0</v>
      </c>
      <c r="I415">
        <f>Model!Q188</f>
        <v>0</v>
      </c>
      <c r="J415">
        <f>Model!R188</f>
        <v>0</v>
      </c>
      <c r="K415">
        <f>Model!S188</f>
        <v>0</v>
      </c>
      <c r="L415">
        <f>Model!T188</f>
        <v>0</v>
      </c>
      <c r="M415">
        <f>Model!U188</f>
        <v>0</v>
      </c>
      <c r="N415">
        <f>Model!V188</f>
        <v>0</v>
      </c>
      <c r="O415">
        <f>Model!W188</f>
        <v>0</v>
      </c>
      <c r="P415">
        <f>Model!X188</f>
        <v>0</v>
      </c>
      <c r="Q415">
        <f>Model!Y188</f>
        <v>0</v>
      </c>
      <c r="R415">
        <f>Model!Z188</f>
        <v>-0.625</v>
      </c>
      <c r="S415">
        <f>Model!AA188</f>
        <v>-6.9050000000000002</v>
      </c>
      <c r="T415">
        <f>Model!AB188</f>
        <v>0</v>
      </c>
      <c r="U415">
        <f>Model!AC188</f>
        <v>-2.4999999999999991</v>
      </c>
      <c r="V415">
        <f>Model!AD188</f>
        <v>0</v>
      </c>
      <c r="W415">
        <f>Model!AE188</f>
        <v>0</v>
      </c>
      <c r="X415">
        <f>Model!AF188</f>
        <v>0</v>
      </c>
      <c r="Y415">
        <f>Model!AG188</f>
        <v>0</v>
      </c>
      <c r="Z415">
        <f>Model!AH188</f>
        <v>0</v>
      </c>
      <c r="AA415">
        <f>Model!AI188</f>
        <v>0</v>
      </c>
      <c r="AB415">
        <f>Model!AJ188</f>
        <v>0</v>
      </c>
      <c r="AC415">
        <f>Model!AK188</f>
        <v>-9.5510000000000002</v>
      </c>
      <c r="AD415">
        <f>Model!AL188</f>
        <v>-6.5129999999999999</v>
      </c>
      <c r="AE415">
        <f>Model!AM188</f>
        <v>-10.029999999999999</v>
      </c>
      <c r="AF415">
        <f>Model!AN188</f>
        <v>0</v>
      </c>
      <c r="AG415">
        <f>Model!AO188</f>
        <v>0</v>
      </c>
      <c r="AH415">
        <f>Model!AP188</f>
        <v>0</v>
      </c>
      <c r="AI415">
        <f>Model!AQ188</f>
        <v>0</v>
      </c>
      <c r="AJ415">
        <f>Model!AR188</f>
        <v>0</v>
      </c>
      <c r="AK415">
        <f>Model!AS188</f>
        <v>0</v>
      </c>
      <c r="AL415">
        <f>Model!AT188</f>
        <v>0</v>
      </c>
      <c r="AM415">
        <f>Model!AU188</f>
        <v>0</v>
      </c>
      <c r="AN415">
        <f>Model!AV188</f>
        <v>0</v>
      </c>
      <c r="AO415">
        <f>Model!AW188</f>
        <v>0</v>
      </c>
    </row>
    <row r="416" spans="1:41">
      <c r="A416" t="str">
        <f>Model!I189</f>
        <v xml:space="preserve">Cash paid for acquisitions, net of cash </v>
      </c>
      <c r="B416">
        <f>Model!J189</f>
        <v>0</v>
      </c>
      <c r="C416">
        <f>Model!K189</f>
        <v>0</v>
      </c>
      <c r="D416">
        <f>Model!L189</f>
        <v>0</v>
      </c>
      <c r="E416">
        <f>Model!M189</f>
        <v>0</v>
      </c>
      <c r="F416">
        <f>Model!N189</f>
        <v>0</v>
      </c>
      <c r="G416">
        <f>Model!O189</f>
        <v>0</v>
      </c>
      <c r="H416">
        <f>Model!P189</f>
        <v>0</v>
      </c>
      <c r="I416">
        <f>Model!Q189</f>
        <v>0</v>
      </c>
      <c r="J416">
        <f>Model!R189</f>
        <v>0</v>
      </c>
      <c r="K416">
        <f>Model!S189</f>
        <v>0</v>
      </c>
      <c r="L416">
        <f>Model!T189</f>
        <v>0</v>
      </c>
      <c r="M416">
        <f>Model!U189</f>
        <v>0</v>
      </c>
      <c r="N416">
        <f>Model!V189</f>
        <v>0</v>
      </c>
      <c r="O416">
        <f>Model!W189</f>
        <v>0</v>
      </c>
      <c r="P416">
        <f>Model!X189</f>
        <v>0</v>
      </c>
      <c r="Q416">
        <f>Model!Y189</f>
        <v>0</v>
      </c>
      <c r="R416">
        <f>Model!Z189</f>
        <v>-18.013000000000002</v>
      </c>
      <c r="S416">
        <f>Model!AA189</f>
        <v>-206.16299999999998</v>
      </c>
      <c r="T416">
        <f>Model!AB189</f>
        <v>-128.23099999999999</v>
      </c>
      <c r="U416">
        <f>Model!AC189</f>
        <v>-33.604000000000042</v>
      </c>
      <c r="V416">
        <f>Model!AD189</f>
        <v>0</v>
      </c>
      <c r="W416">
        <f>Model!AE189</f>
        <v>0</v>
      </c>
      <c r="X416">
        <f>Model!AF189</f>
        <v>0</v>
      </c>
      <c r="Y416">
        <f>Model!AG189</f>
        <v>0</v>
      </c>
      <c r="Z416">
        <f>Model!AH189</f>
        <v>0</v>
      </c>
      <c r="AA416">
        <f>Model!AI189</f>
        <v>0</v>
      </c>
      <c r="AB416">
        <f>Model!AJ189</f>
        <v>0</v>
      </c>
      <c r="AC416">
        <f>Model!AK189</f>
        <v>-48.73</v>
      </c>
      <c r="AD416">
        <f>Model!AL189</f>
        <v>-104.001</v>
      </c>
      <c r="AE416">
        <f>Model!AM189</f>
        <v>-386.01100000000002</v>
      </c>
      <c r="AF416">
        <f>Model!AN189</f>
        <v>0</v>
      </c>
      <c r="AG416">
        <f>Model!AO189</f>
        <v>0</v>
      </c>
      <c r="AH416">
        <f>Model!AP189</f>
        <v>0</v>
      </c>
      <c r="AI416">
        <f>Model!AQ189</f>
        <v>0</v>
      </c>
      <c r="AJ416">
        <f>Model!AR189</f>
        <v>0</v>
      </c>
      <c r="AK416">
        <f>Model!AS189</f>
        <v>0</v>
      </c>
      <c r="AL416">
        <f>Model!AT189</f>
        <v>0</v>
      </c>
      <c r="AM416">
        <f>Model!AU189</f>
        <v>0</v>
      </c>
      <c r="AN416">
        <f>Model!AV189</f>
        <v>0</v>
      </c>
      <c r="AO416">
        <f>Model!AW189</f>
        <v>0</v>
      </c>
    </row>
    <row r="417" spans="1:41">
      <c r="A417" t="str">
        <f>Model!I190</f>
        <v>Issuance of notes receivable from officers/stockholders</v>
      </c>
      <c r="B417">
        <f>Model!J190</f>
        <v>0</v>
      </c>
      <c r="C417">
        <f>Model!K190</f>
        <v>0</v>
      </c>
      <c r="D417">
        <f>Model!L190</f>
        <v>0</v>
      </c>
      <c r="E417">
        <f>Model!M190</f>
        <v>0</v>
      </c>
      <c r="F417">
        <f>Model!N190</f>
        <v>0</v>
      </c>
      <c r="G417">
        <f>Model!O190</f>
        <v>0</v>
      </c>
      <c r="H417">
        <f>Model!P190</f>
        <v>0</v>
      </c>
      <c r="I417">
        <f>Model!Q190</f>
        <v>0</v>
      </c>
      <c r="J417">
        <f>Model!R190</f>
        <v>0</v>
      </c>
      <c r="K417">
        <f>Model!S190</f>
        <v>0</v>
      </c>
      <c r="L417">
        <f>Model!T190</f>
        <v>0</v>
      </c>
      <c r="M417">
        <f>Model!U190</f>
        <v>0</v>
      </c>
      <c r="N417">
        <f>Model!V190</f>
        <v>0</v>
      </c>
      <c r="O417">
        <f>Model!W190</f>
        <v>0</v>
      </c>
      <c r="P417">
        <f>Model!X190</f>
        <v>0</v>
      </c>
      <c r="Q417">
        <f>Model!Y190</f>
        <v>0</v>
      </c>
      <c r="R417">
        <f>Model!Z190</f>
        <v>0</v>
      </c>
      <c r="S417">
        <f>Model!AA190</f>
        <v>0</v>
      </c>
      <c r="T417">
        <f>Model!AB190</f>
        <v>0</v>
      </c>
      <c r="U417">
        <f>Model!AC190</f>
        <v>0</v>
      </c>
      <c r="V417">
        <f>Model!AD190</f>
        <v>0</v>
      </c>
      <c r="W417">
        <f>Model!AE190</f>
        <v>0</v>
      </c>
      <c r="X417">
        <f>Model!AF190</f>
        <v>0</v>
      </c>
      <c r="Y417">
        <f>Model!AG190</f>
        <v>0</v>
      </c>
      <c r="Z417">
        <f>Model!AH190</f>
        <v>0</v>
      </c>
      <c r="AA417">
        <f>Model!AI190</f>
        <v>0</v>
      </c>
      <c r="AB417">
        <f>Model!AJ190</f>
        <v>0</v>
      </c>
      <c r="AC417">
        <f>Model!AK190</f>
        <v>-7.5</v>
      </c>
      <c r="AD417">
        <f>Model!AL190</f>
        <v>-15</v>
      </c>
      <c r="AE417">
        <f>Model!AM190</f>
        <v>0</v>
      </c>
      <c r="AF417">
        <f>Model!AN190</f>
        <v>0</v>
      </c>
      <c r="AG417">
        <f>Model!AO190</f>
        <v>0</v>
      </c>
      <c r="AH417">
        <f>Model!AP190</f>
        <v>0</v>
      </c>
      <c r="AI417">
        <f>Model!AQ190</f>
        <v>0</v>
      </c>
      <c r="AJ417">
        <f>Model!AR190</f>
        <v>0</v>
      </c>
      <c r="AK417">
        <f>Model!AS190</f>
        <v>0</v>
      </c>
      <c r="AL417">
        <f>Model!AT190</f>
        <v>0</v>
      </c>
      <c r="AM417">
        <f>Model!AU190</f>
        <v>0</v>
      </c>
      <c r="AN417">
        <f>Model!AV190</f>
        <v>0</v>
      </c>
      <c r="AO417">
        <f>Model!AW190</f>
        <v>0</v>
      </c>
    </row>
    <row r="418" spans="1:41">
      <c r="A418" t="str">
        <f>Model!I191</f>
        <v>Repayment of notes receivables from officers/stockholders</v>
      </c>
      <c r="B418">
        <f>Model!J191</f>
        <v>0</v>
      </c>
      <c r="C418">
        <f>Model!K191</f>
        <v>0</v>
      </c>
      <c r="D418">
        <f>Model!L191</f>
        <v>0</v>
      </c>
      <c r="E418">
        <f>Model!M191</f>
        <v>0</v>
      </c>
      <c r="F418">
        <f>Model!N191</f>
        <v>0</v>
      </c>
      <c r="G418">
        <f>Model!O191</f>
        <v>0</v>
      </c>
      <c r="H418">
        <f>Model!P191</f>
        <v>0</v>
      </c>
      <c r="I418">
        <f>Model!Q191</f>
        <v>0</v>
      </c>
      <c r="J418">
        <f>Model!R191</f>
        <v>0</v>
      </c>
      <c r="K418">
        <f>Model!S191</f>
        <v>0</v>
      </c>
      <c r="L418">
        <f>Model!T191</f>
        <v>0</v>
      </c>
      <c r="M418">
        <f>Model!U191</f>
        <v>0</v>
      </c>
      <c r="N418">
        <f>Model!V191</f>
        <v>0</v>
      </c>
      <c r="O418">
        <f>Model!W191</f>
        <v>0</v>
      </c>
      <c r="P418">
        <f>Model!X191</f>
        <v>0</v>
      </c>
      <c r="Q418">
        <f>Model!Y191</f>
        <v>0</v>
      </c>
      <c r="R418">
        <f>Model!Z191</f>
        <v>0</v>
      </c>
      <c r="S418">
        <f>Model!AA191</f>
        <v>0</v>
      </c>
      <c r="T418">
        <f>Model!AB191</f>
        <v>0</v>
      </c>
      <c r="U418">
        <f>Model!AC191</f>
        <v>0</v>
      </c>
      <c r="V418">
        <f>Model!AD191</f>
        <v>0</v>
      </c>
      <c r="W418">
        <f>Model!AE191</f>
        <v>0</v>
      </c>
      <c r="X418">
        <f>Model!AF191</f>
        <v>0</v>
      </c>
      <c r="Y418">
        <f>Model!AG191</f>
        <v>0</v>
      </c>
      <c r="Z418">
        <f>Model!AH191</f>
        <v>0</v>
      </c>
      <c r="AA418">
        <f>Model!AI191</f>
        <v>0</v>
      </c>
      <c r="AB418">
        <f>Model!AJ191</f>
        <v>0</v>
      </c>
      <c r="AC418">
        <f>Model!AK191</f>
        <v>0</v>
      </c>
      <c r="AD418">
        <f>Model!AL191</f>
        <v>15</v>
      </c>
      <c r="AE418">
        <f>Model!AM191</f>
        <v>0</v>
      </c>
      <c r="AF418">
        <f>Model!AN191</f>
        <v>0</v>
      </c>
      <c r="AG418">
        <f>Model!AO191</f>
        <v>0</v>
      </c>
      <c r="AH418">
        <f>Model!AP191</f>
        <v>0</v>
      </c>
      <c r="AI418">
        <f>Model!AQ191</f>
        <v>0</v>
      </c>
      <c r="AJ418">
        <f>Model!AR191</f>
        <v>0</v>
      </c>
      <c r="AK418">
        <f>Model!AS191</f>
        <v>0</v>
      </c>
      <c r="AL418">
        <f>Model!AT191</f>
        <v>0</v>
      </c>
      <c r="AM418">
        <f>Model!AU191</f>
        <v>0</v>
      </c>
      <c r="AN418">
        <f>Model!AV191</f>
        <v>0</v>
      </c>
      <c r="AO418">
        <f>Model!AW191</f>
        <v>0</v>
      </c>
    </row>
    <row r="419" spans="1:41">
      <c r="A419" t="str">
        <f>Model!I192</f>
        <v xml:space="preserve">Purchases of marketable securities </v>
      </c>
      <c r="B419">
        <f>Model!J192</f>
        <v>0</v>
      </c>
      <c r="C419">
        <f>Model!K192</f>
        <v>0</v>
      </c>
      <c r="D419">
        <f>Model!L192</f>
        <v>0</v>
      </c>
      <c r="E419">
        <f>Model!M192</f>
        <v>0</v>
      </c>
      <c r="F419">
        <f>Model!N192</f>
        <v>0</v>
      </c>
      <c r="G419">
        <f>Model!O192</f>
        <v>0</v>
      </c>
      <c r="H419">
        <f>Model!P192</f>
        <v>0</v>
      </c>
      <c r="I419">
        <f>Model!Q192</f>
        <v>0</v>
      </c>
      <c r="J419">
        <f>Model!R192</f>
        <v>0</v>
      </c>
      <c r="K419">
        <f>Model!S192</f>
        <v>0</v>
      </c>
      <c r="L419">
        <f>Model!T192</f>
        <v>0</v>
      </c>
      <c r="M419">
        <f>Model!U192</f>
        <v>0</v>
      </c>
      <c r="N419">
        <f>Model!V192</f>
        <v>0</v>
      </c>
      <c r="O419">
        <f>Model!W192</f>
        <v>0</v>
      </c>
      <c r="P419">
        <f>Model!X192</f>
        <v>0</v>
      </c>
      <c r="Q419">
        <f>Model!Y192</f>
        <v>0</v>
      </c>
      <c r="R419">
        <f>Model!Z192</f>
        <v>-1423.2139999999999</v>
      </c>
      <c r="S419">
        <f>Model!AA192</f>
        <v>-1319.1559999999999</v>
      </c>
      <c r="T419">
        <f>Model!AB192</f>
        <v>-670.40599999999995</v>
      </c>
      <c r="U419">
        <f>Model!AC192</f>
        <v>-449.86100000000033</v>
      </c>
      <c r="V419">
        <f>Model!AD192</f>
        <v>0</v>
      </c>
      <c r="W419">
        <f>Model!AE192</f>
        <v>0</v>
      </c>
      <c r="X419">
        <f>Model!AF192</f>
        <v>0</v>
      </c>
      <c r="Y419">
        <f>Model!AG192</f>
        <v>0</v>
      </c>
      <c r="Z419">
        <f>Model!AH192</f>
        <v>0</v>
      </c>
      <c r="AA419">
        <f>Model!AI192</f>
        <v>0</v>
      </c>
      <c r="AB419">
        <f>Model!AJ192</f>
        <v>0</v>
      </c>
      <c r="AC419">
        <f>Model!AK192</f>
        <v>0</v>
      </c>
      <c r="AD419">
        <f>Model!AL192</f>
        <v>-1565.347</v>
      </c>
      <c r="AE419">
        <f>Model!AM192</f>
        <v>-3862.6370000000002</v>
      </c>
      <c r="AF419">
        <f>Model!AN192</f>
        <v>0</v>
      </c>
      <c r="AG419">
        <f>Model!AO192</f>
        <v>0</v>
      </c>
      <c r="AH419">
        <f>Model!AP192</f>
        <v>0</v>
      </c>
      <c r="AI419">
        <f>Model!AQ192</f>
        <v>0</v>
      </c>
      <c r="AJ419">
        <f>Model!AR192</f>
        <v>0</v>
      </c>
      <c r="AK419">
        <f>Model!AS192</f>
        <v>0</v>
      </c>
      <c r="AL419">
        <f>Model!AT192</f>
        <v>0</v>
      </c>
      <c r="AM419">
        <f>Model!AU192</f>
        <v>0</v>
      </c>
      <c r="AN419">
        <f>Model!AV192</f>
        <v>0</v>
      </c>
      <c r="AO419">
        <f>Model!AW192</f>
        <v>0</v>
      </c>
    </row>
    <row r="420" spans="1:41">
      <c r="A420" t="str">
        <f>Model!I193</f>
        <v>Sales of marketable securities</v>
      </c>
      <c r="B420">
        <f>Model!J193</f>
        <v>0</v>
      </c>
      <c r="C420">
        <f>Model!K193</f>
        <v>0</v>
      </c>
      <c r="D420">
        <f>Model!L193</f>
        <v>0</v>
      </c>
      <c r="E420">
        <f>Model!M193</f>
        <v>0</v>
      </c>
      <c r="F420">
        <f>Model!N193</f>
        <v>0</v>
      </c>
      <c r="G420">
        <f>Model!O193</f>
        <v>0</v>
      </c>
      <c r="H420">
        <f>Model!P193</f>
        <v>0</v>
      </c>
      <c r="I420">
        <f>Model!Q193</f>
        <v>0</v>
      </c>
      <c r="J420">
        <f>Model!R193</f>
        <v>0</v>
      </c>
      <c r="K420">
        <f>Model!S193</f>
        <v>0</v>
      </c>
      <c r="L420">
        <f>Model!T193</f>
        <v>0</v>
      </c>
      <c r="M420">
        <f>Model!U193</f>
        <v>0</v>
      </c>
      <c r="N420">
        <f>Model!V193</f>
        <v>0</v>
      </c>
      <c r="O420">
        <f>Model!W193</f>
        <v>0</v>
      </c>
      <c r="P420">
        <f>Model!X193</f>
        <v>0</v>
      </c>
      <c r="Q420">
        <f>Model!Y193</f>
        <v>0</v>
      </c>
      <c r="R420">
        <f>Model!Z193</f>
        <v>0</v>
      </c>
      <c r="S420">
        <f>Model!AA193</f>
        <v>237.095</v>
      </c>
      <c r="T420">
        <f>Model!AB193</f>
        <v>203.994</v>
      </c>
      <c r="U420">
        <f>Model!AC193</f>
        <v>69.978999999999957</v>
      </c>
      <c r="V420">
        <f>Model!AD193</f>
        <v>200</v>
      </c>
      <c r="W420">
        <f>Model!AE193</f>
        <v>300</v>
      </c>
      <c r="X420">
        <f>Model!AF193</f>
        <v>300</v>
      </c>
      <c r="Y420">
        <f>Model!AG193</f>
        <v>350</v>
      </c>
      <c r="Z420">
        <f>Model!AH193</f>
        <v>0</v>
      </c>
      <c r="AA420">
        <f>Model!AI193</f>
        <v>0</v>
      </c>
      <c r="AB420">
        <f>Model!AJ193</f>
        <v>0</v>
      </c>
      <c r="AC420">
        <f>Model!AK193</f>
        <v>0</v>
      </c>
      <c r="AD420">
        <f>Model!AL193</f>
        <v>195.898</v>
      </c>
      <c r="AE420">
        <f>Model!AM193</f>
        <v>511.06799999999998</v>
      </c>
      <c r="AF420">
        <f>Model!AN193</f>
        <v>1150</v>
      </c>
      <c r="AG420">
        <f>Model!AO193</f>
        <v>450</v>
      </c>
      <c r="AH420">
        <f>Model!AP193</f>
        <v>0</v>
      </c>
      <c r="AI420">
        <f>Model!AQ193</f>
        <v>0</v>
      </c>
      <c r="AJ420">
        <f>Model!AR193</f>
        <v>0</v>
      </c>
      <c r="AK420">
        <f>Model!AS193</f>
        <v>0</v>
      </c>
      <c r="AL420">
        <f>Model!AT193</f>
        <v>0</v>
      </c>
      <c r="AM420">
        <f>Model!AU193</f>
        <v>0</v>
      </c>
      <c r="AN420">
        <f>Model!AV193</f>
        <v>0</v>
      </c>
      <c r="AO420">
        <f>Model!AW193</f>
        <v>0</v>
      </c>
    </row>
    <row r="421" spans="1:41">
      <c r="A421" t="str">
        <f>Model!I194</f>
        <v>Maturities of marketable securities</v>
      </c>
      <c r="B421">
        <f>Model!J194</f>
        <v>0</v>
      </c>
      <c r="C421">
        <f>Model!K194</f>
        <v>0</v>
      </c>
      <c r="D421">
        <f>Model!L194</f>
        <v>0</v>
      </c>
      <c r="E421">
        <f>Model!M194</f>
        <v>0</v>
      </c>
      <c r="F421">
        <f>Model!N194</f>
        <v>0</v>
      </c>
      <c r="G421">
        <f>Model!O194</f>
        <v>0</v>
      </c>
      <c r="H421">
        <f>Model!P194</f>
        <v>0</v>
      </c>
      <c r="I421">
        <f>Model!Q194</f>
        <v>0</v>
      </c>
      <c r="J421">
        <f>Model!R194</f>
        <v>0</v>
      </c>
      <c r="K421">
        <f>Model!S194</f>
        <v>0</v>
      </c>
      <c r="L421">
        <f>Model!T194</f>
        <v>0</v>
      </c>
      <c r="M421">
        <f>Model!U194</f>
        <v>0</v>
      </c>
      <c r="N421">
        <f>Model!V194</f>
        <v>0</v>
      </c>
      <c r="O421">
        <f>Model!W194</f>
        <v>0</v>
      </c>
      <c r="P421">
        <f>Model!X194</f>
        <v>0</v>
      </c>
      <c r="Q421">
        <f>Model!Y194</f>
        <v>0</v>
      </c>
      <c r="R421">
        <f>Model!Z194</f>
        <v>445.04700000000003</v>
      </c>
      <c r="S421">
        <f>Model!AA194</f>
        <v>602.43200000000002</v>
      </c>
      <c r="T421">
        <f>Model!AB194</f>
        <v>783.84799999999996</v>
      </c>
      <c r="U421">
        <f>Model!AC194</f>
        <v>651.89799999999991</v>
      </c>
      <c r="V421">
        <f>Model!AD194</f>
        <v>0</v>
      </c>
      <c r="W421">
        <f>Model!AE194</f>
        <v>0</v>
      </c>
      <c r="X421">
        <f>Model!AF194</f>
        <v>0</v>
      </c>
      <c r="Y421">
        <f>Model!AG194</f>
        <v>0</v>
      </c>
      <c r="Z421">
        <f>Model!AH194</f>
        <v>0</v>
      </c>
      <c r="AA421">
        <f>Model!AI194</f>
        <v>0</v>
      </c>
      <c r="AB421">
        <f>Model!AJ194</f>
        <v>0</v>
      </c>
      <c r="AC421">
        <f>Model!AK194</f>
        <v>0</v>
      </c>
      <c r="AD421">
        <f>Model!AL194</f>
        <v>532.69000000000005</v>
      </c>
      <c r="AE421">
        <f>Model!AM194</f>
        <v>2483.2249999999999</v>
      </c>
      <c r="AF421">
        <f>Model!AN194</f>
        <v>0</v>
      </c>
      <c r="AG421">
        <f>Model!AO194</f>
        <v>0</v>
      </c>
      <c r="AH421">
        <f>Model!AP194</f>
        <v>0</v>
      </c>
      <c r="AI421">
        <f>Model!AQ194</f>
        <v>0</v>
      </c>
      <c r="AJ421">
        <f>Model!AR194</f>
        <v>0</v>
      </c>
      <c r="AK421">
        <f>Model!AS194</f>
        <v>0</v>
      </c>
      <c r="AL421">
        <f>Model!AT194</f>
        <v>0</v>
      </c>
      <c r="AM421">
        <f>Model!AU194</f>
        <v>0</v>
      </c>
      <c r="AN421">
        <f>Model!AV194</f>
        <v>0</v>
      </c>
      <c r="AO421">
        <f>Model!AW194</f>
        <v>0</v>
      </c>
    </row>
    <row r="422" spans="1:41">
      <c r="A422" t="str">
        <f>Model!I195</f>
        <v>Changes in restricted cash</v>
      </c>
      <c r="B422">
        <f>Model!J195</f>
        <v>0</v>
      </c>
      <c r="C422">
        <f>Model!K195</f>
        <v>0</v>
      </c>
      <c r="D422">
        <f>Model!L195</f>
        <v>0</v>
      </c>
      <c r="E422">
        <f>Model!M195</f>
        <v>0</v>
      </c>
      <c r="F422">
        <f>Model!N195</f>
        <v>0</v>
      </c>
      <c r="G422">
        <f>Model!O195</f>
        <v>0</v>
      </c>
      <c r="H422">
        <f>Model!P195</f>
        <v>0</v>
      </c>
      <c r="I422">
        <f>Model!Q195</f>
        <v>0</v>
      </c>
      <c r="J422">
        <f>Model!R195</f>
        <v>0</v>
      </c>
      <c r="K422">
        <f>Model!S195</f>
        <v>0</v>
      </c>
      <c r="L422">
        <f>Model!T195</f>
        <v>0</v>
      </c>
      <c r="M422">
        <f>Model!U195</f>
        <v>0</v>
      </c>
      <c r="N422">
        <f>Model!V195</f>
        <v>0</v>
      </c>
      <c r="O422">
        <f>Model!W195</f>
        <v>0</v>
      </c>
      <c r="P422">
        <f>Model!X195</f>
        <v>0</v>
      </c>
      <c r="Q422">
        <f>Model!Y195</f>
        <v>0</v>
      </c>
      <c r="R422">
        <f>Model!Z195</f>
        <v>0</v>
      </c>
      <c r="S422">
        <f>Model!AA195</f>
        <v>9.8989999999999991</v>
      </c>
      <c r="T422">
        <f>Model!AB195</f>
        <v>0</v>
      </c>
      <c r="U422">
        <f>Model!AC195</f>
        <v>0.37200000000000166</v>
      </c>
      <c r="V422">
        <f>Model!AD195</f>
        <v>0</v>
      </c>
      <c r="W422">
        <f>Model!AE195</f>
        <v>0</v>
      </c>
      <c r="X422">
        <f>Model!AF195</f>
        <v>0</v>
      </c>
      <c r="Y422">
        <f>Model!AG195</f>
        <v>0</v>
      </c>
      <c r="Z422">
        <f>Model!AH195</f>
        <v>0</v>
      </c>
      <c r="AA422">
        <f>Model!AI195</f>
        <v>0</v>
      </c>
      <c r="AB422">
        <f>Model!AJ195</f>
        <v>0</v>
      </c>
      <c r="AC422">
        <f>Model!AK195</f>
        <v>-1.8560000000000001</v>
      </c>
      <c r="AD422">
        <f>Model!AL195</f>
        <v>-7.048</v>
      </c>
      <c r="AE422">
        <f>Model!AM195</f>
        <v>10.271000000000001</v>
      </c>
      <c r="AF422">
        <f>Model!AN195</f>
        <v>0</v>
      </c>
      <c r="AG422">
        <f>Model!AO195</f>
        <v>0</v>
      </c>
      <c r="AH422">
        <f>Model!AP195</f>
        <v>0</v>
      </c>
      <c r="AI422">
        <f>Model!AQ195</f>
        <v>0</v>
      </c>
      <c r="AJ422">
        <f>Model!AR195</f>
        <v>0</v>
      </c>
      <c r="AK422">
        <f>Model!AS195</f>
        <v>0</v>
      </c>
      <c r="AL422">
        <f>Model!AT195</f>
        <v>0</v>
      </c>
      <c r="AM422">
        <f>Model!AU195</f>
        <v>0</v>
      </c>
      <c r="AN422">
        <f>Model!AV195</f>
        <v>0</v>
      </c>
      <c r="AO422">
        <f>Model!AW195</f>
        <v>0</v>
      </c>
    </row>
    <row r="423" spans="1:41">
      <c r="A423" t="str">
        <f>Model!I196</f>
        <v>Other investing activities</v>
      </c>
      <c r="B423">
        <f>Model!J196</f>
        <v>0</v>
      </c>
      <c r="C423">
        <f>Model!K196</f>
        <v>0</v>
      </c>
      <c r="D423">
        <f>Model!L196</f>
        <v>0</v>
      </c>
      <c r="E423">
        <f>Model!M196</f>
        <v>0</v>
      </c>
      <c r="F423">
        <f>Model!N196</f>
        <v>0</v>
      </c>
      <c r="G423">
        <f>Model!O196</f>
        <v>0</v>
      </c>
      <c r="H423">
        <f>Model!P196</f>
        <v>0</v>
      </c>
      <c r="I423">
        <f>Model!Q196</f>
        <v>0</v>
      </c>
      <c r="J423">
        <f>Model!R196</f>
        <v>0</v>
      </c>
      <c r="K423">
        <f>Model!S196</f>
        <v>0</v>
      </c>
      <c r="L423">
        <f>Model!T196</f>
        <v>0</v>
      </c>
      <c r="M423">
        <f>Model!U196</f>
        <v>0</v>
      </c>
      <c r="N423">
        <f>Model!V196</f>
        <v>0</v>
      </c>
      <c r="O423">
        <f>Model!W196</f>
        <v>0</v>
      </c>
      <c r="P423">
        <f>Model!X196</f>
        <v>0</v>
      </c>
      <c r="Q423">
        <f>Model!Y196</f>
        <v>0</v>
      </c>
      <c r="R423">
        <f>Model!Z196</f>
        <v>0</v>
      </c>
      <c r="S423">
        <f>Model!AA196</f>
        <v>0</v>
      </c>
      <c r="T423">
        <f>Model!AB196</f>
        <v>0</v>
      </c>
      <c r="U423">
        <f>Model!AC196</f>
        <v>0</v>
      </c>
      <c r="V423">
        <f>Model!AD196</f>
        <v>0</v>
      </c>
      <c r="W423">
        <f>Model!AE196</f>
        <v>0</v>
      </c>
      <c r="X423">
        <f>Model!AF196</f>
        <v>0</v>
      </c>
      <c r="Y423">
        <f>Model!AG196</f>
        <v>0</v>
      </c>
      <c r="Z423">
        <f>Model!AH196</f>
        <v>0</v>
      </c>
      <c r="AA423">
        <f>Model!AI196</f>
        <v>0</v>
      </c>
      <c r="AB423">
        <f>Model!AJ196</f>
        <v>0</v>
      </c>
      <c r="AC423">
        <f>Model!AK196</f>
        <v>-5</v>
      </c>
      <c r="AD423">
        <f>Model!AL196</f>
        <v>0</v>
      </c>
      <c r="AE423">
        <f>Model!AM196</f>
        <v>0</v>
      </c>
      <c r="AF423">
        <f>Model!AN196</f>
        <v>0</v>
      </c>
      <c r="AG423">
        <f>Model!AO196</f>
        <v>0</v>
      </c>
      <c r="AH423">
        <f>Model!AP196</f>
        <v>0</v>
      </c>
      <c r="AI423">
        <f>Model!AQ196</f>
        <v>0</v>
      </c>
      <c r="AJ423">
        <f>Model!AR196</f>
        <v>0</v>
      </c>
      <c r="AK423">
        <f>Model!AS196</f>
        <v>0</v>
      </c>
      <c r="AL423">
        <f>Model!AT196</f>
        <v>0</v>
      </c>
      <c r="AM423">
        <f>Model!AU196</f>
        <v>0</v>
      </c>
      <c r="AN423">
        <f>Model!AV196</f>
        <v>0</v>
      </c>
      <c r="AO423">
        <f>Model!AW196</f>
        <v>0</v>
      </c>
    </row>
    <row r="424" spans="1:41">
      <c r="A424" t="str">
        <f>Model!I197</f>
        <v>Investing Cash Flow</v>
      </c>
      <c r="B424">
        <f>Model!J197</f>
        <v>0</v>
      </c>
      <c r="C424">
        <f>Model!K197</f>
        <v>0</v>
      </c>
      <c r="D424">
        <f>Model!L197</f>
        <v>0</v>
      </c>
      <c r="E424">
        <f>Model!M197</f>
        <v>0</v>
      </c>
      <c r="F424">
        <f>Model!N197</f>
        <v>0</v>
      </c>
      <c r="G424">
        <f>Model!O197</f>
        <v>0</v>
      </c>
      <c r="H424">
        <f>Model!P197</f>
        <v>0</v>
      </c>
      <c r="I424">
        <f>Model!Q197</f>
        <v>0</v>
      </c>
      <c r="J424">
        <f>Model!R197</f>
        <v>0</v>
      </c>
      <c r="K424">
        <f>Model!S197</f>
        <v>0</v>
      </c>
      <c r="L424">
        <f>Model!T197</f>
        <v>0</v>
      </c>
      <c r="M424">
        <f>Model!U197</f>
        <v>0</v>
      </c>
      <c r="N424">
        <f>Model!V197</f>
        <v>0</v>
      </c>
      <c r="O424">
        <f>Model!W197</f>
        <v>0</v>
      </c>
      <c r="P424">
        <f>Model!X197</f>
        <v>0</v>
      </c>
      <c r="Q424">
        <f>Model!Y197</f>
        <v>0</v>
      </c>
      <c r="R424">
        <f>Model!Z197</f>
        <v>-1014.798</v>
      </c>
      <c r="S424">
        <f>Model!AA197</f>
        <v>-709.88299999999992</v>
      </c>
      <c r="T424">
        <f>Model!AB197</f>
        <v>162.952</v>
      </c>
      <c r="U424">
        <f>Model!AC197</f>
        <v>214.9899999999995</v>
      </c>
      <c r="V424">
        <f>Model!AD197</f>
        <v>178.50700000000001</v>
      </c>
      <c r="W424">
        <f>Model!AE197</f>
        <v>277.13499999999999</v>
      </c>
      <c r="X424">
        <f>Model!AF197</f>
        <v>270.55200000000002</v>
      </c>
      <c r="Y424">
        <f>Model!AG197</f>
        <v>325.28800000000001</v>
      </c>
      <c r="Z424">
        <f>Model!AH197</f>
        <v>0</v>
      </c>
      <c r="AA424">
        <f>Model!AI197</f>
        <v>0</v>
      </c>
      <c r="AB424">
        <f>Model!AJ197</f>
        <v>0</v>
      </c>
      <c r="AC424">
        <f>Model!AK197</f>
        <v>-100.94199999999999</v>
      </c>
      <c r="AD424">
        <f>Model!AL197</f>
        <v>-1021.3340000000001</v>
      </c>
      <c r="AE424">
        <f>Model!AM197</f>
        <v>-1346.7389999999998</v>
      </c>
      <c r="AF424">
        <f>Model!AN197</f>
        <v>1051.482</v>
      </c>
      <c r="AG424">
        <f>Model!AO197</f>
        <v>338.48199999999997</v>
      </c>
      <c r="AH424">
        <f>Model!AP197</f>
        <v>-123.518</v>
      </c>
      <c r="AI424">
        <f>Model!AQ197</f>
        <v>-134.518</v>
      </c>
      <c r="AJ424">
        <f>Model!AR197</f>
        <v>-145.518</v>
      </c>
      <c r="AK424">
        <f>Model!AS197</f>
        <v>-154.518</v>
      </c>
      <c r="AL424">
        <f>Model!AT197</f>
        <v>-162.518</v>
      </c>
      <c r="AM424">
        <f>Model!AU197</f>
        <v>-169.518</v>
      </c>
      <c r="AN424">
        <f>Model!AV197</f>
        <v>0</v>
      </c>
      <c r="AO424">
        <f>Model!AW197</f>
        <v>0</v>
      </c>
    </row>
    <row r="425" spans="1:41">
      <c r="A425">
        <f>Model!I198</f>
        <v>0</v>
      </c>
      <c r="B425">
        <f>Model!J198</f>
        <v>0</v>
      </c>
      <c r="C425">
        <f>Model!K198</f>
        <v>0</v>
      </c>
      <c r="D425">
        <f>Model!L198</f>
        <v>0</v>
      </c>
      <c r="E425">
        <f>Model!M198</f>
        <v>0</v>
      </c>
      <c r="F425">
        <f>Model!N198</f>
        <v>0</v>
      </c>
      <c r="G425">
        <f>Model!O198</f>
        <v>0</v>
      </c>
      <c r="H425">
        <f>Model!P198</f>
        <v>0</v>
      </c>
      <c r="I425">
        <f>Model!Q198</f>
        <v>0</v>
      </c>
      <c r="J425">
        <f>Model!R198</f>
        <v>0</v>
      </c>
      <c r="K425">
        <f>Model!S198</f>
        <v>0</v>
      </c>
      <c r="L425">
        <f>Model!T198</f>
        <v>0</v>
      </c>
      <c r="M425">
        <f>Model!U198</f>
        <v>0</v>
      </c>
      <c r="N425">
        <f>Model!V198</f>
        <v>0</v>
      </c>
      <c r="O425">
        <f>Model!W198</f>
        <v>0</v>
      </c>
      <c r="P425">
        <f>Model!X198</f>
        <v>0</v>
      </c>
      <c r="Q425">
        <f>Model!Y198</f>
        <v>0</v>
      </c>
      <c r="R425">
        <f>Model!Z198</f>
        <v>0</v>
      </c>
      <c r="S425">
        <f>Model!AA198</f>
        <v>0</v>
      </c>
      <c r="T425">
        <f>Model!AB198</f>
        <v>0</v>
      </c>
      <c r="U425">
        <f>Model!AC198</f>
        <v>0</v>
      </c>
      <c r="V425">
        <f>Model!AD198</f>
        <v>0</v>
      </c>
      <c r="W425">
        <f>Model!AE198</f>
        <v>0</v>
      </c>
      <c r="X425">
        <f>Model!AF198</f>
        <v>0</v>
      </c>
      <c r="Y425">
        <f>Model!AG198</f>
        <v>0</v>
      </c>
      <c r="Z425">
        <f>Model!AH198</f>
        <v>0</v>
      </c>
      <c r="AA425">
        <f>Model!AI198</f>
        <v>0</v>
      </c>
      <c r="AB425">
        <f>Model!AJ198</f>
        <v>0</v>
      </c>
      <c r="AC425">
        <f>Model!AK198</f>
        <v>0</v>
      </c>
      <c r="AD425">
        <f>Model!AL198</f>
        <v>0</v>
      </c>
      <c r="AE425">
        <f>Model!AM198</f>
        <v>0</v>
      </c>
      <c r="AF425">
        <f>Model!AN198</f>
        <v>0</v>
      </c>
      <c r="AG425">
        <f>Model!AO198</f>
        <v>0</v>
      </c>
      <c r="AH425">
        <f>Model!AP198</f>
        <v>0</v>
      </c>
      <c r="AI425">
        <f>Model!AQ198</f>
        <v>0</v>
      </c>
      <c r="AJ425">
        <f>Model!AR198</f>
        <v>0</v>
      </c>
      <c r="AK425">
        <f>Model!AS198</f>
        <v>0</v>
      </c>
      <c r="AL425">
        <f>Model!AT198</f>
        <v>0</v>
      </c>
      <c r="AM425">
        <f>Model!AU198</f>
        <v>0</v>
      </c>
      <c r="AN425">
        <f>Model!AV198</f>
        <v>0</v>
      </c>
      <c r="AO425">
        <f>Model!AW198</f>
        <v>0</v>
      </c>
    </row>
    <row r="426" spans="1:41">
      <c r="A426" t="str">
        <f>Model!I199</f>
        <v xml:space="preserve">Cash flow from Financing </v>
      </c>
      <c r="B426">
        <f>Model!J199</f>
        <v>0</v>
      </c>
      <c r="C426">
        <f>Model!K199</f>
        <v>0</v>
      </c>
      <c r="D426">
        <f>Model!L199</f>
        <v>0</v>
      </c>
      <c r="E426">
        <f>Model!M199</f>
        <v>0</v>
      </c>
      <c r="F426">
        <f>Model!N199</f>
        <v>0</v>
      </c>
      <c r="G426">
        <f>Model!O199</f>
        <v>0</v>
      </c>
      <c r="H426">
        <f>Model!P199</f>
        <v>0</v>
      </c>
      <c r="I426">
        <f>Model!Q199</f>
        <v>0</v>
      </c>
      <c r="J426">
        <f>Model!R199</f>
        <v>0</v>
      </c>
      <c r="K426">
        <f>Model!S199</f>
        <v>0</v>
      </c>
      <c r="L426">
        <f>Model!T199</f>
        <v>0</v>
      </c>
      <c r="M426">
        <f>Model!U199</f>
        <v>0</v>
      </c>
      <c r="N426">
        <f>Model!V199</f>
        <v>0</v>
      </c>
      <c r="O426">
        <f>Model!W199</f>
        <v>0</v>
      </c>
      <c r="P426">
        <f>Model!X199</f>
        <v>0</v>
      </c>
      <c r="Q426">
        <f>Model!Y199</f>
        <v>0</v>
      </c>
      <c r="R426">
        <f>Model!Z199</f>
        <v>0</v>
      </c>
      <c r="S426">
        <f>Model!AA199</f>
        <v>0</v>
      </c>
      <c r="T426">
        <f>Model!AB199</f>
        <v>0</v>
      </c>
      <c r="U426">
        <f>Model!AC199</f>
        <v>0</v>
      </c>
      <c r="V426">
        <f>Model!AD199</f>
        <v>0</v>
      </c>
      <c r="W426">
        <f>Model!AE199</f>
        <v>0</v>
      </c>
      <c r="X426">
        <f>Model!AF199</f>
        <v>0</v>
      </c>
      <c r="Y426">
        <f>Model!AG199</f>
        <v>0</v>
      </c>
      <c r="Z426">
        <f>Model!AH199</f>
        <v>0</v>
      </c>
      <c r="AA426">
        <f>Model!AI199</f>
        <v>0</v>
      </c>
      <c r="AB426">
        <f>Model!AJ199</f>
        <v>0</v>
      </c>
      <c r="AC426">
        <f>Model!AK199</f>
        <v>0</v>
      </c>
      <c r="AD426">
        <f>Model!AL199</f>
        <v>0</v>
      </c>
      <c r="AE426">
        <f>Model!AM199</f>
        <v>0</v>
      </c>
      <c r="AF426">
        <f>Model!AN199</f>
        <v>0</v>
      </c>
      <c r="AG426">
        <f>Model!AO199</f>
        <v>0</v>
      </c>
      <c r="AH426">
        <f>Model!AP199</f>
        <v>0</v>
      </c>
      <c r="AI426">
        <f>Model!AQ199</f>
        <v>0</v>
      </c>
      <c r="AJ426">
        <f>Model!AR199</f>
        <v>0</v>
      </c>
      <c r="AK426">
        <f>Model!AS199</f>
        <v>0</v>
      </c>
      <c r="AL426">
        <f>Model!AT199</f>
        <v>0</v>
      </c>
      <c r="AM426">
        <f>Model!AU199</f>
        <v>0</v>
      </c>
      <c r="AN426">
        <f>Model!AV199</f>
        <v>0</v>
      </c>
      <c r="AO426">
        <f>Model!AW199</f>
        <v>0</v>
      </c>
    </row>
    <row r="427" spans="1:41">
      <c r="A427" t="str">
        <f>Model!I200</f>
        <v xml:space="preserve">Proceeds from exercise of stock options </v>
      </c>
      <c r="B427">
        <f>Model!J200</f>
        <v>0</v>
      </c>
      <c r="C427">
        <f>Model!K200</f>
        <v>0</v>
      </c>
      <c r="D427">
        <f>Model!L200</f>
        <v>0</v>
      </c>
      <c r="E427">
        <f>Model!M200</f>
        <v>0</v>
      </c>
      <c r="F427">
        <f>Model!N200</f>
        <v>0</v>
      </c>
      <c r="G427">
        <f>Model!O200</f>
        <v>0</v>
      </c>
      <c r="H427">
        <f>Model!P200</f>
        <v>0</v>
      </c>
      <c r="I427">
        <f>Model!Q200</f>
        <v>0</v>
      </c>
      <c r="J427">
        <f>Model!R200</f>
        <v>0</v>
      </c>
      <c r="K427">
        <f>Model!S200</f>
        <v>0</v>
      </c>
      <c r="L427">
        <f>Model!T200</f>
        <v>0</v>
      </c>
      <c r="M427">
        <f>Model!U200</f>
        <v>0</v>
      </c>
      <c r="N427">
        <f>Model!V200</f>
        <v>0</v>
      </c>
      <c r="O427">
        <f>Model!W200</f>
        <v>0</v>
      </c>
      <c r="P427">
        <f>Model!X200</f>
        <v>0</v>
      </c>
      <c r="Q427">
        <f>Model!Y200</f>
        <v>0</v>
      </c>
      <c r="R427">
        <f>Model!Z200</f>
        <v>0.59399999999999997</v>
      </c>
      <c r="S427">
        <f>Model!AA200</f>
        <v>0.18900000000000006</v>
      </c>
      <c r="T427">
        <f>Model!AB200</f>
        <v>6.0720000000000001</v>
      </c>
      <c r="U427">
        <f>Model!AC200</f>
        <v>4.5239999999999991</v>
      </c>
      <c r="V427">
        <f>Model!AD200</f>
        <v>0</v>
      </c>
      <c r="W427">
        <f>Model!AE200</f>
        <v>0</v>
      </c>
      <c r="X427">
        <f>Model!AF200</f>
        <v>0</v>
      </c>
      <c r="Y427">
        <f>Model!AG200</f>
        <v>0</v>
      </c>
      <c r="Z427">
        <f>Model!AH200</f>
        <v>0</v>
      </c>
      <c r="AA427">
        <f>Model!AI200</f>
        <v>0</v>
      </c>
      <c r="AB427">
        <f>Model!AJ200</f>
        <v>0</v>
      </c>
      <c r="AC427">
        <f>Model!AK200</f>
        <v>0.06</v>
      </c>
      <c r="AD427">
        <f>Model!AL200</f>
        <v>0.73099999999999998</v>
      </c>
      <c r="AE427">
        <f>Model!AM200</f>
        <v>11.379</v>
      </c>
      <c r="AF427">
        <f>Model!AN200</f>
        <v>0</v>
      </c>
      <c r="AG427">
        <f>Model!AO200</f>
        <v>0</v>
      </c>
      <c r="AH427">
        <f>Model!AP200</f>
        <v>0</v>
      </c>
      <c r="AI427">
        <f>Model!AQ200</f>
        <v>0</v>
      </c>
      <c r="AJ427">
        <f>Model!AR200</f>
        <v>0</v>
      </c>
      <c r="AK427">
        <f>Model!AS200</f>
        <v>0</v>
      </c>
      <c r="AL427">
        <f>Model!AT200</f>
        <v>0</v>
      </c>
      <c r="AM427">
        <f>Model!AU200</f>
        <v>0</v>
      </c>
      <c r="AN427">
        <f>Model!AV200</f>
        <v>0</v>
      </c>
      <c r="AO427">
        <f>Model!AW200</f>
        <v>0</v>
      </c>
    </row>
    <row r="428" spans="1:41">
      <c r="A428" t="str">
        <f>Model!I201</f>
        <v>Repurchase of Class B voting common stock and Series FP voting preferred stock</v>
      </c>
      <c r="B428">
        <f>Model!J201</f>
        <v>0</v>
      </c>
      <c r="C428">
        <f>Model!K201</f>
        <v>0</v>
      </c>
      <c r="D428">
        <f>Model!L201</f>
        <v>0</v>
      </c>
      <c r="E428">
        <f>Model!M201</f>
        <v>0</v>
      </c>
      <c r="F428">
        <f>Model!N201</f>
        <v>0</v>
      </c>
      <c r="G428">
        <f>Model!O201</f>
        <v>0</v>
      </c>
      <c r="H428">
        <f>Model!P201</f>
        <v>0</v>
      </c>
      <c r="I428">
        <f>Model!Q201</f>
        <v>0</v>
      </c>
      <c r="J428">
        <f>Model!R201</f>
        <v>0</v>
      </c>
      <c r="K428">
        <f>Model!S201</f>
        <v>0</v>
      </c>
      <c r="L428">
        <f>Model!T201</f>
        <v>0</v>
      </c>
      <c r="M428">
        <f>Model!U201</f>
        <v>0</v>
      </c>
      <c r="N428">
        <f>Model!V201</f>
        <v>0</v>
      </c>
      <c r="O428">
        <f>Model!W201</f>
        <v>0</v>
      </c>
      <c r="P428">
        <f>Model!X201</f>
        <v>0</v>
      </c>
      <c r="Q428">
        <f>Model!Y201</f>
        <v>0</v>
      </c>
      <c r="R428">
        <f>Model!Z201</f>
        <v>-206.57900000000001</v>
      </c>
      <c r="S428">
        <f>Model!AA201</f>
        <v>-1.828000000000003</v>
      </c>
      <c r="T428">
        <f>Model!AB201</f>
        <v>-158.82699999999994</v>
      </c>
      <c r="U428">
        <f>Model!AC201</f>
        <v>-26.922000000000054</v>
      </c>
      <c r="V428">
        <f>Model!AD201</f>
        <v>0</v>
      </c>
      <c r="W428">
        <f>Model!AE201</f>
        <v>0</v>
      </c>
      <c r="X428">
        <f>Model!AF201</f>
        <v>0</v>
      </c>
      <c r="Y428">
        <f>Model!AG201</f>
        <v>0</v>
      </c>
      <c r="Z428">
        <f>Model!AH201</f>
        <v>0</v>
      </c>
      <c r="AA428">
        <f>Model!AI201</f>
        <v>0</v>
      </c>
      <c r="AB428">
        <f>Model!AJ201</f>
        <v>0</v>
      </c>
      <c r="AC428">
        <f>Model!AK201</f>
        <v>-1</v>
      </c>
      <c r="AD428">
        <f>Model!AL201</f>
        <v>-10.593</v>
      </c>
      <c r="AE428">
        <f>Model!AM201</f>
        <v>-394.15599999999995</v>
      </c>
      <c r="AF428">
        <f>Model!AN201</f>
        <v>0</v>
      </c>
      <c r="AG428">
        <f>Model!AO201</f>
        <v>0</v>
      </c>
      <c r="AH428">
        <f>Model!AP201</f>
        <v>0</v>
      </c>
      <c r="AI428">
        <f>Model!AQ201</f>
        <v>0</v>
      </c>
      <c r="AJ428">
        <f>Model!AR201</f>
        <v>0</v>
      </c>
      <c r="AK428">
        <f>Model!AS201</f>
        <v>0</v>
      </c>
      <c r="AL428">
        <f>Model!AT201</f>
        <v>0</v>
      </c>
      <c r="AM428">
        <f>Model!AU201</f>
        <v>0</v>
      </c>
      <c r="AN428">
        <f>Model!AV201</f>
        <v>0</v>
      </c>
      <c r="AO428">
        <f>Model!AW201</f>
        <v>0</v>
      </c>
    </row>
    <row r="429" spans="1:41">
      <c r="A429" t="str">
        <f>Model!I202</f>
        <v>Proceeds from issuances of stock</v>
      </c>
      <c r="B429">
        <f>Model!J202</f>
        <v>0</v>
      </c>
      <c r="C429">
        <f>Model!K202</f>
        <v>0</v>
      </c>
      <c r="D429">
        <f>Model!L202</f>
        <v>0</v>
      </c>
      <c r="E429">
        <f>Model!M202</f>
        <v>0</v>
      </c>
      <c r="F429">
        <f>Model!N202</f>
        <v>0</v>
      </c>
      <c r="G429">
        <f>Model!O202</f>
        <v>0</v>
      </c>
      <c r="H429">
        <f>Model!P202</f>
        <v>0</v>
      </c>
      <c r="I429">
        <f>Model!Q202</f>
        <v>0</v>
      </c>
      <c r="J429">
        <f>Model!R202</f>
        <v>0</v>
      </c>
      <c r="K429">
        <f>Model!S202</f>
        <v>0</v>
      </c>
      <c r="L429">
        <f>Model!T202</f>
        <v>0</v>
      </c>
      <c r="M429">
        <f>Model!U202</f>
        <v>0</v>
      </c>
      <c r="N429">
        <f>Model!V202</f>
        <v>0</v>
      </c>
      <c r="O429">
        <f>Model!W202</f>
        <v>0</v>
      </c>
      <c r="P429">
        <f>Model!X202</f>
        <v>0</v>
      </c>
      <c r="Q429">
        <f>Model!Y202</f>
        <v>0</v>
      </c>
      <c r="R429">
        <f>Model!Z202</f>
        <v>2657.797</v>
      </c>
      <c r="S429">
        <f>Model!AA202</f>
        <v>0</v>
      </c>
      <c r="T429">
        <f>Model!AB202</f>
        <v>0</v>
      </c>
      <c r="U429">
        <f>Model!AC202</f>
        <v>0</v>
      </c>
      <c r="V429">
        <f>Model!AD202</f>
        <v>0</v>
      </c>
      <c r="W429">
        <f>Model!AE202</f>
        <v>0</v>
      </c>
      <c r="X429">
        <f>Model!AF202</f>
        <v>0</v>
      </c>
      <c r="Y429">
        <f>Model!AG202</f>
        <v>0</v>
      </c>
      <c r="Z429">
        <f>Model!AH202</f>
        <v>0</v>
      </c>
      <c r="AA429">
        <f>Model!AI202</f>
        <v>0</v>
      </c>
      <c r="AB429">
        <f>Model!AJ202</f>
        <v>0</v>
      </c>
      <c r="AC429">
        <f>Model!AK202</f>
        <v>651.30600000000004</v>
      </c>
      <c r="AD429">
        <f>Model!AL202</f>
        <v>1157.1469999999999</v>
      </c>
      <c r="AE429">
        <f>Model!AM202</f>
        <v>2657.797</v>
      </c>
      <c r="AF429">
        <f>Model!AN202</f>
        <v>0</v>
      </c>
      <c r="AG429">
        <f>Model!AO202</f>
        <v>0</v>
      </c>
      <c r="AH429">
        <f>Model!AP202</f>
        <v>0</v>
      </c>
      <c r="AI429">
        <f>Model!AQ202</f>
        <v>0</v>
      </c>
      <c r="AJ429">
        <f>Model!AR202</f>
        <v>0</v>
      </c>
      <c r="AK429">
        <f>Model!AS202</f>
        <v>0</v>
      </c>
      <c r="AL429">
        <f>Model!AT202</f>
        <v>0</v>
      </c>
      <c r="AM429">
        <f>Model!AU202</f>
        <v>0</v>
      </c>
      <c r="AN429">
        <f>Model!AV202</f>
        <v>0</v>
      </c>
      <c r="AO429">
        <f>Model!AW202</f>
        <v>0</v>
      </c>
    </row>
    <row r="430" spans="1:41">
      <c r="A430" t="str">
        <f>Model!I203</f>
        <v>Borrowings from revolving credit facility</v>
      </c>
      <c r="B430">
        <f>Model!J203</f>
        <v>0</v>
      </c>
      <c r="C430">
        <f>Model!K203</f>
        <v>0</v>
      </c>
      <c r="D430">
        <f>Model!L203</f>
        <v>0</v>
      </c>
      <c r="E430">
        <f>Model!M203</f>
        <v>0</v>
      </c>
      <c r="F430">
        <f>Model!N203</f>
        <v>0</v>
      </c>
      <c r="G430">
        <f>Model!O203</f>
        <v>0</v>
      </c>
      <c r="H430">
        <f>Model!P203</f>
        <v>0</v>
      </c>
      <c r="I430">
        <f>Model!Q203</f>
        <v>0</v>
      </c>
      <c r="J430">
        <f>Model!R203</f>
        <v>0</v>
      </c>
      <c r="K430">
        <f>Model!S203</f>
        <v>0</v>
      </c>
      <c r="L430">
        <f>Model!T203</f>
        <v>0</v>
      </c>
      <c r="M430">
        <f>Model!U203</f>
        <v>0</v>
      </c>
      <c r="N430">
        <f>Model!V203</f>
        <v>0</v>
      </c>
      <c r="O430">
        <f>Model!W203</f>
        <v>0</v>
      </c>
      <c r="P430">
        <f>Model!X203</f>
        <v>0</v>
      </c>
      <c r="Q430">
        <f>Model!Y203</f>
        <v>0</v>
      </c>
      <c r="R430">
        <f>Model!Z203</f>
        <v>0</v>
      </c>
      <c r="S430">
        <f>Model!AA203</f>
        <v>0</v>
      </c>
      <c r="T430">
        <f>Model!AB203</f>
        <v>0</v>
      </c>
      <c r="U430">
        <f>Model!AC203</f>
        <v>0</v>
      </c>
      <c r="V430">
        <f>Model!AD203</f>
        <v>0</v>
      </c>
      <c r="W430">
        <f>Model!AE203</f>
        <v>0</v>
      </c>
      <c r="X430">
        <f>Model!AF203</f>
        <v>0</v>
      </c>
      <c r="Y430">
        <f>Model!AG203</f>
        <v>0</v>
      </c>
      <c r="Z430">
        <f>Model!AH203</f>
        <v>0</v>
      </c>
      <c r="AA430">
        <f>Model!AI203</f>
        <v>0</v>
      </c>
      <c r="AB430">
        <f>Model!AJ203</f>
        <v>0</v>
      </c>
      <c r="AC430">
        <f>Model!AK203</f>
        <v>0</v>
      </c>
      <c r="AD430">
        <f>Model!AL203</f>
        <v>5</v>
      </c>
      <c r="AE430">
        <f>Model!AM203</f>
        <v>0</v>
      </c>
      <c r="AF430">
        <f>Model!AN203</f>
        <v>0</v>
      </c>
      <c r="AG430">
        <f>Model!AO203</f>
        <v>0</v>
      </c>
      <c r="AH430">
        <f>Model!AP203</f>
        <v>0</v>
      </c>
      <c r="AI430">
        <f>Model!AQ203</f>
        <v>0</v>
      </c>
      <c r="AJ430">
        <f>Model!AR203</f>
        <v>0</v>
      </c>
      <c r="AK430">
        <f>Model!AS203</f>
        <v>0</v>
      </c>
      <c r="AL430">
        <f>Model!AT203</f>
        <v>0</v>
      </c>
      <c r="AM430">
        <f>Model!AU203</f>
        <v>0</v>
      </c>
      <c r="AN430">
        <f>Model!AV203</f>
        <v>0</v>
      </c>
      <c r="AO430">
        <f>Model!AW203</f>
        <v>0</v>
      </c>
    </row>
    <row r="431" spans="1:41">
      <c r="A431" t="str">
        <f>Model!I204</f>
        <v>Principal payments on revolving credit facility</v>
      </c>
      <c r="B431">
        <f>Model!J204</f>
        <v>0</v>
      </c>
      <c r="C431">
        <f>Model!K204</f>
        <v>0</v>
      </c>
      <c r="D431">
        <f>Model!L204</f>
        <v>0</v>
      </c>
      <c r="E431">
        <f>Model!M204</f>
        <v>0</v>
      </c>
      <c r="F431">
        <f>Model!N204</f>
        <v>0</v>
      </c>
      <c r="G431">
        <f>Model!O204</f>
        <v>0</v>
      </c>
      <c r="H431">
        <f>Model!P204</f>
        <v>0</v>
      </c>
      <c r="I431">
        <f>Model!Q204</f>
        <v>0</v>
      </c>
      <c r="J431">
        <f>Model!R204</f>
        <v>0</v>
      </c>
      <c r="K431">
        <f>Model!S204</f>
        <v>0</v>
      </c>
      <c r="L431">
        <f>Model!T204</f>
        <v>0</v>
      </c>
      <c r="M431">
        <f>Model!U204</f>
        <v>0</v>
      </c>
      <c r="N431">
        <f>Model!V204</f>
        <v>0</v>
      </c>
      <c r="O431">
        <f>Model!W204</f>
        <v>0</v>
      </c>
      <c r="P431">
        <f>Model!X204</f>
        <v>0</v>
      </c>
      <c r="Q431">
        <f>Model!Y204</f>
        <v>0</v>
      </c>
      <c r="R431">
        <f>Model!Z204</f>
        <v>0</v>
      </c>
      <c r="S431">
        <f>Model!AA204</f>
        <v>0</v>
      </c>
      <c r="T431">
        <f>Model!AB204</f>
        <v>0</v>
      </c>
      <c r="U431">
        <f>Model!AC204</f>
        <v>0</v>
      </c>
      <c r="V431">
        <f>Model!AD204</f>
        <v>0</v>
      </c>
      <c r="W431">
        <f>Model!AE204</f>
        <v>0</v>
      </c>
      <c r="X431">
        <f>Model!AF204</f>
        <v>0</v>
      </c>
      <c r="Y431">
        <f>Model!AG204</f>
        <v>0</v>
      </c>
      <c r="Z431">
        <f>Model!AH204</f>
        <v>0</v>
      </c>
      <c r="AA431">
        <f>Model!AI204</f>
        <v>0</v>
      </c>
      <c r="AB431">
        <f>Model!AJ204</f>
        <v>0</v>
      </c>
      <c r="AC431">
        <f>Model!AK204</f>
        <v>0</v>
      </c>
      <c r="AD431">
        <f>Model!AL204</f>
        <v>-5</v>
      </c>
      <c r="AE431">
        <f>Model!AM204</f>
        <v>0</v>
      </c>
      <c r="AF431">
        <f>Model!AN204</f>
        <v>0</v>
      </c>
      <c r="AG431">
        <f>Model!AO204</f>
        <v>0</v>
      </c>
      <c r="AH431">
        <f>Model!AP204</f>
        <v>0</v>
      </c>
      <c r="AI431">
        <f>Model!AQ204</f>
        <v>0</v>
      </c>
      <c r="AJ431">
        <f>Model!AR204</f>
        <v>0</v>
      </c>
      <c r="AK431">
        <f>Model!AS204</f>
        <v>0</v>
      </c>
      <c r="AL431">
        <f>Model!AT204</f>
        <v>0</v>
      </c>
      <c r="AM431">
        <f>Model!AU204</f>
        <v>0</v>
      </c>
      <c r="AN431">
        <f>Model!AV204</f>
        <v>0</v>
      </c>
      <c r="AO431">
        <f>Model!AW204</f>
        <v>0</v>
      </c>
    </row>
    <row r="432" spans="1:41">
      <c r="A432" t="str">
        <f>Model!I205</f>
        <v>Payments of deferred offering costs</v>
      </c>
      <c r="B432">
        <f>Model!J205</f>
        <v>0</v>
      </c>
      <c r="C432">
        <f>Model!K205</f>
        <v>0</v>
      </c>
      <c r="D432">
        <f>Model!L205</f>
        <v>0</v>
      </c>
      <c r="E432">
        <f>Model!M205</f>
        <v>0</v>
      </c>
      <c r="F432">
        <f>Model!N205</f>
        <v>0</v>
      </c>
      <c r="G432">
        <f>Model!O205</f>
        <v>0</v>
      </c>
      <c r="H432">
        <f>Model!P205</f>
        <v>0</v>
      </c>
      <c r="I432">
        <f>Model!Q205</f>
        <v>0</v>
      </c>
      <c r="J432">
        <f>Model!R205</f>
        <v>0</v>
      </c>
      <c r="K432">
        <f>Model!S205</f>
        <v>0</v>
      </c>
      <c r="L432">
        <f>Model!T205</f>
        <v>0</v>
      </c>
      <c r="M432">
        <f>Model!U205</f>
        <v>0</v>
      </c>
      <c r="N432">
        <f>Model!V205</f>
        <v>0</v>
      </c>
      <c r="O432">
        <f>Model!W205</f>
        <v>0</v>
      </c>
      <c r="P432">
        <f>Model!X205</f>
        <v>0</v>
      </c>
      <c r="Q432">
        <f>Model!Y205</f>
        <v>0</v>
      </c>
      <c r="R432">
        <f>Model!Z205</f>
        <v>-5.024</v>
      </c>
      <c r="S432">
        <f>Model!AA205</f>
        <v>-4.3410000000000002</v>
      </c>
      <c r="T432">
        <f>Model!AB205</f>
        <v>-0.30700000000000038</v>
      </c>
      <c r="U432">
        <f>Model!AC205</f>
        <v>0</v>
      </c>
      <c r="V432">
        <f>Model!AD205</f>
        <v>0</v>
      </c>
      <c r="W432">
        <f>Model!AE205</f>
        <v>0</v>
      </c>
      <c r="X432">
        <f>Model!AF205</f>
        <v>0</v>
      </c>
      <c r="Y432">
        <f>Model!AG205</f>
        <v>0</v>
      </c>
      <c r="Z432">
        <f>Model!AH205</f>
        <v>0</v>
      </c>
      <c r="AA432">
        <f>Model!AI205</f>
        <v>0</v>
      </c>
      <c r="AB432">
        <f>Model!AJ205</f>
        <v>0</v>
      </c>
      <c r="AC432">
        <f>Model!AK205</f>
        <v>0</v>
      </c>
      <c r="AD432">
        <f>Model!AL205</f>
        <v>-5.3949999999999996</v>
      </c>
      <c r="AE432">
        <f>Model!AM205</f>
        <v>-9.6720000000000006</v>
      </c>
      <c r="AF432">
        <f>Model!AN205</f>
        <v>0</v>
      </c>
      <c r="AG432">
        <f>Model!AO205</f>
        <v>0</v>
      </c>
      <c r="AH432">
        <f>Model!AP205</f>
        <v>0</v>
      </c>
      <c r="AI432">
        <f>Model!AQ205</f>
        <v>0</v>
      </c>
      <c r="AJ432">
        <f>Model!AR205</f>
        <v>0</v>
      </c>
      <c r="AK432">
        <f>Model!AS205</f>
        <v>0</v>
      </c>
      <c r="AL432">
        <f>Model!AT205</f>
        <v>0</v>
      </c>
      <c r="AM432">
        <f>Model!AU205</f>
        <v>0</v>
      </c>
      <c r="AN432">
        <f>Model!AV205</f>
        <v>0</v>
      </c>
      <c r="AO432">
        <f>Model!AW205</f>
        <v>0</v>
      </c>
    </row>
    <row r="433" spans="1:41">
      <c r="A433">
        <f>Model!I206</f>
        <v>0</v>
      </c>
      <c r="B433">
        <f>Model!J206</f>
        <v>0</v>
      </c>
      <c r="C433">
        <f>Model!K206</f>
        <v>0</v>
      </c>
      <c r="D433">
        <f>Model!L206</f>
        <v>0</v>
      </c>
      <c r="E433">
        <f>Model!M206</f>
        <v>0</v>
      </c>
      <c r="F433">
        <f>Model!N206</f>
        <v>0</v>
      </c>
      <c r="G433">
        <f>Model!O206</f>
        <v>0</v>
      </c>
      <c r="H433">
        <f>Model!P206</f>
        <v>0</v>
      </c>
      <c r="I433">
        <f>Model!Q206</f>
        <v>0</v>
      </c>
      <c r="J433">
        <f>Model!R206</f>
        <v>0</v>
      </c>
      <c r="K433">
        <f>Model!S206</f>
        <v>0</v>
      </c>
      <c r="L433">
        <f>Model!T206</f>
        <v>0</v>
      </c>
      <c r="M433">
        <f>Model!U206</f>
        <v>0</v>
      </c>
      <c r="N433">
        <f>Model!V206</f>
        <v>0</v>
      </c>
      <c r="O433">
        <f>Model!W206</f>
        <v>0</v>
      </c>
      <c r="P433">
        <f>Model!X206</f>
        <v>0</v>
      </c>
      <c r="Q433">
        <f>Model!Y206</f>
        <v>0</v>
      </c>
      <c r="R433">
        <f>Model!Z206</f>
        <v>0</v>
      </c>
      <c r="S433">
        <f>Model!AA206</f>
        <v>0</v>
      </c>
      <c r="T433">
        <f>Model!AB206</f>
        <v>0</v>
      </c>
      <c r="U433">
        <f>Model!AC206</f>
        <v>0</v>
      </c>
      <c r="V433">
        <f>Model!AD206</f>
        <v>0</v>
      </c>
      <c r="W433">
        <f>Model!AE206</f>
        <v>0</v>
      </c>
      <c r="X433">
        <f>Model!AF206</f>
        <v>0</v>
      </c>
      <c r="Y433">
        <f>Model!AG206</f>
        <v>0</v>
      </c>
      <c r="Z433">
        <f>Model!AH206</f>
        <v>0</v>
      </c>
      <c r="AA433">
        <f>Model!AI206</f>
        <v>0</v>
      </c>
      <c r="AB433">
        <f>Model!AJ206</f>
        <v>0</v>
      </c>
      <c r="AC433">
        <f>Model!AK206</f>
        <v>0</v>
      </c>
      <c r="AD433">
        <f>Model!AL206</f>
        <v>0</v>
      </c>
      <c r="AE433">
        <f>Model!AM206</f>
        <v>0</v>
      </c>
      <c r="AF433">
        <f>Model!AN206</f>
        <v>0</v>
      </c>
      <c r="AG433">
        <f>Model!AO206</f>
        <v>0</v>
      </c>
      <c r="AH433">
        <f>Model!AP206</f>
        <v>0</v>
      </c>
      <c r="AI433">
        <f>Model!AQ206</f>
        <v>0</v>
      </c>
      <c r="AJ433">
        <f>Model!AR206</f>
        <v>0</v>
      </c>
      <c r="AK433">
        <f>Model!AS206</f>
        <v>0</v>
      </c>
      <c r="AL433">
        <f>Model!AT206</f>
        <v>0</v>
      </c>
      <c r="AM433">
        <f>Model!AU206</f>
        <v>0</v>
      </c>
      <c r="AN433">
        <f>Model!AV206</f>
        <v>0</v>
      </c>
      <c r="AO433">
        <f>Model!AW206</f>
        <v>0</v>
      </c>
    </row>
    <row r="434" spans="1:41">
      <c r="A434" t="str">
        <f>Model!I207</f>
        <v xml:space="preserve">Financing cash flow </v>
      </c>
      <c r="B434">
        <f>Model!J207</f>
        <v>0</v>
      </c>
      <c r="C434">
        <f>Model!K207</f>
        <v>0</v>
      </c>
      <c r="D434">
        <f>Model!L207</f>
        <v>0</v>
      </c>
      <c r="E434">
        <f>Model!M207</f>
        <v>0</v>
      </c>
      <c r="F434">
        <f>Model!N207</f>
        <v>0</v>
      </c>
      <c r="G434">
        <f>Model!O207</f>
        <v>0</v>
      </c>
      <c r="H434">
        <f>Model!P207</f>
        <v>0</v>
      </c>
      <c r="I434">
        <f>Model!Q207</f>
        <v>0</v>
      </c>
      <c r="J434">
        <f>Model!R207</f>
        <v>0</v>
      </c>
      <c r="K434">
        <f>Model!S207</f>
        <v>0</v>
      </c>
      <c r="L434">
        <f>Model!T207</f>
        <v>0</v>
      </c>
      <c r="M434">
        <f>Model!U207</f>
        <v>0</v>
      </c>
      <c r="N434">
        <f>Model!V207</f>
        <v>0</v>
      </c>
      <c r="O434">
        <f>Model!W207</f>
        <v>0</v>
      </c>
      <c r="P434">
        <f>Model!X207</f>
        <v>0</v>
      </c>
      <c r="Q434">
        <f>Model!Y207</f>
        <v>0</v>
      </c>
      <c r="R434">
        <f>Model!Z207</f>
        <v>2446.788</v>
      </c>
      <c r="S434">
        <f>Model!AA207</f>
        <v>-5.9800000000000031</v>
      </c>
      <c r="T434">
        <f>Model!AB207</f>
        <v>-153.06199999999993</v>
      </c>
      <c r="U434">
        <f>Model!AC207</f>
        <v>-22.398000000000053</v>
      </c>
      <c r="V434">
        <f>Model!AD207</f>
        <v>0</v>
      </c>
      <c r="W434">
        <f>Model!AE207</f>
        <v>0</v>
      </c>
      <c r="X434">
        <f>Model!AF207</f>
        <v>0</v>
      </c>
      <c r="Y434">
        <f>Model!AG207</f>
        <v>0</v>
      </c>
      <c r="Z434">
        <f>Model!AH207</f>
        <v>0</v>
      </c>
      <c r="AA434">
        <f>Model!AI207</f>
        <v>0</v>
      </c>
      <c r="AB434">
        <f>Model!AJ207</f>
        <v>0</v>
      </c>
      <c r="AC434">
        <f>Model!AK207</f>
        <v>650.36599999999999</v>
      </c>
      <c r="AD434">
        <f>Model!AL207</f>
        <v>1141.8899999999999</v>
      </c>
      <c r="AE434">
        <f>Model!AM207</f>
        <v>2265.348</v>
      </c>
      <c r="AF434">
        <f>Model!AN207</f>
        <v>0</v>
      </c>
      <c r="AG434">
        <f>Model!AO207</f>
        <v>0</v>
      </c>
      <c r="AH434">
        <f>Model!AP207</f>
        <v>0</v>
      </c>
      <c r="AI434">
        <f>Model!AQ207</f>
        <v>0</v>
      </c>
      <c r="AJ434">
        <f>Model!AR207</f>
        <v>0</v>
      </c>
      <c r="AK434">
        <f>Model!AS207</f>
        <v>0</v>
      </c>
      <c r="AL434">
        <f>Model!AT207</f>
        <v>0</v>
      </c>
      <c r="AM434">
        <f>Model!AU207</f>
        <v>0</v>
      </c>
      <c r="AN434">
        <f>Model!AV207</f>
        <v>0</v>
      </c>
      <c r="AO434">
        <f>Model!AW207</f>
        <v>0</v>
      </c>
    </row>
    <row r="435" spans="1:41">
      <c r="A435">
        <f>Model!I208</f>
        <v>0</v>
      </c>
      <c r="B435">
        <f>Model!J208</f>
        <v>0</v>
      </c>
      <c r="C435">
        <f>Model!K208</f>
        <v>0</v>
      </c>
      <c r="D435">
        <f>Model!L208</f>
        <v>0</v>
      </c>
      <c r="E435">
        <f>Model!M208</f>
        <v>0</v>
      </c>
      <c r="F435">
        <f>Model!N208</f>
        <v>0</v>
      </c>
      <c r="G435">
        <f>Model!O208</f>
        <v>0</v>
      </c>
      <c r="H435">
        <f>Model!P208</f>
        <v>0</v>
      </c>
      <c r="I435">
        <f>Model!Q208</f>
        <v>0</v>
      </c>
      <c r="J435">
        <f>Model!R208</f>
        <v>0</v>
      </c>
      <c r="K435">
        <f>Model!S208</f>
        <v>0</v>
      </c>
      <c r="L435">
        <f>Model!T208</f>
        <v>0</v>
      </c>
      <c r="M435">
        <f>Model!U208</f>
        <v>0</v>
      </c>
      <c r="N435">
        <f>Model!V208</f>
        <v>0</v>
      </c>
      <c r="O435">
        <f>Model!W208</f>
        <v>0</v>
      </c>
      <c r="P435">
        <f>Model!X208</f>
        <v>0</v>
      </c>
      <c r="Q435">
        <f>Model!Y208</f>
        <v>0</v>
      </c>
      <c r="R435">
        <f>Model!Z208</f>
        <v>0</v>
      </c>
      <c r="S435">
        <f>Model!AA208</f>
        <v>0</v>
      </c>
      <c r="T435">
        <f>Model!AB208</f>
        <v>0</v>
      </c>
      <c r="U435">
        <f>Model!AC208</f>
        <v>0</v>
      </c>
      <c r="V435">
        <f>Model!AD208</f>
        <v>0</v>
      </c>
      <c r="W435">
        <f>Model!AE208</f>
        <v>0</v>
      </c>
      <c r="X435">
        <f>Model!AF208</f>
        <v>0</v>
      </c>
      <c r="Y435">
        <f>Model!AG208</f>
        <v>0</v>
      </c>
      <c r="Z435">
        <f>Model!AH208</f>
        <v>0</v>
      </c>
      <c r="AA435">
        <f>Model!AI208</f>
        <v>0</v>
      </c>
      <c r="AB435">
        <f>Model!AJ208</f>
        <v>0</v>
      </c>
      <c r="AC435">
        <f>Model!AK208</f>
        <v>0</v>
      </c>
      <c r="AD435">
        <f>Model!AL208</f>
        <v>0</v>
      </c>
      <c r="AE435">
        <f>Model!AM208</f>
        <v>0</v>
      </c>
      <c r="AF435">
        <f>Model!AN208</f>
        <v>0</v>
      </c>
      <c r="AG435">
        <f>Model!AO208</f>
        <v>0</v>
      </c>
      <c r="AH435">
        <f>Model!AP208</f>
        <v>0</v>
      </c>
      <c r="AI435">
        <f>Model!AQ208</f>
        <v>0</v>
      </c>
      <c r="AJ435">
        <f>Model!AR208</f>
        <v>0</v>
      </c>
      <c r="AK435">
        <f>Model!AS208</f>
        <v>0</v>
      </c>
      <c r="AL435">
        <f>Model!AT208</f>
        <v>0</v>
      </c>
      <c r="AM435">
        <f>Model!AU208</f>
        <v>0</v>
      </c>
      <c r="AN435">
        <f>Model!AV208</f>
        <v>0</v>
      </c>
      <c r="AO435">
        <f>Model!AW208</f>
        <v>0</v>
      </c>
    </row>
    <row r="436" spans="1:41">
      <c r="A436" t="str">
        <f>Model!I209</f>
        <v xml:space="preserve">Beginning Cash </v>
      </c>
      <c r="B436">
        <f>Model!J209</f>
        <v>0</v>
      </c>
      <c r="C436">
        <f>Model!K209</f>
        <v>0</v>
      </c>
      <c r="D436">
        <f>Model!L209</f>
        <v>0</v>
      </c>
      <c r="E436">
        <f>Model!M209</f>
        <v>0</v>
      </c>
      <c r="F436">
        <f>Model!N209</f>
        <v>0</v>
      </c>
      <c r="G436">
        <f>Model!O209</f>
        <v>0</v>
      </c>
      <c r="H436">
        <f>Model!P209</f>
        <v>0</v>
      </c>
      <c r="I436">
        <f>Model!Q209</f>
        <v>0</v>
      </c>
      <c r="J436">
        <f>Model!R209</f>
        <v>0</v>
      </c>
      <c r="K436">
        <f>Model!S209</f>
        <v>0</v>
      </c>
      <c r="L436">
        <f>Model!T209</f>
        <v>0</v>
      </c>
      <c r="M436">
        <f>Model!U209</f>
        <v>0</v>
      </c>
      <c r="N436">
        <f>Model!V209</f>
        <v>0</v>
      </c>
      <c r="O436">
        <f>Model!W209</f>
        <v>0</v>
      </c>
      <c r="P436">
        <f>Model!X209</f>
        <v>0</v>
      </c>
      <c r="Q436">
        <f>Model!Y209</f>
        <v>0</v>
      </c>
      <c r="R436">
        <f>Model!Z209</f>
        <v>150.12100000000001</v>
      </c>
      <c r="S436">
        <f>Model!AA209</f>
        <v>1427.114</v>
      </c>
      <c r="T436">
        <f>Model!AB209</f>
        <v>501.67699999999979</v>
      </c>
      <c r="U436">
        <f>Model!AC209</f>
        <v>317.55400000000009</v>
      </c>
      <c r="V436">
        <f>Model!AD209</f>
        <v>334.06299999999942</v>
      </c>
      <c r="W436">
        <f>Model!AE209</f>
        <v>123.69154113518158</v>
      </c>
      <c r="X436">
        <f>Model!AF209</f>
        <v>222.28855759050055</v>
      </c>
      <c r="Y436">
        <f>Model!AG209</f>
        <v>273.0744443602353</v>
      </c>
      <c r="Z436">
        <f>Model!AH209</f>
        <v>0</v>
      </c>
      <c r="AA436">
        <f>Model!AI209</f>
        <v>0</v>
      </c>
      <c r="AB436">
        <f>Model!AJ209</f>
        <v>0</v>
      </c>
      <c r="AC436">
        <f>Model!AK209</f>
        <v>398.00799999999998</v>
      </c>
      <c r="AD436">
        <f>Model!AL209</f>
        <v>640.80999999999995</v>
      </c>
      <c r="AE436">
        <f>Model!AM209</f>
        <v>150.12099999999975</v>
      </c>
      <c r="AF436">
        <f>Model!AN209</f>
        <v>334.06299999999953</v>
      </c>
      <c r="AG436">
        <f>Model!AO209</f>
        <v>395.26616610161716</v>
      </c>
      <c r="AH436">
        <f>Model!AP209</f>
        <v>657.51054185503165</v>
      </c>
      <c r="AI436">
        <f>Model!AQ209</f>
        <v>899.9571522322907</v>
      </c>
      <c r="AJ436">
        <f>Model!AR209</f>
        <v>1266.4926568542551</v>
      </c>
      <c r="AK436">
        <f>Model!AS209</f>
        <v>1875.7334510818746</v>
      </c>
      <c r="AL436">
        <f>Model!AT209</f>
        <v>2778.8797538076228</v>
      </c>
      <c r="AM436">
        <f>Model!AU209</f>
        <v>4056.9849885019448</v>
      </c>
      <c r="AN436">
        <f>Model!AV209</f>
        <v>0</v>
      </c>
      <c r="AO436">
        <f>Model!AW209</f>
        <v>0</v>
      </c>
    </row>
    <row r="437" spans="1:41">
      <c r="A437" t="str">
        <f>Model!I210</f>
        <v>Change in cash and cash equivalents</v>
      </c>
      <c r="B437">
        <f>Model!J210</f>
        <v>0</v>
      </c>
      <c r="C437">
        <f>Model!K210</f>
        <v>0</v>
      </c>
      <c r="D437">
        <f>Model!L210</f>
        <v>0</v>
      </c>
      <c r="E437">
        <f>Model!M210</f>
        <v>0</v>
      </c>
      <c r="F437">
        <f>Model!N210</f>
        <v>0</v>
      </c>
      <c r="G437">
        <f>Model!O210</f>
        <v>0</v>
      </c>
      <c r="H437">
        <f>Model!P210</f>
        <v>0</v>
      </c>
      <c r="I437">
        <f>Model!Q210</f>
        <v>0</v>
      </c>
      <c r="J437">
        <f>Model!R210</f>
        <v>0</v>
      </c>
      <c r="K437">
        <f>Model!S210</f>
        <v>0</v>
      </c>
      <c r="L437">
        <f>Model!T210</f>
        <v>0</v>
      </c>
      <c r="M437">
        <f>Model!U210</f>
        <v>0</v>
      </c>
      <c r="N437">
        <f>Model!V210</f>
        <v>0</v>
      </c>
      <c r="O437">
        <f>Model!W210</f>
        <v>0</v>
      </c>
      <c r="P437">
        <f>Model!X210</f>
        <v>0</v>
      </c>
      <c r="Q437">
        <f>Model!Y210</f>
        <v>0</v>
      </c>
      <c r="R437">
        <f>Model!Z210</f>
        <v>1276.9929999999999</v>
      </c>
      <c r="S437">
        <f>Model!AA210</f>
        <v>-925.43700000000024</v>
      </c>
      <c r="T437">
        <f>Model!AB210</f>
        <v>-184.12299999999973</v>
      </c>
      <c r="U437">
        <f>Model!AC210</f>
        <v>16.508999999999304</v>
      </c>
      <c r="V437">
        <f>Model!AD210</f>
        <v>-210.37145886481784</v>
      </c>
      <c r="W437">
        <f>Model!AE210</f>
        <v>98.597016455318965</v>
      </c>
      <c r="X437">
        <f>Model!AF210</f>
        <v>50.785886769734759</v>
      </c>
      <c r="Y437">
        <f>Model!AG210</f>
        <v>122.19172174138168</v>
      </c>
      <c r="Z437">
        <f>Model!AH210</f>
        <v>0</v>
      </c>
      <c r="AA437">
        <f>Model!AI210</f>
        <v>0</v>
      </c>
      <c r="AB437">
        <f>Model!AJ210</f>
        <v>0</v>
      </c>
      <c r="AC437">
        <f>Model!AK210</f>
        <v>242.80199999999996</v>
      </c>
      <c r="AD437">
        <f>Model!AL210</f>
        <v>-490.68900000000019</v>
      </c>
      <c r="AE437">
        <f>Model!AM210</f>
        <v>183.94199999999978</v>
      </c>
      <c r="AF437">
        <f>Model!AN210</f>
        <v>61.203166101617626</v>
      </c>
      <c r="AG437">
        <f>Model!AO210</f>
        <v>262.24437575341449</v>
      </c>
      <c r="AH437">
        <f>Model!AP210</f>
        <v>242.44661037725908</v>
      </c>
      <c r="AI437">
        <f>Model!AQ210</f>
        <v>366.53550462196438</v>
      </c>
      <c r="AJ437">
        <f>Model!AR210</f>
        <v>609.2407942276194</v>
      </c>
      <c r="AK437">
        <f>Model!AS210</f>
        <v>903.14630272574823</v>
      </c>
      <c r="AL437">
        <f>Model!AT210</f>
        <v>1278.1052346943222</v>
      </c>
      <c r="AM437">
        <f>Model!AU210</f>
        <v>1676.3542687929889</v>
      </c>
      <c r="AN437">
        <f>Model!AV210</f>
        <v>0</v>
      </c>
      <c r="AO437">
        <f>Model!AW210</f>
        <v>0</v>
      </c>
    </row>
    <row r="438" spans="1:41">
      <c r="A438" t="str">
        <f>Model!I211</f>
        <v>Ending Cash</v>
      </c>
      <c r="B438">
        <f>Model!J211</f>
        <v>0</v>
      </c>
      <c r="C438">
        <f>Model!K211</f>
        <v>0</v>
      </c>
      <c r="D438">
        <f>Model!L211</f>
        <v>0</v>
      </c>
      <c r="E438">
        <f>Model!M211</f>
        <v>0</v>
      </c>
      <c r="F438">
        <f>Model!N211</f>
        <v>0</v>
      </c>
      <c r="G438">
        <f>Model!O211</f>
        <v>0</v>
      </c>
      <c r="H438">
        <f>Model!P211</f>
        <v>0</v>
      </c>
      <c r="I438">
        <f>Model!Q211</f>
        <v>0</v>
      </c>
      <c r="J438">
        <f>Model!R211</f>
        <v>0</v>
      </c>
      <c r="K438">
        <f>Model!S211</f>
        <v>0</v>
      </c>
      <c r="L438">
        <f>Model!T211</f>
        <v>0</v>
      </c>
      <c r="M438">
        <f>Model!U211</f>
        <v>0</v>
      </c>
      <c r="N438">
        <f>Model!V211</f>
        <v>0</v>
      </c>
      <c r="O438">
        <f>Model!W211</f>
        <v>0</v>
      </c>
      <c r="P438">
        <f>Model!X211</f>
        <v>0</v>
      </c>
      <c r="Q438">
        <f>Model!Y211</f>
        <v>0</v>
      </c>
      <c r="R438">
        <f>Model!Z211</f>
        <v>1427.114</v>
      </c>
      <c r="S438">
        <f>Model!AA211</f>
        <v>501.67699999999979</v>
      </c>
      <c r="T438">
        <f>Model!AB211</f>
        <v>317.55400000000009</v>
      </c>
      <c r="U438">
        <f>Model!AC211</f>
        <v>334.06299999999942</v>
      </c>
      <c r="V438">
        <f>Model!AD211</f>
        <v>123.69154113518158</v>
      </c>
      <c r="W438">
        <f>Model!AE211</f>
        <v>222.28855759050055</v>
      </c>
      <c r="X438">
        <f>Model!AF211</f>
        <v>273.0744443602353</v>
      </c>
      <c r="Y438">
        <f>Model!AG211</f>
        <v>395.26616610161699</v>
      </c>
      <c r="Z438">
        <f>Model!AH211</f>
        <v>0</v>
      </c>
      <c r="AA438">
        <f>Model!AI211</f>
        <v>0</v>
      </c>
      <c r="AB438">
        <f>Model!AJ211</f>
        <v>0</v>
      </c>
      <c r="AC438">
        <f>Model!AK211</f>
        <v>640.80999999999995</v>
      </c>
      <c r="AD438">
        <f>Model!AL211</f>
        <v>150.12099999999975</v>
      </c>
      <c r="AE438">
        <f>Model!AM211</f>
        <v>334.06299999999953</v>
      </c>
      <c r="AF438">
        <f>Model!AN211</f>
        <v>395.26616610161716</v>
      </c>
      <c r="AG438">
        <f>Model!AO211</f>
        <v>657.51054185503165</v>
      </c>
      <c r="AH438">
        <f>Model!AP211</f>
        <v>899.9571522322907</v>
      </c>
      <c r="AI438">
        <f>Model!AQ211</f>
        <v>1266.4926568542551</v>
      </c>
      <c r="AJ438">
        <f>Model!AR211</f>
        <v>1875.7334510818746</v>
      </c>
      <c r="AK438">
        <f>Model!AS211</f>
        <v>2778.8797538076228</v>
      </c>
      <c r="AL438">
        <f>Model!AT211</f>
        <v>4056.9849885019448</v>
      </c>
      <c r="AM438">
        <f>Model!AU211</f>
        <v>5733.3392572949342</v>
      </c>
      <c r="AN438">
        <f>Model!AV211</f>
        <v>0</v>
      </c>
      <c r="AO438">
        <f>Model!AW211</f>
        <v>0</v>
      </c>
    </row>
    <row r="439" spans="1:41">
      <c r="A439">
        <f>Model!I220</f>
        <v>0</v>
      </c>
      <c r="B439">
        <f>Model!J220</f>
        <v>0</v>
      </c>
      <c r="C439">
        <f>Model!K220</f>
        <v>0</v>
      </c>
      <c r="D439">
        <f>Model!L220</f>
        <v>0</v>
      </c>
      <c r="E439">
        <f>Model!M220</f>
        <v>0</v>
      </c>
      <c r="F439">
        <f>Model!N220</f>
        <v>0</v>
      </c>
      <c r="G439">
        <f>Model!O220</f>
        <v>0</v>
      </c>
      <c r="H439">
        <f>Model!P220</f>
        <v>0</v>
      </c>
      <c r="I439">
        <f>Model!Q220</f>
        <v>0</v>
      </c>
      <c r="J439">
        <f>Model!R220</f>
        <v>0</v>
      </c>
      <c r="K439">
        <f>Model!S220</f>
        <v>0</v>
      </c>
      <c r="L439">
        <f>Model!T220</f>
        <v>0</v>
      </c>
      <c r="M439">
        <f>Model!U220</f>
        <v>0</v>
      </c>
      <c r="N439">
        <f>Model!V220</f>
        <v>0</v>
      </c>
      <c r="O439">
        <f>Model!W220</f>
        <v>0</v>
      </c>
      <c r="P439">
        <f>Model!X220</f>
        <v>0</v>
      </c>
      <c r="Q439">
        <f>Model!Y220</f>
        <v>0</v>
      </c>
      <c r="R439">
        <f>Model!Z220</f>
        <v>0</v>
      </c>
      <c r="S439">
        <f>Model!AA220</f>
        <v>0</v>
      </c>
      <c r="T439">
        <f>Model!AB220</f>
        <v>0</v>
      </c>
      <c r="U439">
        <f>Model!AC220</f>
        <v>0</v>
      </c>
      <c r="V439">
        <f>Model!AD220</f>
        <v>0</v>
      </c>
      <c r="W439">
        <f>Model!AE220</f>
        <v>0</v>
      </c>
      <c r="X439">
        <f>Model!AF220</f>
        <v>0</v>
      </c>
      <c r="Y439">
        <f>Model!AG220</f>
        <v>0</v>
      </c>
      <c r="Z439">
        <f>Model!AH220</f>
        <v>0</v>
      </c>
      <c r="AA439">
        <f>Model!AI220</f>
        <v>0</v>
      </c>
      <c r="AB439">
        <f>Model!AJ220</f>
        <v>0</v>
      </c>
      <c r="AC439">
        <f>Model!AK220</f>
        <v>0</v>
      </c>
      <c r="AD439">
        <f>Model!AL220</f>
        <v>0</v>
      </c>
      <c r="AE439">
        <f>Model!AM220</f>
        <v>0</v>
      </c>
      <c r="AF439">
        <f>Model!AN220</f>
        <v>0</v>
      </c>
      <c r="AG439">
        <f>Model!AO220</f>
        <v>0</v>
      </c>
      <c r="AH439">
        <f>Model!AP220</f>
        <v>0</v>
      </c>
      <c r="AI439">
        <f>Model!AQ220</f>
        <v>0</v>
      </c>
      <c r="AJ439">
        <f>Model!AR220</f>
        <v>0</v>
      </c>
      <c r="AK439">
        <f>Model!AS220</f>
        <v>0</v>
      </c>
      <c r="AL439">
        <f>Model!AT220</f>
        <v>0</v>
      </c>
      <c r="AM439">
        <f>Model!AU220</f>
        <v>0</v>
      </c>
      <c r="AN439">
        <f>Model!AV220</f>
        <v>0</v>
      </c>
      <c r="AO439">
        <f>Model!AW220</f>
        <v>0</v>
      </c>
    </row>
    <row r="440" spans="1:41">
      <c r="A440" t="str">
        <f>Model!I221</f>
        <v>Interest and Other Income Assumptions</v>
      </c>
      <c r="B440">
        <f>Model!J221</f>
        <v>0</v>
      </c>
      <c r="C440">
        <f>Model!K221</f>
        <v>0</v>
      </c>
      <c r="D440">
        <f>Model!L221</f>
        <v>0</v>
      </c>
      <c r="E440">
        <f>Model!M221</f>
        <v>0</v>
      </c>
      <c r="F440">
        <f>Model!N221</f>
        <v>0</v>
      </c>
      <c r="G440">
        <f>Model!O221</f>
        <v>0</v>
      </c>
      <c r="H440">
        <f>Model!P221</f>
        <v>0</v>
      </c>
      <c r="I440">
        <f>Model!Q221</f>
        <v>0</v>
      </c>
      <c r="J440">
        <f>Model!R221</f>
        <v>0</v>
      </c>
      <c r="K440">
        <f>Model!S221</f>
        <v>0</v>
      </c>
      <c r="L440">
        <f>Model!T221</f>
        <v>0</v>
      </c>
      <c r="M440">
        <f>Model!U221</f>
        <v>0</v>
      </c>
      <c r="N440">
        <f>Model!V221</f>
        <v>0</v>
      </c>
      <c r="O440">
        <f>Model!W221</f>
        <v>0</v>
      </c>
      <c r="P440">
        <f>Model!X221</f>
        <v>0</v>
      </c>
      <c r="Q440">
        <f>Model!Y221</f>
        <v>0</v>
      </c>
      <c r="R440">
        <f>Model!Z221</f>
        <v>0</v>
      </c>
      <c r="S440">
        <f>Model!AA221</f>
        <v>0</v>
      </c>
      <c r="T440">
        <f>Model!AB221</f>
        <v>0</v>
      </c>
      <c r="U440">
        <f>Model!AC221</f>
        <v>0</v>
      </c>
      <c r="V440">
        <f>Model!AD221</f>
        <v>0</v>
      </c>
      <c r="W440">
        <f>Model!AE221</f>
        <v>0</v>
      </c>
      <c r="X440">
        <f>Model!AF221</f>
        <v>0</v>
      </c>
      <c r="Y440">
        <f>Model!AG221</f>
        <v>0</v>
      </c>
      <c r="Z440">
        <f>Model!AH221</f>
        <v>0</v>
      </c>
      <c r="AA440">
        <f>Model!AI221</f>
        <v>0</v>
      </c>
      <c r="AB440">
        <f>Model!AJ221</f>
        <v>0</v>
      </c>
      <c r="AC440">
        <f>Model!AK221</f>
        <v>0</v>
      </c>
      <c r="AD440">
        <f>Model!AL221</f>
        <v>0</v>
      </c>
      <c r="AE440">
        <f>Model!AM221</f>
        <v>0</v>
      </c>
      <c r="AF440">
        <f>Model!AN221</f>
        <v>0</v>
      </c>
      <c r="AG440">
        <f>Model!AO221</f>
        <v>0</v>
      </c>
      <c r="AH440">
        <f>Model!AP221</f>
        <v>0</v>
      </c>
      <c r="AI440">
        <f>Model!AQ221</f>
        <v>0</v>
      </c>
      <c r="AJ440">
        <f>Model!AR221</f>
        <v>0</v>
      </c>
      <c r="AK440">
        <f>Model!AS221</f>
        <v>0</v>
      </c>
      <c r="AL440">
        <f>Model!AT221</f>
        <v>0</v>
      </c>
      <c r="AM440">
        <f>Model!AU221</f>
        <v>0</v>
      </c>
      <c r="AN440">
        <f>Model!AV221</f>
        <v>0</v>
      </c>
      <c r="AO440">
        <f>Model!AW221</f>
        <v>0</v>
      </c>
    </row>
    <row r="441" spans="1:41">
      <c r="A441" t="str">
        <f>Model!I222</f>
        <v>Interest Income</v>
      </c>
      <c r="B441">
        <f>Model!J222</f>
        <v>0</v>
      </c>
      <c r="C441">
        <f>Model!K222</f>
        <v>0</v>
      </c>
      <c r="D441">
        <f>Model!L222</f>
        <v>0</v>
      </c>
      <c r="E441">
        <f>Model!M222</f>
        <v>0</v>
      </c>
      <c r="F441">
        <f>Model!N222</f>
        <v>0</v>
      </c>
      <c r="G441">
        <f>Model!O222</f>
        <v>0</v>
      </c>
      <c r="H441">
        <f>Model!P222</f>
        <v>0</v>
      </c>
      <c r="I441">
        <f>Model!Q222</f>
        <v>0</v>
      </c>
      <c r="J441">
        <f>Model!R222</f>
        <v>0.19400000000000001</v>
      </c>
      <c r="K441">
        <f>Model!S222</f>
        <v>0.33200000000000002</v>
      </c>
      <c r="L441">
        <f>Model!T222</f>
        <v>0.47499999999999998</v>
      </c>
      <c r="M441">
        <f>Model!U222</f>
        <v>0.39800000000000002</v>
      </c>
      <c r="N441">
        <f>Model!V222</f>
        <v>0.35899999999999999</v>
      </c>
      <c r="O441">
        <f>Model!W222</f>
        <v>0.874</v>
      </c>
      <c r="P441">
        <f>Model!X222</f>
        <v>1.9379999999999999</v>
      </c>
      <c r="Q441">
        <f>Model!Y222</f>
        <v>1.486</v>
      </c>
      <c r="R441">
        <f>Model!Z222</f>
        <v>2.4239999999999999</v>
      </c>
      <c r="S441">
        <f>Model!AA222</f>
        <v>6.3490000000000002</v>
      </c>
      <c r="T441">
        <f>Model!AB222</f>
        <v>6.2530000000000001</v>
      </c>
      <c r="U441">
        <f>Model!AC222</f>
        <v>6.07</v>
      </c>
      <c r="V441">
        <f>Model!AD222</f>
        <v>1.25</v>
      </c>
      <c r="W441">
        <f>Model!AE222</f>
        <v>1.25</v>
      </c>
      <c r="X441">
        <f>Model!AF222</f>
        <v>1.25</v>
      </c>
      <c r="Y441">
        <f>Model!AG222</f>
        <v>1.25</v>
      </c>
      <c r="Z441">
        <f>Model!AH222</f>
        <v>0</v>
      </c>
      <c r="AA441">
        <f>Model!AI222</f>
        <v>0</v>
      </c>
      <c r="AB441">
        <f>Model!AJ222</f>
        <v>0</v>
      </c>
      <c r="AC441">
        <f>Model!AK222</f>
        <v>1.399</v>
      </c>
      <c r="AD441">
        <f>Model!AL222</f>
        <v>4.657</v>
      </c>
      <c r="AE441">
        <f>Model!AM222</f>
        <v>21.096</v>
      </c>
      <c r="AF441">
        <f>Model!AN222</f>
        <v>5</v>
      </c>
      <c r="AG441">
        <f>Model!AO222</f>
        <v>5</v>
      </c>
      <c r="AH441">
        <f>Model!AP222</f>
        <v>5</v>
      </c>
      <c r="AI441">
        <f>Model!AQ222</f>
        <v>5</v>
      </c>
      <c r="AJ441">
        <f>Model!AR222</f>
        <v>5</v>
      </c>
      <c r="AK441">
        <f>Model!AS222</f>
        <v>5</v>
      </c>
      <c r="AL441">
        <f>Model!AT222</f>
        <v>5</v>
      </c>
      <c r="AM441">
        <f>Model!AU222</f>
        <v>5</v>
      </c>
      <c r="AN441">
        <f>Model!AV222</f>
        <v>0</v>
      </c>
      <c r="AO441">
        <f>Model!AW222</f>
        <v>0</v>
      </c>
    </row>
    <row r="442" spans="1:41">
      <c r="A442" t="str">
        <f>Model!I223</f>
        <v>% of Cash</v>
      </c>
      <c r="B442">
        <f>Model!J223</f>
        <v>0</v>
      </c>
      <c r="C442">
        <f>Model!K223</f>
        <v>0</v>
      </c>
      <c r="D442">
        <f>Model!L223</f>
        <v>0</v>
      </c>
      <c r="E442">
        <f>Model!M223</f>
        <v>0</v>
      </c>
      <c r="F442">
        <f>Model!N223</f>
        <v>0</v>
      </c>
      <c r="G442">
        <f>Model!O223</f>
        <v>0</v>
      </c>
      <c r="H442">
        <f>Model!P223</f>
        <v>0</v>
      </c>
      <c r="I442">
        <f>Model!Q223</f>
        <v>0</v>
      </c>
      <c r="J442">
        <f>Model!R223</f>
        <v>0</v>
      </c>
      <c r="K442">
        <f>Model!S223</f>
        <v>0</v>
      </c>
      <c r="L442">
        <f>Model!T223</f>
        <v>0</v>
      </c>
      <c r="M442">
        <f>Model!U223</f>
        <v>0</v>
      </c>
      <c r="N442">
        <f>Model!V223</f>
        <v>0</v>
      </c>
      <c r="O442">
        <f>Model!W223</f>
        <v>0</v>
      </c>
      <c r="P442">
        <f>Model!X223</f>
        <v>0</v>
      </c>
      <c r="Q442">
        <f>Model!Y223</f>
        <v>0</v>
      </c>
      <c r="R442">
        <f>Model!Z223</f>
        <v>0</v>
      </c>
      <c r="S442">
        <f>Model!AA223</f>
        <v>0</v>
      </c>
      <c r="T442">
        <f>Model!AB223</f>
        <v>0</v>
      </c>
      <c r="U442">
        <f>Model!AC223</f>
        <v>0</v>
      </c>
      <c r="V442">
        <f>Model!AD223</f>
        <v>0</v>
      </c>
      <c r="W442">
        <f>Model!AE223</f>
        <v>0</v>
      </c>
      <c r="X442">
        <f>Model!AF223</f>
        <v>0</v>
      </c>
      <c r="Y442">
        <f>Model!AG223</f>
        <v>0</v>
      </c>
      <c r="Z442">
        <f>Model!AH223</f>
        <v>0</v>
      </c>
      <c r="AA442">
        <f>Model!AI223</f>
        <v>0</v>
      </c>
      <c r="AB442">
        <f>Model!AJ223</f>
        <v>0</v>
      </c>
      <c r="AC442">
        <f>Model!AK223</f>
        <v>0</v>
      </c>
      <c r="AD442">
        <f>Model!AL223</f>
        <v>4.7165798364946004E-3</v>
      </c>
      <c r="AE442">
        <f>Model!AM223</f>
        <v>1.0325794074415612E-2</v>
      </c>
      <c r="AF442">
        <f>Model!AN223</f>
        <v>5.2397600709960142E-3</v>
      </c>
      <c r="AG442">
        <f>Model!AO223</f>
        <v>6.5232717431660623E-3</v>
      </c>
      <c r="AH442">
        <f>Model!AP223</f>
        <v>4.9557297120600809E-3</v>
      </c>
      <c r="AI442">
        <f>Model!AQ223</f>
        <v>3.6351246355807005E-3</v>
      </c>
      <c r="AJ442">
        <f>Model!AR223</f>
        <v>2.5192604374783805E-3</v>
      </c>
      <c r="AK442">
        <f>Model!AS223</f>
        <v>1.7313884162695888E-3</v>
      </c>
      <c r="AL442">
        <f>Model!AT223</f>
        <v>1.2002032697377635E-3</v>
      </c>
      <c r="AM442">
        <f>Model!AU223</f>
        <v>8.5582509327219406E-4</v>
      </c>
      <c r="AN442">
        <f>Model!AV223</f>
        <v>0</v>
      </c>
      <c r="AO442">
        <f>Model!AW223</f>
        <v>0</v>
      </c>
    </row>
    <row r="443" spans="1:41">
      <c r="A443">
        <f>Model!I224</f>
        <v>0</v>
      </c>
      <c r="B443">
        <f>Model!J224</f>
        <v>0</v>
      </c>
      <c r="C443">
        <f>Model!K224</f>
        <v>0</v>
      </c>
      <c r="D443">
        <f>Model!L224</f>
        <v>0</v>
      </c>
      <c r="E443">
        <f>Model!M224</f>
        <v>0</v>
      </c>
      <c r="F443">
        <f>Model!N224</f>
        <v>0</v>
      </c>
      <c r="G443">
        <f>Model!O224</f>
        <v>0</v>
      </c>
      <c r="H443">
        <f>Model!P224</f>
        <v>0</v>
      </c>
      <c r="I443">
        <f>Model!Q224</f>
        <v>0</v>
      </c>
      <c r="J443">
        <f>Model!R224</f>
        <v>0</v>
      </c>
      <c r="K443">
        <f>Model!S224</f>
        <v>0</v>
      </c>
      <c r="L443">
        <f>Model!T224</f>
        <v>0</v>
      </c>
      <c r="M443">
        <f>Model!U224</f>
        <v>0</v>
      </c>
      <c r="N443">
        <f>Model!V224</f>
        <v>0</v>
      </c>
      <c r="O443">
        <f>Model!W224</f>
        <v>0</v>
      </c>
      <c r="P443">
        <f>Model!X224</f>
        <v>0</v>
      </c>
      <c r="Q443">
        <f>Model!Y224</f>
        <v>0</v>
      </c>
      <c r="R443">
        <f>Model!Z224</f>
        <v>0</v>
      </c>
      <c r="S443">
        <f>Model!AA224</f>
        <v>0</v>
      </c>
      <c r="T443">
        <f>Model!AB224</f>
        <v>0</v>
      </c>
      <c r="U443">
        <f>Model!AC224</f>
        <v>0</v>
      </c>
      <c r="V443">
        <f>Model!AD224</f>
        <v>0</v>
      </c>
      <c r="W443">
        <f>Model!AE224</f>
        <v>0</v>
      </c>
      <c r="X443">
        <f>Model!AF224</f>
        <v>0</v>
      </c>
      <c r="Y443">
        <f>Model!AG224</f>
        <v>0</v>
      </c>
      <c r="Z443">
        <f>Model!AH224</f>
        <v>0</v>
      </c>
      <c r="AA443">
        <f>Model!AI224</f>
        <v>0</v>
      </c>
      <c r="AB443">
        <f>Model!AJ224</f>
        <v>0</v>
      </c>
      <c r="AC443">
        <f>Model!AK224</f>
        <v>0</v>
      </c>
      <c r="AD443">
        <f>Model!AL224</f>
        <v>0</v>
      </c>
      <c r="AE443">
        <f>Model!AM224</f>
        <v>0</v>
      </c>
      <c r="AF443">
        <f>Model!AN224</f>
        <v>0</v>
      </c>
      <c r="AG443">
        <f>Model!AO224</f>
        <v>0</v>
      </c>
      <c r="AH443">
        <f>Model!AP224</f>
        <v>0</v>
      </c>
      <c r="AI443">
        <f>Model!AQ224</f>
        <v>0</v>
      </c>
      <c r="AJ443">
        <f>Model!AR224</f>
        <v>0</v>
      </c>
      <c r="AK443">
        <f>Model!AS224</f>
        <v>0</v>
      </c>
      <c r="AL443">
        <f>Model!AT224</f>
        <v>0</v>
      </c>
      <c r="AM443">
        <f>Model!AU224</f>
        <v>0</v>
      </c>
      <c r="AN443">
        <f>Model!AV224</f>
        <v>0</v>
      </c>
      <c r="AO443">
        <f>Model!AW224</f>
        <v>0</v>
      </c>
    </row>
    <row r="444" spans="1:41">
      <c r="A444" t="str">
        <f>Model!I225</f>
        <v xml:space="preserve">Interest Expense </v>
      </c>
      <c r="B444">
        <f>Model!J225</f>
        <v>0</v>
      </c>
      <c r="C444">
        <f>Model!K225</f>
        <v>0</v>
      </c>
      <c r="D444">
        <f>Model!L225</f>
        <v>0</v>
      </c>
      <c r="E444">
        <f>Model!M225</f>
        <v>0</v>
      </c>
      <c r="F444">
        <f>Model!N225</f>
        <v>0</v>
      </c>
      <c r="G444">
        <f>Model!O225</f>
        <v>0</v>
      </c>
      <c r="H444">
        <f>Model!P225</f>
        <v>0</v>
      </c>
      <c r="I444">
        <f>Model!Q225</f>
        <v>0</v>
      </c>
      <c r="J444">
        <f>Model!R225</f>
        <v>0</v>
      </c>
      <c r="K444">
        <f>Model!S225</f>
        <v>0</v>
      </c>
      <c r="L444">
        <f>Model!T225</f>
        <v>0</v>
      </c>
      <c r="M444">
        <f>Model!U225</f>
        <v>0</v>
      </c>
      <c r="N444">
        <f>Model!V225</f>
        <v>0</v>
      </c>
      <c r="O444">
        <f>Model!W225</f>
        <v>0</v>
      </c>
      <c r="P444">
        <f>Model!X225</f>
        <v>-0.64800000000000002</v>
      </c>
      <c r="Q444">
        <f>Model!Y225</f>
        <v>-0.77600000000000002</v>
      </c>
      <c r="R444">
        <f>Model!Z225</f>
        <v>-0.69499999999999995</v>
      </c>
      <c r="S444">
        <f>Model!AA225</f>
        <v>-0.998</v>
      </c>
      <c r="T444">
        <f>Model!AB225</f>
        <v>-0.88700000000000001</v>
      </c>
      <c r="U444">
        <f>Model!AC225</f>
        <v>-0.876</v>
      </c>
      <c r="V444">
        <f>Model!AD225</f>
        <v>-0.7</v>
      </c>
      <c r="W444">
        <f>Model!AE225</f>
        <v>-0.7</v>
      </c>
      <c r="X444">
        <f>Model!AF225</f>
        <v>-0.7</v>
      </c>
      <c r="Y444">
        <f>Model!AG225</f>
        <v>-0.7</v>
      </c>
      <c r="Z444">
        <f>Model!AH225</f>
        <v>0</v>
      </c>
      <c r="AA444">
        <f>Model!AI225</f>
        <v>0</v>
      </c>
      <c r="AB444">
        <f>Model!AJ225</f>
        <v>0</v>
      </c>
      <c r="AC444">
        <f>Model!AK225</f>
        <v>0</v>
      </c>
      <c r="AD444">
        <f>Model!AL225</f>
        <v>1.4239999999999999</v>
      </c>
      <c r="AE444">
        <f>Model!AM225</f>
        <v>3.456</v>
      </c>
      <c r="AF444">
        <f>Model!AN225</f>
        <v>2.8</v>
      </c>
      <c r="AG444">
        <f>Model!AO225</f>
        <v>4.97898</v>
      </c>
      <c r="AH444">
        <f>Model!AP225</f>
        <v>4.97898</v>
      </c>
      <c r="AI444">
        <f>Model!AQ225</f>
        <v>4.97898</v>
      </c>
      <c r="AJ444">
        <f>Model!AR225</f>
        <v>4.97898</v>
      </c>
      <c r="AK444">
        <f>Model!AS225</f>
        <v>4.97898</v>
      </c>
      <c r="AL444">
        <f>Model!AT225</f>
        <v>4.97898</v>
      </c>
      <c r="AM444">
        <f>Model!AU225</f>
        <v>4.97898</v>
      </c>
      <c r="AN444">
        <f>Model!AV225</f>
        <v>0</v>
      </c>
      <c r="AO444">
        <f>Model!AW225</f>
        <v>0</v>
      </c>
    </row>
    <row r="445" spans="1:41">
      <c r="A445" t="str">
        <f>Model!I226</f>
        <v>% of LT Debt</v>
      </c>
      <c r="B445">
        <f>Model!J226</f>
        <v>0</v>
      </c>
      <c r="C445">
        <f>Model!K226</f>
        <v>0</v>
      </c>
      <c r="D445">
        <f>Model!L226</f>
        <v>0</v>
      </c>
      <c r="E445">
        <f>Model!M226</f>
        <v>0</v>
      </c>
      <c r="F445">
        <f>Model!N226</f>
        <v>0</v>
      </c>
      <c r="G445">
        <f>Model!O226</f>
        <v>0</v>
      </c>
      <c r="H445">
        <f>Model!P226</f>
        <v>0</v>
      </c>
      <c r="I445">
        <f>Model!Q226</f>
        <v>0</v>
      </c>
      <c r="J445">
        <f>Model!R226</f>
        <v>0</v>
      </c>
      <c r="K445">
        <f>Model!S226</f>
        <v>0</v>
      </c>
      <c r="L445">
        <f>Model!T226</f>
        <v>0</v>
      </c>
      <c r="M445">
        <f>Model!U226</f>
        <v>0</v>
      </c>
      <c r="N445">
        <f>Model!V226</f>
        <v>0</v>
      </c>
      <c r="O445">
        <f>Model!W226</f>
        <v>0</v>
      </c>
      <c r="P445">
        <f>Model!X226</f>
        <v>0</v>
      </c>
      <c r="Q445">
        <f>Model!Y226</f>
        <v>0</v>
      </c>
      <c r="R445">
        <f>Model!Z226</f>
        <v>0</v>
      </c>
      <c r="S445">
        <f>Model!AA226</f>
        <v>0</v>
      </c>
      <c r="T445">
        <f>Model!AB226</f>
        <v>0</v>
      </c>
      <c r="U445">
        <f>Model!AC226</f>
        <v>0</v>
      </c>
      <c r="V445">
        <f>Model!AD226</f>
        <v>0</v>
      </c>
      <c r="W445">
        <f>Model!AE226</f>
        <v>0</v>
      </c>
      <c r="X445">
        <f>Model!AF226</f>
        <v>0</v>
      </c>
      <c r="Y445">
        <f>Model!AG226</f>
        <v>0</v>
      </c>
      <c r="Z445">
        <f>Model!AH226</f>
        <v>0</v>
      </c>
      <c r="AA445">
        <f>Model!AI226</f>
        <v>0</v>
      </c>
      <c r="AB445">
        <f>Model!AJ226</f>
        <v>0</v>
      </c>
      <c r="AC445">
        <f>Model!AK226</f>
        <v>0</v>
      </c>
      <c r="AD445">
        <f>Model!AL226</f>
        <v>3.0211736750541011E-2</v>
      </c>
      <c r="AE445">
        <f>Model!AM226</f>
        <v>4.1647084342576191E-2</v>
      </c>
      <c r="AF445">
        <f>Model!AN226</f>
        <v>3.3741850740513113E-2</v>
      </c>
      <c r="AG445">
        <f>Model!AO226</f>
        <v>0.06</v>
      </c>
      <c r="AH445">
        <f>Model!AP226</f>
        <v>0.06</v>
      </c>
      <c r="AI445">
        <f>Model!AQ226</f>
        <v>0.06</v>
      </c>
      <c r="AJ445">
        <f>Model!AR226</f>
        <v>0.06</v>
      </c>
      <c r="AK445">
        <f>Model!AS226</f>
        <v>0.06</v>
      </c>
      <c r="AL445">
        <f>Model!AT226</f>
        <v>0.06</v>
      </c>
      <c r="AM445">
        <f>Model!AU226</f>
        <v>0.06</v>
      </c>
      <c r="AN445">
        <f>Model!AV226</f>
        <v>0</v>
      </c>
      <c r="AO445">
        <f>Model!AW226</f>
        <v>0</v>
      </c>
    </row>
    <row r="446" spans="1:41">
      <c r="A446">
        <f>Model!I227</f>
        <v>0</v>
      </c>
      <c r="B446">
        <f>Model!J227</f>
        <v>0</v>
      </c>
      <c r="C446">
        <f>Model!K227</f>
        <v>0</v>
      </c>
      <c r="D446">
        <f>Model!L227</f>
        <v>0</v>
      </c>
      <c r="E446">
        <f>Model!M227</f>
        <v>0</v>
      </c>
      <c r="F446">
        <f>Model!N227</f>
        <v>0</v>
      </c>
      <c r="G446">
        <f>Model!O227</f>
        <v>0</v>
      </c>
      <c r="H446">
        <f>Model!P227</f>
        <v>0</v>
      </c>
      <c r="I446">
        <f>Model!Q227</f>
        <v>0</v>
      </c>
      <c r="J446">
        <f>Model!R227</f>
        <v>0</v>
      </c>
      <c r="K446">
        <f>Model!S227</f>
        <v>0</v>
      </c>
      <c r="L446">
        <f>Model!T227</f>
        <v>0</v>
      </c>
      <c r="M446">
        <f>Model!U227</f>
        <v>0</v>
      </c>
      <c r="N446">
        <f>Model!V227</f>
        <v>0</v>
      </c>
      <c r="O446">
        <f>Model!W227</f>
        <v>0</v>
      </c>
      <c r="P446">
        <f>Model!X227</f>
        <v>0</v>
      </c>
      <c r="Q446">
        <f>Model!Y227</f>
        <v>0</v>
      </c>
      <c r="R446">
        <f>Model!Z227</f>
        <v>0</v>
      </c>
      <c r="S446">
        <f>Model!AA227</f>
        <v>0</v>
      </c>
      <c r="T446">
        <f>Model!AB227</f>
        <v>0</v>
      </c>
      <c r="U446">
        <f>Model!AC227</f>
        <v>0</v>
      </c>
      <c r="V446">
        <f>Model!AD227</f>
        <v>0</v>
      </c>
      <c r="W446">
        <f>Model!AE227</f>
        <v>0</v>
      </c>
      <c r="X446">
        <f>Model!AF227</f>
        <v>0</v>
      </c>
      <c r="Y446">
        <f>Model!AG227</f>
        <v>0</v>
      </c>
      <c r="Z446">
        <f>Model!AH227</f>
        <v>0</v>
      </c>
      <c r="AA446">
        <f>Model!AI227</f>
        <v>0</v>
      </c>
      <c r="AB446">
        <f>Model!AJ227</f>
        <v>0</v>
      </c>
      <c r="AC446">
        <f>Model!AK227</f>
        <v>0</v>
      </c>
      <c r="AD446">
        <f>Model!AL227</f>
        <v>0</v>
      </c>
      <c r="AE446">
        <f>Model!AM227</f>
        <v>0</v>
      </c>
      <c r="AF446">
        <f>Model!AN227</f>
        <v>0</v>
      </c>
      <c r="AG446">
        <f>Model!AO227</f>
        <v>0</v>
      </c>
      <c r="AH446">
        <f>Model!AP227</f>
        <v>0</v>
      </c>
      <c r="AI446">
        <f>Model!AQ227</f>
        <v>0</v>
      </c>
      <c r="AJ446">
        <f>Model!AR227</f>
        <v>0</v>
      </c>
      <c r="AK446">
        <f>Model!AS227</f>
        <v>0</v>
      </c>
      <c r="AL446">
        <f>Model!AT227</f>
        <v>0</v>
      </c>
      <c r="AM446">
        <f>Model!AU227</f>
        <v>0</v>
      </c>
      <c r="AN446">
        <f>Model!AV227</f>
        <v>0</v>
      </c>
      <c r="AO446">
        <f>Model!AW227</f>
        <v>0</v>
      </c>
    </row>
    <row r="447" spans="1:41">
      <c r="A447" t="str">
        <f>Model!I228</f>
        <v xml:space="preserve">Net Interest Income </v>
      </c>
      <c r="B447">
        <f>Model!J228</f>
        <v>0</v>
      </c>
      <c r="C447">
        <f>Model!K228</f>
        <v>0</v>
      </c>
      <c r="D447">
        <f>Model!L228</f>
        <v>0</v>
      </c>
      <c r="E447">
        <f>Model!M228</f>
        <v>0</v>
      </c>
      <c r="F447">
        <f>Model!N228</f>
        <v>0</v>
      </c>
      <c r="G447">
        <f>Model!O228</f>
        <v>0</v>
      </c>
      <c r="H447">
        <f>Model!P228</f>
        <v>0</v>
      </c>
      <c r="I447">
        <f>Model!Q228</f>
        <v>0</v>
      </c>
      <c r="J447">
        <f>Model!R228</f>
        <v>0</v>
      </c>
      <c r="K447">
        <f>Model!S228</f>
        <v>0</v>
      </c>
      <c r="L447">
        <f>Model!T228</f>
        <v>0</v>
      </c>
      <c r="M447">
        <f>Model!U228</f>
        <v>0</v>
      </c>
      <c r="N447">
        <f>Model!V228</f>
        <v>0</v>
      </c>
      <c r="O447">
        <f>Model!W228</f>
        <v>0</v>
      </c>
      <c r="P447">
        <f>Model!X228</f>
        <v>0</v>
      </c>
      <c r="Q447">
        <f>Model!Y228</f>
        <v>0</v>
      </c>
      <c r="R447">
        <f>Model!Z228</f>
        <v>0</v>
      </c>
      <c r="S447">
        <f>Model!AA228</f>
        <v>0</v>
      </c>
      <c r="T447">
        <f>Model!AB228</f>
        <v>0</v>
      </c>
      <c r="U447">
        <f>Model!AC228</f>
        <v>0</v>
      </c>
      <c r="V447">
        <f>Model!AD228</f>
        <v>0</v>
      </c>
      <c r="W447">
        <f>Model!AE228</f>
        <v>0</v>
      </c>
      <c r="X447">
        <f>Model!AF228</f>
        <v>0</v>
      </c>
      <c r="Y447">
        <f>Model!AG228</f>
        <v>0</v>
      </c>
      <c r="Z447">
        <f>Model!AH228</f>
        <v>0</v>
      </c>
      <c r="AA447">
        <f>Model!AI228</f>
        <v>0</v>
      </c>
      <c r="AB447">
        <f>Model!AJ228</f>
        <v>0</v>
      </c>
      <c r="AC447">
        <f>Model!AK228</f>
        <v>1.399</v>
      </c>
      <c r="AD447">
        <f>Model!AL228</f>
        <v>3.2330000000000001</v>
      </c>
      <c r="AE447">
        <f>Model!AM228</f>
        <v>17.64</v>
      </c>
      <c r="AF447">
        <f>Model!AN228</f>
        <v>2.2000000000000002</v>
      </c>
      <c r="AG447">
        <f>Model!AO228</f>
        <v>2.1020000000000039E-2</v>
      </c>
      <c r="AH447">
        <f>Model!AP228</f>
        <v>2.1020000000000039E-2</v>
      </c>
      <c r="AI447">
        <f>Model!AQ228</f>
        <v>2.1020000000000039E-2</v>
      </c>
      <c r="AJ447">
        <f>Model!AR228</f>
        <v>2.1020000000000039E-2</v>
      </c>
      <c r="AK447">
        <f>Model!AS228</f>
        <v>2.1020000000000039E-2</v>
      </c>
      <c r="AL447">
        <f>Model!AT228</f>
        <v>2.1020000000000039E-2</v>
      </c>
      <c r="AM447">
        <f>Model!AU228</f>
        <v>2.1020000000000039E-2</v>
      </c>
      <c r="AN447">
        <f>Model!AV228</f>
        <v>0</v>
      </c>
      <c r="AO447">
        <f>Model!AW228</f>
        <v>0</v>
      </c>
    </row>
    <row r="448" spans="1:41">
      <c r="A448">
        <f>Model!I229</f>
        <v>0</v>
      </c>
      <c r="B448">
        <f>Model!J229</f>
        <v>0</v>
      </c>
      <c r="C448">
        <f>Model!K229</f>
        <v>0</v>
      </c>
      <c r="D448">
        <f>Model!L229</f>
        <v>0</v>
      </c>
      <c r="E448">
        <f>Model!M229</f>
        <v>0</v>
      </c>
      <c r="F448">
        <f>Model!N229</f>
        <v>0</v>
      </c>
      <c r="G448">
        <f>Model!O229</f>
        <v>0</v>
      </c>
      <c r="H448">
        <f>Model!P229</f>
        <v>0</v>
      </c>
      <c r="I448">
        <f>Model!Q229</f>
        <v>0</v>
      </c>
      <c r="J448">
        <f>Model!R229</f>
        <v>0</v>
      </c>
      <c r="K448">
        <f>Model!S229</f>
        <v>0</v>
      </c>
      <c r="L448">
        <f>Model!T229</f>
        <v>0</v>
      </c>
      <c r="M448">
        <f>Model!U229</f>
        <v>0</v>
      </c>
      <c r="N448">
        <f>Model!V229</f>
        <v>0</v>
      </c>
      <c r="O448">
        <f>Model!W229</f>
        <v>0</v>
      </c>
      <c r="P448">
        <f>Model!X229</f>
        <v>0</v>
      </c>
      <c r="Q448">
        <f>Model!Y229</f>
        <v>0</v>
      </c>
      <c r="R448">
        <f>Model!Z229</f>
        <v>0</v>
      </c>
      <c r="S448">
        <f>Model!AA229</f>
        <v>0</v>
      </c>
      <c r="T448">
        <f>Model!AB229</f>
        <v>0</v>
      </c>
      <c r="U448">
        <f>Model!AC229</f>
        <v>0</v>
      </c>
      <c r="V448">
        <f>Model!AD229</f>
        <v>0</v>
      </c>
      <c r="W448">
        <f>Model!AE229</f>
        <v>0</v>
      </c>
      <c r="X448">
        <f>Model!AF229</f>
        <v>0</v>
      </c>
      <c r="Y448">
        <f>Model!AG229</f>
        <v>0</v>
      </c>
      <c r="Z448">
        <f>Model!AH229</f>
        <v>0</v>
      </c>
      <c r="AA448">
        <f>Model!AI229</f>
        <v>0</v>
      </c>
      <c r="AB448">
        <f>Model!AJ229</f>
        <v>0</v>
      </c>
      <c r="AC448">
        <f>Model!AK229</f>
        <v>2.1831744198748462E-3</v>
      </c>
      <c r="AD448">
        <f>Model!AL229</f>
        <v>3.2743617374676923E-3</v>
      </c>
      <c r="AE448">
        <f>Model!AM229</f>
        <v>8.6341964103475253E-3</v>
      </c>
      <c r="AF448">
        <f>Model!AN229</f>
        <v>2.3054944312382464E-3</v>
      </c>
      <c r="AG448">
        <f>Model!AO229</f>
        <v>2.7423834408270175E-5</v>
      </c>
      <c r="AH448">
        <f>Model!AP229</f>
        <v>2.0833887709500616E-5</v>
      </c>
      <c r="AI448">
        <f>Model!AQ229</f>
        <v>1.5282063967981293E-5</v>
      </c>
      <c r="AJ448">
        <f>Model!AR229</f>
        <v>1.059097087915913E-5</v>
      </c>
      <c r="AK448">
        <f>Model!AS229</f>
        <v>7.2787569019973651E-6</v>
      </c>
      <c r="AL448">
        <f>Model!AT229</f>
        <v>5.0456545459775671E-6</v>
      </c>
      <c r="AM448">
        <f>Model!AU229</f>
        <v>3.5978886921163103E-6</v>
      </c>
      <c r="AN448">
        <f>Model!AV229</f>
        <v>0</v>
      </c>
      <c r="AO448">
        <f>Model!AW229</f>
        <v>0</v>
      </c>
    </row>
    <row r="449" spans="1:41">
      <c r="A449">
        <f>Model!I230</f>
        <v>0</v>
      </c>
      <c r="B449">
        <f>Model!J230</f>
        <v>0</v>
      </c>
      <c r="C449">
        <f>Model!K230</f>
        <v>0</v>
      </c>
      <c r="D449">
        <f>Model!L230</f>
        <v>0</v>
      </c>
      <c r="E449">
        <f>Model!M230</f>
        <v>0</v>
      </c>
      <c r="F449">
        <f>Model!N230</f>
        <v>0</v>
      </c>
      <c r="G449">
        <f>Model!O230</f>
        <v>0</v>
      </c>
      <c r="H449">
        <f>Model!P230</f>
        <v>0</v>
      </c>
      <c r="I449">
        <f>Model!Q230</f>
        <v>0</v>
      </c>
      <c r="J449">
        <f>Model!R230</f>
        <v>0</v>
      </c>
      <c r="K449">
        <f>Model!S230</f>
        <v>0</v>
      </c>
      <c r="L449">
        <f>Model!T230</f>
        <v>0</v>
      </c>
      <c r="M449">
        <f>Model!U230</f>
        <v>0</v>
      </c>
      <c r="N449">
        <f>Model!V230</f>
        <v>0</v>
      </c>
      <c r="O449">
        <f>Model!W230</f>
        <v>0</v>
      </c>
      <c r="P449">
        <f>Model!X230</f>
        <v>0</v>
      </c>
      <c r="Q449">
        <f>Model!Y230</f>
        <v>0</v>
      </c>
      <c r="R449">
        <f>Model!Z230</f>
        <v>0</v>
      </c>
      <c r="S449">
        <f>Model!AA230</f>
        <v>0</v>
      </c>
      <c r="T449">
        <f>Model!AB230</f>
        <v>0</v>
      </c>
      <c r="U449">
        <f>Model!AC230</f>
        <v>0</v>
      </c>
      <c r="V449">
        <f>Model!AD230</f>
        <v>0</v>
      </c>
      <c r="W449">
        <f>Model!AE230</f>
        <v>0</v>
      </c>
      <c r="X449">
        <f>Model!AF230</f>
        <v>0</v>
      </c>
      <c r="Y449">
        <f>Model!AG230</f>
        <v>0</v>
      </c>
      <c r="Z449">
        <f>Model!AH230</f>
        <v>0</v>
      </c>
      <c r="AA449">
        <f>Model!AI230</f>
        <v>0</v>
      </c>
      <c r="AB449">
        <f>Model!AJ230</f>
        <v>0</v>
      </c>
      <c r="AC449">
        <f>Model!AK230</f>
        <v>0</v>
      </c>
      <c r="AD449">
        <f>Model!AL230</f>
        <v>0</v>
      </c>
      <c r="AE449">
        <f>Model!AM230</f>
        <v>0</v>
      </c>
      <c r="AF449">
        <f>Model!AN230</f>
        <v>0</v>
      </c>
      <c r="AG449">
        <f>Model!AO230</f>
        <v>0</v>
      </c>
      <c r="AH449">
        <f>Model!AP230</f>
        <v>0</v>
      </c>
      <c r="AI449">
        <f>Model!AQ230</f>
        <v>0</v>
      </c>
      <c r="AJ449">
        <f>Model!AR230</f>
        <v>0</v>
      </c>
      <c r="AK449">
        <f>Model!AS230</f>
        <v>0</v>
      </c>
      <c r="AL449">
        <f>Model!AT230</f>
        <v>0</v>
      </c>
      <c r="AM449">
        <f>Model!AU230</f>
        <v>0</v>
      </c>
      <c r="AN449">
        <f>Model!AV230</f>
        <v>0</v>
      </c>
      <c r="AO449">
        <f>Model!AW230</f>
        <v>0</v>
      </c>
    </row>
    <row r="450" spans="1:41">
      <c r="A450" t="str">
        <f>Model!I231</f>
        <v>Capex &amp; Depreciation Estimates</v>
      </c>
      <c r="B450">
        <f>Model!J231</f>
        <v>0</v>
      </c>
      <c r="C450">
        <f>Model!K231</f>
        <v>0</v>
      </c>
      <c r="D450">
        <f>Model!L231</f>
        <v>0</v>
      </c>
      <c r="E450">
        <f>Model!M231</f>
        <v>0</v>
      </c>
      <c r="F450">
        <f>Model!N231</f>
        <v>0</v>
      </c>
      <c r="G450">
        <f>Model!O231</f>
        <v>0</v>
      </c>
      <c r="H450">
        <f>Model!P231</f>
        <v>0</v>
      </c>
      <c r="I450">
        <f>Model!Q231</f>
        <v>0</v>
      </c>
      <c r="J450">
        <f>Model!R231</f>
        <v>0</v>
      </c>
      <c r="K450">
        <f>Model!S231</f>
        <v>0</v>
      </c>
      <c r="L450">
        <f>Model!T231</f>
        <v>0</v>
      </c>
      <c r="M450">
        <f>Model!U231</f>
        <v>0</v>
      </c>
      <c r="N450">
        <f>Model!V231</f>
        <v>0</v>
      </c>
      <c r="O450">
        <f>Model!W231</f>
        <v>0</v>
      </c>
      <c r="P450">
        <f>Model!X231</f>
        <v>0</v>
      </c>
      <c r="Q450">
        <f>Model!Y231</f>
        <v>0</v>
      </c>
      <c r="R450">
        <f>Model!Z231</f>
        <v>0</v>
      </c>
      <c r="S450">
        <f>Model!AA231</f>
        <v>0</v>
      </c>
      <c r="T450">
        <f>Model!AB231</f>
        <v>0</v>
      </c>
      <c r="U450">
        <f>Model!AC231</f>
        <v>0</v>
      </c>
      <c r="V450">
        <f>Model!AD231</f>
        <v>0</v>
      </c>
      <c r="W450">
        <f>Model!AE231</f>
        <v>0</v>
      </c>
      <c r="X450">
        <f>Model!AF231</f>
        <v>0</v>
      </c>
      <c r="Y450">
        <f>Model!AG231</f>
        <v>0</v>
      </c>
      <c r="Z450">
        <f>Model!AH231</f>
        <v>0</v>
      </c>
      <c r="AA450">
        <f>Model!AI231</f>
        <v>0</v>
      </c>
      <c r="AB450">
        <f>Model!AJ231</f>
        <v>0</v>
      </c>
      <c r="AC450">
        <f>Model!AK231</f>
        <v>0</v>
      </c>
      <c r="AD450">
        <f>Model!AL231</f>
        <v>0</v>
      </c>
      <c r="AE450">
        <f>Model!AM231</f>
        <v>0</v>
      </c>
      <c r="AF450">
        <f>Model!AN231</f>
        <v>0</v>
      </c>
      <c r="AG450">
        <f>Model!AO231</f>
        <v>0</v>
      </c>
      <c r="AH450">
        <f>Model!AP231</f>
        <v>0</v>
      </c>
      <c r="AI450">
        <f>Model!AQ231</f>
        <v>0</v>
      </c>
      <c r="AJ450">
        <f>Model!AR231</f>
        <v>0</v>
      </c>
      <c r="AK450">
        <f>Model!AS231</f>
        <v>0</v>
      </c>
      <c r="AL450">
        <f>Model!AT231</f>
        <v>0</v>
      </c>
      <c r="AM450">
        <f>Model!AU231</f>
        <v>0</v>
      </c>
      <c r="AN450">
        <f>Model!AV231</f>
        <v>0</v>
      </c>
      <c r="AO450">
        <f>Model!AW231</f>
        <v>0</v>
      </c>
    </row>
    <row r="451" spans="1:41">
      <c r="A451">
        <f>Model!I232</f>
        <v>0</v>
      </c>
      <c r="B451">
        <f>Model!J232</f>
        <v>0</v>
      </c>
      <c r="C451">
        <f>Model!K232</f>
        <v>0</v>
      </c>
      <c r="D451">
        <f>Model!L232</f>
        <v>0</v>
      </c>
      <c r="E451">
        <f>Model!M232</f>
        <v>0</v>
      </c>
      <c r="F451">
        <f>Model!N232</f>
        <v>0</v>
      </c>
      <c r="G451">
        <f>Model!O232</f>
        <v>0</v>
      </c>
      <c r="H451">
        <f>Model!P232</f>
        <v>0</v>
      </c>
      <c r="I451">
        <f>Model!Q232</f>
        <v>0</v>
      </c>
      <c r="J451">
        <f>Model!R232</f>
        <v>0</v>
      </c>
      <c r="K451">
        <f>Model!S232</f>
        <v>0</v>
      </c>
      <c r="L451">
        <f>Model!T232</f>
        <v>0</v>
      </c>
      <c r="M451">
        <f>Model!U232</f>
        <v>0</v>
      </c>
      <c r="N451">
        <f>Model!V232</f>
        <v>0</v>
      </c>
      <c r="O451">
        <f>Model!W232</f>
        <v>0</v>
      </c>
      <c r="P451">
        <f>Model!X232</f>
        <v>0</v>
      </c>
      <c r="Q451">
        <f>Model!Y232</f>
        <v>0</v>
      </c>
      <c r="R451">
        <f>Model!Z232</f>
        <v>0</v>
      </c>
      <c r="S451">
        <f>Model!AA232</f>
        <v>0</v>
      </c>
      <c r="T451">
        <f>Model!AB232</f>
        <v>0</v>
      </c>
      <c r="U451">
        <f>Model!AC232</f>
        <v>0</v>
      </c>
      <c r="V451">
        <f>Model!AD232</f>
        <v>0</v>
      </c>
      <c r="W451">
        <f>Model!AE232</f>
        <v>0</v>
      </c>
      <c r="X451">
        <f>Model!AF232</f>
        <v>0</v>
      </c>
      <c r="Y451">
        <f>Model!AG232</f>
        <v>0</v>
      </c>
      <c r="Z451">
        <f>Model!AH232</f>
        <v>0</v>
      </c>
      <c r="AA451">
        <f>Model!AI232</f>
        <v>0</v>
      </c>
      <c r="AB451">
        <f>Model!AJ232</f>
        <v>0</v>
      </c>
      <c r="AC451">
        <f>Model!AK232</f>
        <v>0</v>
      </c>
      <c r="AD451">
        <f>Model!AL232</f>
        <v>0</v>
      </c>
      <c r="AE451">
        <f>Model!AM232</f>
        <v>0</v>
      </c>
      <c r="AF451">
        <f>Model!AN232</f>
        <v>0</v>
      </c>
      <c r="AG451">
        <f>Model!AO232</f>
        <v>0</v>
      </c>
      <c r="AH451">
        <f>Model!AP232</f>
        <v>0</v>
      </c>
      <c r="AI451">
        <f>Model!AQ232</f>
        <v>0</v>
      </c>
      <c r="AJ451">
        <f>Model!AR232</f>
        <v>0</v>
      </c>
      <c r="AK451">
        <f>Model!AS232</f>
        <v>0</v>
      </c>
      <c r="AL451">
        <f>Model!AT232</f>
        <v>0</v>
      </c>
      <c r="AM451">
        <f>Model!AU232</f>
        <v>0</v>
      </c>
      <c r="AN451">
        <f>Model!AV232</f>
        <v>0</v>
      </c>
      <c r="AO451">
        <f>Model!AW232</f>
        <v>0</v>
      </c>
    </row>
    <row r="452" spans="1:41">
      <c r="A452" t="str">
        <f>Model!I233</f>
        <v xml:space="preserve">Capex </v>
      </c>
      <c r="B452">
        <f>Model!J233</f>
        <v>0</v>
      </c>
      <c r="C452">
        <f>Model!K233</f>
        <v>0</v>
      </c>
      <c r="D452">
        <f>Model!L233</f>
        <v>0</v>
      </c>
      <c r="E452">
        <f>Model!M233</f>
        <v>0</v>
      </c>
      <c r="F452">
        <f>Model!N233</f>
        <v>0</v>
      </c>
      <c r="G452">
        <f>Model!O233</f>
        <v>0</v>
      </c>
      <c r="H452">
        <f>Model!P233</f>
        <v>0</v>
      </c>
      <c r="I452">
        <f>Model!Q233</f>
        <v>0</v>
      </c>
      <c r="J452">
        <f>Model!R233</f>
        <v>1.5680000000000001</v>
      </c>
      <c r="K452">
        <f>Model!S233</f>
        <v>8.4730000000000008</v>
      </c>
      <c r="L452">
        <f>Model!T233</f>
        <v>4.3520000000000003</v>
      </c>
      <c r="M452">
        <f>Model!U233</f>
        <v>4.8120000000000003</v>
      </c>
      <c r="N452">
        <f>Model!V233</f>
        <v>12.452</v>
      </c>
      <c r="O452">
        <f>Model!W233</f>
        <v>16.420999999999999</v>
      </c>
      <c r="P452">
        <f>Model!X233</f>
        <v>17.192</v>
      </c>
      <c r="Q452">
        <f>Model!Y233</f>
        <v>20.576000000000001</v>
      </c>
      <c r="R452">
        <f>Model!Z233</f>
        <v>17.992999999999999</v>
      </c>
      <c r="S452">
        <f>Model!AA233</f>
        <v>19.364999999999998</v>
      </c>
      <c r="T452">
        <f>Model!AB233</f>
        <v>25.948000000000004</v>
      </c>
      <c r="U452">
        <f>Model!AC233</f>
        <v>21.212</v>
      </c>
      <c r="V452">
        <f>Model!AD233</f>
        <v>21.492999999999999</v>
      </c>
      <c r="W452">
        <f>Model!AE233</f>
        <v>22.864999999999998</v>
      </c>
      <c r="X452">
        <f>Model!AF233</f>
        <v>29.448000000000004</v>
      </c>
      <c r="Y452">
        <f>Model!AG233</f>
        <v>24.712</v>
      </c>
      <c r="Z452">
        <f>Model!AH233</f>
        <v>0</v>
      </c>
      <c r="AA452">
        <f>Model!AI233</f>
        <v>0</v>
      </c>
      <c r="AB452">
        <f>Model!AJ233</f>
        <v>0</v>
      </c>
      <c r="AC452">
        <f>Model!AK233</f>
        <v>19.205000000000002</v>
      </c>
      <c r="AD452">
        <f>Model!AL233</f>
        <v>66.640999999999991</v>
      </c>
      <c r="AE452">
        <f>Model!AM233</f>
        <v>84.518000000000001</v>
      </c>
      <c r="AF452">
        <f>Model!AN233</f>
        <v>98.518000000000001</v>
      </c>
      <c r="AG452">
        <f>Model!AO233</f>
        <v>111.518</v>
      </c>
      <c r="AH452">
        <f>Model!AP233</f>
        <v>123.518</v>
      </c>
      <c r="AI452">
        <f>Model!AQ233</f>
        <v>134.518</v>
      </c>
      <c r="AJ452">
        <f>Model!AR233</f>
        <v>145.518</v>
      </c>
      <c r="AK452">
        <f>Model!AS233</f>
        <v>154.518</v>
      </c>
      <c r="AL452">
        <f>Model!AT233</f>
        <v>162.518</v>
      </c>
      <c r="AM452">
        <f>Model!AU233</f>
        <v>169.518</v>
      </c>
      <c r="AN452">
        <f>Model!AV233</f>
        <v>0</v>
      </c>
      <c r="AO452">
        <f>Model!AW233</f>
        <v>0</v>
      </c>
    </row>
    <row r="453" spans="1:41">
      <c r="A453" t="str">
        <f>Model!I234</f>
        <v xml:space="preserve">% of Revenue </v>
      </c>
      <c r="B453">
        <f>Model!J234</f>
        <v>0</v>
      </c>
      <c r="C453">
        <f>Model!K234</f>
        <v>0</v>
      </c>
      <c r="D453">
        <f>Model!L234</f>
        <v>0</v>
      </c>
      <c r="E453">
        <f>Model!M234</f>
        <v>0</v>
      </c>
      <c r="F453">
        <f>Model!N234</f>
        <v>0</v>
      </c>
      <c r="G453">
        <f>Model!O234</f>
        <v>0</v>
      </c>
      <c r="H453">
        <f>Model!P234</f>
        <v>0</v>
      </c>
      <c r="I453">
        <f>Model!Q234</f>
        <v>0</v>
      </c>
      <c r="J453">
        <f>Model!R234</f>
        <v>0.4</v>
      </c>
      <c r="K453">
        <f>Model!S234</f>
        <v>1.598679245283019</v>
      </c>
      <c r="L453">
        <f>Model!T234</f>
        <v>0.26020926756352764</v>
      </c>
      <c r="M453">
        <f>Model!U234</f>
        <v>0.1470750045846323</v>
      </c>
      <c r="N453">
        <f>Model!V234</f>
        <v>0.32094437857621527</v>
      </c>
      <c r="O453">
        <f>Model!W234</f>
        <v>0.22871110615894591</v>
      </c>
      <c r="P453">
        <f>Model!X234</f>
        <v>0.13409878006926459</v>
      </c>
      <c r="Q453">
        <f>Model!Y234</f>
        <v>0.12418971282336043</v>
      </c>
      <c r="R453">
        <f>Model!Z234</f>
        <v>0.12023548594033999</v>
      </c>
      <c r="S453">
        <f>Model!AA234</f>
        <v>0.10659378767111977</v>
      </c>
      <c r="T453">
        <f>Model!AB234</f>
        <v>0.12478779630368815</v>
      </c>
      <c r="U453">
        <f>Model!AC234</f>
        <v>7.4247531441092363E-2</v>
      </c>
      <c r="V453">
        <f>Model!AD234</f>
        <v>8.6317269076305214E-2</v>
      </c>
      <c r="W453">
        <f>Model!AE234</f>
        <v>7.7508474576271177E-2</v>
      </c>
      <c r="X453">
        <f>Model!AF234</f>
        <v>8.6357771260997085E-2</v>
      </c>
      <c r="Y453">
        <f>Model!AG234</f>
        <v>5.7738317757009348E-2</v>
      </c>
      <c r="Z453">
        <f>Model!AH234</f>
        <v>0</v>
      </c>
      <c r="AA453">
        <f>Model!AI234</f>
        <v>0</v>
      </c>
      <c r="AB453">
        <f>Model!AJ234</f>
        <v>0</v>
      </c>
      <c r="AC453">
        <f>Model!AK234</f>
        <v>0.32737841569643561</v>
      </c>
      <c r="AD453">
        <f>Model!AL234</f>
        <v>0.16475640448771514</v>
      </c>
      <c r="AE453">
        <f>Model!AM234</f>
        <v>0.10245239402678227</v>
      </c>
      <c r="AF453">
        <f>Model!AN234</f>
        <v>7.5032749428789028E-2</v>
      </c>
      <c r="AG453">
        <f>Model!AO234</f>
        <v>5.6626380485743089E-2</v>
      </c>
      <c r="AH453">
        <f>Model!AP234</f>
        <v>4.4036844692555206E-2</v>
      </c>
      <c r="AI453">
        <f>Model!AQ234</f>
        <v>3.5279460284531897E-2</v>
      </c>
      <c r="AJ453">
        <f>Model!AR234</f>
        <v>2.9314903332664115E-2</v>
      </c>
      <c r="AK453">
        <f>Model!AS234</f>
        <v>2.5069570996243143E-2</v>
      </c>
      <c r="AL453">
        <f>Model!AT234</f>
        <v>2.2093626717306969E-2</v>
      </c>
      <c r="AM453">
        <f>Model!AU234</f>
        <v>1.9836809009287033E-2</v>
      </c>
      <c r="AN453">
        <f>Model!AV234</f>
        <v>0</v>
      </c>
      <c r="AO453">
        <f>Model!AW234</f>
        <v>0</v>
      </c>
    </row>
    <row r="454" spans="1:41">
      <c r="A454" t="str">
        <f>Model!I235</f>
        <v>Y/Y % Growth</v>
      </c>
      <c r="B454">
        <f>Model!J235</f>
        <v>0</v>
      </c>
      <c r="C454">
        <f>Model!K235</f>
        <v>0</v>
      </c>
      <c r="D454">
        <f>Model!L235</f>
        <v>0</v>
      </c>
      <c r="E454">
        <f>Model!M235</f>
        <v>0</v>
      </c>
      <c r="F454">
        <f>Model!N235</f>
        <v>0</v>
      </c>
      <c r="G454">
        <f>Model!O235</f>
        <v>0</v>
      </c>
      <c r="H454">
        <f>Model!P235</f>
        <v>0</v>
      </c>
      <c r="I454">
        <f>Model!Q235</f>
        <v>0</v>
      </c>
      <c r="J454">
        <f>Model!R235</f>
        <v>0</v>
      </c>
      <c r="K454">
        <f>Model!S235</f>
        <v>0</v>
      </c>
      <c r="L454">
        <f>Model!T235</f>
        <v>0</v>
      </c>
      <c r="M454">
        <f>Model!U235</f>
        <v>0</v>
      </c>
      <c r="N454">
        <f>Model!V235</f>
        <v>6.9413265306122449</v>
      </c>
      <c r="O454">
        <f>Model!W235</f>
        <v>0.93803847515637884</v>
      </c>
      <c r="P454">
        <f>Model!X235</f>
        <v>2.9503676470588234</v>
      </c>
      <c r="Q454">
        <f>Model!Y235</f>
        <v>3.2759767248545302</v>
      </c>
      <c r="R454">
        <f>Model!Z235</f>
        <v>0.44498875682621253</v>
      </c>
      <c r="S454">
        <f>Model!AA235</f>
        <v>0.1792826259058522</v>
      </c>
      <c r="T454">
        <f>Model!AB235</f>
        <v>0.50930665425779464</v>
      </c>
      <c r="U454">
        <f>Model!AC235</f>
        <v>3.0909797822705976E-2</v>
      </c>
      <c r="V454">
        <f>Model!AD235</f>
        <v>0.19452009114655699</v>
      </c>
      <c r="W454">
        <f>Model!AE235</f>
        <v>0.18073844564936747</v>
      </c>
      <c r="X454">
        <f>Model!AF235</f>
        <v>0.13488515492523501</v>
      </c>
      <c r="Y454">
        <f>Model!AG235</f>
        <v>0.16500094286253075</v>
      </c>
      <c r="Z454">
        <f>Model!AH235</f>
        <v>0</v>
      </c>
      <c r="AA454">
        <f>Model!AI235</f>
        <v>0</v>
      </c>
      <c r="AB454">
        <f>Model!AJ235</f>
        <v>0</v>
      </c>
      <c r="AC454">
        <f>Model!AK235</f>
        <v>0</v>
      </c>
      <c r="AD454">
        <f>Model!AL235</f>
        <v>2.4699817755792752</v>
      </c>
      <c r="AE454">
        <f>Model!AM235</f>
        <v>0.26825827943758362</v>
      </c>
      <c r="AF454">
        <f>Model!AN235</f>
        <v>0.16564518800728845</v>
      </c>
      <c r="AG454">
        <f>Model!AO235</f>
        <v>0.13195558172110688</v>
      </c>
      <c r="AH454">
        <f>Model!AP235</f>
        <v>0.10760594702200543</v>
      </c>
      <c r="AI454">
        <f>Model!AQ235</f>
        <v>8.9055846111497861E-2</v>
      </c>
      <c r="AJ454">
        <f>Model!AR235</f>
        <v>8.1773442959306664E-2</v>
      </c>
      <c r="AK454">
        <f>Model!AS235</f>
        <v>6.1848018801797799E-2</v>
      </c>
      <c r="AL454">
        <f>Model!AT235</f>
        <v>5.1773903364009444E-2</v>
      </c>
      <c r="AM454">
        <f>Model!AU235</f>
        <v>4.3072152007777698E-2</v>
      </c>
      <c r="AN454">
        <f>Model!AV235</f>
        <v>0</v>
      </c>
      <c r="AO454">
        <f>Model!AW235</f>
        <v>0</v>
      </c>
    </row>
    <row r="455" spans="1:41">
      <c r="A455" t="str">
        <f>Model!I236</f>
        <v>Y/Y Abs Growth</v>
      </c>
      <c r="B455">
        <f>Model!J236</f>
        <v>0</v>
      </c>
      <c r="C455">
        <f>Model!K236</f>
        <v>0</v>
      </c>
      <c r="D455">
        <f>Model!L236</f>
        <v>0</v>
      </c>
      <c r="E455">
        <f>Model!M236</f>
        <v>0</v>
      </c>
      <c r="F455">
        <f>Model!N236</f>
        <v>0</v>
      </c>
      <c r="G455">
        <f>Model!O236</f>
        <v>0</v>
      </c>
      <c r="H455">
        <f>Model!P236</f>
        <v>0</v>
      </c>
      <c r="I455">
        <f>Model!Q236</f>
        <v>0</v>
      </c>
      <c r="J455">
        <f>Model!R236</f>
        <v>0</v>
      </c>
      <c r="K455">
        <f>Model!S236</f>
        <v>0</v>
      </c>
      <c r="L455">
        <f>Model!T236</f>
        <v>0</v>
      </c>
      <c r="M455">
        <f>Model!U236</f>
        <v>0</v>
      </c>
      <c r="N455">
        <f>Model!V236</f>
        <v>10.884</v>
      </c>
      <c r="O455">
        <f>Model!W236</f>
        <v>7.9479999999999986</v>
      </c>
      <c r="P455">
        <f>Model!X236</f>
        <v>12.84</v>
      </c>
      <c r="Q455">
        <f>Model!Y236</f>
        <v>15.763999999999999</v>
      </c>
      <c r="R455">
        <f>Model!Z236</f>
        <v>5.5409999999999986</v>
      </c>
      <c r="S455">
        <f>Model!AA236</f>
        <v>2.9439999999999991</v>
      </c>
      <c r="T455">
        <f>Model!AB236</f>
        <v>8.7560000000000038</v>
      </c>
      <c r="U455">
        <f>Model!AC236</f>
        <v>0.63599999999999923</v>
      </c>
      <c r="V455">
        <f>Model!AD236</f>
        <v>3.5</v>
      </c>
      <c r="W455">
        <f>Model!AE236</f>
        <v>3.5</v>
      </c>
      <c r="X455">
        <f>Model!AF236</f>
        <v>3.5</v>
      </c>
      <c r="Y455">
        <f>Model!AG236</f>
        <v>3.5</v>
      </c>
      <c r="Z455">
        <f>Model!AH236</f>
        <v>0</v>
      </c>
      <c r="AA455">
        <f>Model!AI236</f>
        <v>0</v>
      </c>
      <c r="AB455">
        <f>Model!AJ236</f>
        <v>0</v>
      </c>
      <c r="AC455">
        <f>Model!AK236</f>
        <v>0</v>
      </c>
      <c r="AD455">
        <f>Model!AL236</f>
        <v>47.435999999999993</v>
      </c>
      <c r="AE455">
        <f>Model!AM236</f>
        <v>17.87700000000001</v>
      </c>
      <c r="AF455">
        <f>Model!AN236</f>
        <v>14</v>
      </c>
      <c r="AG455">
        <f>Model!AO236</f>
        <v>13</v>
      </c>
      <c r="AH455">
        <f>Model!AP236</f>
        <v>12</v>
      </c>
      <c r="AI455">
        <f>Model!AQ236</f>
        <v>11</v>
      </c>
      <c r="AJ455">
        <f>Model!AR236</f>
        <v>11</v>
      </c>
      <c r="AK455">
        <f>Model!AS236</f>
        <v>9</v>
      </c>
      <c r="AL455">
        <f>Model!AT236</f>
        <v>8</v>
      </c>
      <c r="AM455">
        <f>Model!AU236</f>
        <v>7</v>
      </c>
      <c r="AN455">
        <f>Model!AV236</f>
        <v>0</v>
      </c>
      <c r="AO455">
        <f>Model!AW236</f>
        <v>0</v>
      </c>
    </row>
    <row r="456" spans="1:41">
      <c r="A456">
        <f>Model!I237</f>
        <v>0</v>
      </c>
      <c r="B456">
        <f>Model!J237</f>
        <v>0</v>
      </c>
      <c r="C456">
        <f>Model!K237</f>
        <v>0</v>
      </c>
      <c r="D456">
        <f>Model!L237</f>
        <v>0</v>
      </c>
      <c r="E456">
        <f>Model!M237</f>
        <v>0</v>
      </c>
      <c r="F456">
        <f>Model!N237</f>
        <v>0</v>
      </c>
      <c r="G456">
        <f>Model!O237</f>
        <v>0</v>
      </c>
      <c r="H456">
        <f>Model!P237</f>
        <v>0</v>
      </c>
      <c r="I456">
        <f>Model!Q237</f>
        <v>0</v>
      </c>
      <c r="J456">
        <f>Model!R237</f>
        <v>0</v>
      </c>
      <c r="K456">
        <f>Model!S237</f>
        <v>0</v>
      </c>
      <c r="L456">
        <f>Model!T237</f>
        <v>0</v>
      </c>
      <c r="M456">
        <f>Model!U237</f>
        <v>0</v>
      </c>
      <c r="N456">
        <f>Model!V237</f>
        <v>0</v>
      </c>
      <c r="O456">
        <f>Model!W237</f>
        <v>0</v>
      </c>
      <c r="P456">
        <f>Model!X237</f>
        <v>0</v>
      </c>
      <c r="Q456">
        <f>Model!Y237</f>
        <v>0</v>
      </c>
      <c r="R456">
        <f>Model!Z237</f>
        <v>0</v>
      </c>
      <c r="S456">
        <f>Model!AA237</f>
        <v>0</v>
      </c>
      <c r="T456">
        <f>Model!AB237</f>
        <v>0</v>
      </c>
      <c r="U456">
        <f>Model!AC237</f>
        <v>0</v>
      </c>
      <c r="V456">
        <f>Model!AD237</f>
        <v>0</v>
      </c>
      <c r="W456">
        <f>Model!AE237</f>
        <v>0</v>
      </c>
      <c r="X456">
        <f>Model!AF237</f>
        <v>0</v>
      </c>
      <c r="Y456">
        <f>Model!AG237</f>
        <v>0</v>
      </c>
      <c r="Z456">
        <f>Model!AH237</f>
        <v>0</v>
      </c>
      <c r="AA456">
        <f>Model!AI237</f>
        <v>0</v>
      </c>
      <c r="AB456">
        <f>Model!AJ237</f>
        <v>0</v>
      </c>
      <c r="AC456">
        <f>Model!AK237</f>
        <v>0</v>
      </c>
      <c r="AD456">
        <f>Model!AL237</f>
        <v>0</v>
      </c>
      <c r="AE456">
        <f>Model!AM237</f>
        <v>0</v>
      </c>
      <c r="AF456">
        <f>Model!AN237</f>
        <v>0</v>
      </c>
      <c r="AG456">
        <f>Model!AO237</f>
        <v>0</v>
      </c>
      <c r="AH456">
        <f>Model!AP237</f>
        <v>0</v>
      </c>
      <c r="AI456">
        <f>Model!AQ237</f>
        <v>0</v>
      </c>
      <c r="AJ456">
        <f>Model!AR237</f>
        <v>0</v>
      </c>
      <c r="AK456">
        <f>Model!AS237</f>
        <v>0</v>
      </c>
      <c r="AL456">
        <f>Model!AT237</f>
        <v>0</v>
      </c>
      <c r="AM456">
        <f>Model!AU237</f>
        <v>0</v>
      </c>
      <c r="AN456">
        <f>Model!AV237</f>
        <v>0</v>
      </c>
      <c r="AO456">
        <f>Model!AW237</f>
        <v>0</v>
      </c>
    </row>
    <row r="457" spans="1:41">
      <c r="A457">
        <f>Model!I238</f>
        <v>0</v>
      </c>
      <c r="B457">
        <f>Model!J238</f>
        <v>0</v>
      </c>
      <c r="C457">
        <f>Model!K238</f>
        <v>0</v>
      </c>
      <c r="D457">
        <f>Model!L238</f>
        <v>0</v>
      </c>
      <c r="E457">
        <f>Model!M238</f>
        <v>0</v>
      </c>
      <c r="F457">
        <f>Model!N238</f>
        <v>0</v>
      </c>
      <c r="G457">
        <f>Model!O238</f>
        <v>0</v>
      </c>
      <c r="H457">
        <f>Model!P238</f>
        <v>0</v>
      </c>
      <c r="I457">
        <f>Model!Q238</f>
        <v>0</v>
      </c>
      <c r="J457">
        <f>Model!R238</f>
        <v>0</v>
      </c>
      <c r="K457">
        <f>Model!S238</f>
        <v>0</v>
      </c>
      <c r="L457">
        <f>Model!T238</f>
        <v>0</v>
      </c>
      <c r="M457">
        <f>Model!U238</f>
        <v>0</v>
      </c>
      <c r="N457">
        <f>Model!V238</f>
        <v>0</v>
      </c>
      <c r="O457">
        <f>Model!W238</f>
        <v>0</v>
      </c>
      <c r="P457">
        <f>Model!X238</f>
        <v>0</v>
      </c>
      <c r="Q457">
        <f>Model!Y238</f>
        <v>0</v>
      </c>
      <c r="R457">
        <f>Model!Z238</f>
        <v>0</v>
      </c>
      <c r="S457">
        <f>Model!AA238</f>
        <v>0</v>
      </c>
      <c r="T457">
        <f>Model!AB238</f>
        <v>0</v>
      </c>
      <c r="U457">
        <f>Model!AC238</f>
        <v>0</v>
      </c>
      <c r="V457">
        <f>Model!AD238</f>
        <v>0</v>
      </c>
      <c r="W457">
        <f>Model!AE238</f>
        <v>0</v>
      </c>
      <c r="X457">
        <f>Model!AF238</f>
        <v>0</v>
      </c>
      <c r="Y457">
        <f>Model!AG238</f>
        <v>0</v>
      </c>
      <c r="Z457">
        <f>Model!AH238</f>
        <v>0</v>
      </c>
      <c r="AA457">
        <f>Model!AI238</f>
        <v>0</v>
      </c>
      <c r="AB457">
        <f>Model!AJ238</f>
        <v>0</v>
      </c>
      <c r="AC457">
        <f>Model!AK238</f>
        <v>0</v>
      </c>
      <c r="AD457">
        <f>Model!AL238</f>
        <v>0</v>
      </c>
      <c r="AE457">
        <f>Model!AM238</f>
        <v>0</v>
      </c>
      <c r="AF457">
        <f>Model!AN238</f>
        <v>0</v>
      </c>
      <c r="AG457">
        <f>Model!AO238</f>
        <v>0</v>
      </c>
      <c r="AH457">
        <f>Model!AP238</f>
        <v>0</v>
      </c>
      <c r="AI457">
        <f>Model!AQ238</f>
        <v>0</v>
      </c>
      <c r="AJ457">
        <f>Model!AR238</f>
        <v>0</v>
      </c>
      <c r="AK457">
        <f>Model!AS238</f>
        <v>0</v>
      </c>
      <c r="AL457">
        <f>Model!AT238</f>
        <v>0</v>
      </c>
      <c r="AM457">
        <f>Model!AU238</f>
        <v>0</v>
      </c>
      <c r="AN457">
        <f>Model!AV238</f>
        <v>0</v>
      </c>
      <c r="AO457">
        <f>Model!AW238</f>
        <v>0</v>
      </c>
    </row>
    <row r="458" spans="1:41">
      <c r="A458">
        <f>Model!I239</f>
        <v>0</v>
      </c>
      <c r="B458">
        <f>Model!J239</f>
        <v>0</v>
      </c>
      <c r="C458">
        <f>Model!K239</f>
        <v>0</v>
      </c>
      <c r="D458">
        <f>Model!L239</f>
        <v>0</v>
      </c>
      <c r="E458">
        <f>Model!M239</f>
        <v>0</v>
      </c>
      <c r="F458">
        <f>Model!N239</f>
        <v>0</v>
      </c>
      <c r="G458">
        <f>Model!O239</f>
        <v>0</v>
      </c>
      <c r="H458">
        <f>Model!P239</f>
        <v>0</v>
      </c>
      <c r="I458">
        <f>Model!Q239</f>
        <v>0</v>
      </c>
      <c r="J458">
        <f>Model!R239</f>
        <v>0</v>
      </c>
      <c r="K458">
        <f>Model!S239</f>
        <v>0</v>
      </c>
      <c r="L458">
        <f>Model!T239</f>
        <v>0</v>
      </c>
      <c r="M458">
        <f>Model!U239</f>
        <v>0</v>
      </c>
      <c r="N458">
        <f>Model!V239</f>
        <v>0</v>
      </c>
      <c r="O458">
        <f>Model!W239</f>
        <v>0</v>
      </c>
      <c r="P458">
        <f>Model!X239</f>
        <v>0</v>
      </c>
      <c r="Q458">
        <f>Model!Y239</f>
        <v>0</v>
      </c>
      <c r="R458">
        <f>Model!Z239</f>
        <v>0</v>
      </c>
      <c r="S458">
        <f>Model!AA239</f>
        <v>0</v>
      </c>
      <c r="T458">
        <f>Model!AB239</f>
        <v>0</v>
      </c>
      <c r="U458">
        <f>Model!AC239</f>
        <v>0</v>
      </c>
      <c r="V458">
        <f>Model!AD239</f>
        <v>0</v>
      </c>
      <c r="W458">
        <f>Model!AE239</f>
        <v>0</v>
      </c>
      <c r="X458">
        <f>Model!AF239</f>
        <v>0</v>
      </c>
      <c r="Y458">
        <f>Model!AG239</f>
        <v>0</v>
      </c>
      <c r="Z458">
        <f>Model!AH239</f>
        <v>0</v>
      </c>
      <c r="AA458">
        <f>Model!AI239</f>
        <v>0</v>
      </c>
      <c r="AB458">
        <f>Model!AJ239</f>
        <v>0</v>
      </c>
      <c r="AC458">
        <f>Model!AK239</f>
        <v>0</v>
      </c>
      <c r="AD458">
        <f>Model!AL239</f>
        <v>0</v>
      </c>
      <c r="AE458">
        <f>Model!AM239</f>
        <v>0</v>
      </c>
      <c r="AF458">
        <f>Model!AN239</f>
        <v>0</v>
      </c>
      <c r="AG458">
        <f>Model!AO239</f>
        <v>0</v>
      </c>
      <c r="AH458">
        <f>Model!AP239</f>
        <v>0</v>
      </c>
      <c r="AI458">
        <f>Model!AQ239</f>
        <v>0</v>
      </c>
      <c r="AJ458">
        <f>Model!AR239</f>
        <v>0</v>
      </c>
      <c r="AK458">
        <f>Model!AS239</f>
        <v>0</v>
      </c>
      <c r="AL458">
        <f>Model!AT239</f>
        <v>0</v>
      </c>
      <c r="AM458">
        <f>Model!AU239</f>
        <v>0</v>
      </c>
      <c r="AN458">
        <f>Model!AV239</f>
        <v>0</v>
      </c>
      <c r="AO458">
        <f>Model!AW239</f>
        <v>0</v>
      </c>
    </row>
    <row r="459" spans="1:41">
      <c r="A459" t="str">
        <f>Model!I240</f>
        <v>Total D&amp;A</v>
      </c>
      <c r="B459">
        <f>Model!J240</f>
        <v>0</v>
      </c>
      <c r="C459">
        <f>Model!K240</f>
        <v>0</v>
      </c>
      <c r="D459">
        <f>Model!L240</f>
        <v>0</v>
      </c>
      <c r="E459">
        <f>Model!M240</f>
        <v>0</v>
      </c>
      <c r="F459">
        <f>Model!N240</f>
        <v>0</v>
      </c>
      <c r="G459">
        <f>Model!O240</f>
        <v>0</v>
      </c>
      <c r="H459">
        <f>Model!P240</f>
        <v>0</v>
      </c>
      <c r="I459">
        <f>Model!Q240</f>
        <v>0</v>
      </c>
      <c r="J459">
        <f>Model!R240</f>
        <v>3.198</v>
      </c>
      <c r="K459">
        <f>Model!S240</f>
        <v>3.8820000000000001</v>
      </c>
      <c r="L459">
        <f>Model!T240</f>
        <v>4.1180000000000003</v>
      </c>
      <c r="M459">
        <f>Model!U240</f>
        <v>4.109</v>
      </c>
      <c r="N459">
        <f>Model!V240</f>
        <v>5.0490000000000004</v>
      </c>
      <c r="O459">
        <f>Model!W240</f>
        <v>5.9960000000000004</v>
      </c>
      <c r="P459">
        <f>Model!X240</f>
        <v>7.4370000000000003</v>
      </c>
      <c r="Q459">
        <f>Model!Y240</f>
        <v>10.632999999999999</v>
      </c>
      <c r="R459">
        <f>Model!Z240</f>
        <v>12.45</v>
      </c>
      <c r="S459">
        <f>Model!AA240</f>
        <v>12.585000000000001</v>
      </c>
      <c r="T459">
        <f>Model!AB240</f>
        <v>17.466999999999999</v>
      </c>
      <c r="U459">
        <f>Model!AC240</f>
        <v>18.786000000000001</v>
      </c>
      <c r="V459">
        <f>Model!AD240</f>
        <v>13.97045</v>
      </c>
      <c r="W459">
        <f>Model!AE240</f>
        <v>14.86225</v>
      </c>
      <c r="X459">
        <f>Model!AF240</f>
        <v>19.141200000000005</v>
      </c>
      <c r="Y459">
        <f>Model!AG240</f>
        <v>16.062799999999999</v>
      </c>
      <c r="Z459">
        <f>Model!AH240</f>
        <v>0</v>
      </c>
      <c r="AA459">
        <f>Model!AI240</f>
        <v>0</v>
      </c>
      <c r="AB459">
        <f>Model!AJ240</f>
        <v>0</v>
      </c>
      <c r="AC459">
        <f>Model!AK240</f>
        <v>15.307</v>
      </c>
      <c r="AD459">
        <f>Model!AL240</f>
        <v>29.115000000000002</v>
      </c>
      <c r="AE459">
        <f>Model!AM240</f>
        <v>61.287999999999997</v>
      </c>
      <c r="AF459">
        <f>Model!AN240</f>
        <v>64.036699999999996</v>
      </c>
      <c r="AG459">
        <f>Model!AO240</f>
        <v>72.486699999999985</v>
      </c>
      <c r="AH459">
        <f>Model!AP240</f>
        <v>74.110799999999983</v>
      </c>
      <c r="AI459">
        <f>Model!AQ240</f>
        <v>73.984899999999982</v>
      </c>
      <c r="AJ459">
        <f>Model!AR240</f>
        <v>80.034899999999979</v>
      </c>
      <c r="AK459">
        <f>Model!AS240</f>
        <v>84.984899999999968</v>
      </c>
      <c r="AL459">
        <f>Model!AT240</f>
        <v>89.384899999999973</v>
      </c>
      <c r="AM459">
        <f>Model!AU240</f>
        <v>93.234899999999968</v>
      </c>
      <c r="AN459">
        <f>Model!AV240</f>
        <v>0</v>
      </c>
      <c r="AO459">
        <f>Model!AW240</f>
        <v>0</v>
      </c>
    </row>
    <row r="460" spans="1:41">
      <c r="A460" t="str">
        <f>Model!I241</f>
        <v>% of Capex</v>
      </c>
      <c r="B460">
        <f>Model!J241</f>
        <v>0</v>
      </c>
      <c r="C460">
        <f>Model!K241</f>
        <v>0</v>
      </c>
      <c r="D460">
        <f>Model!L241</f>
        <v>0</v>
      </c>
      <c r="E460">
        <f>Model!M241</f>
        <v>0</v>
      </c>
      <c r="F460">
        <f>Model!N241</f>
        <v>0</v>
      </c>
      <c r="G460">
        <f>Model!O241</f>
        <v>0</v>
      </c>
      <c r="H460">
        <f>Model!P241</f>
        <v>0</v>
      </c>
      <c r="I460">
        <f>Model!Q241</f>
        <v>0</v>
      </c>
      <c r="J460">
        <f>Model!R241</f>
        <v>2.0395408163265305</v>
      </c>
      <c r="K460">
        <f>Model!S241</f>
        <v>0.45816121798654547</v>
      </c>
      <c r="L460">
        <f>Model!T241</f>
        <v>0.94623161764705888</v>
      </c>
      <c r="M460">
        <f>Model!U241</f>
        <v>0.85390689941812126</v>
      </c>
      <c r="N460">
        <f>Model!V241</f>
        <v>0.40547703180212019</v>
      </c>
      <c r="O460">
        <f>Model!W241</f>
        <v>0.36514219596857689</v>
      </c>
      <c r="P460">
        <f>Model!X241</f>
        <v>0.43258492322010239</v>
      </c>
      <c r="Q460">
        <f>Model!Y241</f>
        <v>0.51676710730948672</v>
      </c>
      <c r="R460">
        <f>Model!Z241</f>
        <v>0.69193575279275277</v>
      </c>
      <c r="S460">
        <f>Model!AA241</f>
        <v>0.64988381099922554</v>
      </c>
      <c r="T460">
        <f>Model!AB241</f>
        <v>0.67315400030830874</v>
      </c>
      <c r="U460">
        <f>Model!AC241</f>
        <v>0.88563077503300025</v>
      </c>
      <c r="V460">
        <f>Model!AD241</f>
        <v>0.65</v>
      </c>
      <c r="W460">
        <f>Model!AE241</f>
        <v>0.65</v>
      </c>
      <c r="X460">
        <f>Model!AF241</f>
        <v>0.65</v>
      </c>
      <c r="Y460">
        <f>Model!AG241</f>
        <v>0.65</v>
      </c>
      <c r="Z460">
        <f>Model!AH241</f>
        <v>0</v>
      </c>
      <c r="AA460">
        <f>Model!AI241</f>
        <v>0</v>
      </c>
      <c r="AB460">
        <f>Model!AJ241</f>
        <v>0</v>
      </c>
      <c r="AC460">
        <f>Model!AK241</f>
        <v>0.7970320229107003</v>
      </c>
      <c r="AD460">
        <f>Model!AL241</f>
        <v>0.43689320388349523</v>
      </c>
      <c r="AE460">
        <f>Model!AM241</f>
        <v>0.72514730589933496</v>
      </c>
      <c r="AF460">
        <f>Model!AN241</f>
        <v>0.64999999999999991</v>
      </c>
      <c r="AG460">
        <f>Model!AO241</f>
        <v>0.64999999999999991</v>
      </c>
      <c r="AH460">
        <f>Model!AP241</f>
        <v>0.59999999999999987</v>
      </c>
      <c r="AI460">
        <f>Model!AQ241</f>
        <v>0.54999999999999982</v>
      </c>
      <c r="AJ460">
        <f>Model!AR241</f>
        <v>0.54999999999999982</v>
      </c>
      <c r="AK460">
        <f>Model!AS241</f>
        <v>0.54999999999999982</v>
      </c>
      <c r="AL460">
        <f>Model!AT241</f>
        <v>0.54999999999999982</v>
      </c>
      <c r="AM460">
        <f>Model!AU241</f>
        <v>0.54999999999999982</v>
      </c>
      <c r="AN460">
        <f>Model!AV241</f>
        <v>0</v>
      </c>
      <c r="AO460">
        <f>Model!AW241</f>
        <v>0</v>
      </c>
    </row>
    <row r="461" spans="1:41">
      <c r="A461" t="str">
        <f>Model!I242</f>
        <v>Avg Depreciable Lives</v>
      </c>
      <c r="B461">
        <f>Model!J242</f>
        <v>0</v>
      </c>
      <c r="C461">
        <f>Model!K242</f>
        <v>0</v>
      </c>
      <c r="D461">
        <f>Model!L242</f>
        <v>0</v>
      </c>
      <c r="E461">
        <f>Model!M242</f>
        <v>0</v>
      </c>
      <c r="F461">
        <f>Model!N242</f>
        <v>0</v>
      </c>
      <c r="G461">
        <f>Model!O242</f>
        <v>0</v>
      </c>
      <c r="H461">
        <f>Model!P242</f>
        <v>0</v>
      </c>
      <c r="I461">
        <f>Model!Q242</f>
        <v>0</v>
      </c>
      <c r="J461">
        <f>Model!R242</f>
        <v>0</v>
      </c>
      <c r="K461">
        <f>Model!S242</f>
        <v>0</v>
      </c>
      <c r="L461">
        <f>Model!T242</f>
        <v>0</v>
      </c>
      <c r="M461">
        <f>Model!U242</f>
        <v>0</v>
      </c>
      <c r="N461">
        <f>Model!V242</f>
        <v>0</v>
      </c>
      <c r="O461">
        <f>Model!W242</f>
        <v>0</v>
      </c>
      <c r="P461">
        <f>Model!X242</f>
        <v>0</v>
      </c>
      <c r="Q461">
        <f>Model!Y242</f>
        <v>0</v>
      </c>
      <c r="R461">
        <f>Model!Z242</f>
        <v>0</v>
      </c>
      <c r="S461">
        <f>Model!AA242</f>
        <v>0</v>
      </c>
      <c r="T461">
        <f>Model!AB242</f>
        <v>0</v>
      </c>
      <c r="U461">
        <f>Model!AC242</f>
        <v>0</v>
      </c>
      <c r="V461">
        <f>Model!AD242</f>
        <v>0</v>
      </c>
      <c r="W461">
        <f>Model!AE242</f>
        <v>0</v>
      </c>
      <c r="X461">
        <f>Model!AF242</f>
        <v>0</v>
      </c>
      <c r="Y461">
        <f>Model!AG242</f>
        <v>0</v>
      </c>
      <c r="Z461">
        <f>Model!AH242</f>
        <v>0</v>
      </c>
      <c r="AA461">
        <f>Model!AI242</f>
        <v>0</v>
      </c>
      <c r="AB461">
        <f>Model!AJ242</f>
        <v>0</v>
      </c>
      <c r="AC461">
        <f>Model!AK242</f>
        <v>0</v>
      </c>
      <c r="AD461">
        <f>Model!AL242</f>
        <v>0</v>
      </c>
      <c r="AE461">
        <f>Model!AM242</f>
        <v>0</v>
      </c>
      <c r="AF461">
        <f>Model!AN242</f>
        <v>0</v>
      </c>
      <c r="AG461">
        <f>Model!AO242</f>
        <v>0</v>
      </c>
      <c r="AH461">
        <f>Model!AP242</f>
        <v>0</v>
      </c>
      <c r="AI461">
        <f>Model!AQ242</f>
        <v>0</v>
      </c>
      <c r="AJ461">
        <f>Model!AR242</f>
        <v>0</v>
      </c>
      <c r="AK461">
        <f>Model!AS242</f>
        <v>0</v>
      </c>
      <c r="AL461">
        <f>Model!AT242</f>
        <v>0</v>
      </c>
      <c r="AM461">
        <f>Model!AU242</f>
        <v>0</v>
      </c>
      <c r="AN461">
        <f>Model!AV242</f>
        <v>0</v>
      </c>
      <c r="AO461">
        <f>Model!AW242</f>
        <v>0</v>
      </c>
    </row>
    <row r="462" spans="1:41">
      <c r="A462">
        <f>Model!I243</f>
        <v>0</v>
      </c>
      <c r="B462">
        <f>Model!J243</f>
        <v>0</v>
      </c>
      <c r="C462">
        <f>Model!K243</f>
        <v>0</v>
      </c>
      <c r="D462">
        <f>Model!L243</f>
        <v>0</v>
      </c>
      <c r="E462">
        <f>Model!M243</f>
        <v>0</v>
      </c>
      <c r="F462">
        <f>Model!N243</f>
        <v>0</v>
      </c>
      <c r="G462">
        <f>Model!O243</f>
        <v>0</v>
      </c>
      <c r="H462">
        <f>Model!P243</f>
        <v>0</v>
      </c>
      <c r="I462">
        <f>Model!Q243</f>
        <v>0</v>
      </c>
      <c r="J462">
        <f>Model!R243</f>
        <v>0</v>
      </c>
      <c r="K462">
        <f>Model!S243</f>
        <v>0</v>
      </c>
      <c r="L462">
        <f>Model!T243</f>
        <v>0</v>
      </c>
      <c r="M462">
        <f>Model!U243</f>
        <v>0</v>
      </c>
      <c r="N462">
        <f>Model!V243</f>
        <v>0</v>
      </c>
      <c r="O462">
        <f>Model!W243</f>
        <v>0</v>
      </c>
      <c r="P462">
        <f>Model!X243</f>
        <v>0</v>
      </c>
      <c r="Q462">
        <f>Model!Y243</f>
        <v>0</v>
      </c>
      <c r="R462">
        <f>Model!Z243</f>
        <v>0</v>
      </c>
      <c r="S462">
        <f>Model!AA243</f>
        <v>0</v>
      </c>
      <c r="T462">
        <f>Model!AB243</f>
        <v>0</v>
      </c>
      <c r="U462">
        <f>Model!AC243</f>
        <v>0</v>
      </c>
      <c r="V462">
        <f>Model!AD243</f>
        <v>0</v>
      </c>
      <c r="W462">
        <f>Model!AE243</f>
        <v>0</v>
      </c>
      <c r="X462">
        <f>Model!AF243</f>
        <v>0</v>
      </c>
      <c r="Y462">
        <f>Model!AG243</f>
        <v>0</v>
      </c>
      <c r="Z462">
        <f>Model!AH243</f>
        <v>0</v>
      </c>
      <c r="AA462">
        <f>Model!AI243</f>
        <v>0</v>
      </c>
      <c r="AB462">
        <f>Model!AJ243</f>
        <v>0</v>
      </c>
      <c r="AC462">
        <f>Model!AK243</f>
        <v>0</v>
      </c>
      <c r="AD462">
        <f>Model!AL243</f>
        <v>0</v>
      </c>
      <c r="AE462">
        <f>Model!AM243</f>
        <v>0</v>
      </c>
      <c r="AF462">
        <f>Model!AN243</f>
        <v>0</v>
      </c>
      <c r="AG462">
        <f>Model!AO243</f>
        <v>0</v>
      </c>
      <c r="AH462">
        <f>Model!AP243</f>
        <v>0</v>
      </c>
      <c r="AI462">
        <f>Model!AQ243</f>
        <v>0</v>
      </c>
      <c r="AJ462">
        <f>Model!AR243</f>
        <v>0</v>
      </c>
      <c r="AK462">
        <f>Model!AS243</f>
        <v>0</v>
      </c>
      <c r="AL462">
        <f>Model!AT243</f>
        <v>0</v>
      </c>
      <c r="AM462">
        <f>Model!AU243</f>
        <v>0</v>
      </c>
      <c r="AN462">
        <f>Model!AV243</f>
        <v>0</v>
      </c>
      <c r="AO462">
        <f>Model!AW243</f>
        <v>0</v>
      </c>
    </row>
    <row r="466" spans="1:41">
      <c r="A466" t="str">
        <f>Model!I244</f>
        <v>Intangible Assets</v>
      </c>
      <c r="B466">
        <f>Model!J244</f>
        <v>0</v>
      </c>
      <c r="C466">
        <f>Model!K244</f>
        <v>0</v>
      </c>
      <c r="D466">
        <f>Model!L244</f>
        <v>0</v>
      </c>
      <c r="E466">
        <f>Model!M244</f>
        <v>0</v>
      </c>
      <c r="F466">
        <f>Model!N244</f>
        <v>0</v>
      </c>
      <c r="G466">
        <f>Model!O244</f>
        <v>0</v>
      </c>
      <c r="H466">
        <f>Model!P244</f>
        <v>0</v>
      </c>
      <c r="I466">
        <f>Model!Q244</f>
        <v>0</v>
      </c>
      <c r="J466">
        <f>Model!R244</f>
        <v>0</v>
      </c>
      <c r="K466">
        <f>Model!S244</f>
        <v>0</v>
      </c>
      <c r="L466">
        <f>Model!T244</f>
        <v>0</v>
      </c>
      <c r="M466">
        <f>Model!U244</f>
        <v>0</v>
      </c>
      <c r="N466">
        <f>Model!V244</f>
        <v>0</v>
      </c>
      <c r="O466">
        <f>Model!W244</f>
        <v>0</v>
      </c>
      <c r="P466">
        <f>Model!X244</f>
        <v>0</v>
      </c>
      <c r="Q466">
        <f>Model!Y244</f>
        <v>0</v>
      </c>
      <c r="R466">
        <f>Model!Z244</f>
        <v>0</v>
      </c>
      <c r="S466">
        <f>Model!AA244</f>
        <v>0</v>
      </c>
      <c r="T466">
        <f>Model!AB244</f>
        <v>0</v>
      </c>
      <c r="U466">
        <f>Model!AC244</f>
        <v>0</v>
      </c>
      <c r="V466">
        <f>Model!AD244</f>
        <v>0</v>
      </c>
      <c r="W466">
        <f>Model!AE244</f>
        <v>0</v>
      </c>
      <c r="X466">
        <f>Model!AF244</f>
        <v>0</v>
      </c>
      <c r="Y466">
        <f>Model!AG244</f>
        <v>0</v>
      </c>
      <c r="Z466">
        <f>Model!AH244</f>
        <v>0</v>
      </c>
      <c r="AA466">
        <f>Model!AI244</f>
        <v>0</v>
      </c>
      <c r="AB466">
        <f>Model!AJ244</f>
        <v>0</v>
      </c>
      <c r="AC466">
        <f>Model!AK244</f>
        <v>0</v>
      </c>
      <c r="AD466">
        <f>Model!AL244</f>
        <v>0</v>
      </c>
      <c r="AE466">
        <f>Model!AM244</f>
        <v>0</v>
      </c>
      <c r="AF466">
        <f>Model!AN244</f>
        <v>0</v>
      </c>
      <c r="AG466">
        <f>Model!AO244</f>
        <v>0</v>
      </c>
      <c r="AH466">
        <f>Model!AP244</f>
        <v>0</v>
      </c>
      <c r="AI466">
        <f>Model!AQ244</f>
        <v>0</v>
      </c>
      <c r="AJ466">
        <f>Model!AR244</f>
        <v>0</v>
      </c>
      <c r="AK466">
        <f>Model!AS244</f>
        <v>0</v>
      </c>
      <c r="AL466">
        <f>Model!AT244</f>
        <v>0</v>
      </c>
      <c r="AM466">
        <f>Model!AU244</f>
        <v>0</v>
      </c>
      <c r="AN466">
        <f>Model!AV244</f>
        <v>0</v>
      </c>
      <c r="AO466">
        <f>Model!AW244</f>
        <v>0</v>
      </c>
    </row>
    <row r="467" spans="1:41">
      <c r="A467" t="str">
        <f>Model!I245</f>
        <v>Estimated Amortization Expense</v>
      </c>
      <c r="B467">
        <f>Model!J245</f>
        <v>0</v>
      </c>
      <c r="C467">
        <f>Model!K245</f>
        <v>0</v>
      </c>
      <c r="D467">
        <f>Model!L245</f>
        <v>0</v>
      </c>
      <c r="E467">
        <f>Model!M245</f>
        <v>0</v>
      </c>
      <c r="F467">
        <f>Model!N245</f>
        <v>0</v>
      </c>
      <c r="G467">
        <f>Model!O245</f>
        <v>0</v>
      </c>
      <c r="H467">
        <f>Model!P245</f>
        <v>0</v>
      </c>
      <c r="I467">
        <f>Model!Q245</f>
        <v>0</v>
      </c>
      <c r="J467">
        <f>Model!R245</f>
        <v>0</v>
      </c>
      <c r="K467">
        <f>Model!S245</f>
        <v>0</v>
      </c>
      <c r="L467">
        <f>Model!T245</f>
        <v>0</v>
      </c>
      <c r="M467">
        <f>Model!U245</f>
        <v>0</v>
      </c>
      <c r="N467">
        <f>Model!V245</f>
        <v>0</v>
      </c>
      <c r="O467">
        <f>Model!W245</f>
        <v>0</v>
      </c>
      <c r="P467">
        <f>Model!X245</f>
        <v>0</v>
      </c>
      <c r="Q467">
        <f>Model!Y245</f>
        <v>0</v>
      </c>
      <c r="R467">
        <f>Model!Z245</f>
        <v>0</v>
      </c>
      <c r="S467">
        <f>Model!AA245</f>
        <v>0</v>
      </c>
      <c r="T467">
        <f>Model!AB245</f>
        <v>0</v>
      </c>
      <c r="U467">
        <f>Model!AC245</f>
        <v>0</v>
      </c>
      <c r="V467">
        <f>Model!AD245</f>
        <v>0</v>
      </c>
      <c r="W467">
        <f>Model!AE245</f>
        <v>0</v>
      </c>
      <c r="X467">
        <f>Model!AF245</f>
        <v>0</v>
      </c>
      <c r="Y467">
        <f>Model!AG245</f>
        <v>0</v>
      </c>
      <c r="Z467">
        <f>Model!AH245</f>
        <v>0</v>
      </c>
      <c r="AA467">
        <f>Model!AI245</f>
        <v>0</v>
      </c>
      <c r="AB467">
        <f>Model!AJ245</f>
        <v>0</v>
      </c>
      <c r="AC467">
        <f>Model!AK245</f>
        <v>0</v>
      </c>
      <c r="AD467">
        <f>Model!AL245</f>
        <v>10.715</v>
      </c>
      <c r="AE467">
        <f>Model!AM245</f>
        <v>9.8040000000000003</v>
      </c>
      <c r="AF467">
        <f>Model!AN245</f>
        <v>9.4960000000000004</v>
      </c>
      <c r="AG467">
        <f>Model!AO245</f>
        <v>6.907</v>
      </c>
      <c r="AH467">
        <f>Model!AP245</f>
        <v>1.7609999999999999</v>
      </c>
      <c r="AI467">
        <f>Model!AQ245</f>
        <v>1.4850000000000001</v>
      </c>
      <c r="AJ467">
        <f>Model!AR245</f>
        <v>1.4850000000000001</v>
      </c>
      <c r="AK467">
        <f>Model!AS245</f>
        <v>1.4850000000000001</v>
      </c>
      <c r="AL467">
        <f>Model!AT245</f>
        <v>0</v>
      </c>
      <c r="AM467">
        <f>Model!AU245</f>
        <v>0</v>
      </c>
      <c r="AN467">
        <f>Model!AV245</f>
        <v>0</v>
      </c>
      <c r="AO467">
        <f>Model!AW245</f>
        <v>0</v>
      </c>
    </row>
    <row r="468" spans="1:41">
      <c r="A468">
        <f>Model!I246</f>
        <v>0</v>
      </c>
      <c r="B468">
        <f>Model!J246</f>
        <v>0</v>
      </c>
      <c r="C468">
        <f>Model!K246</f>
        <v>0</v>
      </c>
      <c r="D468">
        <f>Model!L246</f>
        <v>0</v>
      </c>
      <c r="E468">
        <f>Model!M246</f>
        <v>0</v>
      </c>
      <c r="F468">
        <f>Model!N246</f>
        <v>0</v>
      </c>
      <c r="G468">
        <f>Model!O246</f>
        <v>0</v>
      </c>
      <c r="H468">
        <f>Model!P246</f>
        <v>0</v>
      </c>
      <c r="I468">
        <f>Model!Q246</f>
        <v>0</v>
      </c>
      <c r="J468">
        <f>Model!R246</f>
        <v>0</v>
      </c>
      <c r="K468">
        <f>Model!S246</f>
        <v>0</v>
      </c>
      <c r="L468">
        <f>Model!T246</f>
        <v>0</v>
      </c>
      <c r="M468">
        <f>Model!U246</f>
        <v>0</v>
      </c>
      <c r="N468">
        <f>Model!V246</f>
        <v>0</v>
      </c>
      <c r="O468">
        <f>Model!W246</f>
        <v>0</v>
      </c>
      <c r="P468">
        <f>Model!X246</f>
        <v>0</v>
      </c>
      <c r="Q468">
        <f>Model!Y246</f>
        <v>0</v>
      </c>
      <c r="R468">
        <f>Model!Z246</f>
        <v>0</v>
      </c>
      <c r="S468">
        <f>Model!AA246</f>
        <v>0</v>
      </c>
      <c r="T468">
        <f>Model!AB246</f>
        <v>0</v>
      </c>
      <c r="U468">
        <f>Model!AC246</f>
        <v>0</v>
      </c>
      <c r="V468">
        <f>Model!AD246</f>
        <v>0</v>
      </c>
      <c r="W468">
        <f>Model!AE246</f>
        <v>0</v>
      </c>
      <c r="X468">
        <f>Model!AF246</f>
        <v>0</v>
      </c>
      <c r="Y468">
        <f>Model!AG246</f>
        <v>0</v>
      </c>
      <c r="Z468">
        <f>Model!AH246</f>
        <v>0</v>
      </c>
      <c r="AA468">
        <f>Model!AI246</f>
        <v>0</v>
      </c>
      <c r="AB468">
        <f>Model!AJ246</f>
        <v>0</v>
      </c>
      <c r="AC468">
        <f>Model!AK246</f>
        <v>0</v>
      </c>
      <c r="AD468">
        <f>Model!AL246</f>
        <v>0</v>
      </c>
      <c r="AE468">
        <f>Model!AM246</f>
        <v>0</v>
      </c>
      <c r="AF468">
        <f>Model!AN246</f>
        <v>0</v>
      </c>
      <c r="AG468">
        <f>Model!AO246</f>
        <v>0</v>
      </c>
      <c r="AH468">
        <f>Model!AP246</f>
        <v>0</v>
      </c>
      <c r="AI468">
        <f>Model!AQ246</f>
        <v>0</v>
      </c>
      <c r="AJ468">
        <f>Model!AR246</f>
        <v>0</v>
      </c>
      <c r="AK468">
        <f>Model!AS246</f>
        <v>0</v>
      </c>
      <c r="AL468">
        <f>Model!AT246</f>
        <v>0</v>
      </c>
      <c r="AM468">
        <f>Model!AU246</f>
        <v>0</v>
      </c>
      <c r="AN468">
        <f>Model!AV246</f>
        <v>0</v>
      </c>
      <c r="AO468">
        <f>Model!AW246</f>
        <v>0</v>
      </c>
    </row>
    <row r="469" spans="1:41">
      <c r="A469" t="str">
        <f>Model!I247</f>
        <v>Implied Depreciation</v>
      </c>
      <c r="B469">
        <f>Model!J247</f>
        <v>0</v>
      </c>
      <c r="C469">
        <f>Model!K247</f>
        <v>0</v>
      </c>
      <c r="D469">
        <f>Model!L247</f>
        <v>0</v>
      </c>
      <c r="E469">
        <f>Model!M247</f>
        <v>0</v>
      </c>
      <c r="F469">
        <f>Model!N247</f>
        <v>0</v>
      </c>
      <c r="G469">
        <f>Model!O247</f>
        <v>0</v>
      </c>
      <c r="H469">
        <f>Model!P247</f>
        <v>0</v>
      </c>
      <c r="I469">
        <f>Model!Q247</f>
        <v>0</v>
      </c>
      <c r="J469">
        <f>Model!R247</f>
        <v>0</v>
      </c>
      <c r="K469">
        <f>Model!S247</f>
        <v>0</v>
      </c>
      <c r="L469">
        <f>Model!T247</f>
        <v>0</v>
      </c>
      <c r="M469">
        <f>Model!U247</f>
        <v>0</v>
      </c>
      <c r="N469">
        <f>Model!V247</f>
        <v>0</v>
      </c>
      <c r="O469">
        <f>Model!W247</f>
        <v>0</v>
      </c>
      <c r="P469">
        <f>Model!X247</f>
        <v>0</v>
      </c>
      <c r="Q469">
        <f>Model!Y247</f>
        <v>0</v>
      </c>
      <c r="R469">
        <f>Model!Z247</f>
        <v>0</v>
      </c>
      <c r="S469">
        <f>Model!AA247</f>
        <v>0</v>
      </c>
      <c r="T469">
        <f>Model!AB247</f>
        <v>0</v>
      </c>
      <c r="U469">
        <f>Model!AC247</f>
        <v>0</v>
      </c>
      <c r="V469">
        <f>Model!AD247</f>
        <v>0</v>
      </c>
      <c r="W469">
        <f>Model!AE247</f>
        <v>0</v>
      </c>
      <c r="X469">
        <f>Model!AF247</f>
        <v>0</v>
      </c>
      <c r="Y469">
        <f>Model!AG247</f>
        <v>0</v>
      </c>
      <c r="Z469">
        <f>Model!AH247</f>
        <v>0</v>
      </c>
      <c r="AA469">
        <f>Model!AI247</f>
        <v>0</v>
      </c>
      <c r="AB469">
        <f>Model!AJ247</f>
        <v>0</v>
      </c>
      <c r="AC469">
        <f>Model!AK247</f>
        <v>0</v>
      </c>
      <c r="AD469">
        <f>Model!AL247</f>
        <v>18.400000000000002</v>
      </c>
      <c r="AE469">
        <f>Model!AM247</f>
        <v>51.483999999999995</v>
      </c>
      <c r="AF469">
        <f>Model!AN247</f>
        <v>54.540699999999994</v>
      </c>
      <c r="AG469">
        <f>Model!AO247</f>
        <v>65.579699999999988</v>
      </c>
      <c r="AH469">
        <f>Model!AP247</f>
        <v>72.349799999999988</v>
      </c>
      <c r="AI469">
        <f>Model!AQ247</f>
        <v>72.499899999999982</v>
      </c>
      <c r="AJ469">
        <f>Model!AR247</f>
        <v>78.54989999999998</v>
      </c>
      <c r="AK469">
        <f>Model!AS247</f>
        <v>83.499899999999968</v>
      </c>
      <c r="AL469">
        <f>Model!AT247</f>
        <v>89.384899999999973</v>
      </c>
      <c r="AM469">
        <f>Model!AU247</f>
        <v>93.234899999999968</v>
      </c>
      <c r="AN469">
        <f>Model!AV247</f>
        <v>0</v>
      </c>
      <c r="AO469">
        <f>Model!AW247</f>
        <v>0</v>
      </c>
    </row>
    <row r="470" spans="1:41">
      <c r="A470" t="str">
        <f>Model!I248</f>
        <v>% of Capex</v>
      </c>
      <c r="B470">
        <f>Model!J248</f>
        <v>0</v>
      </c>
      <c r="C470">
        <f>Model!K248</f>
        <v>0</v>
      </c>
      <c r="D470">
        <f>Model!L248</f>
        <v>0</v>
      </c>
      <c r="E470">
        <f>Model!M248</f>
        <v>0</v>
      </c>
      <c r="F470">
        <f>Model!N248</f>
        <v>0</v>
      </c>
      <c r="G470">
        <f>Model!O248</f>
        <v>0</v>
      </c>
      <c r="H470">
        <f>Model!P248</f>
        <v>0</v>
      </c>
      <c r="I470">
        <f>Model!Q248</f>
        <v>0</v>
      </c>
      <c r="J470">
        <f>Model!R248</f>
        <v>0</v>
      </c>
      <c r="K470">
        <f>Model!S248</f>
        <v>0</v>
      </c>
      <c r="L470">
        <f>Model!T248</f>
        <v>0</v>
      </c>
      <c r="M470">
        <f>Model!U248</f>
        <v>0</v>
      </c>
      <c r="N470">
        <f>Model!V248</f>
        <v>0</v>
      </c>
      <c r="O470">
        <f>Model!W248</f>
        <v>0</v>
      </c>
      <c r="P470">
        <f>Model!X248</f>
        <v>0</v>
      </c>
      <c r="Q470">
        <f>Model!Y248</f>
        <v>0</v>
      </c>
      <c r="R470">
        <f>Model!Z248</f>
        <v>0</v>
      </c>
      <c r="S470">
        <f>Model!AA248</f>
        <v>0</v>
      </c>
      <c r="T470">
        <f>Model!AB248</f>
        <v>0</v>
      </c>
      <c r="U470">
        <f>Model!AC248</f>
        <v>0</v>
      </c>
      <c r="V470">
        <f>Model!AD248</f>
        <v>0</v>
      </c>
      <c r="W470">
        <f>Model!AE248</f>
        <v>0</v>
      </c>
      <c r="X470">
        <f>Model!AF248</f>
        <v>0</v>
      </c>
      <c r="Y470">
        <f>Model!AG248</f>
        <v>0</v>
      </c>
      <c r="Z470">
        <f>Model!AH248</f>
        <v>0</v>
      </c>
      <c r="AA470">
        <f>Model!AI248</f>
        <v>0</v>
      </c>
      <c r="AB470">
        <f>Model!AJ248</f>
        <v>0</v>
      </c>
      <c r="AC470">
        <f>Model!AK248</f>
        <v>0</v>
      </c>
      <c r="AD470">
        <f>Model!AL248</f>
        <v>0.27610630092585653</v>
      </c>
      <c r="AE470">
        <f>Model!AM248</f>
        <v>0.60914834709765964</v>
      </c>
      <c r="AF470">
        <f>Model!AN248</f>
        <v>0.55361152276741299</v>
      </c>
      <c r="AG470">
        <f>Model!AO248</f>
        <v>0.58806381032658395</v>
      </c>
      <c r="AH470">
        <f>Model!AP248</f>
        <v>0.58574296863615005</v>
      </c>
      <c r="AI470">
        <f>Model!AQ248</f>
        <v>0.5389605852004935</v>
      </c>
      <c r="AJ470">
        <f>Model!AR248</f>
        <v>0.53979507689770323</v>
      </c>
      <c r="AK470">
        <f>Model!AS248</f>
        <v>0.54038946918805553</v>
      </c>
      <c r="AL470">
        <f>Model!AT248</f>
        <v>0.54999999999999982</v>
      </c>
      <c r="AM470">
        <f>Model!AU248</f>
        <v>0.54999999999999982</v>
      </c>
      <c r="AN470">
        <f>Model!AV248</f>
        <v>0</v>
      </c>
      <c r="AO470">
        <f>Model!AW248</f>
        <v>0</v>
      </c>
    </row>
    <row r="471" spans="1:41">
      <c r="A471">
        <f>Model!I249</f>
        <v>0</v>
      </c>
      <c r="B471">
        <f>Model!J249</f>
        <v>0</v>
      </c>
      <c r="C471">
        <f>Model!K249</f>
        <v>0</v>
      </c>
      <c r="D471">
        <f>Model!L249</f>
        <v>0</v>
      </c>
      <c r="E471">
        <f>Model!M249</f>
        <v>0</v>
      </c>
      <c r="F471">
        <f>Model!N249</f>
        <v>0</v>
      </c>
      <c r="G471">
        <f>Model!O249</f>
        <v>0</v>
      </c>
      <c r="H471">
        <f>Model!P249</f>
        <v>0</v>
      </c>
      <c r="I471">
        <f>Model!Q249</f>
        <v>0</v>
      </c>
      <c r="J471">
        <f>Model!R249</f>
        <v>0</v>
      </c>
      <c r="K471">
        <f>Model!S249</f>
        <v>0</v>
      </c>
      <c r="L471">
        <f>Model!T249</f>
        <v>0</v>
      </c>
      <c r="M471">
        <f>Model!U249</f>
        <v>0</v>
      </c>
      <c r="N471">
        <f>Model!V249</f>
        <v>0</v>
      </c>
      <c r="O471">
        <f>Model!W249</f>
        <v>0</v>
      </c>
      <c r="P471">
        <f>Model!X249</f>
        <v>0</v>
      </c>
      <c r="Q471">
        <f>Model!Y249</f>
        <v>0</v>
      </c>
      <c r="R471">
        <f>Model!Z249</f>
        <v>0</v>
      </c>
      <c r="S471">
        <f>Model!AA249</f>
        <v>0</v>
      </c>
      <c r="T471">
        <f>Model!AB249</f>
        <v>0</v>
      </c>
      <c r="U471">
        <f>Model!AC249</f>
        <v>0</v>
      </c>
      <c r="V471">
        <f>Model!AD249</f>
        <v>0</v>
      </c>
      <c r="W471">
        <f>Model!AE249</f>
        <v>0</v>
      </c>
      <c r="X471">
        <f>Model!AF249</f>
        <v>0</v>
      </c>
      <c r="Y471">
        <f>Model!AG249</f>
        <v>0</v>
      </c>
      <c r="Z471">
        <f>Model!AH249</f>
        <v>0</v>
      </c>
      <c r="AA471">
        <f>Model!AI249</f>
        <v>0</v>
      </c>
      <c r="AB471">
        <f>Model!AJ249</f>
        <v>0</v>
      </c>
      <c r="AC471">
        <f>Model!AK249</f>
        <v>0</v>
      </c>
      <c r="AD471">
        <f>Model!AL249</f>
        <v>0</v>
      </c>
      <c r="AE471">
        <f>Model!AM249</f>
        <v>0</v>
      </c>
      <c r="AF471">
        <f>Model!AN249</f>
        <v>0</v>
      </c>
      <c r="AG471">
        <f>Model!AO249</f>
        <v>0</v>
      </c>
      <c r="AH471">
        <f>Model!AP249</f>
        <v>0</v>
      </c>
      <c r="AI471">
        <f>Model!AQ249</f>
        <v>0</v>
      </c>
      <c r="AJ471">
        <f>Model!AR249</f>
        <v>0</v>
      </c>
      <c r="AK471">
        <f>Model!AS249</f>
        <v>0</v>
      </c>
      <c r="AL471">
        <f>Model!AT249</f>
        <v>0</v>
      </c>
      <c r="AM471">
        <f>Model!AU249</f>
        <v>0</v>
      </c>
      <c r="AN471">
        <f>Model!AV249</f>
        <v>0</v>
      </c>
      <c r="AO471">
        <f>Model!AW249</f>
        <v>0</v>
      </c>
    </row>
    <row r="472" spans="1:41">
      <c r="A472">
        <f>Model!I250</f>
        <v>0</v>
      </c>
      <c r="B472">
        <f>Model!J250</f>
        <v>0</v>
      </c>
      <c r="C472">
        <f>Model!K250</f>
        <v>0</v>
      </c>
      <c r="D472">
        <f>Model!L250</f>
        <v>0</v>
      </c>
      <c r="E472">
        <f>Model!M250</f>
        <v>0</v>
      </c>
      <c r="F472">
        <f>Model!N250</f>
        <v>0</v>
      </c>
      <c r="G472">
        <f>Model!O250</f>
        <v>0</v>
      </c>
      <c r="H472">
        <f>Model!P250</f>
        <v>0</v>
      </c>
      <c r="I472">
        <f>Model!Q250</f>
        <v>0</v>
      </c>
      <c r="J472">
        <f>Model!R250</f>
        <v>0</v>
      </c>
      <c r="K472">
        <f>Model!S250</f>
        <v>0</v>
      </c>
      <c r="L472">
        <f>Model!T250</f>
        <v>0</v>
      </c>
      <c r="M472">
        <f>Model!U250</f>
        <v>0</v>
      </c>
      <c r="N472">
        <f>Model!V250</f>
        <v>0</v>
      </c>
      <c r="O472">
        <f>Model!W250</f>
        <v>0</v>
      </c>
      <c r="P472">
        <f>Model!X250</f>
        <v>0</v>
      </c>
      <c r="Q472">
        <f>Model!Y250</f>
        <v>0</v>
      </c>
      <c r="R472">
        <f>Model!Z250</f>
        <v>0</v>
      </c>
      <c r="S472">
        <f>Model!AA250</f>
        <v>0</v>
      </c>
      <c r="T472">
        <f>Model!AB250</f>
        <v>0</v>
      </c>
      <c r="U472">
        <f>Model!AC250</f>
        <v>0</v>
      </c>
      <c r="V472">
        <f>Model!AD250</f>
        <v>0</v>
      </c>
      <c r="W472">
        <f>Model!AE250</f>
        <v>0</v>
      </c>
      <c r="X472">
        <f>Model!AF250</f>
        <v>0</v>
      </c>
      <c r="Y472">
        <f>Model!AG250</f>
        <v>0</v>
      </c>
      <c r="Z472">
        <f>Model!AH250</f>
        <v>0</v>
      </c>
      <c r="AA472">
        <f>Model!AI250</f>
        <v>0</v>
      </c>
      <c r="AB472">
        <f>Model!AJ250</f>
        <v>0</v>
      </c>
      <c r="AC472">
        <f>Model!AK250</f>
        <v>0</v>
      </c>
      <c r="AD472">
        <f>Model!AL250</f>
        <v>0</v>
      </c>
      <c r="AE472">
        <f>Model!AM250</f>
        <v>0</v>
      </c>
      <c r="AF472">
        <f>Model!AN250</f>
        <v>0</v>
      </c>
      <c r="AG472">
        <f>Model!AO250</f>
        <v>0</v>
      </c>
      <c r="AH472">
        <f>Model!AP250</f>
        <v>0</v>
      </c>
      <c r="AI472">
        <f>Model!AQ250</f>
        <v>0</v>
      </c>
      <c r="AJ472">
        <f>Model!AR250</f>
        <v>0</v>
      </c>
      <c r="AK472">
        <f>Model!AS250</f>
        <v>0</v>
      </c>
      <c r="AL472">
        <f>Model!AT250</f>
        <v>0</v>
      </c>
      <c r="AM472">
        <f>Model!AU250</f>
        <v>0</v>
      </c>
      <c r="AN472">
        <f>Model!AV250</f>
        <v>0</v>
      </c>
      <c r="AO472">
        <f>Model!AW250</f>
        <v>0</v>
      </c>
    </row>
    <row r="473" spans="1:41">
      <c r="A473">
        <f>Model!I251</f>
        <v>0</v>
      </c>
      <c r="B473">
        <f>Model!J251</f>
        <v>0</v>
      </c>
      <c r="C473">
        <f>Model!K251</f>
        <v>0</v>
      </c>
      <c r="D473">
        <f>Model!L251</f>
        <v>0</v>
      </c>
      <c r="E473">
        <f>Model!M251</f>
        <v>0</v>
      </c>
      <c r="F473">
        <f>Model!N251</f>
        <v>0</v>
      </c>
      <c r="G473">
        <f>Model!O251</f>
        <v>0</v>
      </c>
      <c r="H473">
        <f>Model!P251</f>
        <v>0</v>
      </c>
      <c r="I473">
        <f>Model!Q251</f>
        <v>0</v>
      </c>
      <c r="J473">
        <f>Model!R251</f>
        <v>0</v>
      </c>
      <c r="K473">
        <f>Model!S251</f>
        <v>0</v>
      </c>
      <c r="L473">
        <f>Model!T251</f>
        <v>0</v>
      </c>
      <c r="M473">
        <f>Model!U251</f>
        <v>0</v>
      </c>
      <c r="N473">
        <f>Model!V251</f>
        <v>0</v>
      </c>
      <c r="O473">
        <f>Model!W251</f>
        <v>0</v>
      </c>
      <c r="P473">
        <f>Model!X251</f>
        <v>0</v>
      </c>
      <c r="Q473">
        <f>Model!Y251</f>
        <v>0</v>
      </c>
      <c r="R473">
        <f>Model!Z251</f>
        <v>0</v>
      </c>
      <c r="S473">
        <f>Model!AA251</f>
        <v>0</v>
      </c>
      <c r="T473">
        <f>Model!AB251</f>
        <v>0</v>
      </c>
      <c r="U473">
        <f>Model!AC251</f>
        <v>0</v>
      </c>
      <c r="V473">
        <f>Model!AD251</f>
        <v>0</v>
      </c>
      <c r="W473">
        <f>Model!AE251</f>
        <v>0</v>
      </c>
      <c r="X473">
        <f>Model!AF251</f>
        <v>0</v>
      </c>
      <c r="Y473">
        <f>Model!AG251</f>
        <v>0</v>
      </c>
      <c r="Z473">
        <f>Model!AH251</f>
        <v>0</v>
      </c>
      <c r="AA473">
        <f>Model!AI251</f>
        <v>0</v>
      </c>
      <c r="AB473">
        <f>Model!AJ251</f>
        <v>0</v>
      </c>
      <c r="AC473">
        <f>Model!AK251</f>
        <v>0</v>
      </c>
      <c r="AD473">
        <f>Model!AL251</f>
        <v>0</v>
      </c>
      <c r="AE473">
        <f>Model!AM251</f>
        <v>0</v>
      </c>
      <c r="AF473">
        <f>Model!AN251</f>
        <v>0</v>
      </c>
      <c r="AG473">
        <f>Model!AO251</f>
        <v>0</v>
      </c>
      <c r="AH473">
        <f>Model!AP251</f>
        <v>0</v>
      </c>
      <c r="AI473">
        <f>Model!AQ251</f>
        <v>0</v>
      </c>
      <c r="AJ473">
        <f>Model!AR251</f>
        <v>0</v>
      </c>
      <c r="AK473">
        <f>Model!AS251</f>
        <v>0</v>
      </c>
      <c r="AL473">
        <f>Model!AT251</f>
        <v>0</v>
      </c>
      <c r="AM473">
        <f>Model!AU251</f>
        <v>0</v>
      </c>
      <c r="AN473">
        <f>Model!AV251</f>
        <v>0</v>
      </c>
      <c r="AO473">
        <f>Model!AW251</f>
        <v>0</v>
      </c>
    </row>
    <row r="474" spans="1:41">
      <c r="A474">
        <f>Model!I252</f>
        <v>0</v>
      </c>
      <c r="B474">
        <f>Model!J252</f>
        <v>0</v>
      </c>
      <c r="C474">
        <f>Model!K252</f>
        <v>0</v>
      </c>
      <c r="D474">
        <f>Model!L252</f>
        <v>0</v>
      </c>
      <c r="E474">
        <f>Model!M252</f>
        <v>0</v>
      </c>
      <c r="F474">
        <f>Model!N252</f>
        <v>0</v>
      </c>
      <c r="G474">
        <f>Model!O252</f>
        <v>0</v>
      </c>
      <c r="H474">
        <f>Model!P252</f>
        <v>0</v>
      </c>
      <c r="I474">
        <f>Model!Q252</f>
        <v>0</v>
      </c>
      <c r="J474">
        <f>Model!R252</f>
        <v>0</v>
      </c>
      <c r="K474">
        <f>Model!S252</f>
        <v>0</v>
      </c>
      <c r="L474">
        <f>Model!T252</f>
        <v>0</v>
      </c>
      <c r="M474">
        <f>Model!U252</f>
        <v>0</v>
      </c>
      <c r="N474">
        <f>Model!V252</f>
        <v>0</v>
      </c>
      <c r="O474">
        <f>Model!W252</f>
        <v>0</v>
      </c>
      <c r="P474">
        <f>Model!X252</f>
        <v>0</v>
      </c>
      <c r="Q474">
        <f>Model!Y252</f>
        <v>0</v>
      </c>
      <c r="R474">
        <f>Model!Z252</f>
        <v>0</v>
      </c>
      <c r="S474">
        <f>Model!AA252</f>
        <v>0</v>
      </c>
      <c r="T474">
        <f>Model!AB252</f>
        <v>0</v>
      </c>
      <c r="U474">
        <f>Model!AC252</f>
        <v>0</v>
      </c>
      <c r="V474">
        <f>Model!AD252</f>
        <v>0</v>
      </c>
      <c r="W474">
        <f>Model!AE252</f>
        <v>0</v>
      </c>
      <c r="X474">
        <f>Model!AF252</f>
        <v>0</v>
      </c>
      <c r="Y474">
        <f>Model!AG252</f>
        <v>0</v>
      </c>
      <c r="Z474">
        <f>Model!AH252</f>
        <v>0</v>
      </c>
      <c r="AA474">
        <f>Model!AI252</f>
        <v>0</v>
      </c>
      <c r="AB474">
        <f>Model!AJ252</f>
        <v>0</v>
      </c>
      <c r="AC474">
        <f>Model!AK252</f>
        <v>0</v>
      </c>
      <c r="AD474">
        <f>Model!AL252</f>
        <v>0</v>
      </c>
      <c r="AE474">
        <f>Model!AM252</f>
        <v>0</v>
      </c>
      <c r="AF474">
        <f>Model!AN252</f>
        <v>0</v>
      </c>
      <c r="AG474">
        <f>Model!AO252</f>
        <v>0</v>
      </c>
      <c r="AH474">
        <f>Model!AP252</f>
        <v>0</v>
      </c>
      <c r="AI474">
        <f>Model!AQ252</f>
        <v>0</v>
      </c>
      <c r="AJ474">
        <f>Model!AR252</f>
        <v>0</v>
      </c>
      <c r="AK474">
        <f>Model!AS252</f>
        <v>0</v>
      </c>
      <c r="AL474">
        <f>Model!AT252</f>
        <v>0</v>
      </c>
      <c r="AM474">
        <f>Model!AU252</f>
        <v>0</v>
      </c>
      <c r="AN474">
        <f>Model!AV252</f>
        <v>0</v>
      </c>
      <c r="AO474">
        <f>Model!AW252</f>
        <v>0</v>
      </c>
    </row>
    <row r="475" spans="1:41">
      <c r="A475">
        <f>Model!I253</f>
        <v>0</v>
      </c>
      <c r="B475">
        <f>Model!J253</f>
        <v>0</v>
      </c>
      <c r="C475">
        <f>Model!K253</f>
        <v>0</v>
      </c>
      <c r="D475">
        <f>Model!L253</f>
        <v>0</v>
      </c>
      <c r="E475">
        <f>Model!M253</f>
        <v>0</v>
      </c>
      <c r="F475">
        <f>Model!N253</f>
        <v>0</v>
      </c>
      <c r="G475">
        <f>Model!O253</f>
        <v>0</v>
      </c>
      <c r="H475">
        <f>Model!P253</f>
        <v>0</v>
      </c>
      <c r="I475">
        <f>Model!Q253</f>
        <v>0</v>
      </c>
      <c r="J475">
        <f>Model!R253</f>
        <v>0</v>
      </c>
      <c r="K475">
        <f>Model!S253</f>
        <v>0</v>
      </c>
      <c r="L475">
        <f>Model!T253</f>
        <v>0</v>
      </c>
      <c r="M475">
        <f>Model!U253</f>
        <v>0</v>
      </c>
      <c r="N475">
        <f>Model!V253</f>
        <v>0</v>
      </c>
      <c r="O475">
        <f>Model!W253</f>
        <v>0</v>
      </c>
      <c r="P475">
        <f>Model!X253</f>
        <v>0</v>
      </c>
      <c r="Q475">
        <f>Model!Y253</f>
        <v>0</v>
      </c>
      <c r="R475">
        <f>Model!Z253</f>
        <v>0</v>
      </c>
      <c r="S475">
        <f>Model!AA253</f>
        <v>0</v>
      </c>
      <c r="T475">
        <f>Model!AB253</f>
        <v>0</v>
      </c>
      <c r="U475">
        <f>Model!AC253</f>
        <v>0</v>
      </c>
      <c r="V475">
        <f>Model!AD253</f>
        <v>0</v>
      </c>
      <c r="W475">
        <f>Model!AE253</f>
        <v>0</v>
      </c>
      <c r="X475">
        <f>Model!AF253</f>
        <v>0</v>
      </c>
      <c r="Y475">
        <f>Model!AG253</f>
        <v>0</v>
      </c>
      <c r="Z475">
        <f>Model!AH253</f>
        <v>0</v>
      </c>
      <c r="AA475">
        <f>Model!AI253</f>
        <v>0</v>
      </c>
      <c r="AB475">
        <f>Model!AJ253</f>
        <v>0</v>
      </c>
      <c r="AC475">
        <f>Model!AK253</f>
        <v>0</v>
      </c>
      <c r="AD475">
        <f>Model!AL253</f>
        <v>0</v>
      </c>
      <c r="AE475">
        <f>Model!AM253</f>
        <v>0</v>
      </c>
      <c r="AF475">
        <f>Model!AN253</f>
        <v>0</v>
      </c>
      <c r="AG475">
        <f>Model!AO253</f>
        <v>0</v>
      </c>
      <c r="AH475">
        <f>Model!AP253</f>
        <v>0</v>
      </c>
      <c r="AI475">
        <f>Model!AQ253</f>
        <v>0</v>
      </c>
      <c r="AJ475">
        <f>Model!AR253</f>
        <v>0</v>
      </c>
      <c r="AK475">
        <f>Model!AS253</f>
        <v>0</v>
      </c>
      <c r="AL475">
        <f>Model!AT253</f>
        <v>0</v>
      </c>
      <c r="AM475">
        <f>Model!AU253</f>
        <v>0</v>
      </c>
      <c r="AN475">
        <f>Model!AV253</f>
        <v>0</v>
      </c>
      <c r="AO475">
        <f>Model!AW253</f>
        <v>0</v>
      </c>
    </row>
    <row r="476" spans="1:41">
      <c r="A476">
        <f>Model!I254</f>
        <v>0</v>
      </c>
      <c r="B476">
        <f>Model!J254</f>
        <v>0</v>
      </c>
      <c r="C476">
        <f>Model!K254</f>
        <v>0</v>
      </c>
      <c r="D476">
        <f>Model!L254</f>
        <v>0</v>
      </c>
      <c r="E476">
        <f>Model!M254</f>
        <v>0</v>
      </c>
      <c r="F476">
        <f>Model!N254</f>
        <v>0</v>
      </c>
      <c r="G476">
        <f>Model!O254</f>
        <v>0</v>
      </c>
      <c r="H476">
        <f>Model!P254</f>
        <v>0</v>
      </c>
      <c r="I476">
        <f>Model!Q254</f>
        <v>0</v>
      </c>
      <c r="J476">
        <f>Model!R254</f>
        <v>0</v>
      </c>
      <c r="K476">
        <f>Model!S254</f>
        <v>0</v>
      </c>
      <c r="L476">
        <f>Model!T254</f>
        <v>0</v>
      </c>
      <c r="M476">
        <f>Model!U254</f>
        <v>0</v>
      </c>
      <c r="N476">
        <f>Model!V254</f>
        <v>0</v>
      </c>
      <c r="O476">
        <f>Model!W254</f>
        <v>0</v>
      </c>
      <c r="P476">
        <f>Model!X254</f>
        <v>0</v>
      </c>
      <c r="Q476">
        <f>Model!Y254</f>
        <v>0</v>
      </c>
      <c r="R476">
        <f>Model!Z254</f>
        <v>0</v>
      </c>
      <c r="S476">
        <f>Model!AA254</f>
        <v>0</v>
      </c>
      <c r="T476">
        <f>Model!AB254</f>
        <v>0</v>
      </c>
      <c r="U476">
        <f>Model!AC254</f>
        <v>0</v>
      </c>
      <c r="V476">
        <f>Model!AD254</f>
        <v>0</v>
      </c>
      <c r="W476">
        <f>Model!AE254</f>
        <v>0</v>
      </c>
      <c r="X476">
        <f>Model!AF254</f>
        <v>0</v>
      </c>
      <c r="Y476">
        <f>Model!AG254</f>
        <v>0</v>
      </c>
      <c r="Z476">
        <f>Model!AH254</f>
        <v>0</v>
      </c>
      <c r="AA476">
        <f>Model!AI254</f>
        <v>0</v>
      </c>
      <c r="AB476">
        <f>Model!AJ254</f>
        <v>0</v>
      </c>
      <c r="AC476">
        <f>Model!AK254</f>
        <v>0</v>
      </c>
      <c r="AD476">
        <f>Model!AL254</f>
        <v>0</v>
      </c>
      <c r="AE476">
        <f>Model!AM254</f>
        <v>0</v>
      </c>
      <c r="AF476">
        <f>Model!AN254</f>
        <v>0</v>
      </c>
      <c r="AG476">
        <f>Model!AO254</f>
        <v>0</v>
      </c>
      <c r="AH476">
        <f>Model!AP254</f>
        <v>0</v>
      </c>
      <c r="AI476">
        <f>Model!AQ254</f>
        <v>0</v>
      </c>
      <c r="AJ476">
        <f>Model!AR254</f>
        <v>0</v>
      </c>
      <c r="AK476">
        <f>Model!AS254</f>
        <v>0</v>
      </c>
      <c r="AL476">
        <f>Model!AT254</f>
        <v>0</v>
      </c>
      <c r="AM476">
        <f>Model!AU254</f>
        <v>0</v>
      </c>
      <c r="AN476">
        <f>Model!AV254</f>
        <v>0</v>
      </c>
      <c r="AO476">
        <f>Model!AW254</f>
        <v>0</v>
      </c>
    </row>
    <row r="477" spans="1:41">
      <c r="A477" t="str">
        <f>Model!I255</f>
        <v>Required Tags</v>
      </c>
      <c r="B477">
        <f>Model!J255</f>
        <v>0</v>
      </c>
      <c r="C477">
        <f>Model!K255</f>
        <v>0</v>
      </c>
      <c r="D477">
        <f>Model!L255</f>
        <v>0</v>
      </c>
      <c r="E477">
        <f>Model!M255</f>
        <v>0</v>
      </c>
      <c r="F477">
        <f>Model!N255</f>
        <v>0</v>
      </c>
      <c r="G477">
        <f>Model!O255</f>
        <v>0</v>
      </c>
      <c r="H477">
        <f>Model!P255</f>
        <v>0</v>
      </c>
      <c r="I477">
        <f>Model!Q255</f>
        <v>0</v>
      </c>
      <c r="J477">
        <f>Model!R255</f>
        <v>0</v>
      </c>
      <c r="K477">
        <f>Model!S255</f>
        <v>0</v>
      </c>
      <c r="L477">
        <f>Model!T255</f>
        <v>0</v>
      </c>
      <c r="M477">
        <f>Model!U255</f>
        <v>0</v>
      </c>
      <c r="N477">
        <f>Model!V255</f>
        <v>0</v>
      </c>
      <c r="O477">
        <f>Model!W255</f>
        <v>0</v>
      </c>
      <c r="P477">
        <f>Model!X255</f>
        <v>0</v>
      </c>
      <c r="Q477">
        <f>Model!Y255</f>
        <v>0</v>
      </c>
      <c r="R477">
        <f>Model!Z255</f>
        <v>0</v>
      </c>
      <c r="S477">
        <f>Model!AA255</f>
        <v>0</v>
      </c>
      <c r="T477">
        <f>Model!AB255</f>
        <v>0</v>
      </c>
      <c r="U477">
        <f>Model!AC255</f>
        <v>0</v>
      </c>
      <c r="V477">
        <f>Model!AD255</f>
        <v>0</v>
      </c>
      <c r="W477">
        <f>Model!AE255</f>
        <v>0</v>
      </c>
      <c r="X477">
        <f>Model!AF255</f>
        <v>0</v>
      </c>
      <c r="Y477">
        <f>Model!AG255</f>
        <v>0</v>
      </c>
      <c r="Z477">
        <f>Model!AH255</f>
        <v>0</v>
      </c>
      <c r="AA477">
        <f>Model!AI255</f>
        <v>0</v>
      </c>
      <c r="AB477">
        <f>Model!AJ255</f>
        <v>0</v>
      </c>
      <c r="AC477">
        <f>Model!AK255</f>
        <v>0</v>
      </c>
      <c r="AD477">
        <f>Model!AL255</f>
        <v>0</v>
      </c>
      <c r="AE477">
        <f>Model!AM255</f>
        <v>0</v>
      </c>
      <c r="AF477">
        <f>Model!AN255</f>
        <v>0</v>
      </c>
      <c r="AG477">
        <f>Model!AO255</f>
        <v>0</v>
      </c>
      <c r="AH477">
        <f>Model!AP255</f>
        <v>0</v>
      </c>
      <c r="AI477">
        <f>Model!AQ255</f>
        <v>0</v>
      </c>
      <c r="AJ477">
        <f>Model!AR255</f>
        <v>0</v>
      </c>
      <c r="AK477">
        <f>Model!AS255</f>
        <v>0</v>
      </c>
      <c r="AL477">
        <f>Model!AT255</f>
        <v>0</v>
      </c>
      <c r="AM477">
        <f>Model!AU255</f>
        <v>0</v>
      </c>
      <c r="AN477">
        <f>Model!AV255</f>
        <v>0</v>
      </c>
      <c r="AO477">
        <f>Model!AW255</f>
        <v>0</v>
      </c>
    </row>
    <row r="478" spans="1:41">
      <c r="A478" t="str">
        <f>Model!I256</f>
        <v>Unrecorded Goodwill</v>
      </c>
      <c r="B478">
        <f>Model!J256</f>
        <v>0</v>
      </c>
      <c r="C478">
        <f>Model!K256</f>
        <v>0</v>
      </c>
      <c r="D478">
        <f>Model!L256</f>
        <v>0</v>
      </c>
      <c r="E478">
        <f>Model!M256</f>
        <v>0</v>
      </c>
      <c r="F478" t="str">
        <f>Model!N256</f>
        <v>ND</v>
      </c>
      <c r="G478" t="str">
        <f>Model!O256</f>
        <v>ND</v>
      </c>
      <c r="H478" t="str">
        <f>Model!P256</f>
        <v>ND</v>
      </c>
      <c r="I478" t="str">
        <f>Model!Q256</f>
        <v>ND</v>
      </c>
      <c r="J478" t="str">
        <f>Model!R256</f>
        <v>ND</v>
      </c>
      <c r="K478" t="str">
        <f>Model!S256</f>
        <v>ND</v>
      </c>
      <c r="L478" t="str">
        <f>Model!T256</f>
        <v>ND</v>
      </c>
      <c r="M478" t="str">
        <f>Model!U256</f>
        <v>ND</v>
      </c>
      <c r="N478" t="str">
        <f>Model!V256</f>
        <v>ND</v>
      </c>
      <c r="O478" t="str">
        <f>Model!W256</f>
        <v>ND</v>
      </c>
      <c r="P478" t="str">
        <f>Model!X256</f>
        <v>ND</v>
      </c>
      <c r="Q478" t="str">
        <f>Model!Y256</f>
        <v>ND</v>
      </c>
      <c r="R478" t="str">
        <f>Model!Z256</f>
        <v>ND</v>
      </c>
      <c r="S478" t="str">
        <f>Model!AA256</f>
        <v>ND</v>
      </c>
      <c r="T478" t="str">
        <f>Model!AB256</f>
        <v>ND</v>
      </c>
      <c r="U478" t="str">
        <f>Model!AC256</f>
        <v>ND</v>
      </c>
      <c r="V478" t="str">
        <f>Model!AD256</f>
        <v>ND</v>
      </c>
      <c r="W478" t="str">
        <f>Model!AE256</f>
        <v>ND</v>
      </c>
      <c r="X478" t="str">
        <f>Model!AF256</f>
        <v>ND</v>
      </c>
      <c r="Y478" t="str">
        <f>Model!AG256</f>
        <v>ND</v>
      </c>
      <c r="Z478">
        <f>Model!AH256</f>
        <v>0</v>
      </c>
      <c r="AA478">
        <f>Model!AI256</f>
        <v>0</v>
      </c>
      <c r="AB478">
        <f>Model!AJ256</f>
        <v>0</v>
      </c>
      <c r="AC478" t="str">
        <f>Model!AK256</f>
        <v>ND</v>
      </c>
      <c r="AD478" t="str">
        <f>Model!AL256</f>
        <v>ND</v>
      </c>
      <c r="AE478" t="str">
        <f>Model!AM256</f>
        <v>ND</v>
      </c>
      <c r="AF478" t="str">
        <f>Model!AN256</f>
        <v>ND</v>
      </c>
      <c r="AG478" t="str">
        <f>Model!AO256</f>
        <v>ND</v>
      </c>
      <c r="AH478" t="str">
        <f>Model!AP256</f>
        <v>ND</v>
      </c>
      <c r="AI478" t="str">
        <f>Model!AQ256</f>
        <v>ND</v>
      </c>
      <c r="AJ478" t="str">
        <f>Model!AR256</f>
        <v>ND</v>
      </c>
      <c r="AK478" t="str">
        <f>Model!AS256</f>
        <v>ND</v>
      </c>
      <c r="AL478" t="str">
        <f>Model!AT256</f>
        <v>ND</v>
      </c>
      <c r="AM478" t="str">
        <f>Model!AU256</f>
        <v>ND</v>
      </c>
      <c r="AN478">
        <f>Model!AV256</f>
        <v>0</v>
      </c>
      <c r="AO478">
        <f>Model!AW256</f>
        <v>0</v>
      </c>
    </row>
    <row r="479" spans="1:41">
      <c r="A479" t="str">
        <f>Model!I257</f>
        <v>Statutory Tax rate</v>
      </c>
      <c r="B479">
        <f>Model!J257</f>
        <v>0</v>
      </c>
      <c r="C479">
        <f>Model!K257</f>
        <v>0</v>
      </c>
      <c r="D479">
        <f>Model!L257</f>
        <v>0</v>
      </c>
      <c r="E479">
        <f>Model!M257</f>
        <v>0</v>
      </c>
      <c r="F479">
        <f>Model!N257</f>
        <v>0.35</v>
      </c>
      <c r="G479">
        <f>Model!O257</f>
        <v>0.35</v>
      </c>
      <c r="H479">
        <f>Model!P257</f>
        <v>0.35</v>
      </c>
      <c r="I479">
        <f>Model!Q257</f>
        <v>0.35</v>
      </c>
      <c r="J479">
        <f>Model!R257</f>
        <v>0.35</v>
      </c>
      <c r="K479">
        <f>Model!S257</f>
        <v>0.35</v>
      </c>
      <c r="L479">
        <f>Model!T257</f>
        <v>0.35</v>
      </c>
      <c r="M479">
        <f>Model!U257</f>
        <v>0.35</v>
      </c>
      <c r="N479">
        <f>Model!V257</f>
        <v>0.35</v>
      </c>
      <c r="O479">
        <f>Model!W257</f>
        <v>0.35</v>
      </c>
      <c r="P479">
        <f>Model!X257</f>
        <v>0.35</v>
      </c>
      <c r="Q479">
        <f>Model!Y257</f>
        <v>0.35</v>
      </c>
      <c r="R479">
        <f>Model!Z257</f>
        <v>0.35</v>
      </c>
      <c r="S479">
        <f>Model!AA257</f>
        <v>0.35</v>
      </c>
      <c r="T479">
        <f>Model!AB257</f>
        <v>0.35</v>
      </c>
      <c r="U479">
        <f>Model!AC257</f>
        <v>0.35</v>
      </c>
      <c r="V479">
        <f>Model!AD257</f>
        <v>0.35</v>
      </c>
      <c r="W479">
        <f>Model!AE257</f>
        <v>0.35</v>
      </c>
      <c r="X479">
        <f>Model!AF257</f>
        <v>0.35</v>
      </c>
      <c r="Y479">
        <f>Model!AG257</f>
        <v>0.35</v>
      </c>
      <c r="Z479">
        <f>Model!AH257</f>
        <v>0</v>
      </c>
      <c r="AA479">
        <f>Model!AI257</f>
        <v>0</v>
      </c>
      <c r="AB479">
        <f>Model!AJ257</f>
        <v>0</v>
      </c>
      <c r="AC479">
        <f>Model!AK257</f>
        <v>0.35</v>
      </c>
      <c r="AD479">
        <f>Model!AL257</f>
        <v>0.35</v>
      </c>
      <c r="AE479">
        <f>Model!AM257</f>
        <v>0.35</v>
      </c>
      <c r="AF479">
        <f>Model!AN257</f>
        <v>0.35</v>
      </c>
      <c r="AG479">
        <f>Model!AO257</f>
        <v>0.35</v>
      </c>
      <c r="AH479">
        <f>Model!AP257</f>
        <v>0.35</v>
      </c>
      <c r="AI479">
        <f>Model!AQ257</f>
        <v>0.35</v>
      </c>
      <c r="AJ479">
        <f>Model!AR257</f>
        <v>0.35</v>
      </c>
      <c r="AK479">
        <f>Model!AS257</f>
        <v>0.35</v>
      </c>
      <c r="AL479">
        <f>Model!AT257</f>
        <v>0.35</v>
      </c>
      <c r="AM479">
        <f>Model!AU257</f>
        <v>0.35</v>
      </c>
      <c r="AN479">
        <f>Model!AV257</f>
        <v>0</v>
      </c>
      <c r="AO479">
        <f>Model!AW257</f>
        <v>0</v>
      </c>
    </row>
    <row r="480" spans="1:41">
      <c r="A480" t="str">
        <f>Model!I258</f>
        <v>Period End Shares</v>
      </c>
      <c r="B480">
        <f>Model!J258</f>
        <v>0</v>
      </c>
      <c r="C480">
        <f>Model!K258</f>
        <v>0</v>
      </c>
      <c r="D480">
        <f>Model!L258</f>
        <v>0</v>
      </c>
      <c r="E480">
        <f>Model!M258</f>
        <v>0</v>
      </c>
      <c r="F480">
        <f>Model!N258</f>
        <v>0</v>
      </c>
      <c r="G480">
        <f>Model!O258</f>
        <v>0</v>
      </c>
      <c r="H480">
        <f>Model!P258</f>
        <v>0</v>
      </c>
      <c r="I480">
        <f>Model!Q258</f>
        <v>0</v>
      </c>
      <c r="J480" t="str">
        <f>Model!R258</f>
        <v>ND</v>
      </c>
      <c r="K480" t="str">
        <f>Model!S258</f>
        <v>ND</v>
      </c>
      <c r="L480" t="str">
        <f>Model!T258</f>
        <v>ND</v>
      </c>
      <c r="M480" t="str">
        <f>Model!U258</f>
        <v>ND</v>
      </c>
      <c r="N480" t="str">
        <f>Model!V258</f>
        <v>ND</v>
      </c>
      <c r="O480" t="str">
        <f>Model!W258</f>
        <v>ND</v>
      </c>
      <c r="P480" t="str">
        <f>Model!X258</f>
        <v>ND</v>
      </c>
      <c r="Q480" t="str">
        <f>Model!Y258</f>
        <v>ND</v>
      </c>
      <c r="R480">
        <f>Model!Z258</f>
        <v>1404.1021930973332</v>
      </c>
      <c r="S480">
        <f>Model!AA258</f>
        <v>1422.5510965486665</v>
      </c>
      <c r="T480">
        <f>Model!AB258</f>
        <v>1441</v>
      </c>
      <c r="U480">
        <f>Model!AC258</f>
        <v>1420</v>
      </c>
      <c r="V480">
        <f>Model!AD258</f>
        <v>1430</v>
      </c>
      <c r="W480">
        <f>Model!AE258</f>
        <v>1440</v>
      </c>
      <c r="X480">
        <f>Model!AF258</f>
        <v>1450</v>
      </c>
      <c r="Y480">
        <f>Model!AG258</f>
        <v>1460</v>
      </c>
      <c r="Z480">
        <f>Model!AH258</f>
        <v>0</v>
      </c>
      <c r="AA480">
        <f>Model!AI258</f>
        <v>0</v>
      </c>
      <c r="AB480">
        <f>Model!AJ258</f>
        <v>0</v>
      </c>
      <c r="AC480" t="str">
        <f>Model!AK258</f>
        <v>ND</v>
      </c>
      <c r="AD480" t="str">
        <f>Model!AL258</f>
        <v>ND</v>
      </c>
      <c r="AE480">
        <f>Model!AM258</f>
        <v>1421.9133224114998</v>
      </c>
      <c r="AF480">
        <f>Model!AN258</f>
        <v>1445</v>
      </c>
      <c r="AG480">
        <f>Model!AO258</f>
        <v>1480</v>
      </c>
      <c r="AH480">
        <f>Model!AP258</f>
        <v>1513</v>
      </c>
      <c r="AI480">
        <f>Model!AQ258</f>
        <v>1545</v>
      </c>
      <c r="AJ480">
        <f>Model!AR258</f>
        <v>1575</v>
      </c>
      <c r="AK480">
        <f>Model!AS258</f>
        <v>1605</v>
      </c>
      <c r="AL480">
        <f>Model!AT258</f>
        <v>1632</v>
      </c>
      <c r="AM480">
        <f>Model!AU258</f>
        <v>1659</v>
      </c>
      <c r="AN480">
        <f>Model!AV258</f>
        <v>0</v>
      </c>
      <c r="AO480">
        <f>Model!AW258</f>
        <v>0</v>
      </c>
    </row>
    <row r="481" spans="1:41">
      <c r="A481" t="str">
        <f>Model!I259</f>
        <v>Net Issuance</v>
      </c>
      <c r="B481">
        <f>Model!J259</f>
        <v>0</v>
      </c>
      <c r="C481">
        <f>Model!K259</f>
        <v>0</v>
      </c>
      <c r="D481">
        <f>Model!L259</f>
        <v>0</v>
      </c>
      <c r="E481">
        <f>Model!M259</f>
        <v>0</v>
      </c>
      <c r="F481">
        <f>Model!N259</f>
        <v>0</v>
      </c>
      <c r="G481">
        <f>Model!O259</f>
        <v>0</v>
      </c>
      <c r="H481">
        <f>Model!P259</f>
        <v>0</v>
      </c>
      <c r="I481">
        <f>Model!Q259</f>
        <v>0</v>
      </c>
      <c r="J481">
        <f>Model!R259</f>
        <v>0</v>
      </c>
      <c r="K481">
        <f>Model!S259</f>
        <v>0</v>
      </c>
      <c r="L481">
        <f>Model!T259</f>
        <v>0</v>
      </c>
      <c r="M481">
        <f>Model!U259</f>
        <v>0</v>
      </c>
      <c r="N481">
        <f>Model!V259</f>
        <v>0</v>
      </c>
      <c r="O481">
        <f>Model!W259</f>
        <v>0</v>
      </c>
      <c r="P481">
        <f>Model!X259</f>
        <v>0</v>
      </c>
      <c r="Q481">
        <f>Model!Y259</f>
        <v>0</v>
      </c>
      <c r="R481">
        <f>Model!Z259</f>
        <v>2451.8119999999999</v>
      </c>
      <c r="S481">
        <f>Model!AA259</f>
        <v>-1.6390000000000029</v>
      </c>
      <c r="T481">
        <f>Model!AB259</f>
        <v>-152.75499999999994</v>
      </c>
      <c r="U481">
        <f>Model!AC259</f>
        <v>-22.398000000000053</v>
      </c>
      <c r="V481">
        <f>Model!AD259</f>
        <v>0</v>
      </c>
      <c r="W481">
        <f>Model!AE259</f>
        <v>0</v>
      </c>
      <c r="X481">
        <f>Model!AF259</f>
        <v>0</v>
      </c>
      <c r="Y481">
        <f>Model!AG259</f>
        <v>0</v>
      </c>
      <c r="Z481">
        <f>Model!AH259</f>
        <v>0</v>
      </c>
      <c r="AA481">
        <f>Model!AI259</f>
        <v>0</v>
      </c>
      <c r="AB481">
        <f>Model!AJ259</f>
        <v>0</v>
      </c>
      <c r="AC481">
        <f>Model!AK259</f>
        <v>650.36599999999999</v>
      </c>
      <c r="AD481">
        <f>Model!AL259</f>
        <v>1147.2849999999999</v>
      </c>
      <c r="AE481">
        <f>Model!AM259</f>
        <v>2275.02</v>
      </c>
      <c r="AF481">
        <f>Model!AN259</f>
        <v>0</v>
      </c>
      <c r="AG481">
        <f>Model!AO259</f>
        <v>0</v>
      </c>
      <c r="AH481">
        <f>Model!AP259</f>
        <v>0</v>
      </c>
      <c r="AI481">
        <f>Model!AQ259</f>
        <v>0</v>
      </c>
      <c r="AJ481">
        <f>Model!AR259</f>
        <v>0</v>
      </c>
      <c r="AK481">
        <f>Model!AS259</f>
        <v>0</v>
      </c>
      <c r="AL481">
        <f>Model!AT259</f>
        <v>0</v>
      </c>
      <c r="AM481">
        <f>Model!AU259</f>
        <v>0</v>
      </c>
      <c r="AN481">
        <f>Model!AV259</f>
        <v>0</v>
      </c>
      <c r="AO481">
        <f>Model!AW259</f>
        <v>0</v>
      </c>
    </row>
    <row r="482" spans="1:41">
      <c r="A482">
        <f>Model!I260</f>
        <v>0</v>
      </c>
      <c r="B482">
        <f>Model!J260</f>
        <v>0</v>
      </c>
      <c r="C482">
        <f>Model!K260</f>
        <v>0</v>
      </c>
      <c r="D482">
        <f>Model!L260</f>
        <v>0</v>
      </c>
      <c r="E482">
        <f>Model!M260</f>
        <v>0</v>
      </c>
      <c r="F482">
        <f>Model!N260</f>
        <v>0</v>
      </c>
      <c r="G482">
        <f>Model!O260</f>
        <v>0</v>
      </c>
      <c r="H482">
        <f>Model!P260</f>
        <v>0</v>
      </c>
      <c r="I482">
        <f>Model!Q260</f>
        <v>0</v>
      </c>
      <c r="J482">
        <f>Model!R260</f>
        <v>0</v>
      </c>
      <c r="K482">
        <f>Model!S260</f>
        <v>0</v>
      </c>
      <c r="L482">
        <f>Model!T260</f>
        <v>0</v>
      </c>
      <c r="M482">
        <f>Model!U260</f>
        <v>0</v>
      </c>
      <c r="N482">
        <f>Model!V260</f>
        <v>0</v>
      </c>
      <c r="O482">
        <f>Model!W260</f>
        <v>0</v>
      </c>
      <c r="P482">
        <f>Model!X260</f>
        <v>0</v>
      </c>
      <c r="Q482">
        <f>Model!Y260</f>
        <v>0</v>
      </c>
      <c r="R482">
        <f>Model!Z260</f>
        <v>0</v>
      </c>
      <c r="S482">
        <f>Model!AA260</f>
        <v>0</v>
      </c>
      <c r="T482">
        <f>Model!AB260</f>
        <v>0</v>
      </c>
      <c r="U482">
        <f>Model!AC260</f>
        <v>0</v>
      </c>
      <c r="V482">
        <f>Model!AD260</f>
        <v>0</v>
      </c>
      <c r="W482">
        <f>Model!AE260</f>
        <v>0</v>
      </c>
      <c r="X482">
        <f>Model!AF260</f>
        <v>0</v>
      </c>
      <c r="Y482">
        <f>Model!AG260</f>
        <v>0</v>
      </c>
      <c r="Z482">
        <f>Model!AH260</f>
        <v>0</v>
      </c>
      <c r="AA482">
        <f>Model!AI260</f>
        <v>0</v>
      </c>
      <c r="AB482">
        <f>Model!AJ260</f>
        <v>0</v>
      </c>
      <c r="AC482">
        <f>Model!AK260</f>
        <v>0</v>
      </c>
      <c r="AD482">
        <f>Model!AL260</f>
        <v>0</v>
      </c>
      <c r="AE482">
        <f>Model!AM260</f>
        <v>0</v>
      </c>
      <c r="AF482">
        <f>Model!AN260</f>
        <v>0</v>
      </c>
      <c r="AG482">
        <f>Model!AO260</f>
        <v>0</v>
      </c>
      <c r="AH482">
        <f>Model!AP260</f>
        <v>0</v>
      </c>
      <c r="AI482">
        <f>Model!AQ260</f>
        <v>0</v>
      </c>
      <c r="AJ482">
        <f>Model!AR260</f>
        <v>0</v>
      </c>
      <c r="AK482">
        <f>Model!AS260</f>
        <v>0</v>
      </c>
      <c r="AL482">
        <f>Model!AT260</f>
        <v>0</v>
      </c>
      <c r="AM482">
        <f>Model!AU260</f>
        <v>0</v>
      </c>
      <c r="AN482">
        <f>Model!AV260</f>
        <v>0</v>
      </c>
      <c r="AO482">
        <f>Model!AW260</f>
        <v>0</v>
      </c>
    </row>
    <row r="483" spans="1:41">
      <c r="A483" t="str">
        <f>'Revenue Model'!I4</f>
        <v xml:space="preserve">Total Revenue </v>
      </c>
      <c r="B483">
        <f>'Revenue Model'!J4</f>
        <v>0</v>
      </c>
      <c r="C483">
        <f>'Revenue Model'!K4</f>
        <v>0</v>
      </c>
      <c r="D483">
        <f>'Revenue Model'!L4</f>
        <v>0</v>
      </c>
      <c r="E483">
        <f>'Revenue Model'!M4</f>
        <v>0</v>
      </c>
      <c r="F483">
        <f>'Revenue Model'!N4</f>
        <v>0</v>
      </c>
      <c r="G483">
        <f>'Revenue Model'!O4</f>
        <v>0</v>
      </c>
      <c r="H483">
        <f>'Revenue Model'!P4</f>
        <v>0</v>
      </c>
      <c r="I483">
        <f>'Revenue Model'!Q4</f>
        <v>0</v>
      </c>
      <c r="J483">
        <f>'Revenue Model'!R4</f>
        <v>3.92</v>
      </c>
      <c r="K483">
        <f>'Revenue Model'!S4</f>
        <v>5.3</v>
      </c>
      <c r="L483">
        <f>'Revenue Model'!T4</f>
        <v>16.725000000000001</v>
      </c>
      <c r="M483">
        <f>'Revenue Model'!U4</f>
        <v>32.718000000000004</v>
      </c>
      <c r="N483">
        <f>'Revenue Model'!V4</f>
        <v>38.798000000000002</v>
      </c>
      <c r="O483">
        <f>'Revenue Model'!W4</f>
        <v>71.798000000000002</v>
      </c>
      <c r="P483">
        <f>'Revenue Model'!X4</f>
        <v>128.20400000000001</v>
      </c>
      <c r="Q483">
        <f>'Revenue Model'!Y4</f>
        <v>165.68199999999999</v>
      </c>
      <c r="R483">
        <f>'Revenue Model'!Z4</f>
        <v>149.648</v>
      </c>
      <c r="S483">
        <f>'Revenue Model'!AA4</f>
        <v>181.67099999999999</v>
      </c>
      <c r="T483">
        <f>'Revenue Model'!AB4</f>
        <v>207.93700000000001</v>
      </c>
      <c r="U483">
        <f>'Revenue Model'!AC4</f>
        <v>285.69299999999998</v>
      </c>
      <c r="V483">
        <f>'Revenue Model'!AD4</f>
        <v>249</v>
      </c>
      <c r="W483">
        <f>'Revenue Model'!AE4</f>
        <v>295</v>
      </c>
      <c r="X483">
        <f>'Revenue Model'!AF4</f>
        <v>341</v>
      </c>
      <c r="Y483">
        <f>'Revenue Model'!AG4</f>
        <v>428</v>
      </c>
      <c r="Z483">
        <f>'Revenue Model'!AH4</f>
        <v>0</v>
      </c>
      <c r="AA483">
        <f>'Revenue Model'!AI4</f>
        <v>0</v>
      </c>
      <c r="AB483">
        <f>'Revenue Model'!AJ4</f>
        <v>0</v>
      </c>
      <c r="AC483">
        <f>'Revenue Model'!AK4</f>
        <v>58.663000000000004</v>
      </c>
      <c r="AD483">
        <f>'Revenue Model'!AL4</f>
        <v>404.48199999999997</v>
      </c>
      <c r="AE483">
        <f>'Revenue Model'!AM4</f>
        <v>824.94899999999996</v>
      </c>
      <c r="AF483">
        <f>'Revenue Model'!AN4</f>
        <v>1313</v>
      </c>
      <c r="AG483">
        <f>'Revenue Model'!AO4</f>
        <v>1969.3647915228673</v>
      </c>
      <c r="AH483">
        <f>'Revenue Model'!AP4</f>
        <v>2804.8785252972893</v>
      </c>
      <c r="AI483">
        <f>'Revenue Model'!AQ4</f>
        <v>3812.9268110991698</v>
      </c>
      <c r="AJ483">
        <f>'Revenue Model'!AR4</f>
        <v>4963.9597425469474</v>
      </c>
      <c r="AK483">
        <f>'Revenue Model'!AS4</f>
        <v>6163.5677779709767</v>
      </c>
      <c r="AL483">
        <f>'Revenue Model'!AT4</f>
        <v>7355.8769720994733</v>
      </c>
      <c r="AM483">
        <f>'Revenue Model'!AU4</f>
        <v>8545.6284788867233</v>
      </c>
    </row>
    <row r="484" spans="1:41">
      <c r="A484" t="str">
        <f>'Revenue Model'!I5</f>
        <v>Y/Y % Growth</v>
      </c>
      <c r="B484">
        <f>'Revenue Model'!J5</f>
        <v>0</v>
      </c>
      <c r="C484">
        <f>'Revenue Model'!K5</f>
        <v>0</v>
      </c>
      <c r="D484">
        <f>'Revenue Model'!L5</f>
        <v>0</v>
      </c>
      <c r="E484">
        <f>'Revenue Model'!M5</f>
        <v>0</v>
      </c>
      <c r="F484">
        <f>'Revenue Model'!N5</f>
        <v>0</v>
      </c>
      <c r="G484">
        <f>'Revenue Model'!O5</f>
        <v>0</v>
      </c>
      <c r="H484">
        <f>'Revenue Model'!P5</f>
        <v>0</v>
      </c>
      <c r="I484">
        <f>'Revenue Model'!Q5</f>
        <v>0</v>
      </c>
      <c r="J484">
        <f>'Revenue Model'!R5</f>
        <v>0</v>
      </c>
      <c r="K484">
        <f>'Revenue Model'!S5</f>
        <v>0</v>
      </c>
      <c r="L484">
        <f>'Revenue Model'!T5</f>
        <v>0</v>
      </c>
      <c r="M484">
        <f>'Revenue Model'!U5</f>
        <v>0</v>
      </c>
      <c r="N484">
        <f>'Revenue Model'!V5</f>
        <v>8.8974489795918377</v>
      </c>
      <c r="O484">
        <f>'Revenue Model'!W5</f>
        <v>12.546792452830189</v>
      </c>
      <c r="P484">
        <f>'Revenue Model'!X5</f>
        <v>6.6654110612855009</v>
      </c>
      <c r="Q484">
        <f>'Revenue Model'!Y5</f>
        <v>4.0639403386515056</v>
      </c>
      <c r="R484">
        <f>'Revenue Model'!Z5</f>
        <v>2.8571060363936285</v>
      </c>
      <c r="S484">
        <f>'Revenue Model'!AA5</f>
        <v>1.5303072508983537</v>
      </c>
      <c r="T484">
        <f>'Revenue Model'!AB5</f>
        <v>0.62192287292128179</v>
      </c>
      <c r="U484">
        <f>'Revenue Model'!AC5</f>
        <v>0.7243454328170833</v>
      </c>
      <c r="V484">
        <f>'Revenue Model'!AD5</f>
        <v>0.6639046295306319</v>
      </c>
      <c r="W484">
        <f>'Revenue Model'!AE5</f>
        <v>0.62381447781979515</v>
      </c>
      <c r="X484">
        <f>'Revenue Model'!AF5</f>
        <v>0.63991978339593225</v>
      </c>
      <c r="Y484">
        <f>'Revenue Model'!AG5</f>
        <v>0.49811160931489407</v>
      </c>
      <c r="Z484">
        <f>'Revenue Model'!AH5</f>
        <v>0</v>
      </c>
      <c r="AA484">
        <f>'Revenue Model'!AI5</f>
        <v>0</v>
      </c>
      <c r="AB484">
        <f>'Revenue Model'!AJ5</f>
        <v>0</v>
      </c>
      <c r="AC484">
        <f>'Revenue Model'!AK5</f>
        <v>0</v>
      </c>
      <c r="AD484">
        <f>'Revenue Model'!AL5</f>
        <v>5.8950104836097701</v>
      </c>
      <c r="AE484">
        <f>'Revenue Model'!AM5</f>
        <v>1.0395196819635979</v>
      </c>
      <c r="AF484">
        <f>'Revenue Model'!AN5</f>
        <v>0.59161354217048578</v>
      </c>
      <c r="AG484">
        <f>'Revenue Model'!AO5</f>
        <v>0.49989702324666219</v>
      </c>
      <c r="AH484">
        <f>'Revenue Model'!AP5</f>
        <v>0.42425544387250747</v>
      </c>
      <c r="AI484">
        <f>'Revenue Model'!AQ5</f>
        <v>0.35939106692509526</v>
      </c>
      <c r="AJ484">
        <f>'Revenue Model'!AR5</f>
        <v>0.30187648189238758</v>
      </c>
      <c r="AK484">
        <f>'Revenue Model'!AS5</f>
        <v>0.24166353025428156</v>
      </c>
      <c r="AL484">
        <f>'Revenue Model'!AT5</f>
        <v>0.19344464717170684</v>
      </c>
      <c r="AM484">
        <f>'Revenue Model'!AU5</f>
        <v>0.16174162663404057</v>
      </c>
    </row>
    <row r="485" spans="1:41">
      <c r="A485" t="str">
        <f>'Revenue Model'!I6</f>
        <v>Q/Q % Growth</v>
      </c>
      <c r="B485">
        <f>'Revenue Model'!J6</f>
        <v>0</v>
      </c>
      <c r="C485">
        <f>'Revenue Model'!K6</f>
        <v>0</v>
      </c>
      <c r="D485">
        <f>'Revenue Model'!L6</f>
        <v>0</v>
      </c>
      <c r="E485">
        <f>'Revenue Model'!M6</f>
        <v>0</v>
      </c>
      <c r="F485">
        <f>'Revenue Model'!N6</f>
        <v>0</v>
      </c>
      <c r="G485">
        <f>'Revenue Model'!O6</f>
        <v>0</v>
      </c>
      <c r="H485">
        <f>'Revenue Model'!P6</f>
        <v>0</v>
      </c>
      <c r="I485">
        <f>'Revenue Model'!Q6</f>
        <v>0</v>
      </c>
      <c r="J485">
        <f>'Revenue Model'!R6</f>
        <v>0</v>
      </c>
      <c r="K485">
        <f>'Revenue Model'!S6</f>
        <v>0.3520408163265305</v>
      </c>
      <c r="L485">
        <f>'Revenue Model'!T6</f>
        <v>2.1556603773584908</v>
      </c>
      <c r="M485">
        <f>'Revenue Model'!U6</f>
        <v>0.95623318385650236</v>
      </c>
      <c r="N485">
        <f>'Revenue Model'!V6</f>
        <v>0.18583042973286878</v>
      </c>
      <c r="O485">
        <f>'Revenue Model'!W6</f>
        <v>0.85055930718078243</v>
      </c>
      <c r="P485">
        <f>'Revenue Model'!X6</f>
        <v>0.78562076938076286</v>
      </c>
      <c r="Q485">
        <f>'Revenue Model'!Y6</f>
        <v>0.29233097251255802</v>
      </c>
      <c r="R485">
        <f>'Revenue Model'!Z6</f>
        <v>-9.6775751137721633E-2</v>
      </c>
      <c r="S485">
        <f>'Revenue Model'!AA6</f>
        <v>0.2139888271142949</v>
      </c>
      <c r="T485">
        <f>'Revenue Model'!AB6</f>
        <v>0.14458003754038895</v>
      </c>
      <c r="U485">
        <f>'Revenue Model'!AC6</f>
        <v>0.37394018380567173</v>
      </c>
      <c r="V485">
        <f>'Revenue Model'!AD6</f>
        <v>-0.12843506841259666</v>
      </c>
      <c r="W485">
        <f>'Revenue Model'!AE6</f>
        <v>0.18473895582329325</v>
      </c>
      <c r="X485">
        <f>'Revenue Model'!AF6</f>
        <v>0.15593220338983049</v>
      </c>
      <c r="Y485">
        <f>'Revenue Model'!AG6</f>
        <v>0.25513196480938416</v>
      </c>
      <c r="Z485">
        <f>'Revenue Model'!AH6</f>
        <v>0</v>
      </c>
      <c r="AA485">
        <f>'Revenue Model'!AI6</f>
        <v>0</v>
      </c>
      <c r="AB485">
        <f>'Revenue Model'!AJ6</f>
        <v>0</v>
      </c>
      <c r="AC485">
        <f>'Revenue Model'!AK6</f>
        <v>0</v>
      </c>
      <c r="AD485">
        <f>'Revenue Model'!AL6</f>
        <v>0</v>
      </c>
      <c r="AE485">
        <f>'Revenue Model'!AM6</f>
        <v>0</v>
      </c>
      <c r="AF485">
        <f>'Revenue Model'!AN6</f>
        <v>0</v>
      </c>
      <c r="AG485">
        <f>'Revenue Model'!AO6</f>
        <v>0</v>
      </c>
      <c r="AH485">
        <f>'Revenue Model'!AP6</f>
        <v>0</v>
      </c>
      <c r="AI485">
        <f>'Revenue Model'!AQ6</f>
        <v>0</v>
      </c>
      <c r="AJ485">
        <f>'Revenue Model'!AR6</f>
        <v>0</v>
      </c>
      <c r="AK485">
        <f>'Revenue Model'!AS6</f>
        <v>0</v>
      </c>
      <c r="AL485">
        <f>'Revenue Model'!AT6</f>
        <v>0</v>
      </c>
      <c r="AM485">
        <f>'Revenue Model'!AU6</f>
        <v>0</v>
      </c>
    </row>
    <row r="486" spans="1:41">
      <c r="A486" t="str">
        <f>'Revenue Model'!I7</f>
        <v>Y/Y Abs Growth</v>
      </c>
      <c r="B486">
        <f>'Revenue Model'!J7</f>
        <v>0</v>
      </c>
      <c r="C486">
        <f>'Revenue Model'!K7</f>
        <v>0</v>
      </c>
      <c r="D486">
        <f>'Revenue Model'!L7</f>
        <v>0</v>
      </c>
      <c r="E486">
        <f>'Revenue Model'!M7</f>
        <v>0</v>
      </c>
      <c r="F486">
        <f>'Revenue Model'!N7</f>
        <v>0</v>
      </c>
      <c r="G486">
        <f>'Revenue Model'!O7</f>
        <v>0</v>
      </c>
      <c r="H486">
        <f>'Revenue Model'!P7</f>
        <v>0</v>
      </c>
      <c r="I486">
        <f>'Revenue Model'!Q7</f>
        <v>0</v>
      </c>
      <c r="J486">
        <f>'Revenue Model'!R7</f>
        <v>0</v>
      </c>
      <c r="K486">
        <f>'Revenue Model'!S7</f>
        <v>0</v>
      </c>
      <c r="L486">
        <f>'Revenue Model'!T7</f>
        <v>0</v>
      </c>
      <c r="M486">
        <f>'Revenue Model'!U7</f>
        <v>0</v>
      </c>
      <c r="N486">
        <f>'Revenue Model'!V7</f>
        <v>34.878</v>
      </c>
      <c r="O486">
        <f>'Revenue Model'!W7</f>
        <v>66.498000000000005</v>
      </c>
      <c r="P486">
        <f>'Revenue Model'!X7</f>
        <v>111.47900000000001</v>
      </c>
      <c r="Q486">
        <f>'Revenue Model'!Y7</f>
        <v>132.964</v>
      </c>
      <c r="R486">
        <f>'Revenue Model'!Z7</f>
        <v>110.85</v>
      </c>
      <c r="S486">
        <f>'Revenue Model'!AA7</f>
        <v>109.87299999999999</v>
      </c>
      <c r="T486">
        <f>'Revenue Model'!AB7</f>
        <v>79.733000000000004</v>
      </c>
      <c r="U486">
        <f>'Revenue Model'!AC7</f>
        <v>120.011</v>
      </c>
      <c r="V486">
        <f>'Revenue Model'!AD7</f>
        <v>99.352000000000004</v>
      </c>
      <c r="W486">
        <f>'Revenue Model'!AE7</f>
        <v>113.32900000000001</v>
      </c>
      <c r="X486">
        <f>'Revenue Model'!AF7</f>
        <v>133.06299999999999</v>
      </c>
      <c r="Y486">
        <f>'Revenue Model'!AG7</f>
        <v>142.30700000000002</v>
      </c>
      <c r="Z486">
        <f>'Revenue Model'!AH7</f>
        <v>0</v>
      </c>
      <c r="AA486">
        <f>'Revenue Model'!AI7</f>
        <v>0</v>
      </c>
      <c r="AB486">
        <f>'Revenue Model'!AJ7</f>
        <v>0</v>
      </c>
      <c r="AC486">
        <f>'Revenue Model'!AK7</f>
        <v>0</v>
      </c>
      <c r="AD486">
        <f>'Revenue Model'!AL7</f>
        <v>345.81899999999996</v>
      </c>
      <c r="AE486">
        <f>'Revenue Model'!AM7</f>
        <v>420.46699999999998</v>
      </c>
      <c r="AF486">
        <f>'Revenue Model'!AN7</f>
        <v>488.05100000000004</v>
      </c>
      <c r="AG486">
        <f>'Revenue Model'!AO7</f>
        <v>656.36479152286734</v>
      </c>
      <c r="AH486">
        <f>'Revenue Model'!AP7</f>
        <v>835.51373377442201</v>
      </c>
      <c r="AI486">
        <f>'Revenue Model'!AQ7</f>
        <v>1008.0482858018804</v>
      </c>
      <c r="AJ486">
        <f>'Revenue Model'!AR7</f>
        <v>1151.0329314477776</v>
      </c>
      <c r="AK486">
        <f>'Revenue Model'!AS7</f>
        <v>1199.6080354240294</v>
      </c>
      <c r="AL486">
        <f>'Revenue Model'!AT7</f>
        <v>1192.3091941284965</v>
      </c>
      <c r="AM486">
        <f>'Revenue Model'!AU7</f>
        <v>1189.75150678725</v>
      </c>
    </row>
    <row r="487" spans="1:41">
      <c r="A487" t="str">
        <f>'Revenue Model'!I8</f>
        <v>Q/Q Abs Growth</v>
      </c>
      <c r="B487">
        <f>'Revenue Model'!J8</f>
        <v>0</v>
      </c>
      <c r="C487">
        <f>'Revenue Model'!K8</f>
        <v>0</v>
      </c>
      <c r="D487">
        <f>'Revenue Model'!L8</f>
        <v>0</v>
      </c>
      <c r="E487">
        <f>'Revenue Model'!M8</f>
        <v>0</v>
      </c>
      <c r="F487">
        <f>'Revenue Model'!N8</f>
        <v>0</v>
      </c>
      <c r="G487">
        <f>'Revenue Model'!O8</f>
        <v>0</v>
      </c>
      <c r="H487">
        <f>'Revenue Model'!P8</f>
        <v>0</v>
      </c>
      <c r="I487">
        <f>'Revenue Model'!Q8</f>
        <v>0</v>
      </c>
      <c r="J487">
        <f>'Revenue Model'!R8</f>
        <v>0</v>
      </c>
      <c r="K487">
        <f>'Revenue Model'!S8</f>
        <v>1.38</v>
      </c>
      <c r="L487">
        <f>'Revenue Model'!T8</f>
        <v>11.425000000000001</v>
      </c>
      <c r="M487">
        <f>'Revenue Model'!U8</f>
        <v>15.993000000000002</v>
      </c>
      <c r="N487">
        <f>'Revenue Model'!V8</f>
        <v>6.0799999999999983</v>
      </c>
      <c r="O487">
        <f>'Revenue Model'!W8</f>
        <v>33</v>
      </c>
      <c r="P487">
        <f>'Revenue Model'!X8</f>
        <v>56.406000000000006</v>
      </c>
      <c r="Q487">
        <f>'Revenue Model'!Y8</f>
        <v>37.47799999999998</v>
      </c>
      <c r="R487">
        <f>'Revenue Model'!Z8</f>
        <v>-16.033999999999992</v>
      </c>
      <c r="S487">
        <f>'Revenue Model'!AA8</f>
        <v>32.022999999999996</v>
      </c>
      <c r="T487">
        <f>'Revenue Model'!AB8</f>
        <v>26.26600000000002</v>
      </c>
      <c r="U487">
        <f>'Revenue Model'!AC8</f>
        <v>77.755999999999972</v>
      </c>
      <c r="V487">
        <f>'Revenue Model'!AD8</f>
        <v>-36.692999999999984</v>
      </c>
      <c r="W487">
        <f>'Revenue Model'!AE8</f>
        <v>46</v>
      </c>
      <c r="X487">
        <f>'Revenue Model'!AF8</f>
        <v>46</v>
      </c>
      <c r="Y487">
        <f>'Revenue Model'!AG8</f>
        <v>87</v>
      </c>
      <c r="Z487">
        <f>'Revenue Model'!AH8</f>
        <v>0</v>
      </c>
      <c r="AA487">
        <f>'Revenue Model'!AI8</f>
        <v>0</v>
      </c>
      <c r="AB487">
        <f>'Revenue Model'!AJ8</f>
        <v>0</v>
      </c>
      <c r="AC487">
        <f>'Revenue Model'!AK8</f>
        <v>0</v>
      </c>
      <c r="AD487">
        <f>'Revenue Model'!AL8</f>
        <v>0</v>
      </c>
      <c r="AE487">
        <f>'Revenue Model'!AM8</f>
        <v>0</v>
      </c>
      <c r="AF487">
        <f>'Revenue Model'!AN8</f>
        <v>0</v>
      </c>
      <c r="AG487">
        <f>'Revenue Model'!AO8</f>
        <v>0</v>
      </c>
      <c r="AH487">
        <f>'Revenue Model'!AP8</f>
        <v>0</v>
      </c>
      <c r="AI487">
        <f>'Revenue Model'!AQ8</f>
        <v>0</v>
      </c>
      <c r="AJ487">
        <f>'Revenue Model'!AR8</f>
        <v>0</v>
      </c>
      <c r="AK487">
        <f>'Revenue Model'!AS8</f>
        <v>0</v>
      </c>
      <c r="AL487">
        <f>'Revenue Model'!AT8</f>
        <v>0</v>
      </c>
      <c r="AM487">
        <f>'Revenue Model'!AU8</f>
        <v>0</v>
      </c>
    </row>
    <row r="488" spans="1:41">
      <c r="A488">
        <f>'Revenue Model'!I9</f>
        <v>0</v>
      </c>
      <c r="B488">
        <f>'Revenue Model'!J9</f>
        <v>0</v>
      </c>
      <c r="C488">
        <f>'Revenue Model'!K9</f>
        <v>0</v>
      </c>
      <c r="D488">
        <f>'Revenue Model'!L9</f>
        <v>0</v>
      </c>
      <c r="E488">
        <f>'Revenue Model'!M9</f>
        <v>0</v>
      </c>
      <c r="F488">
        <f>'Revenue Model'!N9</f>
        <v>0</v>
      </c>
      <c r="G488">
        <f>'Revenue Model'!O9</f>
        <v>0</v>
      </c>
      <c r="H488">
        <f>'Revenue Model'!P9</f>
        <v>0</v>
      </c>
      <c r="I488">
        <f>'Revenue Model'!Q9</f>
        <v>0</v>
      </c>
      <c r="J488">
        <f>'Revenue Model'!R9</f>
        <v>0</v>
      </c>
      <c r="K488">
        <f>'Revenue Model'!S9</f>
        <v>0</v>
      </c>
      <c r="L488">
        <f>'Revenue Model'!T9</f>
        <v>0</v>
      </c>
      <c r="M488">
        <f>'Revenue Model'!U9</f>
        <v>0</v>
      </c>
      <c r="N488">
        <f>'Revenue Model'!V9</f>
        <v>0</v>
      </c>
      <c r="O488">
        <f>'Revenue Model'!W9</f>
        <v>0</v>
      </c>
      <c r="P488">
        <f>'Revenue Model'!X9</f>
        <v>0</v>
      </c>
      <c r="Q488">
        <f>'Revenue Model'!Y9</f>
        <v>0</v>
      </c>
      <c r="R488">
        <f>'Revenue Model'!Z9</f>
        <v>0</v>
      </c>
      <c r="S488">
        <f>'Revenue Model'!AA9</f>
        <v>0</v>
      </c>
      <c r="T488">
        <f>'Revenue Model'!AB9</f>
        <v>0</v>
      </c>
      <c r="U488">
        <f>'Revenue Model'!AC9</f>
        <v>0</v>
      </c>
      <c r="V488">
        <f>'Revenue Model'!AD9</f>
        <v>0</v>
      </c>
      <c r="W488">
        <f>'Revenue Model'!AE9</f>
        <v>0</v>
      </c>
      <c r="X488">
        <f>'Revenue Model'!AF9</f>
        <v>0</v>
      </c>
      <c r="Y488">
        <f>'Revenue Model'!AG9</f>
        <v>0</v>
      </c>
      <c r="Z488">
        <f>'Revenue Model'!AH9</f>
        <v>0</v>
      </c>
      <c r="AA488">
        <f>'Revenue Model'!AI9</f>
        <v>0</v>
      </c>
      <c r="AB488">
        <f>'Revenue Model'!AJ9</f>
        <v>0</v>
      </c>
      <c r="AC488">
        <f>'Revenue Model'!AK9</f>
        <v>0</v>
      </c>
      <c r="AD488">
        <f>'Revenue Model'!AL9</f>
        <v>0</v>
      </c>
      <c r="AE488">
        <f>'Revenue Model'!AM9</f>
        <v>0</v>
      </c>
      <c r="AF488">
        <f>'Revenue Model'!AN9</f>
        <v>0</v>
      </c>
      <c r="AG488">
        <f>'Revenue Model'!AO9</f>
        <v>0</v>
      </c>
      <c r="AH488">
        <f>'Revenue Model'!AP9</f>
        <v>0</v>
      </c>
      <c r="AI488">
        <f>'Revenue Model'!AQ9</f>
        <v>0</v>
      </c>
      <c r="AJ488">
        <f>'Revenue Model'!AR9</f>
        <v>0</v>
      </c>
      <c r="AK488">
        <f>'Revenue Model'!AS9</f>
        <v>0</v>
      </c>
      <c r="AL488">
        <f>'Revenue Model'!AT9</f>
        <v>0</v>
      </c>
      <c r="AM488">
        <f>'Revenue Model'!AU9</f>
        <v>0</v>
      </c>
    </row>
    <row r="489" spans="1:41">
      <c r="A489">
        <f>'Revenue Model'!I10</f>
        <v>0</v>
      </c>
      <c r="B489">
        <f>'Revenue Model'!J10</f>
        <v>0</v>
      </c>
      <c r="C489">
        <f>'Revenue Model'!K10</f>
        <v>0</v>
      </c>
      <c r="D489">
        <f>'Revenue Model'!L10</f>
        <v>0</v>
      </c>
      <c r="E489">
        <f>'Revenue Model'!M10</f>
        <v>0</v>
      </c>
      <c r="F489">
        <f>'Revenue Model'!N10</f>
        <v>0</v>
      </c>
      <c r="G489">
        <f>'Revenue Model'!O10</f>
        <v>0</v>
      </c>
      <c r="H489">
        <f>'Revenue Model'!P10</f>
        <v>0</v>
      </c>
      <c r="I489">
        <f>'Revenue Model'!Q10</f>
        <v>0</v>
      </c>
      <c r="J489">
        <f>'Revenue Model'!R10</f>
        <v>0</v>
      </c>
      <c r="K489">
        <f>'Revenue Model'!S10</f>
        <v>0</v>
      </c>
      <c r="L489">
        <f>'Revenue Model'!T10</f>
        <v>0</v>
      </c>
      <c r="M489">
        <f>'Revenue Model'!U10</f>
        <v>0</v>
      </c>
      <c r="N489">
        <f>'Revenue Model'!V10</f>
        <v>0</v>
      </c>
      <c r="O489">
        <f>'Revenue Model'!W10</f>
        <v>0</v>
      </c>
      <c r="P489">
        <f>'Revenue Model'!X10</f>
        <v>0</v>
      </c>
      <c r="Q489">
        <f>'Revenue Model'!Y10</f>
        <v>0</v>
      </c>
      <c r="R489">
        <f>'Revenue Model'!Z10</f>
        <v>0</v>
      </c>
      <c r="S489">
        <f>'Revenue Model'!AA10</f>
        <v>0</v>
      </c>
      <c r="T489">
        <f>'Revenue Model'!AB10</f>
        <v>0</v>
      </c>
      <c r="U489">
        <f>'Revenue Model'!AC10</f>
        <v>0</v>
      </c>
      <c r="V489">
        <f>'Revenue Model'!AD10</f>
        <v>0</v>
      </c>
      <c r="W489">
        <f>'Revenue Model'!AE10</f>
        <v>0</v>
      </c>
      <c r="X489">
        <f>'Revenue Model'!AF10</f>
        <v>0</v>
      </c>
      <c r="Y489">
        <f>'Revenue Model'!AG10</f>
        <v>0</v>
      </c>
      <c r="Z489">
        <f>'Revenue Model'!AH10</f>
        <v>0</v>
      </c>
      <c r="AA489">
        <f>'Revenue Model'!AI10</f>
        <v>0</v>
      </c>
      <c r="AB489">
        <f>'Revenue Model'!AJ10</f>
        <v>0</v>
      </c>
      <c r="AC489">
        <f>'Revenue Model'!AK10</f>
        <v>0</v>
      </c>
      <c r="AD489">
        <f>'Revenue Model'!AL10</f>
        <v>0</v>
      </c>
      <c r="AE489">
        <f>'Revenue Model'!AM10</f>
        <v>0</v>
      </c>
      <c r="AF489">
        <f>'Revenue Model'!AN10</f>
        <v>0</v>
      </c>
      <c r="AG489">
        <f>'Revenue Model'!AO10</f>
        <v>0</v>
      </c>
      <c r="AH489">
        <f>'Revenue Model'!AP10</f>
        <v>0</v>
      </c>
      <c r="AI489">
        <f>'Revenue Model'!AQ10</f>
        <v>0</v>
      </c>
      <c r="AJ489">
        <f>'Revenue Model'!AR10</f>
        <v>0</v>
      </c>
      <c r="AK489">
        <f>'Revenue Model'!AS10</f>
        <v>0</v>
      </c>
      <c r="AL489">
        <f>'Revenue Model'!AT10</f>
        <v>0</v>
      </c>
      <c r="AM489">
        <f>'Revenue Model'!AU10</f>
        <v>0</v>
      </c>
    </row>
    <row r="490" spans="1:41">
      <c r="A490" t="str">
        <f>'Revenue Model'!I11</f>
        <v>Daily Active Users</v>
      </c>
      <c r="B490">
        <f>'Revenue Model'!J11</f>
        <v>8.9320388349514559</v>
      </c>
      <c r="C490">
        <f>'Revenue Model'!K11</f>
        <v>20.87912087912088</v>
      </c>
      <c r="D490">
        <f>'Revenue Model'!L11</f>
        <v>27.876106194690269</v>
      </c>
      <c r="E490">
        <f>'Revenue Model'!M11</f>
        <v>36.979166666666671</v>
      </c>
      <c r="F490">
        <f>'Revenue Model'!N11</f>
        <v>46</v>
      </c>
      <c r="G490">
        <f>'Revenue Model'!O11</f>
        <v>57</v>
      </c>
      <c r="H490">
        <f>'Revenue Model'!P11</f>
        <v>63</v>
      </c>
      <c r="I490">
        <f>'Revenue Model'!Q11</f>
        <v>71</v>
      </c>
      <c r="J490">
        <f>'Revenue Model'!R11</f>
        <v>81</v>
      </c>
      <c r="K490">
        <f>'Revenue Model'!S11</f>
        <v>87</v>
      </c>
      <c r="L490">
        <f>'Revenue Model'!T11</f>
        <v>94.7</v>
      </c>
      <c r="M490">
        <f>'Revenue Model'!U11</f>
        <v>106</v>
      </c>
      <c r="N490">
        <f>'Revenue Model'!V11</f>
        <v>122</v>
      </c>
      <c r="O490">
        <f>'Revenue Model'!W11</f>
        <v>143</v>
      </c>
      <c r="P490">
        <f>'Revenue Model'!X11</f>
        <v>153</v>
      </c>
      <c r="Q490">
        <f>'Revenue Model'!Y11</f>
        <v>158.30000000000001</v>
      </c>
      <c r="R490">
        <f>'Revenue Model'!Z11</f>
        <v>166</v>
      </c>
      <c r="S490">
        <f>'Revenue Model'!AA11</f>
        <v>174</v>
      </c>
      <c r="T490">
        <f>'Revenue Model'!AB11</f>
        <v>178</v>
      </c>
      <c r="U490">
        <f>'Revenue Model'!AC11</f>
        <v>187</v>
      </c>
      <c r="V490">
        <f>'Revenue Model'!AD11</f>
        <v>193.92</v>
      </c>
      <c r="W490">
        <f>'Revenue Model'!AE11</f>
        <v>201.30099999999999</v>
      </c>
      <c r="X490">
        <f>'Revenue Model'!AF11</f>
        <v>207.83674999999997</v>
      </c>
      <c r="Y490">
        <f>'Revenue Model'!AG11</f>
        <v>214.99928749999998</v>
      </c>
      <c r="Z490">
        <f>'Revenue Model'!AH11</f>
        <v>0</v>
      </c>
      <c r="AA490">
        <f>'Revenue Model'!AI11</f>
        <v>36.979166666666671</v>
      </c>
      <c r="AB490">
        <f>'Revenue Model'!AJ11</f>
        <v>71</v>
      </c>
      <c r="AC490">
        <f>'Revenue Model'!AK11</f>
        <v>106</v>
      </c>
      <c r="AD490">
        <f>'Revenue Model'!AL11</f>
        <v>158.30000000000001</v>
      </c>
      <c r="AE490">
        <f>'Revenue Model'!AM11</f>
        <v>187</v>
      </c>
      <c r="AF490">
        <f>'Revenue Model'!AN11</f>
        <v>214.99928749999998</v>
      </c>
      <c r="AG490">
        <f>'Revenue Model'!AO11</f>
        <v>241.59861062499999</v>
      </c>
      <c r="AH490">
        <f>'Revenue Model'!AP11</f>
        <v>266.24666759374998</v>
      </c>
      <c r="AI490">
        <f>'Revenue Model'!AQ11</f>
        <v>288.57849886562497</v>
      </c>
      <c r="AJ490">
        <f>'Revenue Model'!AR11</f>
        <v>308.67714701031241</v>
      </c>
      <c r="AK490">
        <f>'Revenue Model'!AS11</f>
        <v>326.76593034053121</v>
      </c>
      <c r="AL490">
        <f>'Revenue Model'!AT11</f>
        <v>343.04583533772802</v>
      </c>
      <c r="AM490">
        <f>'Revenue Model'!AU11</f>
        <v>359.32574033492494</v>
      </c>
    </row>
    <row r="491" spans="1:41">
      <c r="A491" t="str">
        <f>'Revenue Model'!I12</f>
        <v>Sequential Net Adds</v>
      </c>
      <c r="B491">
        <f>'Revenue Model'!J12</f>
        <v>0</v>
      </c>
      <c r="C491">
        <f>'Revenue Model'!K12</f>
        <v>11.947082044169424</v>
      </c>
      <c r="D491">
        <f>'Revenue Model'!L12</f>
        <v>6.9969853155693897</v>
      </c>
      <c r="E491">
        <f>'Revenue Model'!M12</f>
        <v>9.1030604719764021</v>
      </c>
      <c r="F491">
        <f>'Revenue Model'!N12</f>
        <v>9.0208333333333286</v>
      </c>
      <c r="G491">
        <f>'Revenue Model'!O12</f>
        <v>11</v>
      </c>
      <c r="H491">
        <f>'Revenue Model'!P12</f>
        <v>6</v>
      </c>
      <c r="I491">
        <f>'Revenue Model'!Q12</f>
        <v>8</v>
      </c>
      <c r="J491">
        <f>'Revenue Model'!R12</f>
        <v>10</v>
      </c>
      <c r="K491">
        <f>'Revenue Model'!S12</f>
        <v>6</v>
      </c>
      <c r="L491">
        <f>'Revenue Model'!T12</f>
        <v>7.7000000000000028</v>
      </c>
      <c r="M491">
        <f>'Revenue Model'!U12</f>
        <v>11.299999999999997</v>
      </c>
      <c r="N491">
        <f>'Revenue Model'!V12</f>
        <v>16</v>
      </c>
      <c r="O491">
        <f>'Revenue Model'!W12</f>
        <v>21</v>
      </c>
      <c r="P491">
        <f>'Revenue Model'!X12</f>
        <v>10</v>
      </c>
      <c r="Q491">
        <f>'Revenue Model'!Y12</f>
        <v>5.3000000000000114</v>
      </c>
      <c r="R491">
        <f>'Revenue Model'!Z12</f>
        <v>7.6999999999999886</v>
      </c>
      <c r="S491">
        <f>'Revenue Model'!AA12</f>
        <v>8</v>
      </c>
      <c r="T491">
        <f>'Revenue Model'!AB12</f>
        <v>4</v>
      </c>
      <c r="U491">
        <f>'Revenue Model'!AC12</f>
        <v>9</v>
      </c>
      <c r="V491">
        <f>'Revenue Model'!AD12</f>
        <v>6.9199999999999875</v>
      </c>
      <c r="W491">
        <f>'Revenue Model'!AE12</f>
        <v>7.3810000000000002</v>
      </c>
      <c r="X491">
        <f>'Revenue Model'!AF12</f>
        <v>6.5357499999999789</v>
      </c>
      <c r="Y491">
        <f>'Revenue Model'!AG12</f>
        <v>7.1625375000000133</v>
      </c>
      <c r="Z491">
        <f>'Revenue Model'!AH12</f>
        <v>0</v>
      </c>
      <c r="AA491">
        <f>'Revenue Model'!AI12</f>
        <v>0</v>
      </c>
      <c r="AB491">
        <f>'Revenue Model'!AJ12</f>
        <v>34.020833333333329</v>
      </c>
      <c r="AC491">
        <f>'Revenue Model'!AK12</f>
        <v>35</v>
      </c>
      <c r="AD491">
        <f>'Revenue Model'!AL12</f>
        <v>52.300000000000011</v>
      </c>
      <c r="AE491">
        <f>'Revenue Model'!AM12</f>
        <v>28.699999999999989</v>
      </c>
      <c r="AF491">
        <f>'Revenue Model'!AN12</f>
        <v>27.99928749999998</v>
      </c>
      <c r="AG491">
        <f>'Revenue Model'!AO12</f>
        <v>26.599323125000012</v>
      </c>
      <c r="AH491">
        <f>'Revenue Model'!AP12</f>
        <v>24.648056968749984</v>
      </c>
      <c r="AI491">
        <f>'Revenue Model'!AQ12</f>
        <v>22.331831271874989</v>
      </c>
      <c r="AJ491">
        <f>'Revenue Model'!AR12</f>
        <v>20.098648144687445</v>
      </c>
      <c r="AK491">
        <f>'Revenue Model'!AS12</f>
        <v>18.088783330218803</v>
      </c>
      <c r="AL491">
        <f>'Revenue Model'!AT12</f>
        <v>16.279904997196809</v>
      </c>
      <c r="AM491">
        <f>'Revenue Model'!AU12</f>
        <v>16.279904997196923</v>
      </c>
    </row>
    <row r="492" spans="1:41">
      <c r="A492" t="str">
        <f>'Revenue Model'!I13</f>
        <v>Y/Y % Growth</v>
      </c>
      <c r="B492">
        <f>'Revenue Model'!J13</f>
        <v>0</v>
      </c>
      <c r="C492">
        <f>'Revenue Model'!K13</f>
        <v>0</v>
      </c>
      <c r="D492">
        <f>'Revenue Model'!L13</f>
        <v>0</v>
      </c>
      <c r="E492">
        <f>'Revenue Model'!M13</f>
        <v>0</v>
      </c>
      <c r="F492">
        <f>'Revenue Model'!N13</f>
        <v>4.1500000000000004</v>
      </c>
      <c r="G492">
        <f>'Revenue Model'!O13</f>
        <v>1.73</v>
      </c>
      <c r="H492">
        <f>'Revenue Model'!P13</f>
        <v>1.26</v>
      </c>
      <c r="I492">
        <f>'Revenue Model'!Q13</f>
        <v>0.92</v>
      </c>
      <c r="J492">
        <f>'Revenue Model'!R13</f>
        <v>0.76086956521739135</v>
      </c>
      <c r="K492">
        <f>'Revenue Model'!S13</f>
        <v>0.52631578947368429</v>
      </c>
      <c r="L492">
        <f>'Revenue Model'!T13</f>
        <v>0.50317460317460316</v>
      </c>
      <c r="M492">
        <f>'Revenue Model'!U13</f>
        <v>0.49295774647887325</v>
      </c>
      <c r="N492">
        <f>'Revenue Model'!V13</f>
        <v>0.50617283950617287</v>
      </c>
      <c r="O492">
        <f>'Revenue Model'!W13</f>
        <v>0.64367816091954033</v>
      </c>
      <c r="P492">
        <f>'Revenue Model'!X13</f>
        <v>0.61562829989440337</v>
      </c>
      <c r="Q492">
        <f>'Revenue Model'!Y13</f>
        <v>0.4933962264150944</v>
      </c>
      <c r="R492">
        <f>'Revenue Model'!Z13</f>
        <v>0.36065573770491799</v>
      </c>
      <c r="S492">
        <f>'Revenue Model'!AA13</f>
        <v>0.21678321678321688</v>
      </c>
      <c r="T492">
        <f>'Revenue Model'!AB13</f>
        <v>0.1633986928104576</v>
      </c>
      <c r="U492">
        <f>'Revenue Model'!AC13</f>
        <v>0.18130132659507248</v>
      </c>
      <c r="V492">
        <f>'Revenue Model'!AD13</f>
        <v>0.16819277108433717</v>
      </c>
      <c r="W492">
        <f>'Revenue Model'!AE13</f>
        <v>0.15690229885057461</v>
      </c>
      <c r="X492">
        <f>'Revenue Model'!AF13</f>
        <v>0.16762219101123588</v>
      </c>
      <c r="Y492">
        <f>'Revenue Model'!AG13</f>
        <v>0.14972881016042772</v>
      </c>
      <c r="Z492">
        <f>'Revenue Model'!AH13</f>
        <v>0</v>
      </c>
      <c r="AA492">
        <f>'Revenue Model'!AI13</f>
        <v>0</v>
      </c>
      <c r="AB492">
        <f>'Revenue Model'!AJ13</f>
        <v>0.91999999999999971</v>
      </c>
      <c r="AC492">
        <f>'Revenue Model'!AK13</f>
        <v>0.49295774647887325</v>
      </c>
      <c r="AD492">
        <f>'Revenue Model'!AL13</f>
        <v>0.4933962264150944</v>
      </c>
      <c r="AE492">
        <f>'Revenue Model'!AM13</f>
        <v>0.18130132659507248</v>
      </c>
      <c r="AF492">
        <f>'Revenue Model'!AN13</f>
        <v>0.14972881016042772</v>
      </c>
      <c r="AG492">
        <f>'Revenue Model'!AO13</f>
        <v>0.1237181919730781</v>
      </c>
      <c r="AH492">
        <f>'Revenue Model'!AP13</f>
        <v>0.1020206900403402</v>
      </c>
      <c r="AI492">
        <f>'Revenue Model'!AQ13</f>
        <v>8.3876472421994031E-2</v>
      </c>
      <c r="AJ492">
        <f>'Revenue Model'!AR13</f>
        <v>6.9647074275087428E-2</v>
      </c>
      <c r="AK492">
        <f>'Revenue Model'!AS13</f>
        <v>5.8600980038261419E-2</v>
      </c>
      <c r="AL492">
        <f>'Revenue Model'!AT13</f>
        <v>4.9821304749338768E-2</v>
      </c>
      <c r="AM492">
        <f>'Revenue Model'!AU13</f>
        <v>4.7456938170286733E-2</v>
      </c>
    </row>
    <row r="493" spans="1:41">
      <c r="A493" t="str">
        <f>'Revenue Model'!I14</f>
        <v>Q/Q % Growth</v>
      </c>
      <c r="B493">
        <f>'Revenue Model'!J14</f>
        <v>0</v>
      </c>
      <c r="C493">
        <f>'Revenue Model'!K14</f>
        <v>1.337553750597229</v>
      </c>
      <c r="D493">
        <f>'Revenue Model'!L14</f>
        <v>0.33511877037727067</v>
      </c>
      <c r="E493">
        <f>'Revenue Model'!M14</f>
        <v>0.32655423280423279</v>
      </c>
      <c r="F493">
        <f>'Revenue Model'!N14</f>
        <v>0.24394366197183093</v>
      </c>
      <c r="G493">
        <f>'Revenue Model'!O14</f>
        <v>0.23913043478260865</v>
      </c>
      <c r="H493">
        <f>'Revenue Model'!P14</f>
        <v>0.10526315789473695</v>
      </c>
      <c r="I493">
        <f>'Revenue Model'!Q14</f>
        <v>0.12698412698412698</v>
      </c>
      <c r="J493">
        <f>'Revenue Model'!R14</f>
        <v>0.14084507042253525</v>
      </c>
      <c r="K493">
        <f>'Revenue Model'!S14</f>
        <v>7.4074074074074181E-2</v>
      </c>
      <c r="L493">
        <f>'Revenue Model'!T14</f>
        <v>8.8505747126436773E-2</v>
      </c>
      <c r="M493">
        <f>'Revenue Model'!U14</f>
        <v>0.11932418162618785</v>
      </c>
      <c r="N493">
        <f>'Revenue Model'!V14</f>
        <v>0.15094339622641506</v>
      </c>
      <c r="O493">
        <f>'Revenue Model'!W14</f>
        <v>0.17213114754098369</v>
      </c>
      <c r="P493">
        <f>'Revenue Model'!X14</f>
        <v>6.9930069930070005E-2</v>
      </c>
      <c r="Q493">
        <f>'Revenue Model'!Y14</f>
        <v>3.4640522875817092E-2</v>
      </c>
      <c r="R493">
        <f>'Revenue Model'!Z14</f>
        <v>4.864181933038525E-2</v>
      </c>
      <c r="S493">
        <f>'Revenue Model'!AA14</f>
        <v>4.8192771084337283E-2</v>
      </c>
      <c r="T493">
        <f>'Revenue Model'!AB14</f>
        <v>2.2988505747126409E-2</v>
      </c>
      <c r="U493">
        <f>'Revenue Model'!AC14</f>
        <v>5.0561797752809001E-2</v>
      </c>
      <c r="V493">
        <f>'Revenue Model'!AD14</f>
        <v>3.700534759358276E-2</v>
      </c>
      <c r="W493">
        <f>'Revenue Model'!AE14</f>
        <v>3.8062087458745841E-2</v>
      </c>
      <c r="X493">
        <f>'Revenue Model'!AF14</f>
        <v>3.2467548596380347E-2</v>
      </c>
      <c r="Y493">
        <f>'Revenue Model'!AG14</f>
        <v>3.4462324396431487E-2</v>
      </c>
      <c r="Z493">
        <f>'Revenue Model'!AH14</f>
        <v>0</v>
      </c>
      <c r="AA493">
        <f>'Revenue Model'!AI14</f>
        <v>0</v>
      </c>
      <c r="AB493">
        <f>'Revenue Model'!AJ14</f>
        <v>0</v>
      </c>
      <c r="AC493">
        <f>'Revenue Model'!AK14</f>
        <v>0</v>
      </c>
      <c r="AD493">
        <f>'Revenue Model'!AL14</f>
        <v>0</v>
      </c>
      <c r="AE493">
        <f>'Revenue Model'!AM14</f>
        <v>0</v>
      </c>
      <c r="AF493">
        <f>'Revenue Model'!AN14</f>
        <v>0</v>
      </c>
      <c r="AG493">
        <f>'Revenue Model'!AO14</f>
        <v>0</v>
      </c>
      <c r="AH493">
        <f>'Revenue Model'!AP14</f>
        <v>0</v>
      </c>
      <c r="AI493">
        <f>'Revenue Model'!AQ14</f>
        <v>0</v>
      </c>
      <c r="AJ493">
        <f>'Revenue Model'!AR14</f>
        <v>0</v>
      </c>
      <c r="AK493">
        <f>'Revenue Model'!AS14</f>
        <v>0</v>
      </c>
      <c r="AL493">
        <f>'Revenue Model'!AT14</f>
        <v>0</v>
      </c>
      <c r="AM493">
        <f>'Revenue Model'!AU14</f>
        <v>0</v>
      </c>
    </row>
    <row r="494" spans="1:41">
      <c r="A494">
        <f>'Revenue Model'!I15</f>
        <v>0</v>
      </c>
      <c r="B494">
        <f>'Revenue Model'!J15</f>
        <v>0</v>
      </c>
      <c r="C494">
        <f>'Revenue Model'!K15</f>
        <v>0</v>
      </c>
      <c r="D494">
        <f>'Revenue Model'!L15</f>
        <v>0</v>
      </c>
      <c r="E494">
        <f>'Revenue Model'!M15</f>
        <v>0</v>
      </c>
      <c r="F494">
        <f>'Revenue Model'!N15</f>
        <v>0</v>
      </c>
      <c r="G494">
        <f>'Revenue Model'!O15</f>
        <v>0</v>
      </c>
      <c r="H494">
        <f>'Revenue Model'!P15</f>
        <v>0</v>
      </c>
      <c r="I494">
        <f>'Revenue Model'!Q15</f>
        <v>0</v>
      </c>
      <c r="J494">
        <f>'Revenue Model'!R15</f>
        <v>0</v>
      </c>
      <c r="K494">
        <f>'Revenue Model'!S15</f>
        <v>0</v>
      </c>
      <c r="L494">
        <f>'Revenue Model'!T15</f>
        <v>0</v>
      </c>
      <c r="M494">
        <f>'Revenue Model'!U15</f>
        <v>0</v>
      </c>
      <c r="N494">
        <f>'Revenue Model'!V15</f>
        <v>0</v>
      </c>
      <c r="O494">
        <f>'Revenue Model'!W15</f>
        <v>0</v>
      </c>
      <c r="P494">
        <f>'Revenue Model'!X15</f>
        <v>0</v>
      </c>
      <c r="Q494">
        <f>'Revenue Model'!Y15</f>
        <v>0</v>
      </c>
      <c r="R494">
        <f>'Revenue Model'!Z15</f>
        <v>0</v>
      </c>
      <c r="S494">
        <f>'Revenue Model'!AA15</f>
        <v>0</v>
      </c>
      <c r="T494">
        <f>'Revenue Model'!AB15</f>
        <v>0</v>
      </c>
      <c r="U494">
        <f>'Revenue Model'!AC15</f>
        <v>0</v>
      </c>
      <c r="V494">
        <f>'Revenue Model'!AD15</f>
        <v>0</v>
      </c>
      <c r="W494">
        <f>'Revenue Model'!AE15</f>
        <v>0</v>
      </c>
      <c r="X494">
        <f>'Revenue Model'!AF15</f>
        <v>0</v>
      </c>
      <c r="Y494">
        <f>'Revenue Model'!AG15</f>
        <v>0</v>
      </c>
      <c r="Z494">
        <f>'Revenue Model'!AH15</f>
        <v>0</v>
      </c>
      <c r="AA494">
        <f>'Revenue Model'!AI15</f>
        <v>0</v>
      </c>
      <c r="AB494">
        <f>'Revenue Model'!AJ15</f>
        <v>0</v>
      </c>
      <c r="AC494">
        <f>'Revenue Model'!AK15</f>
        <v>0</v>
      </c>
      <c r="AD494">
        <f>'Revenue Model'!AL15</f>
        <v>0</v>
      </c>
      <c r="AE494">
        <f>'Revenue Model'!AM15</f>
        <v>0</v>
      </c>
      <c r="AF494">
        <f>'Revenue Model'!AN15</f>
        <v>0</v>
      </c>
      <c r="AG494">
        <f>'Revenue Model'!AO15</f>
        <v>0</v>
      </c>
      <c r="AH494">
        <f>'Revenue Model'!AP15</f>
        <v>0</v>
      </c>
      <c r="AI494">
        <f>'Revenue Model'!AQ15</f>
        <v>0</v>
      </c>
      <c r="AJ494">
        <f>'Revenue Model'!AR15</f>
        <v>0</v>
      </c>
      <c r="AK494">
        <f>'Revenue Model'!AS15</f>
        <v>0</v>
      </c>
      <c r="AL494">
        <f>'Revenue Model'!AT15</f>
        <v>0</v>
      </c>
      <c r="AM494">
        <f>'Revenue Model'!AU15</f>
        <v>0</v>
      </c>
    </row>
    <row r="495" spans="1:41">
      <c r="A495" t="str">
        <f>'Revenue Model'!I16</f>
        <v>ARPU</v>
      </c>
      <c r="B495">
        <f>'Revenue Model'!J16</f>
        <v>0</v>
      </c>
      <c r="C495">
        <f>'Revenue Model'!K16</f>
        <v>0</v>
      </c>
      <c r="D495">
        <f>'Revenue Model'!L16</f>
        <v>0</v>
      </c>
      <c r="E495">
        <f>'Revenue Model'!M16</f>
        <v>0</v>
      </c>
      <c r="F495">
        <f>'Revenue Model'!N16</f>
        <v>0</v>
      </c>
      <c r="G495">
        <f>'Revenue Model'!O16</f>
        <v>0</v>
      </c>
      <c r="H495">
        <f>'Revenue Model'!P16</f>
        <v>0</v>
      </c>
      <c r="I495">
        <f>'Revenue Model'!Q16</f>
        <v>0</v>
      </c>
      <c r="J495">
        <f>'Revenue Model'!R16</f>
        <v>4.8395061728395063E-2</v>
      </c>
      <c r="K495">
        <f>'Revenue Model'!S16</f>
        <v>6.0919540229885057E-2</v>
      </c>
      <c r="L495">
        <f>'Revenue Model'!T16</f>
        <v>0.17661034846884902</v>
      </c>
      <c r="M495">
        <f>'Revenue Model'!U16</f>
        <v>0.30866037735849061</v>
      </c>
      <c r="N495">
        <f>'Revenue Model'!V16</f>
        <v>0.31801639344262295</v>
      </c>
      <c r="O495">
        <f>'Revenue Model'!W16</f>
        <v>0.50208391608391612</v>
      </c>
      <c r="P495">
        <f>'Revenue Model'!X16</f>
        <v>0.83793464052287592</v>
      </c>
      <c r="Q495">
        <f>'Revenue Model'!Y16</f>
        <v>1.0466329753632342</v>
      </c>
      <c r="R495">
        <f>'Revenue Model'!Z16</f>
        <v>0.90149397590361446</v>
      </c>
      <c r="S495">
        <f>'Revenue Model'!AA16</f>
        <v>1.0440862068965517</v>
      </c>
      <c r="T495">
        <f>'Revenue Model'!AB16</f>
        <v>1.168185393258427</v>
      </c>
      <c r="U495">
        <f>'Revenue Model'!AC16</f>
        <v>1.5277700534759358</v>
      </c>
      <c r="V495">
        <f>'Revenue Model'!AD16</f>
        <v>1.2840346534653466</v>
      </c>
      <c r="W495">
        <f>'Revenue Model'!AE16</f>
        <v>1.4654671362785083</v>
      </c>
      <c r="X495">
        <f>'Revenue Model'!AF16</f>
        <v>1.6407107982587297</v>
      </c>
      <c r="Y495">
        <f>'Revenue Model'!AG16</f>
        <v>1.9907042715199696</v>
      </c>
      <c r="Z495">
        <f>'Revenue Model'!AH16</f>
        <v>0</v>
      </c>
      <c r="AA495">
        <f>'Revenue Model'!AI16</f>
        <v>0</v>
      </c>
      <c r="AB495">
        <f>'Revenue Model'!AJ16</f>
        <v>0</v>
      </c>
      <c r="AC495">
        <f>'Revenue Model'!AK16</f>
        <v>0.55342452830188682</v>
      </c>
      <c r="AD495">
        <f>'Revenue Model'!AL16</f>
        <v>2.5551610865445351</v>
      </c>
      <c r="AE495">
        <f>'Revenue Model'!AM16</f>
        <v>4.4114919786096252</v>
      </c>
      <c r="AF495">
        <f>'Revenue Model'!AN16</f>
        <v>6.106996982490001</v>
      </c>
      <c r="AG495">
        <f>'Revenue Model'!AO16</f>
        <v>8.1513912121772876</v>
      </c>
      <c r="AH495">
        <f>'Revenue Model'!AP16</f>
        <v>10.534886880075762</v>
      </c>
      <c r="AI495">
        <f>'Revenue Model'!AQ16</f>
        <v>13.212788984929327</v>
      </c>
      <c r="AJ495">
        <f>'Revenue Model'!AR16</f>
        <v>16.08139698913671</v>
      </c>
      <c r="AK495">
        <f>'Revenue Model'!AS16</f>
        <v>18.862332959705327</v>
      </c>
      <c r="AL495">
        <f>'Revenue Model'!AT16</f>
        <v>21.442840035815113</v>
      </c>
      <c r="AM495">
        <f>'Revenue Model'!AU16</f>
        <v>23.782399977584138</v>
      </c>
    </row>
    <row r="496" spans="1:41">
      <c r="A496" t="str">
        <f>'Revenue Model'!I17</f>
        <v>Y/Y % Growth</v>
      </c>
      <c r="B496">
        <f>'Revenue Model'!J17</f>
        <v>0</v>
      </c>
      <c r="C496">
        <f>'Revenue Model'!K17</f>
        <v>0</v>
      </c>
      <c r="D496">
        <f>'Revenue Model'!L17</f>
        <v>0</v>
      </c>
      <c r="E496">
        <f>'Revenue Model'!M17</f>
        <v>0</v>
      </c>
      <c r="F496">
        <f>'Revenue Model'!N17</f>
        <v>0</v>
      </c>
      <c r="G496">
        <f>'Revenue Model'!O17</f>
        <v>0</v>
      </c>
      <c r="H496">
        <f>'Revenue Model'!P17</f>
        <v>0</v>
      </c>
      <c r="I496">
        <f>'Revenue Model'!Q17</f>
        <v>0</v>
      </c>
      <c r="J496">
        <f>'Revenue Model'!R17</f>
        <v>0</v>
      </c>
      <c r="K496">
        <f>'Revenue Model'!S17</f>
        <v>0</v>
      </c>
      <c r="L496">
        <f>'Revenue Model'!T17</f>
        <v>0</v>
      </c>
      <c r="M496">
        <f>'Revenue Model'!U17</f>
        <v>0</v>
      </c>
      <c r="N496">
        <f>'Revenue Model'!V17</f>
        <v>5.5712571094011372</v>
      </c>
      <c r="O496">
        <f>'Revenue Model'!W17</f>
        <v>7.2417548489246606</v>
      </c>
      <c r="P496">
        <f>'Revenue Model'!X17</f>
        <v>3.7445387418544893</v>
      </c>
      <c r="Q496">
        <f>'Revenue Model'!Y17</f>
        <v>2.3908886664375211</v>
      </c>
      <c r="R496">
        <f>'Revenue Model'!Z17</f>
        <v>1.8347405809639921</v>
      </c>
      <c r="S496">
        <f>'Revenue Model'!AA17</f>
        <v>1.0795053843589919</v>
      </c>
      <c r="T496">
        <f>'Revenue Model'!AB17</f>
        <v>0.39412471661211268</v>
      </c>
      <c r="U496">
        <f>'Revenue Model'!AC17</f>
        <v>0.45969990382323167</v>
      </c>
      <c r="V496">
        <f>'Revenue Model'!AD17</f>
        <v>0.42434080291916731</v>
      </c>
      <c r="W496">
        <f>'Revenue Model'!AE17</f>
        <v>0.40358825411023469</v>
      </c>
      <c r="X496">
        <f>'Revenue Model'!AF17</f>
        <v>0.40449521773447672</v>
      </c>
      <c r="Y496">
        <f>'Revenue Model'!AG17</f>
        <v>0.30301302017982357</v>
      </c>
      <c r="Z496">
        <f>'Revenue Model'!AH17</f>
        <v>0</v>
      </c>
      <c r="AA496">
        <f>'Revenue Model'!AI17</f>
        <v>0</v>
      </c>
      <c r="AB496">
        <f>'Revenue Model'!AJ17</f>
        <v>0</v>
      </c>
      <c r="AC496">
        <f>'Revenue Model'!AK17</f>
        <v>0</v>
      </c>
      <c r="AD496">
        <f>'Revenue Model'!AL17</f>
        <v>3.6170000711474133</v>
      </c>
      <c r="AE496">
        <f>'Revenue Model'!AM17</f>
        <v>0.7265024901328212</v>
      </c>
      <c r="AF496">
        <f>'Revenue Model'!AN17</f>
        <v>0.38433822663659245</v>
      </c>
      <c r="AG496">
        <f>'Revenue Model'!AO17</f>
        <v>0.33476260681788106</v>
      </c>
      <c r="AH496">
        <f>'Revenue Model'!AP17</f>
        <v>0.29240354264162804</v>
      </c>
      <c r="AI496">
        <f>'Revenue Model'!AQ17</f>
        <v>0.25419372180618116</v>
      </c>
      <c r="AJ496">
        <f>'Revenue Model'!AR17</f>
        <v>0.2171084399727683</v>
      </c>
      <c r="AK496">
        <f>'Revenue Model'!AS17</f>
        <v>0.17292875565768284</v>
      </c>
      <c r="AL496">
        <f>'Revenue Model'!AT17</f>
        <v>0.13680741834121979</v>
      </c>
      <c r="AM496">
        <f>'Revenue Model'!AU17</f>
        <v>0.10910681317686244</v>
      </c>
    </row>
    <row r="497" spans="1:39">
      <c r="A497" t="str">
        <f>'Revenue Model'!I18</f>
        <v>Q/Q % Growth</v>
      </c>
      <c r="B497">
        <f>'Revenue Model'!J18</f>
        <v>0</v>
      </c>
      <c r="C497">
        <f>'Revenue Model'!K18</f>
        <v>0</v>
      </c>
      <c r="D497">
        <f>'Revenue Model'!L18</f>
        <v>0</v>
      </c>
      <c r="E497">
        <f>'Revenue Model'!M18</f>
        <v>0</v>
      </c>
      <c r="F497">
        <f>'Revenue Model'!N18</f>
        <v>0</v>
      </c>
      <c r="G497">
        <f>'Revenue Model'!O18</f>
        <v>0</v>
      </c>
      <c r="H497">
        <f>'Revenue Model'!P18</f>
        <v>0</v>
      </c>
      <c r="I497">
        <f>'Revenue Model'!Q18</f>
        <v>0</v>
      </c>
      <c r="J497">
        <f>'Revenue Model'!R18</f>
        <v>0</v>
      </c>
      <c r="K497">
        <f>'Revenue Model'!S18</f>
        <v>0.25879662209711474</v>
      </c>
      <c r="L497">
        <f>'Revenue Model'!T18</f>
        <v>1.8990755314697858</v>
      </c>
      <c r="M497">
        <f>'Revenue Model'!U18</f>
        <v>0.74769134444538454</v>
      </c>
      <c r="N497">
        <f>'Revenue Model'!V18</f>
        <v>3.0311684849869458E-2</v>
      </c>
      <c r="O497">
        <f>'Revenue Model'!W18</f>
        <v>0.5787988494829055</v>
      </c>
      <c r="P497">
        <f>'Revenue Model'!X18</f>
        <v>0.66891352955195482</v>
      </c>
      <c r="Q497">
        <f>'Revenue Model'!Y18</f>
        <v>0.24906278455098763</v>
      </c>
      <c r="R497">
        <f>'Revenue Model'!Z18</f>
        <v>-0.13867229762109223</v>
      </c>
      <c r="S497">
        <f>'Revenue Model'!AA18</f>
        <v>0.15817324885616646</v>
      </c>
      <c r="T497">
        <f>'Revenue Model'!AB18</f>
        <v>0.11885913782038027</v>
      </c>
      <c r="U497">
        <f>'Revenue Model'!AC18</f>
        <v>0.30781472041395497</v>
      </c>
      <c r="V497">
        <f>'Revenue Model'!AD18</f>
        <v>-0.15953670479143756</v>
      </c>
      <c r="W497">
        <f>'Revenue Model'!AE18</f>
        <v>0.14129874324147917</v>
      </c>
      <c r="X497">
        <f>'Revenue Model'!AF18</f>
        <v>0.11958211661112039</v>
      </c>
      <c r="Y497">
        <f>'Revenue Model'!AG18</f>
        <v>0.21331819942471553</v>
      </c>
      <c r="Z497">
        <f>'Revenue Model'!AH18</f>
        <v>0</v>
      </c>
      <c r="AA497">
        <f>'Revenue Model'!AI18</f>
        <v>0</v>
      </c>
      <c r="AB497">
        <f>'Revenue Model'!AJ18</f>
        <v>0</v>
      </c>
      <c r="AC497">
        <f>'Revenue Model'!AK18</f>
        <v>0</v>
      </c>
      <c r="AD497">
        <f>'Revenue Model'!AL18</f>
        <v>0</v>
      </c>
      <c r="AE497">
        <f>'Revenue Model'!AM18</f>
        <v>0</v>
      </c>
      <c r="AF497">
        <f>'Revenue Model'!AN18</f>
        <v>0</v>
      </c>
      <c r="AG497">
        <f>'Revenue Model'!AO18</f>
        <v>0</v>
      </c>
      <c r="AH497">
        <f>'Revenue Model'!AP18</f>
        <v>0</v>
      </c>
      <c r="AI497">
        <f>'Revenue Model'!AQ18</f>
        <v>0</v>
      </c>
      <c r="AJ497">
        <f>'Revenue Model'!AR18</f>
        <v>0</v>
      </c>
      <c r="AK497">
        <f>'Revenue Model'!AS18</f>
        <v>0</v>
      </c>
      <c r="AL497">
        <f>'Revenue Model'!AT18</f>
        <v>0</v>
      </c>
      <c r="AM497">
        <f>'Revenue Model'!AU18</f>
        <v>0</v>
      </c>
    </row>
    <row r="498" spans="1:39">
      <c r="A498" t="str">
        <f>'Revenue Model'!I19</f>
        <v>Q/Q Abs Growth</v>
      </c>
      <c r="B498">
        <f>'Revenue Model'!J19</f>
        <v>0</v>
      </c>
      <c r="C498">
        <f>'Revenue Model'!K19</f>
        <v>0</v>
      </c>
      <c r="D498">
        <f>'Revenue Model'!L19</f>
        <v>0</v>
      </c>
      <c r="E498">
        <f>'Revenue Model'!M19</f>
        <v>0</v>
      </c>
      <c r="F498">
        <f>'Revenue Model'!N19</f>
        <v>0</v>
      </c>
      <c r="G498">
        <f>'Revenue Model'!O19</f>
        <v>0</v>
      </c>
      <c r="H498">
        <f>'Revenue Model'!P19</f>
        <v>0</v>
      </c>
      <c r="I498">
        <f>'Revenue Model'!Q19</f>
        <v>0</v>
      </c>
      <c r="J498">
        <f>'Revenue Model'!R19</f>
        <v>0</v>
      </c>
      <c r="K498">
        <f>'Revenue Model'!S19</f>
        <v>1.2524478501489994E-2</v>
      </c>
      <c r="L498">
        <f>'Revenue Model'!T19</f>
        <v>0.11569080823896397</v>
      </c>
      <c r="M498">
        <f>'Revenue Model'!U19</f>
        <v>0.1320500288896416</v>
      </c>
      <c r="N498">
        <f>'Revenue Model'!V19</f>
        <v>9.3560160841323348E-3</v>
      </c>
      <c r="O498">
        <f>'Revenue Model'!W19</f>
        <v>0.18406752264129317</v>
      </c>
      <c r="P498">
        <f>'Revenue Model'!X19</f>
        <v>0.3358507244389598</v>
      </c>
      <c r="Q498">
        <f>'Revenue Model'!Y19</f>
        <v>0.20869833484035827</v>
      </c>
      <c r="R498">
        <f>'Revenue Model'!Z19</f>
        <v>-0.14513899945961972</v>
      </c>
      <c r="S498">
        <f>'Revenue Model'!AA19</f>
        <v>0.14259223099293727</v>
      </c>
      <c r="T498">
        <f>'Revenue Model'!AB19</f>
        <v>0.12409918636187522</v>
      </c>
      <c r="U498">
        <f>'Revenue Model'!AC19</f>
        <v>0.35958466021750879</v>
      </c>
      <c r="V498">
        <f>'Revenue Model'!AD19</f>
        <v>-0.24373540001058913</v>
      </c>
      <c r="W498">
        <f>'Revenue Model'!AE19</f>
        <v>0.18143248281316171</v>
      </c>
      <c r="X498">
        <f>'Revenue Model'!AF19</f>
        <v>0.17524366198022134</v>
      </c>
      <c r="Y498">
        <f>'Revenue Model'!AG19</f>
        <v>0.34999347326123997</v>
      </c>
      <c r="Z498">
        <f>'Revenue Model'!AH19</f>
        <v>0</v>
      </c>
      <c r="AA498">
        <f>'Revenue Model'!AI19</f>
        <v>0</v>
      </c>
      <c r="AB498">
        <f>'Revenue Model'!AJ19</f>
        <v>0</v>
      </c>
      <c r="AC498">
        <f>'Revenue Model'!AK19</f>
        <v>0</v>
      </c>
      <c r="AD498">
        <f>'Revenue Model'!AL19</f>
        <v>0</v>
      </c>
      <c r="AE498">
        <f>'Revenue Model'!AM19</f>
        <v>0</v>
      </c>
      <c r="AF498">
        <f>'Revenue Model'!AN19</f>
        <v>0</v>
      </c>
      <c r="AG498">
        <f>'Revenue Model'!AO19</f>
        <v>0</v>
      </c>
      <c r="AH498">
        <f>'Revenue Model'!AP19</f>
        <v>0</v>
      </c>
      <c r="AI498">
        <f>'Revenue Model'!AQ19</f>
        <v>0</v>
      </c>
      <c r="AJ498">
        <f>'Revenue Model'!AR19</f>
        <v>0</v>
      </c>
      <c r="AK498">
        <f>'Revenue Model'!AS19</f>
        <v>0</v>
      </c>
      <c r="AL498">
        <f>'Revenue Model'!AT19</f>
        <v>0</v>
      </c>
      <c r="AM498">
        <f>'Revenue Model'!AU19</f>
        <v>0</v>
      </c>
    </row>
    <row r="499" spans="1:39">
      <c r="A499">
        <f>'Revenue Model'!I20</f>
        <v>0</v>
      </c>
      <c r="B499">
        <f>'Revenue Model'!J20</f>
        <v>0</v>
      </c>
      <c r="C499">
        <f>'Revenue Model'!K20</f>
        <v>0</v>
      </c>
      <c r="D499">
        <f>'Revenue Model'!L20</f>
        <v>0</v>
      </c>
      <c r="E499">
        <f>'Revenue Model'!M20</f>
        <v>0</v>
      </c>
      <c r="F499">
        <f>'Revenue Model'!N20</f>
        <v>0</v>
      </c>
      <c r="G499">
        <f>'Revenue Model'!O20</f>
        <v>0</v>
      </c>
      <c r="H499">
        <f>'Revenue Model'!P20</f>
        <v>0</v>
      </c>
      <c r="I499">
        <f>'Revenue Model'!Q20</f>
        <v>0</v>
      </c>
      <c r="J499">
        <f>'Revenue Model'!R20</f>
        <v>0</v>
      </c>
      <c r="K499">
        <f>'Revenue Model'!S20</f>
        <v>0</v>
      </c>
      <c r="L499">
        <f>'Revenue Model'!T20</f>
        <v>0</v>
      </c>
      <c r="M499">
        <f>'Revenue Model'!U20</f>
        <v>0</v>
      </c>
      <c r="N499">
        <f>'Revenue Model'!V20</f>
        <v>0</v>
      </c>
      <c r="O499">
        <f>'Revenue Model'!W20</f>
        <v>0</v>
      </c>
      <c r="P499">
        <f>'Revenue Model'!X20</f>
        <v>0</v>
      </c>
      <c r="Q499">
        <f>'Revenue Model'!Y20</f>
        <v>0</v>
      </c>
      <c r="R499">
        <f>'Revenue Model'!Z20</f>
        <v>0</v>
      </c>
      <c r="S499">
        <f>'Revenue Model'!AA20</f>
        <v>0</v>
      </c>
      <c r="T499">
        <f>'Revenue Model'!AB20</f>
        <v>0</v>
      </c>
      <c r="U499">
        <f>'Revenue Model'!AC20</f>
        <v>0</v>
      </c>
      <c r="V499">
        <f>'Revenue Model'!AD20</f>
        <v>0</v>
      </c>
      <c r="W499">
        <f>'Revenue Model'!AE20</f>
        <v>0</v>
      </c>
      <c r="X499">
        <f>'Revenue Model'!AF20</f>
        <v>0</v>
      </c>
      <c r="Y499">
        <f>'Revenue Model'!AG20</f>
        <v>0</v>
      </c>
      <c r="Z499">
        <f>'Revenue Model'!AH20</f>
        <v>0</v>
      </c>
      <c r="AA499">
        <f>'Revenue Model'!AI20</f>
        <v>0</v>
      </c>
      <c r="AB499">
        <f>'Revenue Model'!AJ20</f>
        <v>0</v>
      </c>
      <c r="AC499">
        <f>'Revenue Model'!AK20</f>
        <v>0</v>
      </c>
      <c r="AD499">
        <f>'Revenue Model'!AL20</f>
        <v>0</v>
      </c>
      <c r="AE499">
        <f>'Revenue Model'!AM20</f>
        <v>0</v>
      </c>
      <c r="AF499">
        <f>'Revenue Model'!AN20</f>
        <v>0</v>
      </c>
      <c r="AG499">
        <f>'Revenue Model'!AO20</f>
        <v>0</v>
      </c>
      <c r="AH499">
        <f>'Revenue Model'!AP20</f>
        <v>0</v>
      </c>
      <c r="AI499">
        <f>'Revenue Model'!AQ20</f>
        <v>0</v>
      </c>
      <c r="AJ499">
        <f>'Revenue Model'!AR20</f>
        <v>0</v>
      </c>
      <c r="AK499">
        <f>'Revenue Model'!AS20</f>
        <v>0</v>
      </c>
      <c r="AL499">
        <f>'Revenue Model'!AT20</f>
        <v>0</v>
      </c>
      <c r="AM499">
        <f>'Revenue Model'!AU20</f>
        <v>0</v>
      </c>
    </row>
    <row r="500" spans="1:39">
      <c r="A500" t="str">
        <f>'Revenue Model'!I21</f>
        <v>Revenue Breakdown</v>
      </c>
      <c r="B500">
        <f>'Revenue Model'!J21</f>
        <v>0</v>
      </c>
      <c r="C500">
        <f>'Revenue Model'!K21</f>
        <v>0</v>
      </c>
      <c r="D500">
        <f>'Revenue Model'!L21</f>
        <v>0</v>
      </c>
      <c r="E500">
        <f>'Revenue Model'!M21</f>
        <v>0</v>
      </c>
      <c r="F500">
        <f>'Revenue Model'!N21</f>
        <v>0</v>
      </c>
      <c r="G500">
        <f>'Revenue Model'!O21</f>
        <v>0</v>
      </c>
      <c r="H500">
        <f>'Revenue Model'!P21</f>
        <v>0</v>
      </c>
      <c r="I500">
        <f>'Revenue Model'!Q21</f>
        <v>0</v>
      </c>
      <c r="J500">
        <f>'Revenue Model'!R21</f>
        <v>0</v>
      </c>
      <c r="K500">
        <f>'Revenue Model'!S21</f>
        <v>0</v>
      </c>
      <c r="L500">
        <f>'Revenue Model'!T21</f>
        <v>0</v>
      </c>
      <c r="M500">
        <f>'Revenue Model'!U21</f>
        <v>0</v>
      </c>
      <c r="N500">
        <f>'Revenue Model'!V21</f>
        <v>0</v>
      </c>
      <c r="O500">
        <f>'Revenue Model'!W21</f>
        <v>0</v>
      </c>
      <c r="P500">
        <f>'Revenue Model'!X21</f>
        <v>0</v>
      </c>
      <c r="Q500">
        <f>'Revenue Model'!Y21</f>
        <v>0</v>
      </c>
      <c r="R500">
        <f>'Revenue Model'!Z21</f>
        <v>0</v>
      </c>
      <c r="S500">
        <f>'Revenue Model'!AA21</f>
        <v>0</v>
      </c>
      <c r="T500">
        <f>'Revenue Model'!AB21</f>
        <v>0</v>
      </c>
      <c r="U500">
        <f>'Revenue Model'!AC21</f>
        <v>0</v>
      </c>
      <c r="V500">
        <f>'Revenue Model'!AD21</f>
        <v>0</v>
      </c>
      <c r="W500">
        <f>'Revenue Model'!AE21</f>
        <v>0</v>
      </c>
      <c r="X500">
        <f>'Revenue Model'!AF21</f>
        <v>0</v>
      </c>
      <c r="Y500">
        <f>'Revenue Model'!AG21</f>
        <v>0</v>
      </c>
      <c r="Z500">
        <f>'Revenue Model'!AH21</f>
        <v>0</v>
      </c>
      <c r="AA500">
        <f>'Revenue Model'!AI21</f>
        <v>0</v>
      </c>
      <c r="AB500">
        <f>'Revenue Model'!AJ21</f>
        <v>0</v>
      </c>
      <c r="AC500">
        <f>'Revenue Model'!AK21</f>
        <v>0</v>
      </c>
      <c r="AD500">
        <f>'Revenue Model'!AL21</f>
        <v>0</v>
      </c>
      <c r="AE500">
        <f>'Revenue Model'!AM21</f>
        <v>0</v>
      </c>
      <c r="AF500">
        <f>'Revenue Model'!AN21</f>
        <v>0</v>
      </c>
      <c r="AG500">
        <f>'Revenue Model'!AO21</f>
        <v>0</v>
      </c>
      <c r="AH500">
        <f>'Revenue Model'!AP21</f>
        <v>0</v>
      </c>
      <c r="AI500">
        <f>'Revenue Model'!AQ21</f>
        <v>0</v>
      </c>
      <c r="AJ500">
        <f>'Revenue Model'!AR21</f>
        <v>0</v>
      </c>
      <c r="AK500">
        <f>'Revenue Model'!AS21</f>
        <v>0</v>
      </c>
      <c r="AL500">
        <f>'Revenue Model'!AT21</f>
        <v>0</v>
      </c>
      <c r="AM500">
        <f>'Revenue Model'!AU21</f>
        <v>0</v>
      </c>
    </row>
    <row r="501" spans="1:39">
      <c r="A501" t="str">
        <f>'Revenue Model'!I22</f>
        <v>Hardware Units Sold (000's)</v>
      </c>
      <c r="B501">
        <f>'Revenue Model'!J22</f>
        <v>0</v>
      </c>
      <c r="C501">
        <f>'Revenue Model'!K22</f>
        <v>0</v>
      </c>
      <c r="D501">
        <f>'Revenue Model'!L22</f>
        <v>0</v>
      </c>
      <c r="E501">
        <f>'Revenue Model'!M22</f>
        <v>0</v>
      </c>
      <c r="F501">
        <f>'Revenue Model'!N22</f>
        <v>0</v>
      </c>
      <c r="G501">
        <f>'Revenue Model'!O22</f>
        <v>0</v>
      </c>
      <c r="H501">
        <f>'Revenue Model'!P22</f>
        <v>0</v>
      </c>
      <c r="I501">
        <f>'Revenue Model'!Q22</f>
        <v>0</v>
      </c>
      <c r="J501">
        <f>'Revenue Model'!R22</f>
        <v>0</v>
      </c>
      <c r="K501">
        <f>'Revenue Model'!S22</f>
        <v>0</v>
      </c>
      <c r="L501">
        <f>'Revenue Model'!T22</f>
        <v>0</v>
      </c>
      <c r="M501">
        <f>'Revenue Model'!U22</f>
        <v>0</v>
      </c>
      <c r="N501">
        <f>'Revenue Model'!V22</f>
        <v>0</v>
      </c>
      <c r="O501">
        <f>'Revenue Model'!W22</f>
        <v>0</v>
      </c>
      <c r="P501">
        <f>'Revenue Model'!X22</f>
        <v>0</v>
      </c>
      <c r="Q501">
        <f>'Revenue Model'!Y22</f>
        <v>35.246153846154073</v>
      </c>
      <c r="R501">
        <f>'Revenue Model'!Z22</f>
        <v>64.166988790104384</v>
      </c>
      <c r="S501">
        <f>'Revenue Model'!AA22</f>
        <v>41.956982438283418</v>
      </c>
      <c r="T501">
        <f>'Revenue Model'!AB22</f>
        <v>28.111881030675658</v>
      </c>
      <c r="U501">
        <f>'Revenue Model'!AC22</f>
        <v>37</v>
      </c>
      <c r="V501">
        <f>'Revenue Model'!AD22</f>
        <v>20</v>
      </c>
      <c r="W501">
        <f>'Revenue Model'!AE22</f>
        <v>38.142711307530377</v>
      </c>
      <c r="X501">
        <f>'Revenue Model'!AF22</f>
        <v>25.556255482432416</v>
      </c>
      <c r="Y501">
        <f>'Revenue Model'!AG22</f>
        <v>33.636363636363633</v>
      </c>
      <c r="Z501">
        <f>'Revenue Model'!AH22</f>
        <v>0</v>
      </c>
      <c r="AA501">
        <f>'Revenue Model'!AI22</f>
        <v>0</v>
      </c>
      <c r="AB501">
        <f>'Revenue Model'!AJ22</f>
        <v>0</v>
      </c>
      <c r="AC501">
        <f>'Revenue Model'!AK22</f>
        <v>0</v>
      </c>
      <c r="AD501">
        <f>'Revenue Model'!AL22</f>
        <v>35.246153846154073</v>
      </c>
      <c r="AE501">
        <f>'Revenue Model'!AM22</f>
        <v>171.23585225906345</v>
      </c>
      <c r="AF501">
        <f>'Revenue Model'!AN22</f>
        <v>117.33533042632644</v>
      </c>
      <c r="AG501">
        <f>'Revenue Model'!AO22</f>
        <v>58.044756410315721</v>
      </c>
      <c r="AH501">
        <f>'Revenue Model'!AP22</f>
        <v>58.044756410315721</v>
      </c>
      <c r="AI501">
        <f>'Revenue Model'!AQ22</f>
        <v>58.044756410315721</v>
      </c>
      <c r="AJ501">
        <f>'Revenue Model'!AR22</f>
        <v>58.044756410315721</v>
      </c>
      <c r="AK501">
        <f>'Revenue Model'!AS22</f>
        <v>58.044756410315721</v>
      </c>
      <c r="AL501">
        <f>'Revenue Model'!AT22</f>
        <v>58.044756410315721</v>
      </c>
      <c r="AM501">
        <f>'Revenue Model'!AU22</f>
        <v>58.044756410315721</v>
      </c>
    </row>
    <row r="502" spans="1:39">
      <c r="A502" t="str">
        <f>'Revenue Model'!I23</f>
        <v>Y/Y % Growth</v>
      </c>
      <c r="B502">
        <f>'Revenue Model'!J23</f>
        <v>0</v>
      </c>
      <c r="C502">
        <f>'Revenue Model'!K23</f>
        <v>0</v>
      </c>
      <c r="D502">
        <f>'Revenue Model'!L23</f>
        <v>0</v>
      </c>
      <c r="E502">
        <f>'Revenue Model'!M23</f>
        <v>0</v>
      </c>
      <c r="F502">
        <f>'Revenue Model'!N23</f>
        <v>0</v>
      </c>
      <c r="G502">
        <f>'Revenue Model'!O23</f>
        <v>0</v>
      </c>
      <c r="H502">
        <f>'Revenue Model'!P23</f>
        <v>0</v>
      </c>
      <c r="I502">
        <f>'Revenue Model'!Q23</f>
        <v>0</v>
      </c>
      <c r="J502">
        <f>'Revenue Model'!R23</f>
        <v>0</v>
      </c>
      <c r="K502">
        <f>'Revenue Model'!S23</f>
        <v>0</v>
      </c>
      <c r="L502">
        <f>'Revenue Model'!T23</f>
        <v>0</v>
      </c>
      <c r="M502">
        <f>'Revenue Model'!U23</f>
        <v>0</v>
      </c>
      <c r="N502">
        <f>'Revenue Model'!V23</f>
        <v>0</v>
      </c>
      <c r="O502">
        <f>'Revenue Model'!W23</f>
        <v>0</v>
      </c>
      <c r="P502">
        <f>'Revenue Model'!X23</f>
        <v>0</v>
      </c>
      <c r="Q502">
        <f>'Revenue Model'!Y23</f>
        <v>0</v>
      </c>
      <c r="R502">
        <f>'Revenue Model'!Z23</f>
        <v>0</v>
      </c>
      <c r="S502">
        <f>'Revenue Model'!AA23</f>
        <v>0</v>
      </c>
      <c r="T502">
        <f>'Revenue Model'!AB23</f>
        <v>0</v>
      </c>
      <c r="U502">
        <f>'Revenue Model'!AC23</f>
        <v>4.9759930161494825E-2</v>
      </c>
      <c r="V502">
        <f>'Revenue Model'!AD23</f>
        <v>-0.68831325301204827</v>
      </c>
      <c r="W502">
        <f>'Revenue Model'!AE23</f>
        <v>-9.090909090909105E-2</v>
      </c>
      <c r="X502">
        <f>'Revenue Model'!AF23</f>
        <v>-9.0909090909090939E-2</v>
      </c>
      <c r="Y502">
        <f>'Revenue Model'!AG23</f>
        <v>-9.090909090909105E-2</v>
      </c>
      <c r="Z502">
        <f>'Revenue Model'!AH23</f>
        <v>0</v>
      </c>
      <c r="AA502">
        <f>'Revenue Model'!AI23</f>
        <v>0</v>
      </c>
      <c r="AB502">
        <f>'Revenue Model'!AJ23</f>
        <v>0</v>
      </c>
      <c r="AC502">
        <f>'Revenue Model'!AK23</f>
        <v>0</v>
      </c>
      <c r="AD502">
        <f>'Revenue Model'!AL23</f>
        <v>0</v>
      </c>
      <c r="AE502">
        <f>'Revenue Model'!AM23</f>
        <v>3.8582847650977969</v>
      </c>
      <c r="AF502">
        <f>'Revenue Model'!AN23</f>
        <v>-0.31477357762199643</v>
      </c>
      <c r="AG502">
        <f>'Revenue Model'!AO23</f>
        <v>-0.50530879148321506</v>
      </c>
      <c r="AH502">
        <f>'Revenue Model'!AP23</f>
        <v>0</v>
      </c>
      <c r="AI502">
        <f>'Revenue Model'!AQ23</f>
        <v>0</v>
      </c>
      <c r="AJ502">
        <f>'Revenue Model'!AR23</f>
        <v>0</v>
      </c>
      <c r="AK502">
        <f>'Revenue Model'!AS23</f>
        <v>0</v>
      </c>
      <c r="AL502">
        <f>'Revenue Model'!AT23</f>
        <v>0</v>
      </c>
      <c r="AM502">
        <f>'Revenue Model'!AU23</f>
        <v>0</v>
      </c>
    </row>
    <row r="503" spans="1:39">
      <c r="A503" t="str">
        <f>'Revenue Model'!I24</f>
        <v>Y/Y Abs Growth</v>
      </c>
      <c r="B503">
        <f>'Revenue Model'!J24</f>
        <v>0</v>
      </c>
      <c r="C503">
        <f>'Revenue Model'!K24</f>
        <v>0</v>
      </c>
      <c r="D503">
        <f>'Revenue Model'!L24</f>
        <v>0</v>
      </c>
      <c r="E503">
        <f>'Revenue Model'!M24</f>
        <v>0</v>
      </c>
      <c r="F503">
        <f>'Revenue Model'!N24</f>
        <v>0</v>
      </c>
      <c r="G503">
        <f>'Revenue Model'!O24</f>
        <v>0</v>
      </c>
      <c r="H503">
        <f>'Revenue Model'!P24</f>
        <v>0</v>
      </c>
      <c r="I503">
        <f>'Revenue Model'!Q24</f>
        <v>0</v>
      </c>
      <c r="J503">
        <f>'Revenue Model'!R24</f>
        <v>0</v>
      </c>
      <c r="K503">
        <f>'Revenue Model'!S24</f>
        <v>0</v>
      </c>
      <c r="L503">
        <f>'Revenue Model'!T24</f>
        <v>0</v>
      </c>
      <c r="M503">
        <f>'Revenue Model'!U24</f>
        <v>0</v>
      </c>
      <c r="N503">
        <f>'Revenue Model'!V24</f>
        <v>0</v>
      </c>
      <c r="O503">
        <f>'Revenue Model'!W24</f>
        <v>0</v>
      </c>
      <c r="P503">
        <f>'Revenue Model'!X24</f>
        <v>0</v>
      </c>
      <c r="Q503">
        <f>'Revenue Model'!Y24</f>
        <v>0</v>
      </c>
      <c r="R503">
        <f>'Revenue Model'!Z24</f>
        <v>0</v>
      </c>
      <c r="S503">
        <f>'Revenue Model'!AA24</f>
        <v>0</v>
      </c>
      <c r="T503">
        <f>'Revenue Model'!AB24</f>
        <v>0</v>
      </c>
      <c r="U503">
        <f>'Revenue Model'!AC24</f>
        <v>1.7538461538459273</v>
      </c>
      <c r="V503">
        <f>'Revenue Model'!AD24</f>
        <v>-44.166988790104384</v>
      </c>
      <c r="W503">
        <f>'Revenue Model'!AE24</f>
        <v>-3.8142711307530419</v>
      </c>
      <c r="X503">
        <f>'Revenue Model'!AF24</f>
        <v>-2.555625548243242</v>
      </c>
      <c r="Y503">
        <f>'Revenue Model'!AG24</f>
        <v>-3.3636363636363669</v>
      </c>
      <c r="Z503">
        <f>'Revenue Model'!AH24</f>
        <v>0</v>
      </c>
      <c r="AA503">
        <f>'Revenue Model'!AI24</f>
        <v>0</v>
      </c>
      <c r="AB503">
        <f>'Revenue Model'!AJ24</f>
        <v>0</v>
      </c>
      <c r="AC503">
        <f>'Revenue Model'!AK24</f>
        <v>0</v>
      </c>
      <c r="AD503">
        <f>'Revenue Model'!AL24</f>
        <v>0</v>
      </c>
      <c r="AE503">
        <f>'Revenue Model'!AM24</f>
        <v>135.98969841290938</v>
      </c>
      <c r="AF503">
        <f>'Revenue Model'!AN24</f>
        <v>-53.900521832737013</v>
      </c>
      <c r="AG503">
        <f>'Revenue Model'!AO24</f>
        <v>-59.290574016010716</v>
      </c>
      <c r="AH503">
        <f>'Revenue Model'!AP24</f>
        <v>0</v>
      </c>
      <c r="AI503">
        <f>'Revenue Model'!AQ24</f>
        <v>0</v>
      </c>
      <c r="AJ503">
        <f>'Revenue Model'!AR24</f>
        <v>0</v>
      </c>
      <c r="AK503">
        <f>'Revenue Model'!AS24</f>
        <v>0</v>
      </c>
      <c r="AL503">
        <f>'Revenue Model'!AT24</f>
        <v>0</v>
      </c>
      <c r="AM503">
        <f>'Revenue Model'!AU24</f>
        <v>0</v>
      </c>
    </row>
    <row r="504" spans="1:39">
      <c r="A504" t="str">
        <f>'Revenue Model'!I25</f>
        <v>Q/Q % Growth</v>
      </c>
      <c r="B504">
        <f>'Revenue Model'!J25</f>
        <v>0</v>
      </c>
      <c r="C504">
        <f>'Revenue Model'!K25</f>
        <v>0</v>
      </c>
      <c r="D504">
        <f>'Revenue Model'!L25</f>
        <v>0</v>
      </c>
      <c r="E504">
        <f>'Revenue Model'!M25</f>
        <v>0</v>
      </c>
      <c r="F504">
        <f>'Revenue Model'!N25</f>
        <v>0</v>
      </c>
      <c r="G504">
        <f>'Revenue Model'!O25</f>
        <v>0</v>
      </c>
      <c r="H504">
        <f>'Revenue Model'!P25</f>
        <v>0</v>
      </c>
      <c r="I504">
        <f>'Revenue Model'!Q25</f>
        <v>0</v>
      </c>
      <c r="J504">
        <f>'Revenue Model'!R25</f>
        <v>0</v>
      </c>
      <c r="K504">
        <f>'Revenue Model'!S25</f>
        <v>0</v>
      </c>
      <c r="L504">
        <f>'Revenue Model'!T25</f>
        <v>0</v>
      </c>
      <c r="M504">
        <f>'Revenue Model'!U25</f>
        <v>0</v>
      </c>
      <c r="N504">
        <f>'Revenue Model'!V25</f>
        <v>0</v>
      </c>
      <c r="O504">
        <f>'Revenue Model'!W25</f>
        <v>0</v>
      </c>
      <c r="P504">
        <f>'Revenue Model'!X25</f>
        <v>0</v>
      </c>
      <c r="Q504">
        <f>'Revenue Model'!Y25</f>
        <v>0</v>
      </c>
      <c r="R504">
        <f>'Revenue Model'!Z25</f>
        <v>0.82053874786414593</v>
      </c>
      <c r="S504">
        <f>'Revenue Model'!AA25</f>
        <v>-0.34612823151904115</v>
      </c>
      <c r="T504">
        <f>'Revenue Model'!AB25</f>
        <v>-0.32998324958123948</v>
      </c>
      <c r="U504">
        <f>'Revenue Model'!AC25</f>
        <v>0.31616948576388881</v>
      </c>
      <c r="V504">
        <f>'Revenue Model'!AD25</f>
        <v>-0.45945945945945943</v>
      </c>
      <c r="W504">
        <f>'Revenue Model'!AE25</f>
        <v>0.90713556537651874</v>
      </c>
      <c r="X504">
        <f>'Revenue Model'!AF25</f>
        <v>-0.32998324958123948</v>
      </c>
      <c r="Y504">
        <f>'Revenue Model'!AG25</f>
        <v>0.31616948576388859</v>
      </c>
      <c r="Z504">
        <f>'Revenue Model'!AH25</f>
        <v>0</v>
      </c>
      <c r="AA504">
        <f>'Revenue Model'!AI25</f>
        <v>0</v>
      </c>
      <c r="AB504">
        <f>'Revenue Model'!AJ25</f>
        <v>0</v>
      </c>
      <c r="AC504">
        <f>'Revenue Model'!AK25</f>
        <v>0</v>
      </c>
      <c r="AD504">
        <f>'Revenue Model'!AL25</f>
        <v>0</v>
      </c>
      <c r="AE504">
        <f>'Revenue Model'!AM25</f>
        <v>0</v>
      </c>
      <c r="AF504">
        <f>'Revenue Model'!AN25</f>
        <v>0</v>
      </c>
      <c r="AG504">
        <f>'Revenue Model'!AO25</f>
        <v>0</v>
      </c>
      <c r="AH504">
        <f>'Revenue Model'!AP25</f>
        <v>0</v>
      </c>
      <c r="AI504">
        <f>'Revenue Model'!AQ25</f>
        <v>0</v>
      </c>
      <c r="AJ504">
        <f>'Revenue Model'!AR25</f>
        <v>0</v>
      </c>
      <c r="AK504">
        <f>'Revenue Model'!AS25</f>
        <v>0</v>
      </c>
      <c r="AL504">
        <f>'Revenue Model'!AT25</f>
        <v>0</v>
      </c>
      <c r="AM504">
        <f>'Revenue Model'!AU25</f>
        <v>0</v>
      </c>
    </row>
    <row r="505" spans="1:39">
      <c r="A505" t="str">
        <f>'Revenue Model'!I26</f>
        <v>Q/Q Abs Growth</v>
      </c>
      <c r="B505">
        <f>'Revenue Model'!J26</f>
        <v>0</v>
      </c>
      <c r="C505">
        <f>'Revenue Model'!K26</f>
        <v>0</v>
      </c>
      <c r="D505">
        <f>'Revenue Model'!L26</f>
        <v>0</v>
      </c>
      <c r="E505">
        <f>'Revenue Model'!M26</f>
        <v>0</v>
      </c>
      <c r="F505">
        <f>'Revenue Model'!N26</f>
        <v>0</v>
      </c>
      <c r="G505">
        <f>'Revenue Model'!O26</f>
        <v>0</v>
      </c>
      <c r="H505">
        <f>'Revenue Model'!P26</f>
        <v>0</v>
      </c>
      <c r="I505">
        <f>'Revenue Model'!Q26</f>
        <v>0</v>
      </c>
      <c r="J505">
        <f>'Revenue Model'!R26</f>
        <v>0</v>
      </c>
      <c r="K505">
        <f>'Revenue Model'!S26</f>
        <v>0</v>
      </c>
      <c r="L505">
        <f>'Revenue Model'!T26</f>
        <v>0</v>
      </c>
      <c r="M505">
        <f>'Revenue Model'!U26</f>
        <v>0</v>
      </c>
      <c r="N505">
        <f>'Revenue Model'!V26</f>
        <v>0</v>
      </c>
      <c r="O505">
        <f>'Revenue Model'!W26</f>
        <v>0</v>
      </c>
      <c r="P505">
        <f>'Revenue Model'!X26</f>
        <v>0</v>
      </c>
      <c r="Q505">
        <f>'Revenue Model'!Y26</f>
        <v>0</v>
      </c>
      <c r="R505">
        <f>'Revenue Model'!Z26</f>
        <v>28.920834943950311</v>
      </c>
      <c r="S505">
        <f>'Revenue Model'!AA26</f>
        <v>-22.210006351820965</v>
      </c>
      <c r="T505">
        <f>'Revenue Model'!AB26</f>
        <v>-13.845101407607761</v>
      </c>
      <c r="U505">
        <f>'Revenue Model'!AC26</f>
        <v>8.8881189693243421</v>
      </c>
      <c r="V505">
        <f>'Revenue Model'!AD26</f>
        <v>-17</v>
      </c>
      <c r="W505">
        <f>'Revenue Model'!AE26</f>
        <v>18.142711307530377</v>
      </c>
      <c r="X505">
        <f>'Revenue Model'!AF26</f>
        <v>-12.586455825097961</v>
      </c>
      <c r="Y505">
        <f>'Revenue Model'!AG26</f>
        <v>8.0801081539312172</v>
      </c>
      <c r="Z505">
        <f>'Revenue Model'!AH26</f>
        <v>0</v>
      </c>
      <c r="AA505">
        <f>'Revenue Model'!AI26</f>
        <v>0</v>
      </c>
      <c r="AB505">
        <f>'Revenue Model'!AJ26</f>
        <v>0</v>
      </c>
      <c r="AC505">
        <f>'Revenue Model'!AK26</f>
        <v>0</v>
      </c>
      <c r="AD505">
        <f>'Revenue Model'!AL26</f>
        <v>0</v>
      </c>
      <c r="AE505">
        <f>'Revenue Model'!AM26</f>
        <v>0</v>
      </c>
      <c r="AF505">
        <f>'Revenue Model'!AN26</f>
        <v>0</v>
      </c>
      <c r="AG505">
        <f>'Revenue Model'!AO26</f>
        <v>0</v>
      </c>
      <c r="AH505">
        <f>'Revenue Model'!AP26</f>
        <v>0</v>
      </c>
      <c r="AI505">
        <f>'Revenue Model'!AQ26</f>
        <v>0</v>
      </c>
      <c r="AJ505">
        <f>'Revenue Model'!AR26</f>
        <v>0</v>
      </c>
      <c r="AK505">
        <f>'Revenue Model'!AS26</f>
        <v>0</v>
      </c>
      <c r="AL505">
        <f>'Revenue Model'!AT26</f>
        <v>0</v>
      </c>
      <c r="AM505">
        <f>'Revenue Model'!AU26</f>
        <v>0</v>
      </c>
    </row>
    <row r="506" spans="1:39">
      <c r="A506">
        <f>'Revenue Model'!I27</f>
        <v>0</v>
      </c>
      <c r="B506">
        <f>'Revenue Model'!J27</f>
        <v>0</v>
      </c>
      <c r="C506">
        <f>'Revenue Model'!K27</f>
        <v>0</v>
      </c>
      <c r="D506">
        <f>'Revenue Model'!L27</f>
        <v>0</v>
      </c>
      <c r="E506">
        <f>'Revenue Model'!M27</f>
        <v>0</v>
      </c>
      <c r="F506">
        <f>'Revenue Model'!N27</f>
        <v>0</v>
      </c>
      <c r="G506">
        <f>'Revenue Model'!O27</f>
        <v>0</v>
      </c>
      <c r="H506">
        <f>'Revenue Model'!P27</f>
        <v>0</v>
      </c>
      <c r="I506">
        <f>'Revenue Model'!Q27</f>
        <v>0</v>
      </c>
      <c r="J506">
        <f>'Revenue Model'!R27</f>
        <v>0</v>
      </c>
      <c r="K506">
        <f>'Revenue Model'!S27</f>
        <v>0</v>
      </c>
      <c r="L506">
        <f>'Revenue Model'!T27</f>
        <v>0</v>
      </c>
      <c r="M506">
        <f>'Revenue Model'!U27</f>
        <v>0</v>
      </c>
      <c r="N506">
        <f>'Revenue Model'!V27</f>
        <v>0</v>
      </c>
      <c r="O506">
        <f>'Revenue Model'!W27</f>
        <v>0</v>
      </c>
      <c r="P506">
        <f>'Revenue Model'!X27</f>
        <v>0</v>
      </c>
      <c r="Q506">
        <f>'Revenue Model'!Y27</f>
        <v>0</v>
      </c>
      <c r="R506">
        <f>'Revenue Model'!Z27</f>
        <v>0</v>
      </c>
      <c r="S506">
        <f>'Revenue Model'!AA27</f>
        <v>0</v>
      </c>
      <c r="T506">
        <f>'Revenue Model'!AB27</f>
        <v>0</v>
      </c>
      <c r="U506">
        <f>'Revenue Model'!AC27</f>
        <v>0</v>
      </c>
      <c r="V506">
        <f>'Revenue Model'!AD27</f>
        <v>0</v>
      </c>
      <c r="W506">
        <f>'Revenue Model'!AE27</f>
        <v>0</v>
      </c>
      <c r="X506">
        <f>'Revenue Model'!AF27</f>
        <v>0</v>
      </c>
      <c r="Y506">
        <f>'Revenue Model'!AG27</f>
        <v>0</v>
      </c>
      <c r="Z506">
        <f>'Revenue Model'!AH27</f>
        <v>0</v>
      </c>
      <c r="AA506">
        <f>'Revenue Model'!AI27</f>
        <v>0</v>
      </c>
      <c r="AB506">
        <f>'Revenue Model'!AJ27</f>
        <v>0</v>
      </c>
      <c r="AC506">
        <f>'Revenue Model'!AK27</f>
        <v>0</v>
      </c>
      <c r="AD506">
        <f>'Revenue Model'!AL27</f>
        <v>0</v>
      </c>
      <c r="AE506">
        <f>'Revenue Model'!AM27</f>
        <v>0</v>
      </c>
      <c r="AF506">
        <f>'Revenue Model'!AN27</f>
        <v>0</v>
      </c>
      <c r="AG506">
        <f>'Revenue Model'!AO27</f>
        <v>0</v>
      </c>
      <c r="AH506">
        <f>'Revenue Model'!AP27</f>
        <v>0</v>
      </c>
      <c r="AI506">
        <f>'Revenue Model'!AQ27</f>
        <v>0</v>
      </c>
      <c r="AJ506">
        <f>'Revenue Model'!AR27</f>
        <v>0</v>
      </c>
      <c r="AK506">
        <f>'Revenue Model'!AS27</f>
        <v>0</v>
      </c>
      <c r="AL506">
        <f>'Revenue Model'!AT27</f>
        <v>0</v>
      </c>
      <c r="AM506">
        <f>'Revenue Model'!AU27</f>
        <v>0</v>
      </c>
    </row>
    <row r="507" spans="1:39">
      <c r="A507" t="str">
        <f>'Revenue Model'!I28</f>
        <v>Avg. Revenue per Unit</v>
      </c>
      <c r="B507">
        <f>'Revenue Model'!J28</f>
        <v>0</v>
      </c>
      <c r="C507">
        <f>'Revenue Model'!K28</f>
        <v>0</v>
      </c>
      <c r="D507">
        <f>'Revenue Model'!L28</f>
        <v>0</v>
      </c>
      <c r="E507">
        <f>'Revenue Model'!M28</f>
        <v>0</v>
      </c>
      <c r="F507">
        <f>'Revenue Model'!N28</f>
        <v>0</v>
      </c>
      <c r="G507">
        <f>'Revenue Model'!O28</f>
        <v>0</v>
      </c>
      <c r="H507">
        <f>'Revenue Model'!P28</f>
        <v>0</v>
      </c>
      <c r="I507">
        <f>'Revenue Model'!Q28</f>
        <v>0</v>
      </c>
      <c r="J507">
        <f>'Revenue Model'!R28</f>
        <v>0</v>
      </c>
      <c r="K507">
        <f>'Revenue Model'!S28</f>
        <v>0</v>
      </c>
      <c r="L507">
        <f>'Revenue Model'!T28</f>
        <v>0</v>
      </c>
      <c r="M507">
        <f>'Revenue Model'!U28</f>
        <v>0</v>
      </c>
      <c r="N507">
        <f>'Revenue Model'!V28</f>
        <v>0</v>
      </c>
      <c r="O507">
        <f>'Revenue Model'!W28</f>
        <v>0</v>
      </c>
      <c r="P507">
        <f>'Revenue Model'!X28</f>
        <v>0</v>
      </c>
      <c r="Q507">
        <f>'Revenue Model'!Y28</f>
        <v>130</v>
      </c>
      <c r="R507">
        <f>'Revenue Model'!Z28</f>
        <v>129.35</v>
      </c>
      <c r="S507">
        <f>'Revenue Model'!AA28</f>
        <v>128.70325</v>
      </c>
      <c r="T507">
        <f>'Revenue Model'!AB28</f>
        <v>128.05973374999999</v>
      </c>
      <c r="U507">
        <f>'Revenue Model'!AC28</f>
        <v>127.41943508124999</v>
      </c>
      <c r="V507">
        <f>'Revenue Model'!AD28</f>
        <v>126.14524073043748</v>
      </c>
      <c r="W507">
        <f>'Revenue Model'!AE28</f>
        <v>124.8837883231331</v>
      </c>
      <c r="X507">
        <f>'Revenue Model'!AF28</f>
        <v>123.63495043990177</v>
      </c>
      <c r="Y507">
        <f>'Revenue Model'!AG28</f>
        <v>122.39860093550276</v>
      </c>
      <c r="Z507">
        <f>'Revenue Model'!AH28</f>
        <v>0</v>
      </c>
      <c r="AA507">
        <f>'Revenue Model'!AI28</f>
        <v>0</v>
      </c>
      <c r="AB507">
        <f>'Revenue Model'!AJ28</f>
        <v>0</v>
      </c>
      <c r="AC507">
        <f>'Revenue Model'!AK28</f>
        <v>0</v>
      </c>
      <c r="AD507">
        <f>'Revenue Model'!AL28</f>
        <v>130</v>
      </c>
      <c r="AE507">
        <f>'Revenue Model'!AM28</f>
        <v>130.22973697273534</v>
      </c>
      <c r="AF507">
        <f>'Revenue Model'!AN28</f>
        <v>124.11437609068162</v>
      </c>
      <c r="AG507">
        <f>'Revenue Model'!AO28</f>
        <v>124.11437609068162</v>
      </c>
      <c r="AH507">
        <f>'Revenue Model'!AP28</f>
        <v>124.11437609068162</v>
      </c>
      <c r="AI507">
        <f>'Revenue Model'!AQ28</f>
        <v>124.11437609068162</v>
      </c>
      <c r="AJ507">
        <f>'Revenue Model'!AR28</f>
        <v>124.11437609068162</v>
      </c>
      <c r="AK507">
        <f>'Revenue Model'!AS28</f>
        <v>124.11437609068162</v>
      </c>
      <c r="AL507">
        <f>'Revenue Model'!AT28</f>
        <v>124.11437609068162</v>
      </c>
      <c r="AM507">
        <f>'Revenue Model'!AU28</f>
        <v>124.11437609068162</v>
      </c>
    </row>
    <row r="508" spans="1:39">
      <c r="A508" t="str">
        <f>'Revenue Model'!I29</f>
        <v>Y/Y % Change</v>
      </c>
      <c r="B508">
        <f>'Revenue Model'!J29</f>
        <v>0</v>
      </c>
      <c r="C508">
        <f>'Revenue Model'!K29</f>
        <v>0</v>
      </c>
      <c r="D508">
        <f>'Revenue Model'!L29</f>
        <v>0</v>
      </c>
      <c r="E508">
        <f>'Revenue Model'!M29</f>
        <v>0</v>
      </c>
      <c r="F508">
        <f>'Revenue Model'!N29</f>
        <v>0</v>
      </c>
      <c r="G508">
        <f>'Revenue Model'!O29</f>
        <v>0</v>
      </c>
      <c r="H508">
        <f>'Revenue Model'!P29</f>
        <v>0</v>
      </c>
      <c r="I508">
        <f>'Revenue Model'!Q29</f>
        <v>0</v>
      </c>
      <c r="J508">
        <f>'Revenue Model'!R29</f>
        <v>0</v>
      </c>
      <c r="K508">
        <f>'Revenue Model'!S29</f>
        <v>0</v>
      </c>
      <c r="L508">
        <f>'Revenue Model'!T29</f>
        <v>0</v>
      </c>
      <c r="M508">
        <f>'Revenue Model'!U29</f>
        <v>0</v>
      </c>
      <c r="N508">
        <f>'Revenue Model'!V29</f>
        <v>0</v>
      </c>
      <c r="O508">
        <f>'Revenue Model'!W29</f>
        <v>0</v>
      </c>
      <c r="P508">
        <f>'Revenue Model'!X29</f>
        <v>0</v>
      </c>
      <c r="Q508">
        <f>'Revenue Model'!Y29</f>
        <v>0</v>
      </c>
      <c r="R508">
        <f>'Revenue Model'!Z29</f>
        <v>0</v>
      </c>
      <c r="S508">
        <f>'Revenue Model'!AA29</f>
        <v>0</v>
      </c>
      <c r="T508">
        <f>'Revenue Model'!AB29</f>
        <v>0</v>
      </c>
      <c r="U508">
        <f>'Revenue Model'!AC29</f>
        <v>-1.9850499375000052E-2</v>
      </c>
      <c r="V508">
        <f>'Revenue Model'!AD29</f>
        <v>-2.4775873750000121E-2</v>
      </c>
      <c r="W508">
        <f>'Revenue Model'!AE29</f>
        <v>-2.9676497500000121E-2</v>
      </c>
      <c r="X508">
        <f>'Revenue Model'!AF29</f>
        <v>-3.4552495000000127E-2</v>
      </c>
      <c r="Y508">
        <f>'Revenue Model'!AG29</f>
        <v>-3.9403990000000055E-2</v>
      </c>
      <c r="Z508">
        <f>'Revenue Model'!AH29</f>
        <v>0</v>
      </c>
      <c r="AA508">
        <f>'Revenue Model'!AI29</f>
        <v>0</v>
      </c>
      <c r="AB508">
        <f>'Revenue Model'!AJ29</f>
        <v>0</v>
      </c>
      <c r="AC508">
        <f>'Revenue Model'!AK29</f>
        <v>0</v>
      </c>
      <c r="AD508">
        <f>'Revenue Model'!AL29</f>
        <v>0</v>
      </c>
      <c r="AE508">
        <f>'Revenue Model'!AM29</f>
        <v>1.7672074825796358E-3</v>
      </c>
      <c r="AF508">
        <f>'Revenue Model'!AN29</f>
        <v>-4.6958252578933046E-2</v>
      </c>
      <c r="AG508">
        <f>'Revenue Model'!AO29</f>
        <v>0</v>
      </c>
      <c r="AH508">
        <f>'Revenue Model'!AP29</f>
        <v>0</v>
      </c>
      <c r="AI508">
        <f>'Revenue Model'!AQ29</f>
        <v>0</v>
      </c>
      <c r="AJ508">
        <f>'Revenue Model'!AR29</f>
        <v>0</v>
      </c>
      <c r="AK508">
        <f>'Revenue Model'!AS29</f>
        <v>0</v>
      </c>
      <c r="AL508">
        <f>'Revenue Model'!AT29</f>
        <v>0</v>
      </c>
      <c r="AM508">
        <f>'Revenue Model'!AU29</f>
        <v>0</v>
      </c>
    </row>
    <row r="509" spans="1:39">
      <c r="A509">
        <f>'Revenue Model'!I30</f>
        <v>0</v>
      </c>
      <c r="B509">
        <f>'Revenue Model'!J30</f>
        <v>0</v>
      </c>
      <c r="C509">
        <f>'Revenue Model'!K30</f>
        <v>0</v>
      </c>
      <c r="D509">
        <f>'Revenue Model'!L30</f>
        <v>0</v>
      </c>
      <c r="E509">
        <f>'Revenue Model'!M30</f>
        <v>0</v>
      </c>
      <c r="F509">
        <f>'Revenue Model'!N30</f>
        <v>0</v>
      </c>
      <c r="G509">
        <f>'Revenue Model'!O30</f>
        <v>0</v>
      </c>
      <c r="H509">
        <f>'Revenue Model'!P30</f>
        <v>0</v>
      </c>
      <c r="I509">
        <f>'Revenue Model'!Q30</f>
        <v>0</v>
      </c>
      <c r="J509">
        <f>'Revenue Model'!R30</f>
        <v>0</v>
      </c>
      <c r="K509">
        <f>'Revenue Model'!S30</f>
        <v>0</v>
      </c>
      <c r="L509">
        <f>'Revenue Model'!T30</f>
        <v>0</v>
      </c>
      <c r="M509">
        <f>'Revenue Model'!U30</f>
        <v>0</v>
      </c>
      <c r="N509">
        <f>'Revenue Model'!V30</f>
        <v>0</v>
      </c>
      <c r="O509">
        <f>'Revenue Model'!W30</f>
        <v>0</v>
      </c>
      <c r="P509">
        <f>'Revenue Model'!X30</f>
        <v>0</v>
      </c>
      <c r="Q509">
        <f>'Revenue Model'!Y30</f>
        <v>0</v>
      </c>
      <c r="R509">
        <f>'Revenue Model'!Z30</f>
        <v>0</v>
      </c>
      <c r="S509">
        <f>'Revenue Model'!AA30</f>
        <v>0</v>
      </c>
      <c r="T509">
        <f>'Revenue Model'!AB30</f>
        <v>0</v>
      </c>
      <c r="U509">
        <f>'Revenue Model'!AC30</f>
        <v>0</v>
      </c>
      <c r="V509">
        <f>'Revenue Model'!AD30</f>
        <v>0</v>
      </c>
      <c r="W509">
        <f>'Revenue Model'!AE30</f>
        <v>0</v>
      </c>
      <c r="X509">
        <f>'Revenue Model'!AF30</f>
        <v>0</v>
      </c>
      <c r="Y509">
        <f>'Revenue Model'!AG30</f>
        <v>0</v>
      </c>
      <c r="Z509">
        <f>'Revenue Model'!AH30</f>
        <v>0</v>
      </c>
      <c r="AA509">
        <f>'Revenue Model'!AI30</f>
        <v>0</v>
      </c>
      <c r="AB509">
        <f>'Revenue Model'!AJ30</f>
        <v>0</v>
      </c>
      <c r="AC509">
        <f>'Revenue Model'!AK30</f>
        <v>0</v>
      </c>
      <c r="AD509">
        <f>'Revenue Model'!AL30</f>
        <v>0</v>
      </c>
      <c r="AE509">
        <f>'Revenue Model'!AM30</f>
        <v>0</v>
      </c>
      <c r="AF509">
        <f>'Revenue Model'!AN30</f>
        <v>0</v>
      </c>
      <c r="AG509">
        <f>'Revenue Model'!AO30</f>
        <v>0</v>
      </c>
      <c r="AH509">
        <f>'Revenue Model'!AP30</f>
        <v>0</v>
      </c>
      <c r="AI509">
        <f>'Revenue Model'!AQ30</f>
        <v>0</v>
      </c>
      <c r="AJ509">
        <f>'Revenue Model'!AR30</f>
        <v>0</v>
      </c>
      <c r="AK509">
        <f>'Revenue Model'!AS30</f>
        <v>0</v>
      </c>
      <c r="AL509">
        <f>'Revenue Model'!AT30</f>
        <v>0</v>
      </c>
      <c r="AM509">
        <f>'Revenue Model'!AU30</f>
        <v>0</v>
      </c>
    </row>
    <row r="510" spans="1:39">
      <c r="A510" t="str">
        <f>'Revenue Model'!I31</f>
        <v>Total Hardware Revenue</v>
      </c>
      <c r="B510">
        <f>'Revenue Model'!J31</f>
        <v>0</v>
      </c>
      <c r="C510">
        <f>'Revenue Model'!K31</f>
        <v>0</v>
      </c>
      <c r="D510">
        <f>'Revenue Model'!L31</f>
        <v>0</v>
      </c>
      <c r="E510">
        <f>'Revenue Model'!M31</f>
        <v>0</v>
      </c>
      <c r="F510">
        <f>'Revenue Model'!N31</f>
        <v>0</v>
      </c>
      <c r="G510">
        <f>'Revenue Model'!O31</f>
        <v>0</v>
      </c>
      <c r="H510">
        <f>'Revenue Model'!P31</f>
        <v>0</v>
      </c>
      <c r="I510">
        <f>'Revenue Model'!Q31</f>
        <v>0</v>
      </c>
      <c r="J510">
        <f>'Revenue Model'!R31</f>
        <v>0</v>
      </c>
      <c r="K510">
        <f>'Revenue Model'!S31</f>
        <v>0</v>
      </c>
      <c r="L510">
        <f>'Revenue Model'!T31</f>
        <v>0</v>
      </c>
      <c r="M510">
        <f>'Revenue Model'!U31</f>
        <v>0</v>
      </c>
      <c r="N510">
        <f>'Revenue Model'!V31</f>
        <v>0</v>
      </c>
      <c r="O510">
        <f>'Revenue Model'!W31</f>
        <v>0</v>
      </c>
      <c r="P510">
        <f>'Revenue Model'!X31</f>
        <v>0</v>
      </c>
      <c r="Q510">
        <f>'Revenue Model'!Y31</f>
        <v>4.5820000000000292</v>
      </c>
      <c r="R510">
        <f>'Revenue Model'!Z31</f>
        <v>8.3000000000000007</v>
      </c>
      <c r="S510">
        <f>'Revenue Model'!AA31</f>
        <v>5.4</v>
      </c>
      <c r="T510">
        <f>'Revenue Model'!AB31</f>
        <v>3.6</v>
      </c>
      <c r="U510">
        <f>'Revenue Model'!AC31</f>
        <v>5</v>
      </c>
      <c r="V510">
        <f>'Revenue Model'!AD31</f>
        <v>2.5229048146087498</v>
      </c>
      <c r="W510">
        <f>'Revenue Model'!AE31</f>
        <v>4.7634062849999985</v>
      </c>
      <c r="X510">
        <f>'Revenue Model'!AF31</f>
        <v>3.1596463799999999</v>
      </c>
      <c r="Y510">
        <f>'Revenue Model'!AG31</f>
        <v>4.1170438496487289</v>
      </c>
      <c r="Z510">
        <f>'Revenue Model'!AH31</f>
        <v>0</v>
      </c>
      <c r="AA510">
        <f>'Revenue Model'!AI31</f>
        <v>0</v>
      </c>
      <c r="AB510">
        <f>'Revenue Model'!AJ31</f>
        <v>0</v>
      </c>
      <c r="AC510">
        <f>'Revenue Model'!AK31</f>
        <v>0</v>
      </c>
      <c r="AD510">
        <f>'Revenue Model'!AL31</f>
        <v>4.5820000000000292</v>
      </c>
      <c r="AE510">
        <f>'Revenue Model'!AM31</f>
        <v>22.3</v>
      </c>
      <c r="AF510">
        <f>'Revenue Model'!AN31</f>
        <v>14.563001329257476</v>
      </c>
      <c r="AG510">
        <f>'Revenue Model'!AO31</f>
        <v>7.2041887272019274</v>
      </c>
      <c r="AH510">
        <f>'Revenue Model'!AP31</f>
        <v>7.2041887272019274</v>
      </c>
      <c r="AI510">
        <f>'Revenue Model'!AQ31</f>
        <v>7.2041887272019274</v>
      </c>
      <c r="AJ510">
        <f>'Revenue Model'!AR31</f>
        <v>7.2041887272019274</v>
      </c>
      <c r="AK510">
        <f>'Revenue Model'!AS31</f>
        <v>7.2041887272019274</v>
      </c>
      <c r="AL510">
        <f>'Revenue Model'!AT31</f>
        <v>7.2041887272019274</v>
      </c>
      <c r="AM510">
        <f>'Revenue Model'!AU31</f>
        <v>7.2041887272019274</v>
      </c>
    </row>
    <row r="511" spans="1:39">
      <c r="A511" t="str">
        <f>'Revenue Model'!I32</f>
        <v>Y/Y % Growth</v>
      </c>
      <c r="B511">
        <f>'Revenue Model'!J32</f>
        <v>0</v>
      </c>
      <c r="C511">
        <f>'Revenue Model'!K32</f>
        <v>0</v>
      </c>
      <c r="D511">
        <f>'Revenue Model'!L32</f>
        <v>0</v>
      </c>
      <c r="E511">
        <f>'Revenue Model'!M32</f>
        <v>0</v>
      </c>
      <c r="F511">
        <f>'Revenue Model'!N32</f>
        <v>0</v>
      </c>
      <c r="G511">
        <f>'Revenue Model'!O32</f>
        <v>0</v>
      </c>
      <c r="H511">
        <f>'Revenue Model'!P32</f>
        <v>0</v>
      </c>
      <c r="I511">
        <f>'Revenue Model'!Q32</f>
        <v>0</v>
      </c>
      <c r="J511">
        <f>'Revenue Model'!R32</f>
        <v>0</v>
      </c>
      <c r="K511">
        <f>'Revenue Model'!S32</f>
        <v>0</v>
      </c>
      <c r="L511">
        <f>'Revenue Model'!T32</f>
        <v>0</v>
      </c>
      <c r="M511">
        <f>'Revenue Model'!U32</f>
        <v>0</v>
      </c>
      <c r="N511">
        <f>'Revenue Model'!V32</f>
        <v>0</v>
      </c>
      <c r="O511">
        <f>'Revenue Model'!W32</f>
        <v>0</v>
      </c>
      <c r="P511">
        <f>'Revenue Model'!X32</f>
        <v>0</v>
      </c>
      <c r="Q511">
        <f>'Revenue Model'!Y32</f>
        <v>0</v>
      </c>
      <c r="R511">
        <f>'Revenue Model'!Z32</f>
        <v>0</v>
      </c>
      <c r="S511">
        <f>'Revenue Model'!AA32</f>
        <v>0</v>
      </c>
      <c r="T511">
        <f>'Revenue Model'!AB32</f>
        <v>0</v>
      </c>
      <c r="U511">
        <f>'Revenue Model'!AC32</f>
        <v>9.1226538629412435E-2</v>
      </c>
      <c r="V511">
        <f>'Revenue Model'!AD32</f>
        <v>-0.69603556450496995</v>
      </c>
      <c r="W511">
        <f>'Revenue Model'!AE32</f>
        <v>-0.11788772500000033</v>
      </c>
      <c r="X511">
        <f>'Revenue Model'!AF32</f>
        <v>-0.12232045000000002</v>
      </c>
      <c r="Y511">
        <f>'Revenue Model'!AG32</f>
        <v>-0.17659123007025423</v>
      </c>
      <c r="Z511">
        <f>'Revenue Model'!AH32</f>
        <v>0</v>
      </c>
      <c r="AA511">
        <f>'Revenue Model'!AI32</f>
        <v>0</v>
      </c>
      <c r="AB511">
        <f>'Revenue Model'!AJ32</f>
        <v>0</v>
      </c>
      <c r="AC511">
        <f>'Revenue Model'!AK32</f>
        <v>0</v>
      </c>
      <c r="AD511">
        <f>'Revenue Model'!AL32</f>
        <v>0</v>
      </c>
      <c r="AE511">
        <f>'Revenue Model'!AM32</f>
        <v>3.8668703622871803</v>
      </c>
      <c r="AF511">
        <f>'Revenue Model'!AN32</f>
        <v>-0.34695061303778141</v>
      </c>
      <c r="AG511">
        <f>'Revenue Model'!AO32</f>
        <v>-0.50530879148321506</v>
      </c>
      <c r="AH511">
        <f>'Revenue Model'!AP32</f>
        <v>0</v>
      </c>
      <c r="AI511">
        <f>'Revenue Model'!AQ32</f>
        <v>0</v>
      </c>
      <c r="AJ511">
        <f>'Revenue Model'!AR32</f>
        <v>0</v>
      </c>
      <c r="AK511">
        <f>'Revenue Model'!AS32</f>
        <v>0</v>
      </c>
      <c r="AL511">
        <f>'Revenue Model'!AT32</f>
        <v>0</v>
      </c>
      <c r="AM511">
        <f>'Revenue Model'!AU32</f>
        <v>0</v>
      </c>
    </row>
    <row r="512" spans="1:39">
      <c r="A512">
        <f>'Revenue Model'!I33</f>
        <v>0</v>
      </c>
      <c r="B512">
        <f>'Revenue Model'!J33</f>
        <v>0</v>
      </c>
      <c r="C512">
        <f>'Revenue Model'!K33</f>
        <v>0</v>
      </c>
      <c r="D512">
        <f>'Revenue Model'!L33</f>
        <v>0</v>
      </c>
      <c r="E512">
        <f>'Revenue Model'!M33</f>
        <v>0</v>
      </c>
      <c r="F512">
        <f>'Revenue Model'!N33</f>
        <v>0</v>
      </c>
      <c r="G512">
        <f>'Revenue Model'!O33</f>
        <v>0</v>
      </c>
      <c r="H512">
        <f>'Revenue Model'!P33</f>
        <v>0</v>
      </c>
      <c r="I512">
        <f>'Revenue Model'!Q33</f>
        <v>0</v>
      </c>
      <c r="J512">
        <f>'Revenue Model'!R33</f>
        <v>0</v>
      </c>
      <c r="K512">
        <f>'Revenue Model'!S33</f>
        <v>0</v>
      </c>
      <c r="L512">
        <f>'Revenue Model'!T33</f>
        <v>0</v>
      </c>
      <c r="M512">
        <f>'Revenue Model'!U33</f>
        <v>0</v>
      </c>
      <c r="N512">
        <f>'Revenue Model'!V33</f>
        <v>0</v>
      </c>
      <c r="O512">
        <f>'Revenue Model'!W33</f>
        <v>0</v>
      </c>
      <c r="P512">
        <f>'Revenue Model'!X33</f>
        <v>0</v>
      </c>
      <c r="Q512">
        <f>'Revenue Model'!Y33</f>
        <v>0</v>
      </c>
      <c r="R512">
        <f>'Revenue Model'!Z33</f>
        <v>0</v>
      </c>
      <c r="S512">
        <f>'Revenue Model'!AA33</f>
        <v>0</v>
      </c>
      <c r="T512">
        <f>'Revenue Model'!AB33</f>
        <v>0</v>
      </c>
      <c r="U512">
        <f>'Revenue Model'!AC33</f>
        <v>0</v>
      </c>
      <c r="V512">
        <f>'Revenue Model'!AD33</f>
        <v>0</v>
      </c>
      <c r="W512">
        <f>'Revenue Model'!AE33</f>
        <v>0</v>
      </c>
      <c r="X512">
        <f>'Revenue Model'!AF33</f>
        <v>0</v>
      </c>
      <c r="Y512">
        <f>'Revenue Model'!AG33</f>
        <v>0</v>
      </c>
      <c r="Z512">
        <f>'Revenue Model'!AH33</f>
        <v>0</v>
      </c>
      <c r="AA512">
        <f>'Revenue Model'!AI33</f>
        <v>0</v>
      </c>
      <c r="AB512">
        <f>'Revenue Model'!AJ33</f>
        <v>0</v>
      </c>
      <c r="AC512">
        <f>'Revenue Model'!AK33</f>
        <v>0</v>
      </c>
      <c r="AD512">
        <f>'Revenue Model'!AL33</f>
        <v>0</v>
      </c>
      <c r="AE512">
        <f>'Revenue Model'!AM33</f>
        <v>0</v>
      </c>
      <c r="AF512">
        <f>'Revenue Model'!AN33</f>
        <v>0</v>
      </c>
      <c r="AG512">
        <f>'Revenue Model'!AO33</f>
        <v>0</v>
      </c>
      <c r="AH512">
        <f>'Revenue Model'!AP33</f>
        <v>0</v>
      </c>
      <c r="AI512">
        <f>'Revenue Model'!AQ33</f>
        <v>0</v>
      </c>
      <c r="AJ512">
        <f>'Revenue Model'!AR33</f>
        <v>0</v>
      </c>
      <c r="AK512">
        <f>'Revenue Model'!AS33</f>
        <v>0</v>
      </c>
      <c r="AL512">
        <f>'Revenue Model'!AT33</f>
        <v>0</v>
      </c>
      <c r="AM512">
        <f>'Revenue Model'!AU33</f>
        <v>0</v>
      </c>
    </row>
    <row r="513" spans="1:39">
      <c r="A513" t="str">
        <f>'Revenue Model'!I34</f>
        <v xml:space="preserve">Advertising Revenue </v>
      </c>
      <c r="B513">
        <f>'Revenue Model'!J34</f>
        <v>0</v>
      </c>
      <c r="C513">
        <f>'Revenue Model'!K34</f>
        <v>0</v>
      </c>
      <c r="D513">
        <f>'Revenue Model'!L34</f>
        <v>0</v>
      </c>
      <c r="E513">
        <f>'Revenue Model'!M34</f>
        <v>0</v>
      </c>
      <c r="F513">
        <f>'Revenue Model'!N34</f>
        <v>0</v>
      </c>
      <c r="G513">
        <f>'Revenue Model'!O34</f>
        <v>0</v>
      </c>
      <c r="H513">
        <f>'Revenue Model'!P34</f>
        <v>0</v>
      </c>
      <c r="I513">
        <f>'Revenue Model'!Q34</f>
        <v>0</v>
      </c>
      <c r="J513">
        <f>'Revenue Model'!R34</f>
        <v>3.92</v>
      </c>
      <c r="K513">
        <f>'Revenue Model'!S34</f>
        <v>5.3</v>
      </c>
      <c r="L513">
        <f>'Revenue Model'!T34</f>
        <v>16.725000000000001</v>
      </c>
      <c r="M513">
        <f>'Revenue Model'!U34</f>
        <v>32.718000000000004</v>
      </c>
      <c r="N513">
        <f>'Revenue Model'!V34</f>
        <v>38.798000000000002</v>
      </c>
      <c r="O513">
        <f>'Revenue Model'!W34</f>
        <v>71.798000000000002</v>
      </c>
      <c r="P513">
        <f>'Revenue Model'!X34</f>
        <v>128.20400000000001</v>
      </c>
      <c r="Q513">
        <f>'Revenue Model'!Y34</f>
        <v>161.09999999999997</v>
      </c>
      <c r="R513">
        <f>'Revenue Model'!Z34</f>
        <v>141.34799999999998</v>
      </c>
      <c r="S513">
        <f>'Revenue Model'!AA34</f>
        <v>176.27099999999999</v>
      </c>
      <c r="T513">
        <f>'Revenue Model'!AB34</f>
        <v>204.33700000000002</v>
      </c>
      <c r="U513">
        <f>'Revenue Model'!AC34</f>
        <v>280.69299999999998</v>
      </c>
      <c r="V513">
        <f>'Revenue Model'!AD34</f>
        <v>246.47709518539125</v>
      </c>
      <c r="W513">
        <f>'Revenue Model'!AE34</f>
        <v>290.23659371500003</v>
      </c>
      <c r="X513">
        <f>'Revenue Model'!AF34</f>
        <v>337.84035361999997</v>
      </c>
      <c r="Y513">
        <f>'Revenue Model'!AG34</f>
        <v>423.88295615035128</v>
      </c>
      <c r="Z513">
        <f>'Revenue Model'!AH34</f>
        <v>0</v>
      </c>
      <c r="AA513">
        <f>'Revenue Model'!AI34</f>
        <v>0</v>
      </c>
      <c r="AB513">
        <f>'Revenue Model'!AJ34</f>
        <v>0</v>
      </c>
      <c r="AC513">
        <f>'Revenue Model'!AK34</f>
        <v>58.663000000000004</v>
      </c>
      <c r="AD513">
        <f>'Revenue Model'!AL34</f>
        <v>399.89999999999992</v>
      </c>
      <c r="AE513">
        <f>'Revenue Model'!AM34</f>
        <v>802.649</v>
      </c>
      <c r="AF513">
        <f>'Revenue Model'!AN34</f>
        <v>1298.4369986707425</v>
      </c>
      <c r="AG513">
        <f>'Revenue Model'!AO34</f>
        <v>1962.1606027956655</v>
      </c>
      <c r="AH513">
        <f>'Revenue Model'!AP34</f>
        <v>2797.6743365700872</v>
      </c>
      <c r="AI513">
        <f>'Revenue Model'!AQ34</f>
        <v>3805.7226223719676</v>
      </c>
      <c r="AJ513">
        <f>'Revenue Model'!AR34</f>
        <v>4956.7555538197457</v>
      </c>
      <c r="AK513">
        <f>'Revenue Model'!AS34</f>
        <v>6156.3635892437751</v>
      </c>
      <c r="AL513">
        <f>'Revenue Model'!AT34</f>
        <v>7348.6727833722716</v>
      </c>
      <c r="AM513">
        <f>'Revenue Model'!AU34</f>
        <v>8538.4242901595208</v>
      </c>
    </row>
    <row r="514" spans="1:39">
      <c r="A514" t="str">
        <f>'Revenue Model'!I35</f>
        <v>Y/Y % Growth</v>
      </c>
      <c r="B514">
        <f>'Revenue Model'!J35</f>
        <v>0</v>
      </c>
      <c r="C514">
        <f>'Revenue Model'!K35</f>
        <v>0</v>
      </c>
      <c r="D514">
        <f>'Revenue Model'!L35</f>
        <v>0</v>
      </c>
      <c r="E514">
        <f>'Revenue Model'!M35</f>
        <v>0</v>
      </c>
      <c r="F514">
        <f>'Revenue Model'!N35</f>
        <v>0</v>
      </c>
      <c r="G514">
        <f>'Revenue Model'!O35</f>
        <v>0</v>
      </c>
      <c r="H514">
        <f>'Revenue Model'!P35</f>
        <v>0</v>
      </c>
      <c r="I514">
        <f>'Revenue Model'!Q35</f>
        <v>0</v>
      </c>
      <c r="J514">
        <f>'Revenue Model'!R35</f>
        <v>0</v>
      </c>
      <c r="K514">
        <f>'Revenue Model'!S35</f>
        <v>0</v>
      </c>
      <c r="L514">
        <f>'Revenue Model'!T35</f>
        <v>0</v>
      </c>
      <c r="M514">
        <f>'Revenue Model'!U35</f>
        <v>0</v>
      </c>
      <c r="N514">
        <f>'Revenue Model'!V35</f>
        <v>8.8974489795918377</v>
      </c>
      <c r="O514">
        <f>'Revenue Model'!W35</f>
        <v>12.546792452830189</v>
      </c>
      <c r="P514">
        <f>'Revenue Model'!X35</f>
        <v>6.6654110612855009</v>
      </c>
      <c r="Q514">
        <f>'Revenue Model'!Y35</f>
        <v>3.923895103612689</v>
      </c>
      <c r="R514">
        <f>'Revenue Model'!Z35</f>
        <v>2.6431774833754313</v>
      </c>
      <c r="S514">
        <f>'Revenue Model'!AA35</f>
        <v>1.4550962422351597</v>
      </c>
      <c r="T514">
        <f>'Revenue Model'!AB35</f>
        <v>0.59384262581510727</v>
      </c>
      <c r="U514">
        <f>'Revenue Model'!AC35</f>
        <v>0.74235257603972715</v>
      </c>
      <c r="V514">
        <f>'Revenue Model'!AD35</f>
        <v>0.74376075491263594</v>
      </c>
      <c r="W514">
        <f>'Revenue Model'!AE35</f>
        <v>0.64653626356575988</v>
      </c>
      <c r="X514">
        <f>'Revenue Model'!AF35</f>
        <v>0.65334889726285472</v>
      </c>
      <c r="Y514">
        <f>'Revenue Model'!AG35</f>
        <v>0.51013012846900807</v>
      </c>
      <c r="Z514">
        <f>'Revenue Model'!AH35</f>
        <v>0</v>
      </c>
      <c r="AA514">
        <f>'Revenue Model'!AI35</f>
        <v>0</v>
      </c>
      <c r="AB514">
        <f>'Revenue Model'!AJ35</f>
        <v>0</v>
      </c>
      <c r="AC514">
        <f>'Revenue Model'!AK35</f>
        <v>0</v>
      </c>
      <c r="AD514">
        <f>'Revenue Model'!AL35</f>
        <v>0</v>
      </c>
      <c r="AE514">
        <f>'Revenue Model'!AM35</f>
        <v>1.0071242810702681</v>
      </c>
      <c r="AF514">
        <f>'Revenue Model'!AN35</f>
        <v>0.61768967340735803</v>
      </c>
      <c r="AG514">
        <f>'Revenue Model'!AO35</f>
        <v>0.51117120415114559</v>
      </c>
      <c r="AH514">
        <f>'Revenue Model'!AP35</f>
        <v>0.42581312283204076</v>
      </c>
      <c r="AI514">
        <f>'Revenue Model'!AQ35</f>
        <v>0.36031652169985406</v>
      </c>
      <c r="AJ514">
        <f>'Revenue Model'!AR35</f>
        <v>0.30244793056683195</v>
      </c>
      <c r="AK514">
        <f>'Revenue Model'!AS35</f>
        <v>0.24201476598933636</v>
      </c>
      <c r="AL514">
        <f>'Revenue Model'!AT35</f>
        <v>0.19367101647662022</v>
      </c>
      <c r="AM514">
        <f>'Revenue Model'!AU35</f>
        <v>0.16190018821892327</v>
      </c>
    </row>
    <row r="515" spans="1:39">
      <c r="A515" t="str">
        <f>'Revenue Model'!I36</f>
        <v>Q/Q % Growth</v>
      </c>
      <c r="B515">
        <f>'Revenue Model'!J36</f>
        <v>0</v>
      </c>
      <c r="C515">
        <f>'Revenue Model'!K36</f>
        <v>0</v>
      </c>
      <c r="D515">
        <f>'Revenue Model'!L36</f>
        <v>0</v>
      </c>
      <c r="E515">
        <f>'Revenue Model'!M36</f>
        <v>0</v>
      </c>
      <c r="F515">
        <f>'Revenue Model'!N36</f>
        <v>0</v>
      </c>
      <c r="G515">
        <f>'Revenue Model'!O36</f>
        <v>0</v>
      </c>
      <c r="H515">
        <f>'Revenue Model'!P36</f>
        <v>0</v>
      </c>
      <c r="I515">
        <f>'Revenue Model'!Q36</f>
        <v>0</v>
      </c>
      <c r="J515">
        <f>'Revenue Model'!R36</f>
        <v>0</v>
      </c>
      <c r="K515">
        <f>'Revenue Model'!S36</f>
        <v>0.3520408163265305</v>
      </c>
      <c r="L515">
        <f>'Revenue Model'!T36</f>
        <v>2.1556603773584908</v>
      </c>
      <c r="M515">
        <f>'Revenue Model'!U36</f>
        <v>0.95623318385650236</v>
      </c>
      <c r="N515">
        <f>'Revenue Model'!V36</f>
        <v>0.18583042973286878</v>
      </c>
      <c r="O515">
        <f>'Revenue Model'!W36</f>
        <v>0.85055930718078243</v>
      </c>
      <c r="P515">
        <f>'Revenue Model'!X36</f>
        <v>0.78562076938076286</v>
      </c>
      <c r="Q515">
        <f>'Revenue Model'!Y36</f>
        <v>0.25659105800130999</v>
      </c>
      <c r="R515">
        <f>'Revenue Model'!Z36</f>
        <v>-0.12260707635009305</v>
      </c>
      <c r="S515">
        <f>'Revenue Model'!AA36</f>
        <v>0.2470710586637237</v>
      </c>
      <c r="T515">
        <f>'Revenue Model'!AB36</f>
        <v>0.15922074532963459</v>
      </c>
      <c r="U515">
        <f>'Revenue Model'!AC36</f>
        <v>0.37367681819738952</v>
      </c>
      <c r="V515">
        <f>'Revenue Model'!AD36</f>
        <v>-0.12189796259475205</v>
      </c>
      <c r="W515">
        <f>'Revenue Model'!AE36</f>
        <v>0.17753981763171311</v>
      </c>
      <c r="X515">
        <f>'Revenue Model'!AF36</f>
        <v>0.1640170844609099</v>
      </c>
      <c r="Y515">
        <f>'Revenue Model'!AG36</f>
        <v>0.25468420692908489</v>
      </c>
      <c r="Z515">
        <f>'Revenue Model'!AH36</f>
        <v>0</v>
      </c>
      <c r="AA515">
        <f>'Revenue Model'!AI36</f>
        <v>0</v>
      </c>
      <c r="AB515">
        <f>'Revenue Model'!AJ36</f>
        <v>0</v>
      </c>
      <c r="AC515">
        <f>'Revenue Model'!AK36</f>
        <v>0</v>
      </c>
      <c r="AD515">
        <f>'Revenue Model'!AL36</f>
        <v>0</v>
      </c>
      <c r="AE515">
        <f>'Revenue Model'!AM36</f>
        <v>0</v>
      </c>
      <c r="AF515">
        <f>'Revenue Model'!AN36</f>
        <v>0</v>
      </c>
      <c r="AG515">
        <f>'Revenue Model'!AO36</f>
        <v>0</v>
      </c>
      <c r="AH515">
        <f>'Revenue Model'!AP36</f>
        <v>0</v>
      </c>
      <c r="AI515">
        <f>'Revenue Model'!AQ36</f>
        <v>0</v>
      </c>
      <c r="AJ515">
        <f>'Revenue Model'!AR36</f>
        <v>0</v>
      </c>
      <c r="AK515">
        <f>'Revenue Model'!AS36</f>
        <v>0</v>
      </c>
      <c r="AL515">
        <f>'Revenue Model'!AT36</f>
        <v>0</v>
      </c>
      <c r="AM515">
        <f>'Revenue Model'!AU36</f>
        <v>0</v>
      </c>
    </row>
    <row r="516" spans="1:39">
      <c r="A516">
        <f>'Revenue Model'!I37</f>
        <v>0</v>
      </c>
      <c r="B516">
        <f>'Revenue Model'!J37</f>
        <v>0</v>
      </c>
      <c r="C516">
        <f>'Revenue Model'!K37</f>
        <v>0</v>
      </c>
      <c r="D516">
        <f>'Revenue Model'!L37</f>
        <v>0</v>
      </c>
      <c r="E516">
        <f>'Revenue Model'!M37</f>
        <v>0</v>
      </c>
      <c r="F516">
        <f>'Revenue Model'!N37</f>
        <v>0</v>
      </c>
      <c r="G516">
        <f>'Revenue Model'!O37</f>
        <v>0</v>
      </c>
      <c r="H516">
        <f>'Revenue Model'!P37</f>
        <v>0</v>
      </c>
      <c r="I516">
        <f>'Revenue Model'!Q37</f>
        <v>0</v>
      </c>
      <c r="J516">
        <f>'Revenue Model'!R37</f>
        <v>0</v>
      </c>
      <c r="K516">
        <f>'Revenue Model'!S37</f>
        <v>0</v>
      </c>
      <c r="L516">
        <f>'Revenue Model'!T37</f>
        <v>0</v>
      </c>
      <c r="M516">
        <f>'Revenue Model'!U37</f>
        <v>0</v>
      </c>
      <c r="N516">
        <f>'Revenue Model'!V37</f>
        <v>0</v>
      </c>
      <c r="O516">
        <f>'Revenue Model'!W37</f>
        <v>0</v>
      </c>
      <c r="P516">
        <f>'Revenue Model'!X37</f>
        <v>0</v>
      </c>
      <c r="Q516">
        <f>'Revenue Model'!Y37</f>
        <v>0</v>
      </c>
      <c r="R516">
        <f>'Revenue Model'!Z37</f>
        <v>0</v>
      </c>
      <c r="S516">
        <f>'Revenue Model'!AA37</f>
        <v>0</v>
      </c>
      <c r="T516">
        <f>'Revenue Model'!AB37</f>
        <v>0</v>
      </c>
      <c r="U516">
        <f>'Revenue Model'!AC37</f>
        <v>0</v>
      </c>
      <c r="V516">
        <f>'Revenue Model'!AD37</f>
        <v>0</v>
      </c>
      <c r="W516">
        <f>'Revenue Model'!AE37</f>
        <v>0</v>
      </c>
      <c r="X516">
        <f>'Revenue Model'!AF37</f>
        <v>0</v>
      </c>
      <c r="Y516">
        <f>'Revenue Model'!AG37</f>
        <v>0</v>
      </c>
      <c r="Z516">
        <f>'Revenue Model'!AH37</f>
        <v>0</v>
      </c>
      <c r="AA516">
        <f>'Revenue Model'!AI37</f>
        <v>0</v>
      </c>
      <c r="AB516">
        <f>'Revenue Model'!AJ37</f>
        <v>0</v>
      </c>
      <c r="AC516">
        <f>'Revenue Model'!AK37</f>
        <v>0</v>
      </c>
      <c r="AD516">
        <f>'Revenue Model'!AL37</f>
        <v>0</v>
      </c>
      <c r="AE516">
        <f>'Revenue Model'!AM37</f>
        <v>0</v>
      </c>
      <c r="AF516">
        <f>'Revenue Model'!AN37</f>
        <v>0</v>
      </c>
      <c r="AG516">
        <f>'Revenue Model'!AO37</f>
        <v>0</v>
      </c>
      <c r="AH516">
        <f>'Revenue Model'!AP37</f>
        <v>0</v>
      </c>
      <c r="AI516">
        <f>'Revenue Model'!AQ37</f>
        <v>0</v>
      </c>
      <c r="AJ516">
        <f>'Revenue Model'!AR37</f>
        <v>0</v>
      </c>
      <c r="AK516">
        <f>'Revenue Model'!AS37</f>
        <v>0</v>
      </c>
      <c r="AL516">
        <f>'Revenue Model'!AT37</f>
        <v>0</v>
      </c>
      <c r="AM516">
        <f>'Revenue Model'!AU37</f>
        <v>0</v>
      </c>
    </row>
    <row r="517" spans="1:39">
      <c r="A517" t="str">
        <f>'Revenue Model'!I38</f>
        <v>Advertising ARPU</v>
      </c>
      <c r="B517">
        <f>'Revenue Model'!J38</f>
        <v>0</v>
      </c>
      <c r="C517">
        <f>'Revenue Model'!K38</f>
        <v>0</v>
      </c>
      <c r="D517">
        <f>'Revenue Model'!L38</f>
        <v>0</v>
      </c>
      <c r="E517">
        <f>'Revenue Model'!M38</f>
        <v>0</v>
      </c>
      <c r="F517">
        <f>'Revenue Model'!N38</f>
        <v>0</v>
      </c>
      <c r="G517">
        <f>'Revenue Model'!O38</f>
        <v>0</v>
      </c>
      <c r="H517">
        <f>'Revenue Model'!P38</f>
        <v>0</v>
      </c>
      <c r="I517">
        <f>'Revenue Model'!Q38</f>
        <v>0</v>
      </c>
      <c r="J517">
        <f>'Revenue Model'!R38</f>
        <v>5.1578947368421051E-2</v>
      </c>
      <c r="K517">
        <f>'Revenue Model'!S38</f>
        <v>6.3095238095238093E-2</v>
      </c>
      <c r="L517">
        <f>'Revenue Model'!T38</f>
        <v>0.18409466152999451</v>
      </c>
      <c r="M517">
        <f>'Revenue Model'!U38</f>
        <v>0.32603886397608378</v>
      </c>
      <c r="N517">
        <f>'Revenue Model'!V38</f>
        <v>0.34033333333333338</v>
      </c>
      <c r="O517">
        <f>'Revenue Model'!W38</f>
        <v>0.54187169811320757</v>
      </c>
      <c r="P517">
        <f>'Revenue Model'!X38</f>
        <v>0.86624324324324331</v>
      </c>
      <c r="Q517">
        <f>'Revenue Model'!Y38</f>
        <v>1.0350144555091549</v>
      </c>
      <c r="R517">
        <f>'Revenue Model'!Z38</f>
        <v>0.87171137835337642</v>
      </c>
      <c r="S517">
        <f>'Revenue Model'!AA38</f>
        <v>1.0368882352941176</v>
      </c>
      <c r="T517">
        <f>'Revenue Model'!AB38</f>
        <v>1.161005681818182</v>
      </c>
      <c r="U517">
        <f>'Revenue Model'!AC38</f>
        <v>1.5380438356164383</v>
      </c>
      <c r="V517">
        <f>'Revenue Model'!AD38</f>
        <v>1.2941147494770098</v>
      </c>
      <c r="W517">
        <f>'Revenue Model'!AE38</f>
        <v>1.4687306277500438</v>
      </c>
      <c r="X517">
        <f>'Revenue Model'!AF38</f>
        <v>1.6514748571599662</v>
      </c>
      <c r="Y517">
        <f>'Revenue Model'!AG38</f>
        <v>2.0049518894205005</v>
      </c>
      <c r="Z517">
        <f>'Revenue Model'!AH38</f>
        <v>0</v>
      </c>
      <c r="AA517">
        <f>'Revenue Model'!AI38</f>
        <v>0</v>
      </c>
      <c r="AB517">
        <f>'Revenue Model'!AJ38</f>
        <v>0</v>
      </c>
      <c r="AC517">
        <f>'Revenue Model'!AK38</f>
        <v>0.66285875706214692</v>
      </c>
      <c r="AD517">
        <f>'Revenue Model'!AL38</f>
        <v>3.0261066969353001</v>
      </c>
      <c r="AE517">
        <f>'Revenue Model'!AM38</f>
        <v>4.6489950767448596</v>
      </c>
      <c r="AF517">
        <f>'Revenue Model'!AN38</f>
        <v>6.4598970149704185</v>
      </c>
      <c r="AG517">
        <f>'Revenue Model'!AO38</f>
        <v>8.5946983586792456</v>
      </c>
      <c r="AH517">
        <f>'Revenue Model'!AP38</f>
        <v>11.017821594729932</v>
      </c>
      <c r="AI517">
        <f>'Revenue Model'!AQ38</f>
        <v>13.718637338166339</v>
      </c>
      <c r="AJ517">
        <f>'Revenue Model'!AR38</f>
        <v>16.598438501322661</v>
      </c>
      <c r="AK517">
        <f>'Revenue Model'!AS38</f>
        <v>19.37660133118327</v>
      </c>
      <c r="AL517">
        <f>'Revenue Model'!AT38</f>
        <v>21.942501341196714</v>
      </c>
      <c r="AM517">
        <f>'Revenue Model'!AU38</f>
        <v>24.313125946141465</v>
      </c>
    </row>
    <row r="518" spans="1:39">
      <c r="A518" t="str">
        <f>'Revenue Model'!I39</f>
        <v>Y/Y % Growth</v>
      </c>
      <c r="B518">
        <f>'Revenue Model'!J39</f>
        <v>0</v>
      </c>
      <c r="C518">
        <f>'Revenue Model'!K39</f>
        <v>0</v>
      </c>
      <c r="D518">
        <f>'Revenue Model'!L39</f>
        <v>0</v>
      </c>
      <c r="E518">
        <f>'Revenue Model'!M39</f>
        <v>0</v>
      </c>
      <c r="F518">
        <f>'Revenue Model'!N39</f>
        <v>0</v>
      </c>
      <c r="G518">
        <f>'Revenue Model'!O39</f>
        <v>0</v>
      </c>
      <c r="H518">
        <f>'Revenue Model'!P39</f>
        <v>0</v>
      </c>
      <c r="I518">
        <f>'Revenue Model'!Q39</f>
        <v>0</v>
      </c>
      <c r="J518">
        <f>'Revenue Model'!R39</f>
        <v>0</v>
      </c>
      <c r="K518">
        <f>'Revenue Model'!S39</f>
        <v>0</v>
      </c>
      <c r="L518">
        <f>'Revenue Model'!T39</f>
        <v>0</v>
      </c>
      <c r="M518">
        <f>'Revenue Model'!U39</f>
        <v>0</v>
      </c>
      <c r="N518">
        <f>'Revenue Model'!V39</f>
        <v>5.5982993197278921</v>
      </c>
      <c r="O518">
        <f>'Revenue Model'!W39</f>
        <v>7.588155215379139</v>
      </c>
      <c r="P518">
        <f>'Revenue Model'!X39</f>
        <v>3.705422938633701</v>
      </c>
      <c r="Q518">
        <f>'Revenue Model'!Y39</f>
        <v>2.1745125194187809</v>
      </c>
      <c r="R518">
        <f>'Revenue Model'!Z39</f>
        <v>1.5613458717533093</v>
      </c>
      <c r="S518">
        <f>'Revenue Model'!AA39</f>
        <v>0.91353089468328608</v>
      </c>
      <c r="T518">
        <f>'Revenue Model'!AB39</f>
        <v>0.34027675352634024</v>
      </c>
      <c r="U518">
        <f>'Revenue Model'!AC39</f>
        <v>0.48601193677032084</v>
      </c>
      <c r="V518">
        <f>'Revenue Model'!AD39</f>
        <v>0.48456792192105413</v>
      </c>
      <c r="W518">
        <f>'Revenue Model'!AE39</f>
        <v>0.41647920938502336</v>
      </c>
      <c r="X518">
        <f>'Revenue Model'!AF39</f>
        <v>0.42245200262387139</v>
      </c>
      <c r="Y518">
        <f>'Revenue Model'!AG39</f>
        <v>0.3035726570282884</v>
      </c>
      <c r="Z518">
        <f>'Revenue Model'!AH39</f>
        <v>0</v>
      </c>
      <c r="AA518">
        <f>'Revenue Model'!AI39</f>
        <v>0</v>
      </c>
      <c r="AB518">
        <f>'Revenue Model'!AJ39</f>
        <v>0</v>
      </c>
      <c r="AC518">
        <f>'Revenue Model'!AK39</f>
        <v>0</v>
      </c>
      <c r="AD518">
        <f>'Revenue Model'!AL39</f>
        <v>0</v>
      </c>
      <c r="AE518">
        <f>'Revenue Model'!AM39</f>
        <v>0.53629582243519214</v>
      </c>
      <c r="AF518">
        <f>'Revenue Model'!AN39</f>
        <v>0.38952545836927821</v>
      </c>
      <c r="AG518">
        <f>'Revenue Model'!AO39</f>
        <v>0.33046987262514471</v>
      </c>
      <c r="AH518">
        <f>'Revenue Model'!AP39</f>
        <v>0.28193231861403567</v>
      </c>
      <c r="AI518">
        <f>'Revenue Model'!AQ39</f>
        <v>0.24513155529113551</v>
      </c>
      <c r="AJ518">
        <f>'Revenue Model'!AR39</f>
        <v>0.20991889297521471</v>
      </c>
      <c r="AK518">
        <f>'Revenue Model'!AS39</f>
        <v>0.16737495094127253</v>
      </c>
      <c r="AL518">
        <f>'Revenue Model'!AT39</f>
        <v>0.13242260426156749</v>
      </c>
      <c r="AM518">
        <f>'Revenue Model'!AU39</f>
        <v>0.10803802939703777</v>
      </c>
    </row>
    <row r="519" spans="1:39">
      <c r="A519">
        <f>'Revenue Model'!I40</f>
        <v>0</v>
      </c>
      <c r="B519">
        <f>'Revenue Model'!J40</f>
        <v>0</v>
      </c>
      <c r="C519">
        <f>'Revenue Model'!K40</f>
        <v>0</v>
      </c>
      <c r="D519">
        <f>'Revenue Model'!L40</f>
        <v>0</v>
      </c>
      <c r="E519">
        <f>'Revenue Model'!M40</f>
        <v>0</v>
      </c>
      <c r="F519">
        <f>'Revenue Model'!N40</f>
        <v>0</v>
      </c>
      <c r="G519">
        <f>'Revenue Model'!O40</f>
        <v>0</v>
      </c>
      <c r="H519">
        <f>'Revenue Model'!P40</f>
        <v>0</v>
      </c>
      <c r="I519">
        <f>'Revenue Model'!Q40</f>
        <v>0</v>
      </c>
      <c r="J519">
        <f>'Revenue Model'!R40</f>
        <v>0</v>
      </c>
      <c r="K519">
        <f>'Revenue Model'!S40</f>
        <v>0</v>
      </c>
      <c r="L519">
        <f>'Revenue Model'!T40</f>
        <v>0</v>
      </c>
      <c r="M519">
        <f>'Revenue Model'!U40</f>
        <v>0</v>
      </c>
      <c r="N519">
        <f>'Revenue Model'!V40</f>
        <v>0</v>
      </c>
      <c r="O519">
        <f>'Revenue Model'!W40</f>
        <v>0</v>
      </c>
      <c r="P519">
        <f>'Revenue Model'!X40</f>
        <v>0</v>
      </c>
      <c r="Q519">
        <f>'Revenue Model'!Y40</f>
        <v>0</v>
      </c>
      <c r="R519">
        <f>'Revenue Model'!Z40</f>
        <v>0</v>
      </c>
      <c r="S519">
        <f>'Revenue Model'!AA40</f>
        <v>0</v>
      </c>
      <c r="T519">
        <f>'Revenue Model'!AB40</f>
        <v>0</v>
      </c>
      <c r="U519">
        <f>'Revenue Model'!AC40</f>
        <v>0</v>
      </c>
      <c r="V519">
        <f>'Revenue Model'!AD40</f>
        <v>0</v>
      </c>
      <c r="W519">
        <f>'Revenue Model'!AE40</f>
        <v>0</v>
      </c>
      <c r="X519">
        <f>'Revenue Model'!AF40</f>
        <v>0</v>
      </c>
      <c r="Y519">
        <f>'Revenue Model'!AG40</f>
        <v>0</v>
      </c>
      <c r="Z519">
        <f>'Revenue Model'!AH40</f>
        <v>0</v>
      </c>
      <c r="AA519">
        <f>'Revenue Model'!AI40</f>
        <v>0</v>
      </c>
      <c r="AB519">
        <f>'Revenue Model'!AJ40</f>
        <v>0</v>
      </c>
      <c r="AC519">
        <f>'Revenue Model'!AK40</f>
        <v>0</v>
      </c>
      <c r="AD519">
        <f>'Revenue Model'!AL40</f>
        <v>0</v>
      </c>
      <c r="AE519">
        <f>'Revenue Model'!AM40</f>
        <v>0</v>
      </c>
      <c r="AF519">
        <f>'Revenue Model'!AN40</f>
        <v>0</v>
      </c>
      <c r="AG519">
        <f>'Revenue Model'!AO40</f>
        <v>0</v>
      </c>
      <c r="AH519">
        <f>'Revenue Model'!AP40</f>
        <v>0</v>
      </c>
      <c r="AI519">
        <f>'Revenue Model'!AQ40</f>
        <v>0</v>
      </c>
      <c r="AJ519">
        <f>'Revenue Model'!AR40</f>
        <v>0</v>
      </c>
      <c r="AK519">
        <f>'Revenue Model'!AS40</f>
        <v>0</v>
      </c>
      <c r="AL519">
        <f>'Revenue Model'!AT40</f>
        <v>0</v>
      </c>
      <c r="AM519">
        <f>'Revenue Model'!AU40</f>
        <v>0</v>
      </c>
    </row>
    <row r="520" spans="1:39">
      <c r="A520">
        <f>'Revenue Model'!I41</f>
        <v>0</v>
      </c>
      <c r="B520">
        <f>'Revenue Model'!J41</f>
        <v>0</v>
      </c>
      <c r="C520">
        <f>'Revenue Model'!K41</f>
        <v>0</v>
      </c>
      <c r="D520">
        <f>'Revenue Model'!L41</f>
        <v>0</v>
      </c>
      <c r="E520">
        <f>'Revenue Model'!M41</f>
        <v>0</v>
      </c>
      <c r="F520">
        <f>'Revenue Model'!N41</f>
        <v>0</v>
      </c>
      <c r="G520">
        <f>'Revenue Model'!O41</f>
        <v>0</v>
      </c>
      <c r="H520">
        <f>'Revenue Model'!P41</f>
        <v>0</v>
      </c>
      <c r="I520">
        <f>'Revenue Model'!Q41</f>
        <v>0</v>
      </c>
      <c r="J520">
        <f>'Revenue Model'!R41</f>
        <v>0</v>
      </c>
      <c r="K520">
        <f>'Revenue Model'!S41</f>
        <v>0</v>
      </c>
      <c r="L520">
        <f>'Revenue Model'!T41</f>
        <v>0</v>
      </c>
      <c r="M520">
        <f>'Revenue Model'!U41</f>
        <v>0</v>
      </c>
      <c r="N520">
        <f>'Revenue Model'!V41</f>
        <v>0</v>
      </c>
      <c r="O520">
        <f>'Revenue Model'!W41</f>
        <v>0</v>
      </c>
      <c r="P520">
        <f>'Revenue Model'!X41</f>
        <v>0</v>
      </c>
      <c r="Q520">
        <f>'Revenue Model'!Y41</f>
        <v>0</v>
      </c>
      <c r="R520">
        <f>'Revenue Model'!Z41</f>
        <v>0</v>
      </c>
      <c r="S520">
        <f>'Revenue Model'!AA41</f>
        <v>0</v>
      </c>
      <c r="T520">
        <f>'Revenue Model'!AB41</f>
        <v>0</v>
      </c>
      <c r="U520">
        <f>'Revenue Model'!AC41</f>
        <v>0</v>
      </c>
      <c r="V520">
        <f>'Revenue Model'!AD41</f>
        <v>0</v>
      </c>
      <c r="W520">
        <f>'Revenue Model'!AE41</f>
        <v>0</v>
      </c>
      <c r="X520">
        <f>'Revenue Model'!AF41</f>
        <v>0</v>
      </c>
      <c r="Y520">
        <f>'Revenue Model'!AG41</f>
        <v>0</v>
      </c>
      <c r="Z520">
        <f>'Revenue Model'!AH41</f>
        <v>0</v>
      </c>
      <c r="AA520">
        <f>'Revenue Model'!AI41</f>
        <v>0</v>
      </c>
      <c r="AB520">
        <f>'Revenue Model'!AJ41</f>
        <v>0</v>
      </c>
      <c r="AC520">
        <f>'Revenue Model'!AK41</f>
        <v>0</v>
      </c>
      <c r="AD520">
        <f>'Revenue Model'!AL41</f>
        <v>0</v>
      </c>
      <c r="AE520">
        <f>'Revenue Model'!AM41</f>
        <v>0</v>
      </c>
      <c r="AF520">
        <f>'Revenue Model'!AN41</f>
        <v>0</v>
      </c>
      <c r="AG520">
        <f>'Revenue Model'!AO41</f>
        <v>0</v>
      </c>
      <c r="AH520">
        <f>'Revenue Model'!AP41</f>
        <v>0</v>
      </c>
      <c r="AI520">
        <f>'Revenue Model'!AQ41</f>
        <v>0</v>
      </c>
      <c r="AJ520">
        <f>'Revenue Model'!AR41</f>
        <v>0</v>
      </c>
      <c r="AK520">
        <f>'Revenue Model'!AS41</f>
        <v>0</v>
      </c>
      <c r="AL520">
        <f>'Revenue Model'!AT41</f>
        <v>0</v>
      </c>
      <c r="AM520">
        <f>'Revenue Model'!AU41</f>
        <v>0</v>
      </c>
    </row>
    <row r="521" spans="1:39">
      <c r="A521" t="str">
        <f>'Revenue Model'!I42</f>
        <v xml:space="preserve">Partner Sold Revenue </v>
      </c>
      <c r="B521">
        <f>'Revenue Model'!J42</f>
        <v>0</v>
      </c>
      <c r="C521">
        <f>'Revenue Model'!K42</f>
        <v>0</v>
      </c>
      <c r="D521">
        <f>'Revenue Model'!L42</f>
        <v>0</v>
      </c>
      <c r="E521">
        <f>'Revenue Model'!M42</f>
        <v>0</v>
      </c>
      <c r="F521">
        <f>'Revenue Model'!N42</f>
        <v>0</v>
      </c>
      <c r="G521">
        <f>'Revenue Model'!O42</f>
        <v>0</v>
      </c>
      <c r="H521">
        <f>'Revenue Model'!P42</f>
        <v>0</v>
      </c>
      <c r="I521">
        <f>'Revenue Model'!Q42</f>
        <v>0</v>
      </c>
      <c r="J521">
        <f>'Revenue Model'!R42</f>
        <v>0.50960000000000005</v>
      </c>
      <c r="K521">
        <f>'Revenue Model'!S42</f>
        <v>0.68899999999999995</v>
      </c>
      <c r="L521">
        <f>'Revenue Model'!T42</f>
        <v>2.1742500000000002</v>
      </c>
      <c r="M521">
        <f>'Revenue Model'!U42</f>
        <v>4.3514940000000006</v>
      </c>
      <c r="N521">
        <f>'Revenue Model'!V42</f>
        <v>3.7</v>
      </c>
      <c r="O521">
        <f>'Revenue Model'!W42</f>
        <v>8.5</v>
      </c>
      <c r="P521">
        <f>'Revenue Model'!X42</f>
        <v>9.6999999999999993</v>
      </c>
      <c r="Q521">
        <f>'Revenue Model'!Y42</f>
        <v>13</v>
      </c>
      <c r="R521">
        <f>'Revenue Model'!Z42</f>
        <v>12.297275999999998</v>
      </c>
      <c r="S521">
        <f>'Revenue Model'!AA42</f>
        <v>11.5</v>
      </c>
      <c r="T521">
        <f>'Revenue Model'!AB42</f>
        <v>12.5</v>
      </c>
      <c r="U521">
        <f>'Revenue Model'!AC42</f>
        <v>12.202724000000003</v>
      </c>
      <c r="V521">
        <f>'Revenue Model'!AD42</f>
        <v>24.647709518539127</v>
      </c>
      <c r="W521">
        <f>'Revenue Model'!AE42</f>
        <v>34.828391245799999</v>
      </c>
      <c r="X521">
        <f>'Revenue Model'!AF42</f>
        <v>40.540842434399998</v>
      </c>
      <c r="Y521">
        <f>'Revenue Model'!AG42</f>
        <v>50.865954738042149</v>
      </c>
      <c r="Z521">
        <f>'Revenue Model'!AH42</f>
        <v>0</v>
      </c>
      <c r="AA521">
        <f>'Revenue Model'!AI42</f>
        <v>0</v>
      </c>
      <c r="AB521">
        <f>'Revenue Model'!AJ42</f>
        <v>0</v>
      </c>
      <c r="AC521">
        <f>'Revenue Model'!AK42</f>
        <v>7.7243440000000003</v>
      </c>
      <c r="AD521">
        <f>'Revenue Model'!AL42</f>
        <v>34.9</v>
      </c>
      <c r="AE521">
        <f>'Revenue Model'!AM42</f>
        <v>48.5</v>
      </c>
      <c r="AF521">
        <f>'Revenue Model'!AN42</f>
        <v>150.88289793678126</v>
      </c>
      <c r="AG521">
        <f>'Revenue Model'!AO42</f>
        <v>257.44229960287515</v>
      </c>
      <c r="AH521">
        <f>'Revenue Model'!AP42</f>
        <v>409.02972419438856</v>
      </c>
      <c r="AI521">
        <f>'Revenue Model'!AQ42</f>
        <v>613.49573102354088</v>
      </c>
      <c r="AJ521">
        <f>'Revenue Model'!AR42</f>
        <v>873.39757859049269</v>
      </c>
      <c r="AK521">
        <f>'Revenue Model'!AS42</f>
        <v>1177.1181430273807</v>
      </c>
      <c r="AL521">
        <f>'Revenue Model'!AT42</f>
        <v>1515.3219020511492</v>
      </c>
      <c r="AM521">
        <f>'Revenue Model'!AU42</f>
        <v>1888.7291675578799</v>
      </c>
    </row>
    <row r="522" spans="1:39">
      <c r="A522" t="str">
        <f>'Revenue Model'!I43</f>
        <v xml:space="preserve">% of Ad Revenue </v>
      </c>
      <c r="B522">
        <f>'Revenue Model'!J43</f>
        <v>0</v>
      </c>
      <c r="C522">
        <f>'Revenue Model'!K43</f>
        <v>0</v>
      </c>
      <c r="D522">
        <f>'Revenue Model'!L43</f>
        <v>0</v>
      </c>
      <c r="E522">
        <f>'Revenue Model'!M43</f>
        <v>0</v>
      </c>
      <c r="F522">
        <f>'Revenue Model'!N43</f>
        <v>0</v>
      </c>
      <c r="G522">
        <f>'Revenue Model'!O43</f>
        <v>0</v>
      </c>
      <c r="H522">
        <f>'Revenue Model'!P43</f>
        <v>0</v>
      </c>
      <c r="I522">
        <f>'Revenue Model'!Q43</f>
        <v>0</v>
      </c>
      <c r="J522">
        <f>'Revenue Model'!R43</f>
        <v>0.13</v>
      </c>
      <c r="K522">
        <f>'Revenue Model'!S43</f>
        <v>0.13</v>
      </c>
      <c r="L522">
        <f>'Revenue Model'!T43</f>
        <v>0.13</v>
      </c>
      <c r="M522">
        <f>'Revenue Model'!U43</f>
        <v>0.13300000000000001</v>
      </c>
      <c r="N522">
        <f>'Revenue Model'!V43</f>
        <v>9.5365740502087737E-2</v>
      </c>
      <c r="O522">
        <f>'Revenue Model'!W43</f>
        <v>0.1183876988216942</v>
      </c>
      <c r="P522">
        <f>'Revenue Model'!X43</f>
        <v>7.5660665813859149E-2</v>
      </c>
      <c r="Q522">
        <f>'Revenue Model'!Y43</f>
        <v>8.0695220360024841E-2</v>
      </c>
      <c r="R522">
        <f>'Revenue Model'!Z43</f>
        <v>8.6999999999999994E-2</v>
      </c>
      <c r="S522">
        <f>'Revenue Model'!AA43</f>
        <v>6.5240453619710564E-2</v>
      </c>
      <c r="T522">
        <f>'Revenue Model'!AB43</f>
        <v>6.117345365743844E-2</v>
      </c>
      <c r="U522">
        <f>'Revenue Model'!AC43</f>
        <v>4.3473560081655059E-2</v>
      </c>
      <c r="V522">
        <f>'Revenue Model'!AD43</f>
        <v>0.1</v>
      </c>
      <c r="W522">
        <f>'Revenue Model'!AE43</f>
        <v>0.12</v>
      </c>
      <c r="X522">
        <f>'Revenue Model'!AF43</f>
        <v>0.12</v>
      </c>
      <c r="Y522">
        <f>'Revenue Model'!AG43</f>
        <v>0.12</v>
      </c>
      <c r="Z522">
        <f>'Revenue Model'!AH43</f>
        <v>0</v>
      </c>
      <c r="AA522">
        <f>'Revenue Model'!AI43</f>
        <v>0</v>
      </c>
      <c r="AB522">
        <f>'Revenue Model'!AJ43</f>
        <v>0</v>
      </c>
      <c r="AC522">
        <f>'Revenue Model'!AK43</f>
        <v>0.13167318411946202</v>
      </c>
      <c r="AD522">
        <f>'Revenue Model'!AL43</f>
        <v>8.7271817954488642E-2</v>
      </c>
      <c r="AE522">
        <f>'Revenue Model'!AM43</f>
        <v>6.0424917990304604E-2</v>
      </c>
      <c r="AF522">
        <f>'Revenue Model'!AN43</f>
        <v>0.11620348010049437</v>
      </c>
      <c r="AG522">
        <f>'Revenue Model'!AO43</f>
        <v>0.13120348010049437</v>
      </c>
      <c r="AH522">
        <f>'Revenue Model'!AP43</f>
        <v>0.14620348010049439</v>
      </c>
      <c r="AI522">
        <f>'Revenue Model'!AQ43</f>
        <v>0.1612034801004944</v>
      </c>
      <c r="AJ522">
        <f>'Revenue Model'!AR43</f>
        <v>0.17620348010049441</v>
      </c>
      <c r="AK522">
        <f>'Revenue Model'!AS43</f>
        <v>0.19120348010049443</v>
      </c>
      <c r="AL522">
        <f>'Revenue Model'!AT43</f>
        <v>0.20620348010049444</v>
      </c>
      <c r="AM522">
        <f>'Revenue Model'!AU43</f>
        <v>0.22120348010049445</v>
      </c>
    </row>
    <row r="523" spans="1:39">
      <c r="A523" t="str">
        <f>'Revenue Model'!I44</f>
        <v>Y/Y % Growth</v>
      </c>
      <c r="B523">
        <f>'Revenue Model'!J44</f>
        <v>0</v>
      </c>
      <c r="C523">
        <f>'Revenue Model'!K44</f>
        <v>0</v>
      </c>
      <c r="D523">
        <f>'Revenue Model'!L44</f>
        <v>0</v>
      </c>
      <c r="E523">
        <f>'Revenue Model'!M44</f>
        <v>0</v>
      </c>
      <c r="F523">
        <f>'Revenue Model'!N44</f>
        <v>0</v>
      </c>
      <c r="G523">
        <f>'Revenue Model'!O44</f>
        <v>0</v>
      </c>
      <c r="H523">
        <f>'Revenue Model'!P44</f>
        <v>0</v>
      </c>
      <c r="I523">
        <f>'Revenue Model'!Q44</f>
        <v>0</v>
      </c>
      <c r="J523">
        <f>'Revenue Model'!R44</f>
        <v>0</v>
      </c>
      <c r="K523">
        <f>'Revenue Model'!S44</f>
        <v>0</v>
      </c>
      <c r="L523">
        <f>'Revenue Model'!T44</f>
        <v>0</v>
      </c>
      <c r="M523">
        <f>'Revenue Model'!U44</f>
        <v>0</v>
      </c>
      <c r="N523">
        <f>'Revenue Model'!V44</f>
        <v>6.2605965463108317</v>
      </c>
      <c r="O523">
        <f>'Revenue Model'!W44</f>
        <v>11.336719883889696</v>
      </c>
      <c r="P523">
        <f>'Revenue Model'!X44</f>
        <v>3.4613084971829355</v>
      </c>
      <c r="Q523">
        <f>'Revenue Model'!Y44</f>
        <v>1.9874797023734834</v>
      </c>
      <c r="R523">
        <f>'Revenue Model'!Z44</f>
        <v>2.3235881081081073</v>
      </c>
      <c r="S523">
        <f>'Revenue Model'!AA44</f>
        <v>0.35294117647058831</v>
      </c>
      <c r="T523">
        <f>'Revenue Model'!AB44</f>
        <v>0.28865979381443307</v>
      </c>
      <c r="U523">
        <f>'Revenue Model'!AC44</f>
        <v>-6.1328923076922837E-2</v>
      </c>
      <c r="V523">
        <f>'Revenue Model'!AD44</f>
        <v>1.0043227067961338</v>
      </c>
      <c r="W523">
        <f>'Revenue Model'!AE44</f>
        <v>2.0285557605043478</v>
      </c>
      <c r="X523">
        <f>'Revenue Model'!AF44</f>
        <v>2.2432673947519999</v>
      </c>
      <c r="Y523">
        <f>'Revenue Model'!AG44</f>
        <v>3.1684098352172949</v>
      </c>
      <c r="Z523">
        <f>'Revenue Model'!AH44</f>
        <v>0</v>
      </c>
      <c r="AA523">
        <f>'Revenue Model'!AI44</f>
        <v>0</v>
      </c>
      <c r="AB523">
        <f>'Revenue Model'!AJ44</f>
        <v>0</v>
      </c>
      <c r="AC523">
        <f>'Revenue Model'!AK44</f>
        <v>0</v>
      </c>
      <c r="AD523">
        <f>'Revenue Model'!AL44</f>
        <v>3.5181830327598043</v>
      </c>
      <c r="AE523">
        <f>'Revenue Model'!AM44</f>
        <v>0.38968481375358177</v>
      </c>
      <c r="AF523">
        <f>'Revenue Model'!AN44</f>
        <v>2.1109875863253866</v>
      </c>
      <c r="AG523">
        <f>'Revenue Model'!AO44</f>
        <v>0.7062390974936168</v>
      </c>
      <c r="AH523">
        <f>'Revenue Model'!AP44</f>
        <v>0.58882097007892198</v>
      </c>
      <c r="AI523">
        <f>'Revenue Model'!AQ44</f>
        <v>0.49988055814736154</v>
      </c>
      <c r="AJ523">
        <f>'Revenue Model'!AR44</f>
        <v>0.42364084120575396</v>
      </c>
      <c r="AK523">
        <f>'Revenue Model'!AS44</f>
        <v>0.3477460573305442</v>
      </c>
      <c r="AL523">
        <f>'Revenue Model'!AT44</f>
        <v>0.28731505076793429</v>
      </c>
      <c r="AM523">
        <f>'Revenue Model'!AU44</f>
        <v>0.24642108386428285</v>
      </c>
    </row>
    <row r="524" spans="1:39">
      <c r="A524">
        <f>'Revenue Model'!I45</f>
        <v>0</v>
      </c>
      <c r="B524">
        <f>'Revenue Model'!J45</f>
        <v>0</v>
      </c>
      <c r="C524">
        <f>'Revenue Model'!K45</f>
        <v>0</v>
      </c>
      <c r="D524">
        <f>'Revenue Model'!L45</f>
        <v>0</v>
      </c>
      <c r="E524">
        <f>'Revenue Model'!M45</f>
        <v>0</v>
      </c>
      <c r="F524">
        <f>'Revenue Model'!N45</f>
        <v>0</v>
      </c>
      <c r="G524">
        <f>'Revenue Model'!O45</f>
        <v>0</v>
      </c>
      <c r="H524">
        <f>'Revenue Model'!P45</f>
        <v>0</v>
      </c>
      <c r="I524">
        <f>'Revenue Model'!Q45</f>
        <v>0</v>
      </c>
      <c r="J524">
        <f>'Revenue Model'!R45</f>
        <v>0</v>
      </c>
      <c r="K524">
        <f>'Revenue Model'!S45</f>
        <v>0</v>
      </c>
      <c r="L524">
        <f>'Revenue Model'!T45</f>
        <v>0</v>
      </c>
      <c r="M524">
        <f>'Revenue Model'!U45</f>
        <v>0</v>
      </c>
      <c r="N524">
        <f>'Revenue Model'!V45</f>
        <v>0</v>
      </c>
      <c r="O524">
        <f>'Revenue Model'!W45</f>
        <v>0</v>
      </c>
      <c r="P524">
        <f>'Revenue Model'!X45</f>
        <v>0</v>
      </c>
      <c r="Q524">
        <f>'Revenue Model'!Y45</f>
        <v>0</v>
      </c>
      <c r="R524">
        <f>'Revenue Model'!Z45</f>
        <v>0</v>
      </c>
      <c r="S524">
        <f>'Revenue Model'!AA45</f>
        <v>0</v>
      </c>
      <c r="T524">
        <f>'Revenue Model'!AB45</f>
        <v>0</v>
      </c>
      <c r="U524">
        <f>'Revenue Model'!AC45</f>
        <v>0</v>
      </c>
      <c r="V524">
        <f>'Revenue Model'!AD45</f>
        <v>0</v>
      </c>
      <c r="W524">
        <f>'Revenue Model'!AE45</f>
        <v>0</v>
      </c>
      <c r="X524">
        <f>'Revenue Model'!AF45</f>
        <v>0</v>
      </c>
      <c r="Y524">
        <f>'Revenue Model'!AG45</f>
        <v>0</v>
      </c>
      <c r="Z524">
        <f>'Revenue Model'!AH45</f>
        <v>0</v>
      </c>
      <c r="AA524">
        <f>'Revenue Model'!AI45</f>
        <v>0</v>
      </c>
      <c r="AB524">
        <f>'Revenue Model'!AJ45</f>
        <v>0</v>
      </c>
      <c r="AC524">
        <f>'Revenue Model'!AK45</f>
        <v>0</v>
      </c>
      <c r="AD524">
        <f>'Revenue Model'!AL45</f>
        <v>0</v>
      </c>
      <c r="AE524">
        <f>'Revenue Model'!AM45</f>
        <v>0</v>
      </c>
      <c r="AF524">
        <f>'Revenue Model'!AN45</f>
        <v>0</v>
      </c>
      <c r="AG524">
        <f>'Revenue Model'!AO45</f>
        <v>0</v>
      </c>
      <c r="AH524">
        <f>'Revenue Model'!AP45</f>
        <v>0</v>
      </c>
      <c r="AI524">
        <f>'Revenue Model'!AQ45</f>
        <v>0</v>
      </c>
      <c r="AJ524">
        <f>'Revenue Model'!AR45</f>
        <v>0</v>
      </c>
      <c r="AK524">
        <f>'Revenue Model'!AS45</f>
        <v>0</v>
      </c>
      <c r="AL524">
        <f>'Revenue Model'!AT45</f>
        <v>0</v>
      </c>
      <c r="AM524">
        <f>'Revenue Model'!AU45</f>
        <v>0</v>
      </c>
    </row>
    <row r="525" spans="1:39">
      <c r="A525">
        <f>'Revenue Model'!I46</f>
        <v>0</v>
      </c>
      <c r="B525">
        <f>'Revenue Model'!J46</f>
        <v>0</v>
      </c>
      <c r="C525">
        <f>'Revenue Model'!K46</f>
        <v>0</v>
      </c>
      <c r="D525">
        <f>'Revenue Model'!L46</f>
        <v>0</v>
      </c>
      <c r="E525">
        <f>'Revenue Model'!M46</f>
        <v>0</v>
      </c>
      <c r="F525">
        <f>'Revenue Model'!N46</f>
        <v>0</v>
      </c>
      <c r="G525">
        <f>'Revenue Model'!O46</f>
        <v>0</v>
      </c>
      <c r="H525">
        <f>'Revenue Model'!P46</f>
        <v>0</v>
      </c>
      <c r="I525">
        <f>'Revenue Model'!Q46</f>
        <v>0</v>
      </c>
      <c r="J525">
        <f>'Revenue Model'!R46</f>
        <v>0</v>
      </c>
      <c r="K525">
        <f>'Revenue Model'!S46</f>
        <v>0</v>
      </c>
      <c r="L525">
        <f>'Revenue Model'!T46</f>
        <v>0</v>
      </c>
      <c r="M525">
        <f>'Revenue Model'!U46</f>
        <v>0</v>
      </c>
      <c r="N525">
        <f>'Revenue Model'!V46</f>
        <v>0</v>
      </c>
      <c r="O525">
        <f>'Revenue Model'!W46</f>
        <v>0</v>
      </c>
      <c r="P525">
        <f>'Revenue Model'!X46</f>
        <v>0</v>
      </c>
      <c r="Q525">
        <f>'Revenue Model'!Y46</f>
        <v>0</v>
      </c>
      <c r="R525">
        <f>'Revenue Model'!Z46</f>
        <v>0</v>
      </c>
      <c r="S525">
        <f>'Revenue Model'!AA46</f>
        <v>0</v>
      </c>
      <c r="T525">
        <f>'Revenue Model'!AB46</f>
        <v>0</v>
      </c>
      <c r="U525">
        <f>'Revenue Model'!AC46</f>
        <v>0</v>
      </c>
      <c r="V525">
        <f>'Revenue Model'!AD46</f>
        <v>0</v>
      </c>
      <c r="W525">
        <f>'Revenue Model'!AE46</f>
        <v>0</v>
      </c>
      <c r="X525">
        <f>'Revenue Model'!AF46</f>
        <v>0</v>
      </c>
      <c r="Y525">
        <f>'Revenue Model'!AG46</f>
        <v>0</v>
      </c>
      <c r="Z525">
        <f>'Revenue Model'!AH46</f>
        <v>0</v>
      </c>
      <c r="AA525">
        <f>'Revenue Model'!AI46</f>
        <v>0</v>
      </c>
      <c r="AB525">
        <f>'Revenue Model'!AJ46</f>
        <v>0</v>
      </c>
      <c r="AC525">
        <f>'Revenue Model'!AK46</f>
        <v>0</v>
      </c>
      <c r="AD525">
        <f>'Revenue Model'!AL46</f>
        <v>0</v>
      </c>
      <c r="AE525">
        <f>'Revenue Model'!AM46</f>
        <v>0</v>
      </c>
      <c r="AF525">
        <f>'Revenue Model'!AN46</f>
        <v>0</v>
      </c>
      <c r="AG525">
        <f>'Revenue Model'!AO46</f>
        <v>0</v>
      </c>
      <c r="AH525">
        <f>'Revenue Model'!AP46</f>
        <v>0</v>
      </c>
      <c r="AI525">
        <f>'Revenue Model'!AQ46</f>
        <v>0</v>
      </c>
      <c r="AJ525">
        <f>'Revenue Model'!AR46</f>
        <v>0</v>
      </c>
      <c r="AK525">
        <f>'Revenue Model'!AS46</f>
        <v>0</v>
      </c>
      <c r="AL525">
        <f>'Revenue Model'!AT46</f>
        <v>0</v>
      </c>
      <c r="AM525">
        <f>'Revenue Model'!AU46</f>
        <v>0</v>
      </c>
    </row>
    <row r="526" spans="1:39">
      <c r="A526" t="str">
        <f>'Revenue Model'!I47</f>
        <v>Snap Sold Revenue</v>
      </c>
      <c r="B526">
        <f>'Revenue Model'!J47</f>
        <v>0</v>
      </c>
      <c r="C526">
        <f>'Revenue Model'!K47</f>
        <v>0</v>
      </c>
      <c r="D526">
        <f>'Revenue Model'!L47</f>
        <v>0</v>
      </c>
      <c r="E526">
        <f>'Revenue Model'!M47</f>
        <v>0</v>
      </c>
      <c r="F526">
        <f>'Revenue Model'!N47</f>
        <v>0</v>
      </c>
      <c r="G526">
        <f>'Revenue Model'!O47</f>
        <v>0</v>
      </c>
      <c r="H526">
        <f>'Revenue Model'!P47</f>
        <v>0</v>
      </c>
      <c r="I526">
        <f>'Revenue Model'!Q47</f>
        <v>0</v>
      </c>
      <c r="J526">
        <f>'Revenue Model'!R47</f>
        <v>3.4104000000000001</v>
      </c>
      <c r="K526">
        <f>'Revenue Model'!S47</f>
        <v>4.6109999999999998</v>
      </c>
      <c r="L526">
        <f>'Revenue Model'!T47</f>
        <v>14.550750000000001</v>
      </c>
      <c r="M526">
        <f>'Revenue Model'!U47</f>
        <v>28.366506000000001</v>
      </c>
      <c r="N526">
        <f>'Revenue Model'!V47</f>
        <v>35.097999999999999</v>
      </c>
      <c r="O526">
        <f>'Revenue Model'!W47</f>
        <v>63.298000000000002</v>
      </c>
      <c r="P526">
        <f>'Revenue Model'!X47</f>
        <v>118.504</v>
      </c>
      <c r="Q526">
        <f>'Revenue Model'!Y47</f>
        <v>148.09999999999997</v>
      </c>
      <c r="R526">
        <f>'Revenue Model'!Z47</f>
        <v>129.05072399999997</v>
      </c>
      <c r="S526">
        <f>'Revenue Model'!AA47</f>
        <v>164.77099999999999</v>
      </c>
      <c r="T526">
        <f>'Revenue Model'!AB47</f>
        <v>191.83700000000002</v>
      </c>
      <c r="U526">
        <f>'Revenue Model'!AC47</f>
        <v>268.49027599999999</v>
      </c>
      <c r="V526">
        <f>'Revenue Model'!AD47</f>
        <v>221.82938566685212</v>
      </c>
      <c r="W526">
        <f>'Revenue Model'!AE47</f>
        <v>255.40820246920003</v>
      </c>
      <c r="X526">
        <f>'Revenue Model'!AF47</f>
        <v>297.29951118559995</v>
      </c>
      <c r="Y526">
        <f>'Revenue Model'!AG47</f>
        <v>373.01700141230913</v>
      </c>
      <c r="Z526">
        <f>'Revenue Model'!AH47</f>
        <v>0</v>
      </c>
      <c r="AA526">
        <f>'Revenue Model'!AI47</f>
        <v>0</v>
      </c>
      <c r="AB526">
        <f>'Revenue Model'!AJ47</f>
        <v>0</v>
      </c>
      <c r="AC526">
        <f>'Revenue Model'!AK47</f>
        <v>50.938656000000002</v>
      </c>
      <c r="AD526">
        <f>'Revenue Model'!AL47</f>
        <v>364.99999999999994</v>
      </c>
      <c r="AE526">
        <f>'Revenue Model'!AM47</f>
        <v>754.149</v>
      </c>
      <c r="AF526">
        <f>'Revenue Model'!AN47</f>
        <v>1147.5541007339611</v>
      </c>
      <c r="AG526">
        <f>'Revenue Model'!AO47</f>
        <v>1704.7183031927902</v>
      </c>
      <c r="AH526">
        <f>'Revenue Model'!AP47</f>
        <v>2388.6446123756987</v>
      </c>
      <c r="AI526">
        <f>'Revenue Model'!AQ47</f>
        <v>3192.2268913484268</v>
      </c>
      <c r="AJ526">
        <f>'Revenue Model'!AR47</f>
        <v>4083.357975229253</v>
      </c>
      <c r="AK526">
        <f>'Revenue Model'!AS47</f>
        <v>4979.2454462163942</v>
      </c>
      <c r="AL526">
        <f>'Revenue Model'!AT47</f>
        <v>5833.3508813211229</v>
      </c>
      <c r="AM526">
        <f>'Revenue Model'!AU47</f>
        <v>6649.6951226016408</v>
      </c>
    </row>
    <row r="527" spans="1:39">
      <c r="A527" t="str">
        <f>'Revenue Model'!I48</f>
        <v xml:space="preserve">% of Ad Revenue </v>
      </c>
      <c r="B527">
        <f>'Revenue Model'!J48</f>
        <v>0</v>
      </c>
      <c r="C527">
        <f>'Revenue Model'!K48</f>
        <v>0</v>
      </c>
      <c r="D527">
        <f>'Revenue Model'!L48</f>
        <v>0</v>
      </c>
      <c r="E527">
        <f>'Revenue Model'!M48</f>
        <v>0</v>
      </c>
      <c r="F527">
        <f>'Revenue Model'!N48</f>
        <v>0</v>
      </c>
      <c r="G527">
        <f>'Revenue Model'!O48</f>
        <v>0</v>
      </c>
      <c r="H527">
        <f>'Revenue Model'!P48</f>
        <v>0</v>
      </c>
      <c r="I527">
        <f>'Revenue Model'!Q48</f>
        <v>0</v>
      </c>
      <c r="J527">
        <f>'Revenue Model'!R48</f>
        <v>0.87</v>
      </c>
      <c r="K527">
        <f>'Revenue Model'!S48</f>
        <v>0.87</v>
      </c>
      <c r="L527">
        <f>'Revenue Model'!T48</f>
        <v>0.87</v>
      </c>
      <c r="M527">
        <f>'Revenue Model'!U48</f>
        <v>0.86699999999999999</v>
      </c>
      <c r="N527">
        <f>'Revenue Model'!V48</f>
        <v>0.90463425949791221</v>
      </c>
      <c r="O527">
        <f>'Revenue Model'!W48</f>
        <v>0.8816123011783058</v>
      </c>
      <c r="P527">
        <f>'Revenue Model'!X48</f>
        <v>0.92433933418614078</v>
      </c>
      <c r="Q527">
        <f>'Revenue Model'!Y48</f>
        <v>0.91930477963997514</v>
      </c>
      <c r="R527">
        <f>'Revenue Model'!Z48</f>
        <v>0.91299999999999992</v>
      </c>
      <c r="S527">
        <f>'Revenue Model'!AA48</f>
        <v>0.93475954638028946</v>
      </c>
      <c r="T527">
        <f>'Revenue Model'!AB48</f>
        <v>0.93882654634256157</v>
      </c>
      <c r="U527">
        <f>'Revenue Model'!AC48</f>
        <v>0.95652643991834496</v>
      </c>
      <c r="V527">
        <f>'Revenue Model'!AD48</f>
        <v>0.9</v>
      </c>
      <c r="W527">
        <f>'Revenue Model'!AE48</f>
        <v>0.88</v>
      </c>
      <c r="X527">
        <f>'Revenue Model'!AF48</f>
        <v>0.87999999999999989</v>
      </c>
      <c r="Y527">
        <f>'Revenue Model'!AG48</f>
        <v>0.88</v>
      </c>
      <c r="Z527">
        <f>'Revenue Model'!AH48</f>
        <v>0</v>
      </c>
      <c r="AA527">
        <f>'Revenue Model'!AI48</f>
        <v>0</v>
      </c>
      <c r="AB527">
        <f>'Revenue Model'!AJ48</f>
        <v>0</v>
      </c>
      <c r="AC527">
        <f>'Revenue Model'!AK48</f>
        <v>0.86832681588053795</v>
      </c>
      <c r="AD527">
        <f>'Revenue Model'!AL48</f>
        <v>0.91272818204551143</v>
      </c>
      <c r="AE527">
        <f>'Revenue Model'!AM48</f>
        <v>0.93957508200969542</v>
      </c>
      <c r="AF527">
        <f>'Revenue Model'!AN48</f>
        <v>0.88379651989950558</v>
      </c>
      <c r="AG527">
        <f>'Revenue Model'!AO48</f>
        <v>0.86879651989950557</v>
      </c>
      <c r="AH527">
        <f>'Revenue Model'!AP48</f>
        <v>0.85379651989950567</v>
      </c>
      <c r="AI527">
        <f>'Revenue Model'!AQ48</f>
        <v>0.83879651989950554</v>
      </c>
      <c r="AJ527">
        <f>'Revenue Model'!AR48</f>
        <v>0.82379651989950564</v>
      </c>
      <c r="AK527">
        <f>'Revenue Model'!AS48</f>
        <v>0.80879651989950552</v>
      </c>
      <c r="AL527">
        <f>'Revenue Model'!AT48</f>
        <v>0.79379651989950561</v>
      </c>
      <c r="AM527">
        <f>'Revenue Model'!AU48</f>
        <v>0.7787965198995056</v>
      </c>
    </row>
    <row r="528" spans="1:39">
      <c r="A528" t="str">
        <f>'Revenue Model'!I49</f>
        <v>Y/Y % Growth</v>
      </c>
      <c r="B528">
        <f>'Revenue Model'!J49</f>
        <v>0</v>
      </c>
      <c r="C528">
        <f>'Revenue Model'!K49</f>
        <v>0</v>
      </c>
      <c r="D528">
        <f>'Revenue Model'!L49</f>
        <v>0</v>
      </c>
      <c r="E528">
        <f>'Revenue Model'!M49</f>
        <v>0</v>
      </c>
      <c r="F528">
        <f>'Revenue Model'!N49</f>
        <v>0</v>
      </c>
      <c r="G528">
        <f>'Revenue Model'!O49</f>
        <v>0</v>
      </c>
      <c r="H528">
        <f>'Revenue Model'!P49</f>
        <v>0</v>
      </c>
      <c r="I528">
        <f>'Revenue Model'!Q49</f>
        <v>0</v>
      </c>
      <c r="J528">
        <f>'Revenue Model'!R49</f>
        <v>0</v>
      </c>
      <c r="K528">
        <f>'Revenue Model'!S49</f>
        <v>0</v>
      </c>
      <c r="L528">
        <f>'Revenue Model'!T49</f>
        <v>0</v>
      </c>
      <c r="M528">
        <f>'Revenue Model'!U49</f>
        <v>0</v>
      </c>
      <c r="N528">
        <f>'Revenue Model'!V49</f>
        <v>9.291461412151067</v>
      </c>
      <c r="O528">
        <f>'Revenue Model'!W49</f>
        <v>12.727607894166125</v>
      </c>
      <c r="P528">
        <f>'Revenue Model'!X49</f>
        <v>7.1441850076456532</v>
      </c>
      <c r="Q528">
        <f>'Revenue Model'!Y49</f>
        <v>4.2209461397889454</v>
      </c>
      <c r="R528">
        <f>'Revenue Model'!Z49</f>
        <v>2.676868311584705</v>
      </c>
      <c r="S528">
        <f>'Revenue Model'!AA49</f>
        <v>1.603099624000758</v>
      </c>
      <c r="T528">
        <f>'Revenue Model'!AB49</f>
        <v>0.61882299331668134</v>
      </c>
      <c r="U528">
        <f>'Revenue Model'!AC49</f>
        <v>0.81289855503038533</v>
      </c>
      <c r="V528">
        <f>'Revenue Model'!AD49</f>
        <v>0.71893174087773559</v>
      </c>
      <c r="W528">
        <f>'Revenue Model'!AE49</f>
        <v>0.55007982271880396</v>
      </c>
      <c r="X528">
        <f>'Revenue Model'!AF49</f>
        <v>0.54975062780172723</v>
      </c>
      <c r="Y528">
        <f>'Revenue Model'!AG49</f>
        <v>0.38931289046873774</v>
      </c>
      <c r="Z528">
        <f>'Revenue Model'!AH49</f>
        <v>0</v>
      </c>
      <c r="AA528">
        <f>'Revenue Model'!AI49</f>
        <v>0</v>
      </c>
      <c r="AB528">
        <f>'Revenue Model'!AJ49</f>
        <v>0</v>
      </c>
      <c r="AC528">
        <f>'Revenue Model'!AK49</f>
        <v>0</v>
      </c>
      <c r="AD528">
        <f>'Revenue Model'!AL49</f>
        <v>6.1654815549118522</v>
      </c>
      <c r="AE528">
        <f>'Revenue Model'!AM49</f>
        <v>1.066161643835617</v>
      </c>
      <c r="AF528">
        <f>'Revenue Model'!AN49</f>
        <v>0.52165434248929743</v>
      </c>
      <c r="AG528">
        <f>'Revenue Model'!AO49</f>
        <v>0.48552325515849226</v>
      </c>
      <c r="AH528">
        <f>'Revenue Model'!AP49</f>
        <v>0.401196084949621</v>
      </c>
      <c r="AI528">
        <f>'Revenue Model'!AQ49</f>
        <v>0.33641768005559491</v>
      </c>
      <c r="AJ528">
        <f>'Revenue Model'!AR49</f>
        <v>0.27915656192733973</v>
      </c>
      <c r="AK528">
        <f>'Revenue Model'!AS49</f>
        <v>0.21939968928069375</v>
      </c>
      <c r="AL528">
        <f>'Revenue Model'!AT49</f>
        <v>0.17153310563425683</v>
      </c>
      <c r="AM528">
        <f>'Revenue Model'!AU49</f>
        <v>0.1399443060924932</v>
      </c>
    </row>
    <row r="529" spans="1:39">
      <c r="A529">
        <f>'Revenue Model'!I50</f>
        <v>0</v>
      </c>
      <c r="B529">
        <f>'Revenue Model'!J50</f>
        <v>0</v>
      </c>
      <c r="C529">
        <f>'Revenue Model'!K50</f>
        <v>0</v>
      </c>
      <c r="D529">
        <f>'Revenue Model'!L50</f>
        <v>0</v>
      </c>
      <c r="E529">
        <f>'Revenue Model'!M50</f>
        <v>0</v>
      </c>
      <c r="F529">
        <f>'Revenue Model'!N50</f>
        <v>0</v>
      </c>
      <c r="G529">
        <f>'Revenue Model'!O50</f>
        <v>0</v>
      </c>
      <c r="H529">
        <f>'Revenue Model'!P50</f>
        <v>0</v>
      </c>
      <c r="I529">
        <f>'Revenue Model'!Q50</f>
        <v>0</v>
      </c>
      <c r="J529">
        <f>'Revenue Model'!R50</f>
        <v>0</v>
      </c>
      <c r="K529">
        <f>'Revenue Model'!S50</f>
        <v>0</v>
      </c>
      <c r="L529">
        <f>'Revenue Model'!T50</f>
        <v>0</v>
      </c>
      <c r="M529">
        <f>'Revenue Model'!U50</f>
        <v>0</v>
      </c>
      <c r="N529">
        <f>'Revenue Model'!V50</f>
        <v>0</v>
      </c>
      <c r="O529">
        <f>'Revenue Model'!W50</f>
        <v>0</v>
      </c>
      <c r="P529">
        <f>'Revenue Model'!X50</f>
        <v>0</v>
      </c>
      <c r="Q529">
        <f>'Revenue Model'!Y50</f>
        <v>0</v>
      </c>
      <c r="R529">
        <f>'Revenue Model'!Z50</f>
        <v>0</v>
      </c>
      <c r="S529">
        <f>'Revenue Model'!AA50</f>
        <v>0</v>
      </c>
      <c r="T529">
        <f>'Revenue Model'!AB50</f>
        <v>0</v>
      </c>
      <c r="U529">
        <f>'Revenue Model'!AC50</f>
        <v>0</v>
      </c>
      <c r="V529">
        <f>'Revenue Model'!AD50</f>
        <v>0</v>
      </c>
      <c r="W529">
        <f>'Revenue Model'!AE50</f>
        <v>0</v>
      </c>
      <c r="X529">
        <f>'Revenue Model'!AF50</f>
        <v>0</v>
      </c>
      <c r="Y529">
        <f>'Revenue Model'!AG50</f>
        <v>0</v>
      </c>
      <c r="Z529">
        <f>'Revenue Model'!AH50</f>
        <v>0</v>
      </c>
      <c r="AA529">
        <f>'Revenue Model'!AI50</f>
        <v>0</v>
      </c>
      <c r="AB529">
        <f>'Revenue Model'!AJ50</f>
        <v>0</v>
      </c>
      <c r="AC529">
        <f>'Revenue Model'!AK50</f>
        <v>0</v>
      </c>
      <c r="AD529">
        <f>'Revenue Model'!AL50</f>
        <v>0</v>
      </c>
      <c r="AE529">
        <f>'Revenue Model'!AM50</f>
        <v>0</v>
      </c>
      <c r="AF529">
        <f>'Revenue Model'!AN50</f>
        <v>0</v>
      </c>
      <c r="AG529">
        <f>'Revenue Model'!AO50</f>
        <v>0</v>
      </c>
      <c r="AH529">
        <f>'Revenue Model'!AP50</f>
        <v>0</v>
      </c>
      <c r="AI529">
        <f>'Revenue Model'!AQ50</f>
        <v>0</v>
      </c>
      <c r="AJ529">
        <f>'Revenue Model'!AR50</f>
        <v>0</v>
      </c>
      <c r="AK529">
        <f>'Revenue Model'!AS50</f>
        <v>0</v>
      </c>
      <c r="AL529">
        <f>'Revenue Model'!AT50</f>
        <v>0</v>
      </c>
      <c r="AM529">
        <f>'Revenue Model'!AU50</f>
        <v>0</v>
      </c>
    </row>
    <row r="530" spans="1:39">
      <c r="A530" t="str">
        <f>'Revenue Model'!I51</f>
        <v>Ad Revenue Breakdown</v>
      </c>
      <c r="B530">
        <f>'Revenue Model'!J51</f>
        <v>0</v>
      </c>
      <c r="C530">
        <f>'Revenue Model'!K51</f>
        <v>0</v>
      </c>
      <c r="D530">
        <f>'Revenue Model'!L51</f>
        <v>0</v>
      </c>
      <c r="E530">
        <f>'Revenue Model'!M51</f>
        <v>0</v>
      </c>
      <c r="F530">
        <f>'Revenue Model'!N51</f>
        <v>0</v>
      </c>
      <c r="G530">
        <f>'Revenue Model'!O51</f>
        <v>0</v>
      </c>
      <c r="H530">
        <f>'Revenue Model'!P51</f>
        <v>0</v>
      </c>
      <c r="I530">
        <f>'Revenue Model'!Q51</f>
        <v>0</v>
      </c>
      <c r="J530">
        <f>'Revenue Model'!R51</f>
        <v>0</v>
      </c>
      <c r="K530">
        <f>'Revenue Model'!S51</f>
        <v>0</v>
      </c>
      <c r="L530">
        <f>'Revenue Model'!T51</f>
        <v>0</v>
      </c>
      <c r="M530">
        <f>'Revenue Model'!U51</f>
        <v>0</v>
      </c>
      <c r="N530">
        <f>'Revenue Model'!V51</f>
        <v>0</v>
      </c>
      <c r="O530">
        <f>'Revenue Model'!W51</f>
        <v>0</v>
      </c>
      <c r="P530">
        <f>'Revenue Model'!X51</f>
        <v>0</v>
      </c>
      <c r="Q530">
        <f>'Revenue Model'!Y51</f>
        <v>0</v>
      </c>
      <c r="R530">
        <f>'Revenue Model'!Z51</f>
        <v>0</v>
      </c>
      <c r="S530">
        <f>'Revenue Model'!AA51</f>
        <v>0</v>
      </c>
      <c r="T530">
        <f>'Revenue Model'!AB51</f>
        <v>0</v>
      </c>
      <c r="U530">
        <f>'Revenue Model'!AC51</f>
        <v>0</v>
      </c>
      <c r="V530">
        <f>'Revenue Model'!AD51</f>
        <v>0</v>
      </c>
      <c r="W530">
        <f>'Revenue Model'!AE51</f>
        <v>0</v>
      </c>
      <c r="X530">
        <f>'Revenue Model'!AF51</f>
        <v>0</v>
      </c>
      <c r="Y530">
        <f>'Revenue Model'!AG51</f>
        <v>0</v>
      </c>
      <c r="Z530">
        <f>'Revenue Model'!AH51</f>
        <v>0</v>
      </c>
      <c r="AA530">
        <f>'Revenue Model'!AI51</f>
        <v>0</v>
      </c>
      <c r="AB530">
        <f>'Revenue Model'!AJ51</f>
        <v>0</v>
      </c>
      <c r="AC530">
        <f>'Revenue Model'!AK51</f>
        <v>0</v>
      </c>
      <c r="AD530">
        <f>'Revenue Model'!AL51</f>
        <v>0</v>
      </c>
      <c r="AE530">
        <f>'Revenue Model'!AM51</f>
        <v>0</v>
      </c>
      <c r="AF530">
        <f>'Revenue Model'!AN51</f>
        <v>0</v>
      </c>
      <c r="AG530">
        <f>'Revenue Model'!AO51</f>
        <v>0</v>
      </c>
      <c r="AH530">
        <f>'Revenue Model'!AP51</f>
        <v>0</v>
      </c>
      <c r="AI530">
        <f>'Revenue Model'!AQ51</f>
        <v>0</v>
      </c>
      <c r="AJ530">
        <f>'Revenue Model'!AR51</f>
        <v>0</v>
      </c>
      <c r="AK530">
        <f>'Revenue Model'!AS51</f>
        <v>0</v>
      </c>
      <c r="AL530">
        <f>'Revenue Model'!AT51</f>
        <v>0</v>
      </c>
      <c r="AM530">
        <f>'Revenue Model'!AU51</f>
        <v>0</v>
      </c>
    </row>
    <row r="531" spans="1:39">
      <c r="A531" t="str">
        <f>'Revenue Model'!I52</f>
        <v>Total DAUs</v>
      </c>
      <c r="B531">
        <f>'Revenue Model'!J52</f>
        <v>8.9320388349514559</v>
      </c>
      <c r="C531">
        <f>'Revenue Model'!K52</f>
        <v>20.87912087912088</v>
      </c>
      <c r="D531">
        <f>'Revenue Model'!L52</f>
        <v>27.876106194690269</v>
      </c>
      <c r="E531">
        <f>'Revenue Model'!M52</f>
        <v>36.979166666666671</v>
      </c>
      <c r="F531">
        <f>'Revenue Model'!N52</f>
        <v>46</v>
      </c>
      <c r="G531">
        <f>'Revenue Model'!O52</f>
        <v>57</v>
      </c>
      <c r="H531">
        <f>'Revenue Model'!P52</f>
        <v>63</v>
      </c>
      <c r="I531">
        <f>'Revenue Model'!Q52</f>
        <v>71</v>
      </c>
      <c r="J531">
        <f>'Revenue Model'!R52</f>
        <v>81</v>
      </c>
      <c r="K531">
        <f>'Revenue Model'!S52</f>
        <v>87</v>
      </c>
      <c r="L531">
        <f>'Revenue Model'!T52</f>
        <v>94.7</v>
      </c>
      <c r="M531">
        <f>'Revenue Model'!U52</f>
        <v>106</v>
      </c>
      <c r="N531">
        <f>'Revenue Model'!V52</f>
        <v>122</v>
      </c>
      <c r="O531">
        <f>'Revenue Model'!W52</f>
        <v>143</v>
      </c>
      <c r="P531">
        <f>'Revenue Model'!X52</f>
        <v>153</v>
      </c>
      <c r="Q531">
        <f>'Revenue Model'!Y52</f>
        <v>158.30000000000001</v>
      </c>
      <c r="R531">
        <f>'Revenue Model'!Z52</f>
        <v>166</v>
      </c>
      <c r="S531">
        <f>'Revenue Model'!AA52</f>
        <v>174</v>
      </c>
      <c r="T531">
        <f>'Revenue Model'!AB52</f>
        <v>178</v>
      </c>
      <c r="U531">
        <f>'Revenue Model'!AC52</f>
        <v>187</v>
      </c>
      <c r="V531">
        <f>'Revenue Model'!AD52</f>
        <v>193.92</v>
      </c>
      <c r="W531">
        <f>'Revenue Model'!AE52</f>
        <v>201.30099999999999</v>
      </c>
      <c r="X531">
        <f>'Revenue Model'!AF52</f>
        <v>207.83674999999997</v>
      </c>
      <c r="Y531">
        <f>'Revenue Model'!AG52</f>
        <v>214.99928749999998</v>
      </c>
      <c r="Z531">
        <f>'Revenue Model'!AH52</f>
        <v>0</v>
      </c>
      <c r="AA531">
        <f>'Revenue Model'!AI52</f>
        <v>36.979166666666671</v>
      </c>
      <c r="AB531">
        <f>'Revenue Model'!AJ52</f>
        <v>71</v>
      </c>
      <c r="AC531">
        <f>'Revenue Model'!AK52</f>
        <v>106</v>
      </c>
      <c r="AD531">
        <f>'Revenue Model'!AL52</f>
        <v>158.30000000000001</v>
      </c>
      <c r="AE531">
        <f>'Revenue Model'!AM52</f>
        <v>187</v>
      </c>
      <c r="AF531">
        <f>'Revenue Model'!AN52</f>
        <v>214.99928749999998</v>
      </c>
      <c r="AG531">
        <f>'Revenue Model'!AO52</f>
        <v>241.59861062499999</v>
      </c>
      <c r="AH531">
        <f>'Revenue Model'!AP52</f>
        <v>266.24666759374998</v>
      </c>
      <c r="AI531">
        <f>'Revenue Model'!AQ52</f>
        <v>288.57849886562497</v>
      </c>
      <c r="AJ531">
        <f>'Revenue Model'!AR52</f>
        <v>308.67714701031241</v>
      </c>
      <c r="AK531">
        <f>'Revenue Model'!AS52</f>
        <v>326.76593034053121</v>
      </c>
      <c r="AL531">
        <f>'Revenue Model'!AT52</f>
        <v>343.04583533772802</v>
      </c>
      <c r="AM531">
        <f>'Revenue Model'!AU52</f>
        <v>359.32574033492494</v>
      </c>
    </row>
    <row r="532" spans="1:39">
      <c r="A532" t="str">
        <f>'Revenue Model'!I53</f>
        <v>Net Additions</v>
      </c>
      <c r="B532">
        <f>'Revenue Model'!J53</f>
        <v>0</v>
      </c>
      <c r="C532">
        <f>'Revenue Model'!K53</f>
        <v>11.947082044169424</v>
      </c>
      <c r="D532">
        <f>'Revenue Model'!L53</f>
        <v>6.9969853155693897</v>
      </c>
      <c r="E532">
        <f>'Revenue Model'!M53</f>
        <v>9.1030604719764021</v>
      </c>
      <c r="F532">
        <f>'Revenue Model'!N53</f>
        <v>9.0208333333333286</v>
      </c>
      <c r="G532">
        <f>'Revenue Model'!O53</f>
        <v>11</v>
      </c>
      <c r="H532">
        <f>'Revenue Model'!P53</f>
        <v>6</v>
      </c>
      <c r="I532">
        <f>'Revenue Model'!Q53</f>
        <v>8</v>
      </c>
      <c r="J532">
        <f>'Revenue Model'!R53</f>
        <v>10</v>
      </c>
      <c r="K532">
        <f>'Revenue Model'!S53</f>
        <v>6</v>
      </c>
      <c r="L532">
        <f>'Revenue Model'!T53</f>
        <v>7.7000000000000028</v>
      </c>
      <c r="M532">
        <f>'Revenue Model'!U53</f>
        <v>11.299999999999997</v>
      </c>
      <c r="N532">
        <f>'Revenue Model'!V53</f>
        <v>16</v>
      </c>
      <c r="O532">
        <f>'Revenue Model'!W53</f>
        <v>21</v>
      </c>
      <c r="P532">
        <f>'Revenue Model'!X53</f>
        <v>10</v>
      </c>
      <c r="Q532">
        <f>'Revenue Model'!Y53</f>
        <v>5.3000000000000114</v>
      </c>
      <c r="R532">
        <f>'Revenue Model'!Z53</f>
        <v>7.6999999999999886</v>
      </c>
      <c r="S532">
        <f>'Revenue Model'!AA53</f>
        <v>8</v>
      </c>
      <c r="T532">
        <f>'Revenue Model'!AB53</f>
        <v>4</v>
      </c>
      <c r="U532">
        <f>'Revenue Model'!AC53</f>
        <v>9</v>
      </c>
      <c r="V532">
        <f>'Revenue Model'!AD53</f>
        <v>6.9199999999999875</v>
      </c>
      <c r="W532">
        <f>'Revenue Model'!AE53</f>
        <v>7.3810000000000002</v>
      </c>
      <c r="X532">
        <f>'Revenue Model'!AF53</f>
        <v>6.5357499999999789</v>
      </c>
      <c r="Y532">
        <f>'Revenue Model'!AG53</f>
        <v>7.1625375000000133</v>
      </c>
      <c r="Z532">
        <f>'Revenue Model'!AH53</f>
        <v>0</v>
      </c>
      <c r="AA532">
        <f>'Revenue Model'!AI53</f>
        <v>0</v>
      </c>
      <c r="AB532">
        <f>'Revenue Model'!AJ53</f>
        <v>34.020833333333329</v>
      </c>
      <c r="AC532">
        <f>'Revenue Model'!AK53</f>
        <v>35</v>
      </c>
      <c r="AD532">
        <f>'Revenue Model'!AL53</f>
        <v>52.300000000000011</v>
      </c>
      <c r="AE532">
        <f>'Revenue Model'!AM53</f>
        <v>28.699999999999989</v>
      </c>
      <c r="AF532">
        <f>'Revenue Model'!AN53</f>
        <v>27.99928749999998</v>
      </c>
      <c r="AG532">
        <f>'Revenue Model'!AO53</f>
        <v>26.599323125000012</v>
      </c>
      <c r="AH532">
        <f>'Revenue Model'!AP53</f>
        <v>24.648056968749984</v>
      </c>
      <c r="AI532">
        <f>'Revenue Model'!AQ53</f>
        <v>22.331831271874989</v>
      </c>
      <c r="AJ532">
        <f>'Revenue Model'!AR53</f>
        <v>20.098648144687445</v>
      </c>
      <c r="AK532">
        <f>'Revenue Model'!AS53</f>
        <v>18.088783330218803</v>
      </c>
      <c r="AL532">
        <f>'Revenue Model'!AT53</f>
        <v>16.279904997196809</v>
      </c>
      <c r="AM532">
        <f>'Revenue Model'!AU53</f>
        <v>16.279904997196923</v>
      </c>
    </row>
    <row r="533" spans="1:39">
      <c r="A533" t="str">
        <f>'Revenue Model'!I54</f>
        <v>Y/Y % Growth</v>
      </c>
      <c r="B533">
        <f>'Revenue Model'!J54</f>
        <v>0</v>
      </c>
      <c r="C533">
        <f>'Revenue Model'!K54</f>
        <v>0</v>
      </c>
      <c r="D533">
        <f>'Revenue Model'!L54</f>
        <v>0</v>
      </c>
      <c r="E533">
        <f>'Revenue Model'!M54</f>
        <v>0</v>
      </c>
      <c r="F533">
        <f>'Revenue Model'!N54</f>
        <v>4.1500000000000004</v>
      </c>
      <c r="G533">
        <f>'Revenue Model'!O54</f>
        <v>1.73</v>
      </c>
      <c r="H533">
        <f>'Revenue Model'!P54</f>
        <v>1.2599999999999998</v>
      </c>
      <c r="I533">
        <f>'Revenue Model'!Q54</f>
        <v>0.91999999999999971</v>
      </c>
      <c r="J533">
        <f>'Revenue Model'!R54</f>
        <v>0.76086956521739135</v>
      </c>
      <c r="K533">
        <f>'Revenue Model'!S54</f>
        <v>0.52631578947368429</v>
      </c>
      <c r="L533">
        <f>'Revenue Model'!T54</f>
        <v>0.50317460317460316</v>
      </c>
      <c r="M533">
        <f>'Revenue Model'!U54</f>
        <v>0.49295774647887325</v>
      </c>
      <c r="N533">
        <f>'Revenue Model'!V54</f>
        <v>0.50617283950617287</v>
      </c>
      <c r="O533">
        <f>'Revenue Model'!W54</f>
        <v>0.64367816091954033</v>
      </c>
      <c r="P533">
        <f>'Revenue Model'!X54</f>
        <v>0.61562829989440337</v>
      </c>
      <c r="Q533">
        <f>'Revenue Model'!Y54</f>
        <v>0.4933962264150944</v>
      </c>
      <c r="R533">
        <f>'Revenue Model'!Z54</f>
        <v>0.36065573770491799</v>
      </c>
      <c r="S533">
        <f>'Revenue Model'!AA54</f>
        <v>0.21678321678321688</v>
      </c>
      <c r="T533">
        <f>'Revenue Model'!AB54</f>
        <v>0.1633986928104576</v>
      </c>
      <c r="U533">
        <f>'Revenue Model'!AC54</f>
        <v>0.18130132659507248</v>
      </c>
      <c r="V533">
        <f>'Revenue Model'!AD54</f>
        <v>0.16819277108433717</v>
      </c>
      <c r="W533">
        <f>'Revenue Model'!AE54</f>
        <v>0.15690229885057461</v>
      </c>
      <c r="X533">
        <f>'Revenue Model'!AF54</f>
        <v>0.16762219101123588</v>
      </c>
      <c r="Y533">
        <f>'Revenue Model'!AG54</f>
        <v>0.14972881016042772</v>
      </c>
      <c r="Z533">
        <f>'Revenue Model'!AH54</f>
        <v>0</v>
      </c>
      <c r="AA533">
        <f>'Revenue Model'!AI54</f>
        <v>0</v>
      </c>
      <c r="AB533">
        <f>'Revenue Model'!AJ54</f>
        <v>0.91999999999999971</v>
      </c>
      <c r="AC533">
        <f>'Revenue Model'!AK54</f>
        <v>0.49295774647887325</v>
      </c>
      <c r="AD533">
        <f>'Revenue Model'!AL54</f>
        <v>0.4933962264150944</v>
      </c>
      <c r="AE533">
        <f>'Revenue Model'!AM54</f>
        <v>0.18130132659507248</v>
      </c>
      <c r="AF533">
        <f>'Revenue Model'!AN54</f>
        <v>0.14972881016042772</v>
      </c>
      <c r="AG533">
        <f>'Revenue Model'!AO54</f>
        <v>0.1237181919730781</v>
      </c>
      <c r="AH533">
        <f>'Revenue Model'!AP54</f>
        <v>0.1020206900403402</v>
      </c>
      <c r="AI533">
        <f>'Revenue Model'!AQ54</f>
        <v>8.3876472421994031E-2</v>
      </c>
      <c r="AJ533">
        <f>'Revenue Model'!AR54</f>
        <v>6.9647074275087428E-2</v>
      </c>
      <c r="AK533">
        <f>'Revenue Model'!AS54</f>
        <v>5.8600980038261419E-2</v>
      </c>
      <c r="AL533">
        <f>'Revenue Model'!AT54</f>
        <v>4.9821304749338768E-2</v>
      </c>
      <c r="AM533">
        <f>'Revenue Model'!AU54</f>
        <v>4.7456938170286733E-2</v>
      </c>
    </row>
    <row r="534" spans="1:39">
      <c r="A534" t="str">
        <f>'Revenue Model'!I55</f>
        <v>Q/Q % Growth</v>
      </c>
      <c r="B534">
        <f>'Revenue Model'!J55</f>
        <v>0</v>
      </c>
      <c r="C534">
        <f>'Revenue Model'!K55</f>
        <v>1.337553750597229</v>
      </c>
      <c r="D534">
        <f>'Revenue Model'!L55</f>
        <v>0.33511877037727067</v>
      </c>
      <c r="E534">
        <f>'Revenue Model'!M55</f>
        <v>0.32655423280423279</v>
      </c>
      <c r="F534">
        <f>'Revenue Model'!N55</f>
        <v>0.24394366197183093</v>
      </c>
      <c r="G534">
        <f>'Revenue Model'!O55</f>
        <v>0.23913043478260865</v>
      </c>
      <c r="H534">
        <f>'Revenue Model'!P55</f>
        <v>0.10526315789473695</v>
      </c>
      <c r="I534">
        <f>'Revenue Model'!Q55</f>
        <v>0.12698412698412698</v>
      </c>
      <c r="J534">
        <f>'Revenue Model'!R55</f>
        <v>0.14084507042253525</v>
      </c>
      <c r="K534">
        <f>'Revenue Model'!S55</f>
        <v>7.4074074074074181E-2</v>
      </c>
      <c r="L534">
        <f>'Revenue Model'!T55</f>
        <v>8.8505747126436773E-2</v>
      </c>
      <c r="M534">
        <f>'Revenue Model'!U55</f>
        <v>0.11932418162618785</v>
      </c>
      <c r="N534">
        <f>'Revenue Model'!V55</f>
        <v>0.15094339622641506</v>
      </c>
      <c r="O534">
        <f>'Revenue Model'!W55</f>
        <v>0.17213114754098369</v>
      </c>
      <c r="P534">
        <f>'Revenue Model'!X55</f>
        <v>6.9930069930070005E-2</v>
      </c>
      <c r="Q534">
        <f>'Revenue Model'!Y55</f>
        <v>3.4640522875817092E-2</v>
      </c>
      <c r="R534">
        <f>'Revenue Model'!Z55</f>
        <v>4.864181933038525E-2</v>
      </c>
      <c r="S534">
        <f>'Revenue Model'!AA55</f>
        <v>4.8192771084337283E-2</v>
      </c>
      <c r="T534">
        <f>'Revenue Model'!AB55</f>
        <v>2.2988505747126409E-2</v>
      </c>
      <c r="U534">
        <f>'Revenue Model'!AC55</f>
        <v>5.0561797752809001E-2</v>
      </c>
      <c r="V534">
        <f>'Revenue Model'!AD55</f>
        <v>3.700534759358276E-2</v>
      </c>
      <c r="W534">
        <f>'Revenue Model'!AE55</f>
        <v>3.8062087458745841E-2</v>
      </c>
      <c r="X534">
        <f>'Revenue Model'!AF55</f>
        <v>3.2467548596380347E-2</v>
      </c>
      <c r="Y534">
        <f>'Revenue Model'!AG55</f>
        <v>3.4462324396431487E-2</v>
      </c>
      <c r="Z534">
        <f>'Revenue Model'!AH55</f>
        <v>0</v>
      </c>
      <c r="AA534">
        <f>'Revenue Model'!AI55</f>
        <v>0</v>
      </c>
      <c r="AB534">
        <f>'Revenue Model'!AJ55</f>
        <v>0</v>
      </c>
      <c r="AC534">
        <f>'Revenue Model'!AK55</f>
        <v>0</v>
      </c>
      <c r="AD534">
        <f>'Revenue Model'!AL55</f>
        <v>0</v>
      </c>
      <c r="AE534">
        <f>'Revenue Model'!AM55</f>
        <v>0</v>
      </c>
      <c r="AF534">
        <f>'Revenue Model'!AN55</f>
        <v>0</v>
      </c>
      <c r="AG534">
        <f>'Revenue Model'!AO55</f>
        <v>0</v>
      </c>
      <c r="AH534">
        <f>'Revenue Model'!AP55</f>
        <v>0</v>
      </c>
      <c r="AI534">
        <f>'Revenue Model'!AQ55</f>
        <v>0</v>
      </c>
      <c r="AJ534">
        <f>'Revenue Model'!AR55</f>
        <v>0</v>
      </c>
      <c r="AK534">
        <f>'Revenue Model'!AS55</f>
        <v>0</v>
      </c>
      <c r="AL534">
        <f>'Revenue Model'!AT55</f>
        <v>0</v>
      </c>
      <c r="AM534">
        <f>'Revenue Model'!AU55</f>
        <v>0</v>
      </c>
    </row>
    <row r="535" spans="1:39">
      <c r="A535">
        <f>'Revenue Model'!I56</f>
        <v>0</v>
      </c>
      <c r="B535">
        <f>'Revenue Model'!J56</f>
        <v>0</v>
      </c>
      <c r="C535">
        <f>'Revenue Model'!K56</f>
        <v>0</v>
      </c>
      <c r="D535">
        <f>'Revenue Model'!L56</f>
        <v>0</v>
      </c>
      <c r="E535">
        <f>'Revenue Model'!M56</f>
        <v>0</v>
      </c>
      <c r="F535">
        <f>'Revenue Model'!N56</f>
        <v>0</v>
      </c>
      <c r="G535">
        <f>'Revenue Model'!O56</f>
        <v>0</v>
      </c>
      <c r="H535">
        <f>'Revenue Model'!P56</f>
        <v>0</v>
      </c>
      <c r="I535">
        <f>'Revenue Model'!Q56</f>
        <v>0</v>
      </c>
      <c r="J535">
        <f>'Revenue Model'!R56</f>
        <v>0</v>
      </c>
      <c r="K535">
        <f>'Revenue Model'!S56</f>
        <v>0</v>
      </c>
      <c r="L535">
        <f>'Revenue Model'!T56</f>
        <v>0</v>
      </c>
      <c r="M535">
        <f>'Revenue Model'!U56</f>
        <v>0</v>
      </c>
      <c r="N535">
        <f>'Revenue Model'!V56</f>
        <v>0</v>
      </c>
      <c r="O535">
        <f>'Revenue Model'!W56</f>
        <v>0</v>
      </c>
      <c r="P535">
        <f>'Revenue Model'!X56</f>
        <v>0</v>
      </c>
      <c r="Q535">
        <f>'Revenue Model'!Y56</f>
        <v>0</v>
      </c>
      <c r="R535">
        <f>'Revenue Model'!Z56</f>
        <v>0</v>
      </c>
      <c r="S535">
        <f>'Revenue Model'!AA56</f>
        <v>0</v>
      </c>
      <c r="T535">
        <f>'Revenue Model'!AB56</f>
        <v>0</v>
      </c>
      <c r="U535">
        <f>'Revenue Model'!AC56</f>
        <v>0</v>
      </c>
      <c r="V535">
        <f>'Revenue Model'!AD56</f>
        <v>0</v>
      </c>
      <c r="W535">
        <f>'Revenue Model'!AE56</f>
        <v>0</v>
      </c>
      <c r="X535">
        <f>'Revenue Model'!AF56</f>
        <v>0</v>
      </c>
      <c r="Y535">
        <f>'Revenue Model'!AG56</f>
        <v>0</v>
      </c>
      <c r="Z535">
        <f>'Revenue Model'!AH56</f>
        <v>0</v>
      </c>
      <c r="AA535">
        <f>'Revenue Model'!AI56</f>
        <v>0</v>
      </c>
      <c r="AB535">
        <f>'Revenue Model'!AJ56</f>
        <v>0</v>
      </c>
      <c r="AC535">
        <f>'Revenue Model'!AK56</f>
        <v>0</v>
      </c>
      <c r="AD535">
        <f>'Revenue Model'!AL56</f>
        <v>0</v>
      </c>
      <c r="AE535">
        <f>'Revenue Model'!AM56</f>
        <v>0</v>
      </c>
      <c r="AF535">
        <f>'Revenue Model'!AN56</f>
        <v>0</v>
      </c>
      <c r="AG535">
        <f>'Revenue Model'!AO56</f>
        <v>0</v>
      </c>
      <c r="AH535">
        <f>'Revenue Model'!AP56</f>
        <v>0</v>
      </c>
      <c r="AI535">
        <f>'Revenue Model'!AQ56</f>
        <v>0</v>
      </c>
      <c r="AJ535">
        <f>'Revenue Model'!AR56</f>
        <v>0</v>
      </c>
      <c r="AK535">
        <f>'Revenue Model'!AS56</f>
        <v>0</v>
      </c>
      <c r="AL535">
        <f>'Revenue Model'!AT56</f>
        <v>0</v>
      </c>
      <c r="AM535">
        <f>'Revenue Model'!AU56</f>
        <v>0</v>
      </c>
    </row>
    <row r="536" spans="1:39">
      <c r="A536" t="str">
        <f>'Revenue Model'!I57</f>
        <v>CPMS</v>
      </c>
      <c r="B536">
        <f>'Revenue Model'!J57</f>
        <v>0</v>
      </c>
      <c r="C536">
        <f>'Revenue Model'!K57</f>
        <v>0</v>
      </c>
      <c r="D536">
        <f>'Revenue Model'!L57</f>
        <v>0</v>
      </c>
      <c r="E536">
        <f>'Revenue Model'!M57</f>
        <v>0</v>
      </c>
      <c r="F536">
        <f>'Revenue Model'!N57</f>
        <v>0</v>
      </c>
      <c r="G536">
        <f>'Revenue Model'!O57</f>
        <v>0</v>
      </c>
      <c r="H536">
        <f>'Revenue Model'!P57</f>
        <v>0</v>
      </c>
      <c r="I536">
        <f>'Revenue Model'!Q57</f>
        <v>0</v>
      </c>
      <c r="J536">
        <f>'Revenue Model'!R57</f>
        <v>0</v>
      </c>
      <c r="K536">
        <f>'Revenue Model'!S57</f>
        <v>0</v>
      </c>
      <c r="L536">
        <f>'Revenue Model'!T57</f>
        <v>0</v>
      </c>
      <c r="M536">
        <f>'Revenue Model'!U57</f>
        <v>0</v>
      </c>
      <c r="N536">
        <f>'Revenue Model'!V57</f>
        <v>0</v>
      </c>
      <c r="O536">
        <f>'Revenue Model'!W57</f>
        <v>0</v>
      </c>
      <c r="P536">
        <f>'Revenue Model'!X57</f>
        <v>0</v>
      </c>
      <c r="Q536">
        <f>'Revenue Model'!Y57</f>
        <v>0</v>
      </c>
      <c r="R536">
        <f>'Revenue Model'!Z57</f>
        <v>0</v>
      </c>
      <c r="S536">
        <f>'Revenue Model'!AA57</f>
        <v>0</v>
      </c>
      <c r="T536">
        <f>'Revenue Model'!AB57</f>
        <v>0</v>
      </c>
      <c r="U536">
        <f>'Revenue Model'!AC57</f>
        <v>0</v>
      </c>
      <c r="V536">
        <f>'Revenue Model'!AD57</f>
        <v>0</v>
      </c>
      <c r="W536">
        <f>'Revenue Model'!AE57</f>
        <v>0</v>
      </c>
      <c r="X536">
        <f>'Revenue Model'!AF57</f>
        <v>0</v>
      </c>
      <c r="Y536">
        <f>'Revenue Model'!AG57</f>
        <v>0</v>
      </c>
      <c r="Z536">
        <f>'Revenue Model'!AH57</f>
        <v>0</v>
      </c>
      <c r="AA536">
        <f>'Revenue Model'!AI57</f>
        <v>0</v>
      </c>
      <c r="AB536">
        <f>'Revenue Model'!AJ57</f>
        <v>0</v>
      </c>
      <c r="AC536">
        <f>'Revenue Model'!AK57</f>
        <v>0</v>
      </c>
      <c r="AD536">
        <f>'Revenue Model'!AL57</f>
        <v>0</v>
      </c>
      <c r="AE536">
        <f>'Revenue Model'!AM57</f>
        <v>0</v>
      </c>
      <c r="AF536">
        <f>'Revenue Model'!AN57</f>
        <v>0</v>
      </c>
      <c r="AG536">
        <f>'Revenue Model'!AO57</f>
        <v>0</v>
      </c>
      <c r="AH536">
        <f>'Revenue Model'!AP57</f>
        <v>0</v>
      </c>
      <c r="AI536">
        <f>'Revenue Model'!AQ57</f>
        <v>0</v>
      </c>
      <c r="AJ536">
        <f>'Revenue Model'!AR57</f>
        <v>0</v>
      </c>
      <c r="AK536">
        <f>'Revenue Model'!AS57</f>
        <v>0</v>
      </c>
      <c r="AL536">
        <f>'Revenue Model'!AT57</f>
        <v>0</v>
      </c>
      <c r="AM536">
        <f>'Revenue Model'!AU57</f>
        <v>0</v>
      </c>
    </row>
    <row r="537" spans="1:39">
      <c r="A537" t="str">
        <f>'Revenue Model'!I58</f>
        <v>Snapad</v>
      </c>
      <c r="B537">
        <f>'Revenue Model'!J58</f>
        <v>0</v>
      </c>
      <c r="C537">
        <f>'Revenue Model'!K58</f>
        <v>0</v>
      </c>
      <c r="D537">
        <f>'Revenue Model'!L58</f>
        <v>0</v>
      </c>
      <c r="E537">
        <f>'Revenue Model'!M58</f>
        <v>0</v>
      </c>
      <c r="F537">
        <f>'Revenue Model'!N58</f>
        <v>0</v>
      </c>
      <c r="G537">
        <f>'Revenue Model'!O58</f>
        <v>0</v>
      </c>
      <c r="H537">
        <f>'Revenue Model'!P58</f>
        <v>0</v>
      </c>
      <c r="I537">
        <f>'Revenue Model'!Q58</f>
        <v>0</v>
      </c>
      <c r="J537">
        <f>'Revenue Model'!R58</f>
        <v>0</v>
      </c>
      <c r="K537">
        <f>'Revenue Model'!S58</f>
        <v>0</v>
      </c>
      <c r="L537">
        <f>'Revenue Model'!T58</f>
        <v>0</v>
      </c>
      <c r="M537">
        <f>'Revenue Model'!U58</f>
        <v>0</v>
      </c>
      <c r="N537">
        <f>'Revenue Model'!V58</f>
        <v>21</v>
      </c>
      <c r="O537">
        <f>'Revenue Model'!W58</f>
        <v>21</v>
      </c>
      <c r="P537">
        <f>'Revenue Model'!X58</f>
        <v>21</v>
      </c>
      <c r="Q537">
        <f>'Revenue Model'!Y58</f>
        <v>21</v>
      </c>
      <c r="R537">
        <f>'Revenue Model'!Z58</f>
        <v>0</v>
      </c>
      <c r="S537">
        <f>'Revenue Model'!AA58</f>
        <v>0</v>
      </c>
      <c r="T537">
        <f>'Revenue Model'!AB58</f>
        <v>0</v>
      </c>
      <c r="U537">
        <f>'Revenue Model'!AC58</f>
        <v>0</v>
      </c>
      <c r="V537">
        <f>'Revenue Model'!AD58</f>
        <v>0</v>
      </c>
      <c r="W537">
        <f>'Revenue Model'!AE58</f>
        <v>0</v>
      </c>
      <c r="X537">
        <f>'Revenue Model'!AF58</f>
        <v>0</v>
      </c>
      <c r="Y537">
        <f>'Revenue Model'!AG58</f>
        <v>0</v>
      </c>
      <c r="Z537">
        <f>'Revenue Model'!AH58</f>
        <v>0</v>
      </c>
      <c r="AA537">
        <f>'Revenue Model'!AI58</f>
        <v>0</v>
      </c>
      <c r="AB537">
        <f>'Revenue Model'!AJ58</f>
        <v>0</v>
      </c>
      <c r="AC537">
        <f>'Revenue Model'!AK58</f>
        <v>0</v>
      </c>
      <c r="AD537">
        <f>'Revenue Model'!AL58</f>
        <v>0</v>
      </c>
      <c r="AE537">
        <f>'Revenue Model'!AM58</f>
        <v>0</v>
      </c>
      <c r="AF537">
        <f>'Revenue Model'!AN58</f>
        <v>0</v>
      </c>
      <c r="AG537">
        <f>'Revenue Model'!AO58</f>
        <v>0</v>
      </c>
      <c r="AH537">
        <f>'Revenue Model'!AP58</f>
        <v>0</v>
      </c>
      <c r="AI537">
        <f>'Revenue Model'!AQ58</f>
        <v>0</v>
      </c>
      <c r="AJ537">
        <f>'Revenue Model'!AR58</f>
        <v>0</v>
      </c>
      <c r="AK537">
        <f>'Revenue Model'!AS58</f>
        <v>0</v>
      </c>
      <c r="AL537">
        <f>'Revenue Model'!AT58</f>
        <v>0</v>
      </c>
      <c r="AM537">
        <f>'Revenue Model'!AU58</f>
        <v>0</v>
      </c>
    </row>
    <row r="538" spans="1:39">
      <c r="A538" t="str">
        <f>'Revenue Model'!I59</f>
        <v>Creative Tools</v>
      </c>
      <c r="B538">
        <f>'Revenue Model'!J59</f>
        <v>0</v>
      </c>
      <c r="C538">
        <f>'Revenue Model'!K59</f>
        <v>0</v>
      </c>
      <c r="D538">
        <f>'Revenue Model'!L59</f>
        <v>0</v>
      </c>
      <c r="E538">
        <f>'Revenue Model'!M59</f>
        <v>0</v>
      </c>
      <c r="F538">
        <f>'Revenue Model'!N59</f>
        <v>0</v>
      </c>
      <c r="G538">
        <f>'Revenue Model'!O59</f>
        <v>0</v>
      </c>
      <c r="H538">
        <f>'Revenue Model'!P59</f>
        <v>0</v>
      </c>
      <c r="I538">
        <f>'Revenue Model'!Q59</f>
        <v>0</v>
      </c>
      <c r="J538">
        <f>'Revenue Model'!R59</f>
        <v>0</v>
      </c>
      <c r="K538">
        <f>'Revenue Model'!S59</f>
        <v>0</v>
      </c>
      <c r="L538">
        <f>'Revenue Model'!T59</f>
        <v>0</v>
      </c>
      <c r="M538">
        <f>'Revenue Model'!U59</f>
        <v>0</v>
      </c>
      <c r="N538">
        <f>'Revenue Model'!V59</f>
        <v>27</v>
      </c>
      <c r="O538">
        <f>'Revenue Model'!W59</f>
        <v>27</v>
      </c>
      <c r="P538">
        <f>'Revenue Model'!X59</f>
        <v>27</v>
      </c>
      <c r="Q538">
        <f>'Revenue Model'!Y59</f>
        <v>27</v>
      </c>
      <c r="R538">
        <f>'Revenue Model'!Z59</f>
        <v>0</v>
      </c>
      <c r="S538">
        <f>'Revenue Model'!AA59</f>
        <v>0</v>
      </c>
      <c r="T538">
        <f>'Revenue Model'!AB59</f>
        <v>0</v>
      </c>
      <c r="U538">
        <f>'Revenue Model'!AC59</f>
        <v>0</v>
      </c>
      <c r="V538">
        <f>'Revenue Model'!AD59</f>
        <v>0</v>
      </c>
      <c r="W538">
        <f>'Revenue Model'!AE59</f>
        <v>0</v>
      </c>
      <c r="X538">
        <f>'Revenue Model'!AF59</f>
        <v>0</v>
      </c>
      <c r="Y538">
        <f>'Revenue Model'!AG59</f>
        <v>0</v>
      </c>
      <c r="Z538">
        <f>'Revenue Model'!AH59</f>
        <v>0</v>
      </c>
      <c r="AA538">
        <f>'Revenue Model'!AI59</f>
        <v>0</v>
      </c>
      <c r="AB538">
        <f>'Revenue Model'!AJ59</f>
        <v>0</v>
      </c>
      <c r="AC538">
        <f>'Revenue Model'!AK59</f>
        <v>0</v>
      </c>
      <c r="AD538">
        <f>'Revenue Model'!AL59</f>
        <v>0</v>
      </c>
      <c r="AE538">
        <f>'Revenue Model'!AM59</f>
        <v>0</v>
      </c>
      <c r="AF538">
        <f>'Revenue Model'!AN59</f>
        <v>0</v>
      </c>
      <c r="AG538">
        <f>'Revenue Model'!AO59</f>
        <v>0</v>
      </c>
      <c r="AH538">
        <f>'Revenue Model'!AP59</f>
        <v>0</v>
      </c>
      <c r="AI538">
        <f>'Revenue Model'!AQ59</f>
        <v>0</v>
      </c>
      <c r="AJ538">
        <f>'Revenue Model'!AR59</f>
        <v>0</v>
      </c>
      <c r="AK538">
        <f>'Revenue Model'!AS59</f>
        <v>0</v>
      </c>
      <c r="AL538">
        <f>'Revenue Model'!AT59</f>
        <v>0</v>
      </c>
      <c r="AM538">
        <f>'Revenue Model'!AU59</f>
        <v>0</v>
      </c>
    </row>
    <row r="539" spans="1:39">
      <c r="A539">
        <f>'Revenue Model'!I60</f>
        <v>0</v>
      </c>
      <c r="B539">
        <f>'Revenue Model'!J60</f>
        <v>0</v>
      </c>
      <c r="C539">
        <f>'Revenue Model'!K60</f>
        <v>0</v>
      </c>
      <c r="D539">
        <f>'Revenue Model'!L60</f>
        <v>0</v>
      </c>
      <c r="E539">
        <f>'Revenue Model'!M60</f>
        <v>0</v>
      </c>
      <c r="F539">
        <f>'Revenue Model'!N60</f>
        <v>0</v>
      </c>
      <c r="G539">
        <f>'Revenue Model'!O60</f>
        <v>0</v>
      </c>
      <c r="H539">
        <f>'Revenue Model'!P60</f>
        <v>0</v>
      </c>
      <c r="I539">
        <f>'Revenue Model'!Q60</f>
        <v>0</v>
      </c>
      <c r="J539">
        <f>'Revenue Model'!R60</f>
        <v>0</v>
      </c>
      <c r="K539">
        <f>'Revenue Model'!S60</f>
        <v>0</v>
      </c>
      <c r="L539">
        <f>'Revenue Model'!T60</f>
        <v>0</v>
      </c>
      <c r="M539">
        <f>'Revenue Model'!U60</f>
        <v>0</v>
      </c>
      <c r="N539">
        <f>'Revenue Model'!V60</f>
        <v>0</v>
      </c>
      <c r="O539">
        <f>'Revenue Model'!W60</f>
        <v>0</v>
      </c>
      <c r="P539">
        <f>'Revenue Model'!X60</f>
        <v>0</v>
      </c>
      <c r="Q539">
        <f>'Revenue Model'!Y60</f>
        <v>0</v>
      </c>
      <c r="R539">
        <f>'Revenue Model'!Z60</f>
        <v>0</v>
      </c>
      <c r="S539">
        <f>'Revenue Model'!AA60</f>
        <v>0</v>
      </c>
      <c r="T539">
        <f>'Revenue Model'!AB60</f>
        <v>0</v>
      </c>
      <c r="U539">
        <f>'Revenue Model'!AC60</f>
        <v>0</v>
      </c>
      <c r="V539">
        <f>'Revenue Model'!AD60</f>
        <v>0</v>
      </c>
      <c r="W539">
        <f>'Revenue Model'!AE60</f>
        <v>0</v>
      </c>
      <c r="X539">
        <f>'Revenue Model'!AF60</f>
        <v>0</v>
      </c>
      <c r="Y539">
        <f>'Revenue Model'!AG60</f>
        <v>0</v>
      </c>
      <c r="Z539">
        <f>'Revenue Model'!AH60</f>
        <v>0</v>
      </c>
      <c r="AA539">
        <f>'Revenue Model'!AI60</f>
        <v>0</v>
      </c>
      <c r="AB539">
        <f>'Revenue Model'!AJ60</f>
        <v>0</v>
      </c>
      <c r="AC539">
        <f>'Revenue Model'!AK60</f>
        <v>0</v>
      </c>
      <c r="AD539">
        <f>'Revenue Model'!AL60</f>
        <v>0</v>
      </c>
      <c r="AE539">
        <f>'Revenue Model'!AM60</f>
        <v>0</v>
      </c>
      <c r="AF539">
        <f>'Revenue Model'!AN60</f>
        <v>0</v>
      </c>
      <c r="AG539">
        <f>'Revenue Model'!AO60</f>
        <v>0</v>
      </c>
      <c r="AH539">
        <f>'Revenue Model'!AP60</f>
        <v>0</v>
      </c>
      <c r="AI539">
        <f>'Revenue Model'!AQ60</f>
        <v>0</v>
      </c>
      <c r="AJ539">
        <f>'Revenue Model'!AR60</f>
        <v>0</v>
      </c>
      <c r="AK539">
        <f>'Revenue Model'!AS60</f>
        <v>0</v>
      </c>
      <c r="AL539">
        <f>'Revenue Model'!AT60</f>
        <v>0</v>
      </c>
      <c r="AM539">
        <f>'Revenue Model'!AU60</f>
        <v>0</v>
      </c>
    </row>
    <row r="540" spans="1:39">
      <c r="A540" t="str">
        <f>'Revenue Model'!I61</f>
        <v>Ad Mix</v>
      </c>
      <c r="B540">
        <f>'Revenue Model'!J61</f>
        <v>0</v>
      </c>
      <c r="C540">
        <f>'Revenue Model'!K61</f>
        <v>0</v>
      </c>
      <c r="D540">
        <f>'Revenue Model'!L61</f>
        <v>0</v>
      </c>
      <c r="E540">
        <f>'Revenue Model'!M61</f>
        <v>0</v>
      </c>
      <c r="F540">
        <f>'Revenue Model'!N61</f>
        <v>0</v>
      </c>
      <c r="G540">
        <f>'Revenue Model'!O61</f>
        <v>0</v>
      </c>
      <c r="H540">
        <f>'Revenue Model'!P61</f>
        <v>0</v>
      </c>
      <c r="I540">
        <f>'Revenue Model'!Q61</f>
        <v>0</v>
      </c>
      <c r="J540">
        <f>'Revenue Model'!R61</f>
        <v>0</v>
      </c>
      <c r="K540">
        <f>'Revenue Model'!S61</f>
        <v>0</v>
      </c>
      <c r="L540">
        <f>'Revenue Model'!T61</f>
        <v>0</v>
      </c>
      <c r="M540">
        <f>'Revenue Model'!U61</f>
        <v>0</v>
      </c>
      <c r="N540">
        <f>'Revenue Model'!V61</f>
        <v>0.5</v>
      </c>
      <c r="O540">
        <f>'Revenue Model'!W61</f>
        <v>0.5</v>
      </c>
      <c r="P540">
        <f>'Revenue Model'!X61</f>
        <v>0.5</v>
      </c>
      <c r="Q540">
        <f>'Revenue Model'!Y61</f>
        <v>0.5</v>
      </c>
      <c r="R540">
        <f>'Revenue Model'!Z61</f>
        <v>0.5</v>
      </c>
      <c r="S540">
        <f>'Revenue Model'!AA61</f>
        <v>0</v>
      </c>
      <c r="T540">
        <f>'Revenue Model'!AB61</f>
        <v>0</v>
      </c>
      <c r="U540">
        <f>'Revenue Model'!AC61</f>
        <v>0</v>
      </c>
      <c r="V540">
        <f>'Revenue Model'!AD61</f>
        <v>0</v>
      </c>
      <c r="W540">
        <f>'Revenue Model'!AE61</f>
        <v>0</v>
      </c>
      <c r="X540">
        <f>'Revenue Model'!AF61</f>
        <v>0</v>
      </c>
      <c r="Y540">
        <f>'Revenue Model'!AG61</f>
        <v>0</v>
      </c>
      <c r="Z540">
        <f>'Revenue Model'!AH61</f>
        <v>0</v>
      </c>
      <c r="AA540">
        <f>'Revenue Model'!AI61</f>
        <v>0</v>
      </c>
      <c r="AB540">
        <f>'Revenue Model'!AJ61</f>
        <v>0</v>
      </c>
      <c r="AC540">
        <f>'Revenue Model'!AK61</f>
        <v>0</v>
      </c>
      <c r="AD540">
        <f>'Revenue Model'!AL61</f>
        <v>0</v>
      </c>
      <c r="AE540">
        <f>'Revenue Model'!AM61</f>
        <v>0</v>
      </c>
      <c r="AF540">
        <f>'Revenue Model'!AN61</f>
        <v>0</v>
      </c>
      <c r="AG540">
        <f>'Revenue Model'!AO61</f>
        <v>0</v>
      </c>
      <c r="AH540">
        <f>'Revenue Model'!AP61</f>
        <v>0</v>
      </c>
      <c r="AI540">
        <f>'Revenue Model'!AQ61</f>
        <v>0</v>
      </c>
      <c r="AJ540">
        <f>'Revenue Model'!AR61</f>
        <v>0</v>
      </c>
      <c r="AK540">
        <f>'Revenue Model'!AS61</f>
        <v>0</v>
      </c>
      <c r="AL540">
        <f>'Revenue Model'!AT61</f>
        <v>0</v>
      </c>
      <c r="AM540">
        <f>'Revenue Model'!AU61</f>
        <v>0</v>
      </c>
    </row>
    <row r="541" spans="1:39">
      <c r="A541" t="str">
        <f>'Revenue Model'!I62</f>
        <v>Snapad</v>
      </c>
      <c r="B541">
        <f>'Revenue Model'!J62</f>
        <v>0</v>
      </c>
      <c r="C541">
        <f>'Revenue Model'!K62</f>
        <v>0</v>
      </c>
      <c r="D541">
        <f>'Revenue Model'!L62</f>
        <v>0</v>
      </c>
      <c r="E541">
        <f>'Revenue Model'!M62</f>
        <v>0</v>
      </c>
      <c r="F541">
        <f>'Revenue Model'!N62</f>
        <v>0</v>
      </c>
      <c r="G541">
        <f>'Revenue Model'!O62</f>
        <v>0</v>
      </c>
      <c r="H541">
        <f>'Revenue Model'!P62</f>
        <v>0</v>
      </c>
      <c r="I541">
        <f>'Revenue Model'!Q62</f>
        <v>0</v>
      </c>
      <c r="J541">
        <f>'Revenue Model'!R62</f>
        <v>0</v>
      </c>
      <c r="K541">
        <f>'Revenue Model'!S62</f>
        <v>0</v>
      </c>
      <c r="L541">
        <f>'Revenue Model'!T62</f>
        <v>0</v>
      </c>
      <c r="M541">
        <f>'Revenue Model'!U62</f>
        <v>0</v>
      </c>
      <c r="N541">
        <f>'Revenue Model'!V62</f>
        <v>0.5</v>
      </c>
      <c r="O541">
        <f>'Revenue Model'!W62</f>
        <v>0.5</v>
      </c>
      <c r="P541">
        <f>'Revenue Model'!X62</f>
        <v>0.5</v>
      </c>
      <c r="Q541">
        <f>'Revenue Model'!Y62</f>
        <v>0.5</v>
      </c>
      <c r="R541">
        <f>'Revenue Model'!Z62</f>
        <v>0.5</v>
      </c>
      <c r="S541">
        <f>'Revenue Model'!AA62</f>
        <v>0</v>
      </c>
      <c r="T541">
        <f>'Revenue Model'!AB62</f>
        <v>0</v>
      </c>
      <c r="U541">
        <f>'Revenue Model'!AC62</f>
        <v>0</v>
      </c>
      <c r="V541">
        <f>'Revenue Model'!AD62</f>
        <v>0</v>
      </c>
      <c r="W541">
        <f>'Revenue Model'!AE62</f>
        <v>0</v>
      </c>
      <c r="X541">
        <f>'Revenue Model'!AF62</f>
        <v>0</v>
      </c>
      <c r="Y541">
        <f>'Revenue Model'!AG62</f>
        <v>0</v>
      </c>
      <c r="Z541">
        <f>'Revenue Model'!AH62</f>
        <v>0</v>
      </c>
      <c r="AA541">
        <f>'Revenue Model'!AI62</f>
        <v>0</v>
      </c>
      <c r="AB541">
        <f>'Revenue Model'!AJ62</f>
        <v>0</v>
      </c>
      <c r="AC541">
        <f>'Revenue Model'!AK62</f>
        <v>0</v>
      </c>
      <c r="AD541">
        <f>'Revenue Model'!AL62</f>
        <v>0</v>
      </c>
      <c r="AE541">
        <f>'Revenue Model'!AM62</f>
        <v>0</v>
      </c>
      <c r="AF541">
        <f>'Revenue Model'!AN62</f>
        <v>0</v>
      </c>
      <c r="AG541">
        <f>'Revenue Model'!AO62</f>
        <v>0</v>
      </c>
      <c r="AH541">
        <f>'Revenue Model'!AP62</f>
        <v>0</v>
      </c>
      <c r="AI541">
        <f>'Revenue Model'!AQ62</f>
        <v>0</v>
      </c>
      <c r="AJ541">
        <f>'Revenue Model'!AR62</f>
        <v>0</v>
      </c>
      <c r="AK541">
        <f>'Revenue Model'!AS62</f>
        <v>0</v>
      </c>
      <c r="AL541">
        <f>'Revenue Model'!AT62</f>
        <v>0</v>
      </c>
      <c r="AM541">
        <f>'Revenue Model'!AU62</f>
        <v>0</v>
      </c>
    </row>
    <row r="542" spans="1:39">
      <c r="A542" t="str">
        <f>'Revenue Model'!I63</f>
        <v>Creative Tools</v>
      </c>
      <c r="B542">
        <f>'Revenue Model'!J63</f>
        <v>0</v>
      </c>
      <c r="C542">
        <f>'Revenue Model'!K63</f>
        <v>0</v>
      </c>
      <c r="D542">
        <f>'Revenue Model'!L63</f>
        <v>0</v>
      </c>
      <c r="E542">
        <f>'Revenue Model'!M63</f>
        <v>0</v>
      </c>
      <c r="F542">
        <f>'Revenue Model'!N63</f>
        <v>0</v>
      </c>
      <c r="G542">
        <f>'Revenue Model'!O63</f>
        <v>0</v>
      </c>
      <c r="H542">
        <f>'Revenue Model'!P63</f>
        <v>0</v>
      </c>
      <c r="I542">
        <f>'Revenue Model'!Q63</f>
        <v>0</v>
      </c>
      <c r="J542">
        <f>'Revenue Model'!R63</f>
        <v>0</v>
      </c>
      <c r="K542">
        <f>'Revenue Model'!S63</f>
        <v>0</v>
      </c>
      <c r="L542">
        <f>'Revenue Model'!T63</f>
        <v>0</v>
      </c>
      <c r="M542">
        <f>'Revenue Model'!U63</f>
        <v>0</v>
      </c>
      <c r="N542">
        <f>'Revenue Model'!V63</f>
        <v>0</v>
      </c>
      <c r="O542">
        <f>'Revenue Model'!W63</f>
        <v>0</v>
      </c>
      <c r="P542">
        <f>'Revenue Model'!X63</f>
        <v>0</v>
      </c>
      <c r="Q542">
        <f>'Revenue Model'!Y63</f>
        <v>0</v>
      </c>
      <c r="R542">
        <f>'Revenue Model'!Z63</f>
        <v>0</v>
      </c>
      <c r="S542">
        <f>'Revenue Model'!AA63</f>
        <v>0</v>
      </c>
      <c r="T542">
        <f>'Revenue Model'!AB63</f>
        <v>0</v>
      </c>
      <c r="U542">
        <f>'Revenue Model'!AC63</f>
        <v>0</v>
      </c>
      <c r="V542">
        <f>'Revenue Model'!AD63</f>
        <v>0</v>
      </c>
      <c r="W542">
        <f>'Revenue Model'!AE63</f>
        <v>0</v>
      </c>
      <c r="X542">
        <f>'Revenue Model'!AF63</f>
        <v>0</v>
      </c>
      <c r="Y542">
        <f>'Revenue Model'!AG63</f>
        <v>0</v>
      </c>
      <c r="Z542">
        <f>'Revenue Model'!AH63</f>
        <v>0</v>
      </c>
      <c r="AA542">
        <f>'Revenue Model'!AI63</f>
        <v>0</v>
      </c>
      <c r="AB542">
        <f>'Revenue Model'!AJ63</f>
        <v>0</v>
      </c>
      <c r="AC542">
        <f>'Revenue Model'!AK63</f>
        <v>0</v>
      </c>
      <c r="AD542">
        <f>'Revenue Model'!AL63</f>
        <v>0</v>
      </c>
      <c r="AE542">
        <f>'Revenue Model'!AM63</f>
        <v>0</v>
      </c>
      <c r="AF542">
        <f>'Revenue Model'!AN63</f>
        <v>0</v>
      </c>
      <c r="AG542">
        <f>'Revenue Model'!AO63</f>
        <v>0</v>
      </c>
      <c r="AH542">
        <f>'Revenue Model'!AP63</f>
        <v>0</v>
      </c>
      <c r="AI542">
        <f>'Revenue Model'!AQ63</f>
        <v>0</v>
      </c>
      <c r="AJ542">
        <f>'Revenue Model'!AR63</f>
        <v>0</v>
      </c>
      <c r="AK542">
        <f>'Revenue Model'!AS63</f>
        <v>0</v>
      </c>
      <c r="AL542">
        <f>'Revenue Model'!AT63</f>
        <v>0</v>
      </c>
      <c r="AM542">
        <f>'Revenue Model'!AU63</f>
        <v>0</v>
      </c>
    </row>
    <row r="543" spans="1:39">
      <c r="A543">
        <f>'Revenue Model'!I64</f>
        <v>0</v>
      </c>
      <c r="B543">
        <f>'Revenue Model'!J64</f>
        <v>0</v>
      </c>
      <c r="C543">
        <f>'Revenue Model'!K64</f>
        <v>0</v>
      </c>
      <c r="D543">
        <f>'Revenue Model'!L64</f>
        <v>0</v>
      </c>
      <c r="E543">
        <f>'Revenue Model'!M64</f>
        <v>0</v>
      </c>
      <c r="F543">
        <f>'Revenue Model'!N64</f>
        <v>0</v>
      </c>
      <c r="G543">
        <f>'Revenue Model'!O64</f>
        <v>0</v>
      </c>
      <c r="H543">
        <f>'Revenue Model'!P64</f>
        <v>0</v>
      </c>
      <c r="I543">
        <f>'Revenue Model'!Q64</f>
        <v>0</v>
      </c>
      <c r="J543">
        <f>'Revenue Model'!R64</f>
        <v>0</v>
      </c>
      <c r="K543">
        <f>'Revenue Model'!S64</f>
        <v>0</v>
      </c>
      <c r="L543">
        <f>'Revenue Model'!T64</f>
        <v>0</v>
      </c>
      <c r="M543">
        <f>'Revenue Model'!U64</f>
        <v>0</v>
      </c>
      <c r="N543">
        <f>'Revenue Model'!V64</f>
        <v>0</v>
      </c>
      <c r="O543">
        <f>'Revenue Model'!W64</f>
        <v>0</v>
      </c>
      <c r="P543">
        <f>'Revenue Model'!X64</f>
        <v>0</v>
      </c>
      <c r="Q543">
        <f>'Revenue Model'!Y64</f>
        <v>0</v>
      </c>
      <c r="R543">
        <f>'Revenue Model'!Z64</f>
        <v>0</v>
      </c>
      <c r="S543">
        <f>'Revenue Model'!AA64</f>
        <v>0</v>
      </c>
      <c r="T543">
        <f>'Revenue Model'!AB64</f>
        <v>0</v>
      </c>
      <c r="U543">
        <f>'Revenue Model'!AC64</f>
        <v>0</v>
      </c>
      <c r="V543">
        <f>'Revenue Model'!AD64</f>
        <v>0</v>
      </c>
      <c r="W543">
        <f>'Revenue Model'!AE64</f>
        <v>0</v>
      </c>
      <c r="X543">
        <f>'Revenue Model'!AF64</f>
        <v>0</v>
      </c>
      <c r="Y543">
        <f>'Revenue Model'!AG64</f>
        <v>0</v>
      </c>
      <c r="Z543">
        <f>'Revenue Model'!AH64</f>
        <v>0</v>
      </c>
      <c r="AA543">
        <f>'Revenue Model'!AI64</f>
        <v>0</v>
      </c>
      <c r="AB543">
        <f>'Revenue Model'!AJ64</f>
        <v>0</v>
      </c>
      <c r="AC543">
        <f>'Revenue Model'!AK64</f>
        <v>0</v>
      </c>
      <c r="AD543">
        <f>'Revenue Model'!AL64</f>
        <v>0</v>
      </c>
      <c r="AE543">
        <f>'Revenue Model'!AM64</f>
        <v>0</v>
      </c>
      <c r="AF543">
        <f>'Revenue Model'!AN64</f>
        <v>0</v>
      </c>
      <c r="AG543">
        <f>'Revenue Model'!AO64</f>
        <v>0</v>
      </c>
      <c r="AH543">
        <f>'Revenue Model'!AP64</f>
        <v>0</v>
      </c>
      <c r="AI543">
        <f>'Revenue Model'!AQ64</f>
        <v>0</v>
      </c>
      <c r="AJ543">
        <f>'Revenue Model'!AR64</f>
        <v>0</v>
      </c>
      <c r="AK543">
        <f>'Revenue Model'!AS64</f>
        <v>0</v>
      </c>
      <c r="AL543">
        <f>'Revenue Model'!AT64</f>
        <v>0</v>
      </c>
      <c r="AM543">
        <f>'Revenue Model'!AU64</f>
        <v>0</v>
      </c>
    </row>
    <row r="544" spans="1:39">
      <c r="A544" t="str">
        <f>'Revenue Model'!I65</f>
        <v>Avg. CPM</v>
      </c>
      <c r="B544">
        <f>'Revenue Model'!J65</f>
        <v>40</v>
      </c>
      <c r="C544">
        <f>'Revenue Model'!K65</f>
        <v>40</v>
      </c>
      <c r="D544">
        <f>'Revenue Model'!L65</f>
        <v>40</v>
      </c>
      <c r="E544">
        <f>'Revenue Model'!M65</f>
        <v>40</v>
      </c>
      <c r="F544">
        <f>'Revenue Model'!N65</f>
        <v>35</v>
      </c>
      <c r="G544">
        <f>'Revenue Model'!O65</f>
        <v>35</v>
      </c>
      <c r="H544">
        <f>'Revenue Model'!P65</f>
        <v>35</v>
      </c>
      <c r="I544">
        <f>'Revenue Model'!Q65</f>
        <v>35</v>
      </c>
      <c r="J544">
        <f>'Revenue Model'!R65</f>
        <v>26</v>
      </c>
      <c r="K544">
        <f>'Revenue Model'!S65</f>
        <v>26</v>
      </c>
      <c r="L544">
        <f>'Revenue Model'!T65</f>
        <v>26</v>
      </c>
      <c r="M544">
        <f>'Revenue Model'!U65</f>
        <v>26</v>
      </c>
      <c r="N544">
        <f>'Revenue Model'!V65</f>
        <v>24</v>
      </c>
      <c r="O544">
        <f>'Revenue Model'!W65</f>
        <v>24</v>
      </c>
      <c r="P544">
        <f>'Revenue Model'!X65</f>
        <v>23</v>
      </c>
      <c r="Q544">
        <f>'Revenue Model'!Y65</f>
        <v>24</v>
      </c>
      <c r="R544">
        <f>'Revenue Model'!Z65</f>
        <v>16.799999999999997</v>
      </c>
      <c r="S544">
        <f>'Revenue Model'!AA65</f>
        <v>9.164595098436866</v>
      </c>
      <c r="T544">
        <f>'Revenue Model'!AB65</f>
        <v>7.331676078749493</v>
      </c>
      <c r="U544">
        <f>'Revenue Model'!AC65</f>
        <v>6.1950313814745863</v>
      </c>
      <c r="V544">
        <f>'Revenue Model'!AD65</f>
        <v>6.7199999999999989</v>
      </c>
      <c r="W544">
        <f>'Revenue Model'!AE65</f>
        <v>3.6658380393747465</v>
      </c>
      <c r="X544">
        <f>'Revenue Model'!AF65</f>
        <v>6.5985084708745436</v>
      </c>
      <c r="Y544">
        <f>'Revenue Model'!AG65</f>
        <v>5.5755282433271276</v>
      </c>
      <c r="Z544">
        <f>'Revenue Model'!AH65</f>
        <v>0</v>
      </c>
      <c r="AA544">
        <f>'Revenue Model'!AI65</f>
        <v>0</v>
      </c>
      <c r="AB544">
        <f>'Revenue Model'!AJ65</f>
        <v>0</v>
      </c>
      <c r="AC544">
        <f>'Revenue Model'!AK65</f>
        <v>26</v>
      </c>
      <c r="AD544">
        <f>'Revenue Model'!AL65</f>
        <v>23.670069947106462</v>
      </c>
      <c r="AE544">
        <f>'Revenue Model'!AM65</f>
        <v>7.9606323647242121</v>
      </c>
      <c r="AF544">
        <f>'Revenue Model'!AN65</f>
        <v>5.3416786770368558</v>
      </c>
      <c r="AG544">
        <f>'Revenue Model'!AO65</f>
        <v>4.5404268754813275</v>
      </c>
      <c r="AH544">
        <f>'Revenue Model'!AP65</f>
        <v>4.086384187933195</v>
      </c>
      <c r="AI544">
        <f>'Revenue Model'!AQ65</f>
        <v>3.8820649785365351</v>
      </c>
      <c r="AJ544">
        <f>'Revenue Model'!AR65</f>
        <v>3.8820649785365351</v>
      </c>
      <c r="AK544">
        <f>'Revenue Model'!AS65</f>
        <v>3.8820649785365351</v>
      </c>
      <c r="AL544">
        <f>'Revenue Model'!AT65</f>
        <v>3.8820649785365351</v>
      </c>
      <c r="AM544">
        <f>'Revenue Model'!AU65</f>
        <v>3.8820649785365351</v>
      </c>
    </row>
    <row r="545" spans="1:39">
      <c r="A545" t="str">
        <f>'Revenue Model'!I66</f>
        <v>Y/Y % Growth</v>
      </c>
      <c r="B545">
        <f>'Revenue Model'!J66</f>
        <v>0</v>
      </c>
      <c r="C545">
        <f>'Revenue Model'!K66</f>
        <v>0</v>
      </c>
      <c r="D545">
        <f>'Revenue Model'!L66</f>
        <v>0</v>
      </c>
      <c r="E545">
        <f>'Revenue Model'!M66</f>
        <v>0</v>
      </c>
      <c r="F545">
        <f>'Revenue Model'!N66</f>
        <v>-0.125</v>
      </c>
      <c r="G545">
        <f>'Revenue Model'!O66</f>
        <v>-0.125</v>
      </c>
      <c r="H545">
        <f>'Revenue Model'!P66</f>
        <v>-0.125</v>
      </c>
      <c r="I545">
        <f>'Revenue Model'!Q66</f>
        <v>-0.125</v>
      </c>
      <c r="J545">
        <f>'Revenue Model'!R66</f>
        <v>-0.25714285714285712</v>
      </c>
      <c r="K545">
        <f>'Revenue Model'!S66</f>
        <v>-0.25714285714285712</v>
      </c>
      <c r="L545">
        <f>'Revenue Model'!T66</f>
        <v>-0.25714285714285712</v>
      </c>
      <c r="M545">
        <f>'Revenue Model'!U66</f>
        <v>-0.25714285714285712</v>
      </c>
      <c r="N545">
        <f>'Revenue Model'!V66</f>
        <v>-7.6923076923076872E-2</v>
      </c>
      <c r="O545">
        <f>'Revenue Model'!W66</f>
        <v>-7.6923076923076872E-2</v>
      </c>
      <c r="P545">
        <f>'Revenue Model'!X66</f>
        <v>-0.11538461538461542</v>
      </c>
      <c r="Q545">
        <f>'Revenue Model'!Y66</f>
        <v>-7.6923076923076872E-2</v>
      </c>
      <c r="R545">
        <f>'Revenue Model'!Z66</f>
        <v>-0.3</v>
      </c>
      <c r="S545">
        <f>'Revenue Model'!AA66</f>
        <v>-0.61814187089846384</v>
      </c>
      <c r="T545">
        <f>'Revenue Model'!AB66</f>
        <v>-0.68123147483697855</v>
      </c>
      <c r="U545">
        <f>'Revenue Model'!AC66</f>
        <v>-0.74187369243855894</v>
      </c>
      <c r="V545">
        <f>'Revenue Model'!AD66</f>
        <v>-0.6</v>
      </c>
      <c r="W545">
        <f>'Revenue Model'!AE66</f>
        <v>-0.6</v>
      </c>
      <c r="X545">
        <f>'Revenue Model'!AF66</f>
        <v>-0.1</v>
      </c>
      <c r="Y545">
        <f>'Revenue Model'!AG66</f>
        <v>-0.1</v>
      </c>
      <c r="Z545">
        <f>'Revenue Model'!AH66</f>
        <v>0</v>
      </c>
      <c r="AA545">
        <f>'Revenue Model'!AI66</f>
        <v>0</v>
      </c>
      <c r="AB545">
        <f>'Revenue Model'!AJ66</f>
        <v>0</v>
      </c>
      <c r="AC545">
        <f>'Revenue Model'!AK66</f>
        <v>0</v>
      </c>
      <c r="AD545">
        <f>'Revenue Model'!AL66</f>
        <v>-8.9612694342059096E-2</v>
      </c>
      <c r="AE545">
        <f>'Revenue Model'!AM66</f>
        <v>-0.66368361468668335</v>
      </c>
      <c r="AF545">
        <f>'Revenue Model'!AN66</f>
        <v>-0.32898814663175158</v>
      </c>
      <c r="AG545">
        <f>'Revenue Model'!AO66</f>
        <v>-0.15</v>
      </c>
      <c r="AH545">
        <f>'Revenue Model'!AP66</f>
        <v>-0.1</v>
      </c>
      <c r="AI545">
        <f>'Revenue Model'!AQ66</f>
        <v>-0.05</v>
      </c>
      <c r="AJ545">
        <f>'Revenue Model'!AR66</f>
        <v>0</v>
      </c>
      <c r="AK545">
        <f>'Revenue Model'!AS66</f>
        <v>0</v>
      </c>
      <c r="AL545">
        <f>'Revenue Model'!AT66</f>
        <v>0</v>
      </c>
      <c r="AM545">
        <f>'Revenue Model'!AU66</f>
        <v>0</v>
      </c>
    </row>
    <row r="546" spans="1:39">
      <c r="A546">
        <f>'Revenue Model'!I67</f>
        <v>0</v>
      </c>
      <c r="B546">
        <f>'Revenue Model'!J67</f>
        <v>0</v>
      </c>
      <c r="C546">
        <f>'Revenue Model'!K67</f>
        <v>0</v>
      </c>
      <c r="D546">
        <f>'Revenue Model'!L67</f>
        <v>0</v>
      </c>
      <c r="E546">
        <f>'Revenue Model'!M67</f>
        <v>0</v>
      </c>
      <c r="F546">
        <f>'Revenue Model'!N67</f>
        <v>0</v>
      </c>
      <c r="G546">
        <f>'Revenue Model'!O67</f>
        <v>0</v>
      </c>
      <c r="H546">
        <f>'Revenue Model'!P67</f>
        <v>0</v>
      </c>
      <c r="I546">
        <f>'Revenue Model'!Q67</f>
        <v>0</v>
      </c>
      <c r="J546">
        <f>'Revenue Model'!R67</f>
        <v>0</v>
      </c>
      <c r="K546">
        <f>'Revenue Model'!S67</f>
        <v>0</v>
      </c>
      <c r="L546">
        <f>'Revenue Model'!T67</f>
        <v>0</v>
      </c>
      <c r="M546">
        <f>'Revenue Model'!U67</f>
        <v>0</v>
      </c>
      <c r="N546">
        <f>'Revenue Model'!V67</f>
        <v>0</v>
      </c>
      <c r="O546">
        <f>'Revenue Model'!W67</f>
        <v>0</v>
      </c>
      <c r="P546">
        <f>'Revenue Model'!X67</f>
        <v>0</v>
      </c>
      <c r="Q546">
        <f>'Revenue Model'!Y67</f>
        <v>0</v>
      </c>
      <c r="R546">
        <f>'Revenue Model'!Z67</f>
        <v>0</v>
      </c>
      <c r="S546">
        <f>'Revenue Model'!AA67</f>
        <v>0</v>
      </c>
      <c r="T546">
        <f>'Revenue Model'!AB67</f>
        <v>0</v>
      </c>
      <c r="U546">
        <f>'Revenue Model'!AC67</f>
        <v>0</v>
      </c>
      <c r="V546">
        <f>'Revenue Model'!AD67</f>
        <v>0</v>
      </c>
      <c r="W546">
        <f>'Revenue Model'!AE67</f>
        <v>0</v>
      </c>
      <c r="X546">
        <f>'Revenue Model'!AF67</f>
        <v>0</v>
      </c>
      <c r="Y546">
        <f>'Revenue Model'!AG67</f>
        <v>0</v>
      </c>
      <c r="Z546">
        <f>'Revenue Model'!AH67</f>
        <v>0</v>
      </c>
      <c r="AA546">
        <f>'Revenue Model'!AI67</f>
        <v>0</v>
      </c>
      <c r="AB546">
        <f>'Revenue Model'!AJ67</f>
        <v>0</v>
      </c>
      <c r="AC546">
        <f>'Revenue Model'!AK67</f>
        <v>0</v>
      </c>
      <c r="AD546">
        <f>'Revenue Model'!AL67</f>
        <v>0</v>
      </c>
      <c r="AE546">
        <f>'Revenue Model'!AM67</f>
        <v>0</v>
      </c>
      <c r="AF546">
        <f>'Revenue Model'!AN67</f>
        <v>0</v>
      </c>
      <c r="AG546">
        <f>'Revenue Model'!AO67</f>
        <v>0</v>
      </c>
      <c r="AH546">
        <f>'Revenue Model'!AP67</f>
        <v>0</v>
      </c>
      <c r="AI546">
        <f>'Revenue Model'!AQ67</f>
        <v>0</v>
      </c>
      <c r="AJ546">
        <f>'Revenue Model'!AR67</f>
        <v>0</v>
      </c>
      <c r="AK546">
        <f>'Revenue Model'!AS67</f>
        <v>0</v>
      </c>
      <c r="AL546">
        <f>'Revenue Model'!AT67</f>
        <v>0</v>
      </c>
      <c r="AM546">
        <f>'Revenue Model'!AU67</f>
        <v>0</v>
      </c>
    </row>
    <row r="547" spans="1:39">
      <c r="A547" t="str">
        <f>'Revenue Model'!I68</f>
        <v>Ad Impressions</v>
      </c>
      <c r="B547">
        <f>'Revenue Model'!J68</f>
        <v>0</v>
      </c>
      <c r="C547">
        <f>'Revenue Model'!K68</f>
        <v>0</v>
      </c>
      <c r="D547">
        <f>'Revenue Model'!L68</f>
        <v>0</v>
      </c>
      <c r="E547">
        <f>'Revenue Model'!M68</f>
        <v>0</v>
      </c>
      <c r="F547">
        <f>'Revenue Model'!N68</f>
        <v>0</v>
      </c>
      <c r="G547">
        <f>'Revenue Model'!O68</f>
        <v>0</v>
      </c>
      <c r="H547">
        <f>'Revenue Model'!P68</f>
        <v>0</v>
      </c>
      <c r="I547">
        <f>'Revenue Model'!Q68</f>
        <v>0</v>
      </c>
      <c r="J547">
        <f>'Revenue Model'!R68</f>
        <v>150.76923076923077</v>
      </c>
      <c r="K547">
        <f>'Revenue Model'!S68</f>
        <v>203.84615384615384</v>
      </c>
      <c r="L547">
        <f>'Revenue Model'!T68</f>
        <v>643.26923076923083</v>
      </c>
      <c r="M547">
        <f>'Revenue Model'!U68</f>
        <v>1258.3846153846155</v>
      </c>
      <c r="N547">
        <f>'Revenue Model'!V68</f>
        <v>1616.5833333333335</v>
      </c>
      <c r="O547">
        <f>'Revenue Model'!W68</f>
        <v>2991.5833333333335</v>
      </c>
      <c r="P547">
        <f>'Revenue Model'!X68</f>
        <v>5574.0869565217399</v>
      </c>
      <c r="Q547">
        <f>'Revenue Model'!Y68</f>
        <v>6712.4999999999982</v>
      </c>
      <c r="R547">
        <f>'Revenue Model'!Z68</f>
        <v>8413.5714285714294</v>
      </c>
      <c r="S547">
        <f>'Revenue Model'!AA68</f>
        <v>19233.910293545337</v>
      </c>
      <c r="T547">
        <f>'Revenue Model'!AB68</f>
        <v>27870.4347826087</v>
      </c>
      <c r="U547">
        <f>'Revenue Model'!AC68</f>
        <v>45309.374999999985</v>
      </c>
      <c r="V547">
        <f>'Revenue Model'!AD68</f>
        <v>36678.13916449275</v>
      </c>
      <c r="W547">
        <f>'Revenue Model'!AE68</f>
        <v>79173.326971232877</v>
      </c>
      <c r="X547">
        <f>'Revenue Model'!AF68</f>
        <v>51199.502904513778</v>
      </c>
      <c r="Y547">
        <f>'Revenue Model'!AG68</f>
        <v>76025.613655111607</v>
      </c>
      <c r="Z547">
        <f>'Revenue Model'!AH68</f>
        <v>0</v>
      </c>
      <c r="AA547">
        <f>'Revenue Model'!AI68</f>
        <v>0</v>
      </c>
      <c r="AB547">
        <f>'Revenue Model'!AJ68</f>
        <v>0</v>
      </c>
      <c r="AC547">
        <f>'Revenue Model'!AK68</f>
        <v>2256.2692307692309</v>
      </c>
      <c r="AD547">
        <f>'Revenue Model'!AL68</f>
        <v>16894.753623188408</v>
      </c>
      <c r="AE547">
        <f>'Revenue Model'!AM68</f>
        <v>100827.29150472545</v>
      </c>
      <c r="AF547">
        <f>'Revenue Model'!AN68</f>
        <v>243076.58269535101</v>
      </c>
      <c r="AG547">
        <f>'Revenue Model'!AO68</f>
        <v>432153.33196785778</v>
      </c>
      <c r="AH547">
        <f>'Revenue Model'!AP68</f>
        <v>684633.21310595865</v>
      </c>
      <c r="AI547">
        <f>'Revenue Model'!AQ68</f>
        <v>980334.60114999232</v>
      </c>
      <c r="AJ547">
        <f>'Revenue Model'!AR68</f>
        <v>1276834.772530868</v>
      </c>
      <c r="AK547">
        <f>'Revenue Model'!AS68</f>
        <v>1585847.6412119737</v>
      </c>
      <c r="AL547">
        <f>'Revenue Model'!AT68</f>
        <v>1892980.3658625472</v>
      </c>
      <c r="AM547">
        <f>'Revenue Model'!AU68</f>
        <v>2199454.24339042</v>
      </c>
    </row>
    <row r="548" spans="1:39">
      <c r="A548" t="str">
        <f>'Revenue Model'!I69</f>
        <v>Y/Y % Growth</v>
      </c>
      <c r="B548">
        <f>'Revenue Model'!J69</f>
        <v>0</v>
      </c>
      <c r="C548">
        <f>'Revenue Model'!K69</f>
        <v>0</v>
      </c>
      <c r="D548">
        <f>'Revenue Model'!L69</f>
        <v>0</v>
      </c>
      <c r="E548">
        <f>'Revenue Model'!M69</f>
        <v>0</v>
      </c>
      <c r="F548">
        <f>'Revenue Model'!N69</f>
        <v>0</v>
      </c>
      <c r="G548">
        <f>'Revenue Model'!O69</f>
        <v>0</v>
      </c>
      <c r="H548">
        <f>'Revenue Model'!P69</f>
        <v>0</v>
      </c>
      <c r="I548">
        <f>'Revenue Model'!Q69</f>
        <v>0</v>
      </c>
      <c r="J548">
        <f>'Revenue Model'!R69</f>
        <v>0</v>
      </c>
      <c r="K548">
        <f>'Revenue Model'!S69</f>
        <v>0</v>
      </c>
      <c r="L548">
        <f>'Revenue Model'!T69</f>
        <v>0</v>
      </c>
      <c r="M548">
        <f>'Revenue Model'!U69</f>
        <v>0</v>
      </c>
      <c r="N548">
        <f>'Revenue Model'!V69</f>
        <v>9.7222363945578234</v>
      </c>
      <c r="O548">
        <f>'Revenue Model'!W69</f>
        <v>13.675691823899372</v>
      </c>
      <c r="P548">
        <f>'Revenue Model'!X69</f>
        <v>7.6652472866705672</v>
      </c>
      <c r="Q548">
        <f>'Revenue Model'!Y69</f>
        <v>4.3342196955804129</v>
      </c>
      <c r="R548">
        <f>'Revenue Model'!Z69</f>
        <v>4.2045392619649027</v>
      </c>
      <c r="S548">
        <f>'Revenue Model'!AA69</f>
        <v>5.4293413053997055</v>
      </c>
      <c r="T548">
        <f>'Revenue Model'!AB69</f>
        <v>4</v>
      </c>
      <c r="U548">
        <f>'Revenue Model'!AC69</f>
        <v>5.75</v>
      </c>
      <c r="V548">
        <f>'Revenue Model'!AD69</f>
        <v>3.3594018872815896</v>
      </c>
      <c r="W548">
        <f>'Revenue Model'!AE69</f>
        <v>3.1163406589144005</v>
      </c>
      <c r="X548">
        <f>'Revenue Model'!AF69</f>
        <v>0.83705433029206056</v>
      </c>
      <c r="Y548">
        <f>'Revenue Model'!AG69</f>
        <v>0.67792236496556457</v>
      </c>
      <c r="Z548">
        <f>'Revenue Model'!AH69</f>
        <v>0</v>
      </c>
      <c r="AA548">
        <f>'Revenue Model'!AI69</f>
        <v>0</v>
      </c>
      <c r="AB548">
        <f>'Revenue Model'!AJ69</f>
        <v>0</v>
      </c>
      <c r="AC548">
        <f>'Revenue Model'!AK69</f>
        <v>0</v>
      </c>
      <c r="AD548">
        <f>'Revenue Model'!AL69</f>
        <v>6.4879156231849473</v>
      </c>
      <c r="AE548">
        <f>'Revenue Model'!AM69</f>
        <v>4.9679645973847082</v>
      </c>
      <c r="AF548">
        <f>'Revenue Model'!AN69</f>
        <v>1.4108213070858775</v>
      </c>
      <c r="AG548">
        <f>'Revenue Model'!AO69</f>
        <v>0.77784847547193614</v>
      </c>
      <c r="AH548">
        <f>'Revenue Model'!AP69</f>
        <v>0.58423680314671178</v>
      </c>
      <c r="AI548">
        <f>'Revenue Model'!AQ69</f>
        <v>0.4319121281051097</v>
      </c>
      <c r="AJ548">
        <f>'Revenue Model'!AR69</f>
        <v>0.30244793056683172</v>
      </c>
      <c r="AK548">
        <f>'Revenue Model'!AS69</f>
        <v>0.24201476598933658</v>
      </c>
      <c r="AL548">
        <f>'Revenue Model'!AT69</f>
        <v>0.19367101647662022</v>
      </c>
      <c r="AM548">
        <f>'Revenue Model'!AU69</f>
        <v>0.16190018821892327</v>
      </c>
    </row>
    <row r="549" spans="1:39">
      <c r="A549" t="str">
        <f>'Revenue Model'!I70</f>
        <v>Q/Q % Growth</v>
      </c>
      <c r="B549">
        <f>'Revenue Model'!J70</f>
        <v>0</v>
      </c>
      <c r="C549">
        <f>'Revenue Model'!K70</f>
        <v>0</v>
      </c>
      <c r="D549">
        <f>'Revenue Model'!L70</f>
        <v>0</v>
      </c>
      <c r="E549">
        <f>'Revenue Model'!M70</f>
        <v>0</v>
      </c>
      <c r="F549">
        <f>'Revenue Model'!N70</f>
        <v>0</v>
      </c>
      <c r="G549">
        <f>'Revenue Model'!O70</f>
        <v>0</v>
      </c>
      <c r="H549">
        <f>'Revenue Model'!P70</f>
        <v>0</v>
      </c>
      <c r="I549">
        <f>'Revenue Model'!Q70</f>
        <v>0</v>
      </c>
      <c r="J549">
        <f>'Revenue Model'!R70</f>
        <v>0</v>
      </c>
      <c r="K549">
        <f>'Revenue Model'!S70</f>
        <v>0.3520408163265305</v>
      </c>
      <c r="L549">
        <f>'Revenue Model'!T70</f>
        <v>2.1556603773584908</v>
      </c>
      <c r="M549">
        <f>'Revenue Model'!U70</f>
        <v>0.95623318385650213</v>
      </c>
      <c r="N549">
        <f>'Revenue Model'!V70</f>
        <v>0.28464963221060779</v>
      </c>
      <c r="O549">
        <f>'Revenue Model'!W70</f>
        <v>0.85055930718078243</v>
      </c>
      <c r="P549">
        <f>'Revenue Model'!X70</f>
        <v>0.86325645500601333</v>
      </c>
      <c r="Q549">
        <f>'Revenue Model'!Y70</f>
        <v>0.20423309725125538</v>
      </c>
      <c r="R549">
        <f>'Revenue Model'!Z70</f>
        <v>0.25341846235701038</v>
      </c>
      <c r="S549">
        <f>'Revenue Model'!AA70</f>
        <v>1.2860577647477265</v>
      </c>
      <c r="T549">
        <f>'Revenue Model'!AB70</f>
        <v>0.44902593166204352</v>
      </c>
      <c r="U549">
        <f>'Revenue Model'!AC70</f>
        <v>0.6257146812891945</v>
      </c>
      <c r="V549">
        <f>'Revenue Model'!AD70</f>
        <v>-0.19049558365144603</v>
      </c>
      <c r="W549">
        <f>'Revenue Model'!AE70</f>
        <v>1.1585971582734689</v>
      </c>
      <c r="X549">
        <f>'Revenue Model'!AF70</f>
        <v>-0.35332384196616129</v>
      </c>
      <c r="Y549">
        <f>'Revenue Model'!AG70</f>
        <v>0.48488968334122529</v>
      </c>
      <c r="Z549">
        <f>'Revenue Model'!AH70</f>
        <v>0</v>
      </c>
      <c r="AA549">
        <f>'Revenue Model'!AI70</f>
        <v>0</v>
      </c>
      <c r="AB549">
        <f>'Revenue Model'!AJ70</f>
        <v>0</v>
      </c>
      <c r="AC549">
        <f>'Revenue Model'!AK70</f>
        <v>0</v>
      </c>
      <c r="AD549">
        <f>'Revenue Model'!AL70</f>
        <v>0</v>
      </c>
      <c r="AE549">
        <f>'Revenue Model'!AM70</f>
        <v>0</v>
      </c>
      <c r="AF549">
        <f>'Revenue Model'!AN70</f>
        <v>0</v>
      </c>
      <c r="AG549">
        <f>'Revenue Model'!AO70</f>
        <v>0</v>
      </c>
      <c r="AH549">
        <f>'Revenue Model'!AP70</f>
        <v>0</v>
      </c>
      <c r="AI549">
        <f>'Revenue Model'!AQ70</f>
        <v>0</v>
      </c>
      <c r="AJ549">
        <f>'Revenue Model'!AR70</f>
        <v>0</v>
      </c>
      <c r="AK549">
        <f>'Revenue Model'!AS70</f>
        <v>0</v>
      </c>
      <c r="AL549">
        <f>'Revenue Model'!AT70</f>
        <v>0</v>
      </c>
      <c r="AM549">
        <f>'Revenue Model'!AU70</f>
        <v>0</v>
      </c>
    </row>
    <row r="550" spans="1:39">
      <c r="A550">
        <f>'Revenue Model'!I71</f>
        <v>0</v>
      </c>
      <c r="B550">
        <f>'Revenue Model'!J71</f>
        <v>0</v>
      </c>
      <c r="C550">
        <f>'Revenue Model'!K71</f>
        <v>0</v>
      </c>
      <c r="D550">
        <f>'Revenue Model'!L71</f>
        <v>0</v>
      </c>
      <c r="E550">
        <f>'Revenue Model'!M71</f>
        <v>0</v>
      </c>
      <c r="F550">
        <f>'Revenue Model'!N71</f>
        <v>0</v>
      </c>
      <c r="G550">
        <f>'Revenue Model'!O71</f>
        <v>0</v>
      </c>
      <c r="H550">
        <f>'Revenue Model'!P71</f>
        <v>0</v>
      </c>
      <c r="I550">
        <f>'Revenue Model'!Q71</f>
        <v>0</v>
      </c>
      <c r="J550">
        <f>'Revenue Model'!R71</f>
        <v>0</v>
      </c>
      <c r="K550">
        <f>'Revenue Model'!S71</f>
        <v>0</v>
      </c>
      <c r="L550">
        <f>'Revenue Model'!T71</f>
        <v>0</v>
      </c>
      <c r="M550">
        <f>'Revenue Model'!U71</f>
        <v>0</v>
      </c>
      <c r="N550">
        <f>'Revenue Model'!V71</f>
        <v>0</v>
      </c>
      <c r="O550">
        <f>'Revenue Model'!W71</f>
        <v>0</v>
      </c>
      <c r="P550">
        <f>'Revenue Model'!X71</f>
        <v>0</v>
      </c>
      <c r="Q550">
        <f>'Revenue Model'!Y71</f>
        <v>0</v>
      </c>
      <c r="R550">
        <f>'Revenue Model'!Z71</f>
        <v>0</v>
      </c>
      <c r="S550">
        <f>'Revenue Model'!AA71</f>
        <v>0</v>
      </c>
      <c r="T550">
        <f>'Revenue Model'!AB71</f>
        <v>0</v>
      </c>
      <c r="U550">
        <f>'Revenue Model'!AC71</f>
        <v>0</v>
      </c>
      <c r="V550">
        <f>'Revenue Model'!AD71</f>
        <v>0</v>
      </c>
      <c r="W550">
        <f>'Revenue Model'!AE71</f>
        <v>0</v>
      </c>
      <c r="X550">
        <f>'Revenue Model'!AF71</f>
        <v>0</v>
      </c>
      <c r="Y550">
        <f>'Revenue Model'!AG71</f>
        <v>0</v>
      </c>
      <c r="Z550">
        <f>'Revenue Model'!AH71</f>
        <v>0</v>
      </c>
      <c r="AA550">
        <f>'Revenue Model'!AI71</f>
        <v>0</v>
      </c>
      <c r="AB550">
        <f>'Revenue Model'!AJ71</f>
        <v>0</v>
      </c>
      <c r="AC550">
        <f>'Revenue Model'!AK71</f>
        <v>0</v>
      </c>
      <c r="AD550">
        <f>'Revenue Model'!AL71</f>
        <v>0</v>
      </c>
      <c r="AE550">
        <f>'Revenue Model'!AM71</f>
        <v>0</v>
      </c>
      <c r="AF550">
        <f>'Revenue Model'!AN71</f>
        <v>0</v>
      </c>
      <c r="AG550">
        <f>'Revenue Model'!AO71</f>
        <v>0</v>
      </c>
      <c r="AH550">
        <f>'Revenue Model'!AP71</f>
        <v>0</v>
      </c>
      <c r="AI550">
        <f>'Revenue Model'!AQ71</f>
        <v>0</v>
      </c>
      <c r="AJ550">
        <f>'Revenue Model'!AR71</f>
        <v>0</v>
      </c>
      <c r="AK550">
        <f>'Revenue Model'!AS71</f>
        <v>0</v>
      </c>
      <c r="AL550">
        <f>'Revenue Model'!AT71</f>
        <v>0</v>
      </c>
      <c r="AM550">
        <f>'Revenue Model'!AU71</f>
        <v>0</v>
      </c>
    </row>
    <row r="551" spans="1:39">
      <c r="A551" t="str">
        <f>'Revenue Model'!I72</f>
        <v>Ad Impressions per DAU/Day</v>
      </c>
      <c r="B551">
        <f>'Revenue Model'!J72</f>
        <v>0</v>
      </c>
      <c r="C551">
        <f>'Revenue Model'!K72</f>
        <v>0</v>
      </c>
      <c r="D551">
        <f>'Revenue Model'!L72</f>
        <v>0</v>
      </c>
      <c r="E551">
        <f>'Revenue Model'!M72</f>
        <v>0</v>
      </c>
      <c r="F551">
        <f>'Revenue Model'!N72</f>
        <v>0</v>
      </c>
      <c r="G551">
        <f>'Revenue Model'!O72</f>
        <v>0</v>
      </c>
      <c r="H551">
        <f>'Revenue Model'!P72</f>
        <v>0</v>
      </c>
      <c r="I551">
        <f>'Revenue Model'!Q72</f>
        <v>0</v>
      </c>
      <c r="J551">
        <f>'Revenue Model'!R72</f>
        <v>2.0398340033043229E-2</v>
      </c>
      <c r="K551">
        <f>'Revenue Model'!S72</f>
        <v>2.5677361529983164E-2</v>
      </c>
      <c r="L551">
        <f>'Revenue Model'!T72</f>
        <v>7.4440610524277764E-2</v>
      </c>
      <c r="M551">
        <f>'Revenue Model'!U72</f>
        <v>0.13009921068851024</v>
      </c>
      <c r="N551">
        <f>'Revenue Model'!V72</f>
        <v>0.14521296504229358</v>
      </c>
      <c r="O551">
        <f>'Revenue Model'!W72</f>
        <v>0.22926206213877448</v>
      </c>
      <c r="P551">
        <f>'Revenue Model'!X72</f>
        <v>0.39925414676492005</v>
      </c>
      <c r="Q551">
        <f>'Revenue Model'!Y72</f>
        <v>0.46469768689587121</v>
      </c>
      <c r="R551">
        <f>'Revenue Model'!Z72</f>
        <v>0.55544290665597817</v>
      </c>
      <c r="S551">
        <f>'Revenue Model'!AA72</f>
        <v>1.2113941296517297</v>
      </c>
      <c r="T551">
        <f>'Revenue Model'!AB72</f>
        <v>1.7158956307593474</v>
      </c>
      <c r="U551">
        <f>'Revenue Model'!AC72</f>
        <v>2.6552999780235873</v>
      </c>
      <c r="V551">
        <f>'Revenue Model'!AD72</f>
        <v>2.07277336026113</v>
      </c>
      <c r="W551">
        <f>'Revenue Model'!AE72</f>
        <v>4.3102264683974791</v>
      </c>
      <c r="X551">
        <f>'Revenue Model'!AF72</f>
        <v>2.6996690565513179</v>
      </c>
      <c r="Y551">
        <f>'Revenue Model'!AG72</f>
        <v>3.8751635859213316</v>
      </c>
      <c r="Z551">
        <f>'Revenue Model'!AH72</f>
        <v>0</v>
      </c>
      <c r="AA551">
        <f>'Revenue Model'!AI72</f>
        <v>0</v>
      </c>
      <c r="AB551">
        <f>'Revenue Model'!AJ72</f>
        <v>0</v>
      </c>
      <c r="AC551">
        <f>'Revenue Model'!AK72</f>
        <v>5.8316599399566578E-2</v>
      </c>
      <c r="AD551">
        <f>'Revenue Model'!AL72</f>
        <v>0.29240048154083031</v>
      </c>
      <c r="AE551">
        <f>'Revenue Model'!AM72</f>
        <v>1.4772147315907327</v>
      </c>
      <c r="AF551">
        <f>'Revenue Model'!AN72</f>
        <v>3.0975137080918733</v>
      </c>
      <c r="AG551">
        <f>'Revenue Model'!AO72</f>
        <v>4.9006148187520786</v>
      </c>
      <c r="AH551">
        <f>'Revenue Model'!AP72</f>
        <v>7.0449987228724336</v>
      </c>
      <c r="AI551">
        <f>'Revenue Model'!AQ72</f>
        <v>9.3071667947770322</v>
      </c>
      <c r="AJ551">
        <f>'Revenue Model'!AR72</f>
        <v>11.332803522613258</v>
      </c>
      <c r="AK551">
        <f>'Revenue Model'!AS72</f>
        <v>13.296331271706265</v>
      </c>
      <c r="AL551">
        <f>'Revenue Model'!AT72</f>
        <v>15.118235067916673</v>
      </c>
      <c r="AM551">
        <f>'Revenue Model'!AU72</f>
        <v>16.770026080150512</v>
      </c>
    </row>
    <row r="552" spans="1:39">
      <c r="A552" t="str">
        <f>'Revenue Model'!I73</f>
        <v>Y/Y % Growth</v>
      </c>
      <c r="B552">
        <f>'Revenue Model'!J73</f>
        <v>0</v>
      </c>
      <c r="C552">
        <f>'Revenue Model'!K73</f>
        <v>0</v>
      </c>
      <c r="D552">
        <f>'Revenue Model'!L73</f>
        <v>0</v>
      </c>
      <c r="E552">
        <f>'Revenue Model'!M73</f>
        <v>0</v>
      </c>
      <c r="F552">
        <f>'Revenue Model'!N73</f>
        <v>0</v>
      </c>
      <c r="G552">
        <f>'Revenue Model'!O73</f>
        <v>0</v>
      </c>
      <c r="H552">
        <f>'Revenue Model'!P73</f>
        <v>0</v>
      </c>
      <c r="I552">
        <f>'Revenue Model'!Q73</f>
        <v>0</v>
      </c>
      <c r="J552">
        <f>'Revenue Model'!R73</f>
        <v>0</v>
      </c>
      <c r="K552">
        <f>'Revenue Model'!S73</f>
        <v>0</v>
      </c>
      <c r="L552">
        <f>'Revenue Model'!T73</f>
        <v>0</v>
      </c>
      <c r="M552">
        <f>'Revenue Model'!U73</f>
        <v>0</v>
      </c>
      <c r="N552">
        <f>'Revenue Model'!V73</f>
        <v>6.1188618685178993</v>
      </c>
      <c r="O552">
        <f>'Revenue Model'!W73</f>
        <v>7.9285677530017153</v>
      </c>
      <c r="P552">
        <f>'Revenue Model'!X73</f>
        <v>4.3633916212268149</v>
      </c>
      <c r="Q552">
        <f>'Revenue Model'!Y73</f>
        <v>2.5718716849748815</v>
      </c>
      <c r="R552">
        <f>'Revenue Model'!Z73</f>
        <v>2.8250228310826397</v>
      </c>
      <c r="S552">
        <f>'Revenue Model'!AA73</f>
        <v>4.283883946391712</v>
      </c>
      <c r="T552">
        <f>'Revenue Model'!AB73</f>
        <v>3.297752808988764</v>
      </c>
      <c r="U552">
        <f>'Revenue Model'!AC73</f>
        <v>4.7140374331550809</v>
      </c>
      <c r="V552">
        <f>'Revenue Model'!AD73</f>
        <v>2.731748727767862</v>
      </c>
      <c r="W552">
        <f>'Revenue Model'!AE73</f>
        <v>2.5580711206159221</v>
      </c>
      <c r="X552">
        <f>'Revenue Model'!AF73</f>
        <v>0.5733294077779163</v>
      </c>
      <c r="Y552">
        <f>'Revenue Model'!AG73</f>
        <v>0.45940707942374259</v>
      </c>
      <c r="Z552">
        <f>'Revenue Model'!AH73</f>
        <v>0</v>
      </c>
      <c r="AA552">
        <f>'Revenue Model'!AI73</f>
        <v>0</v>
      </c>
      <c r="AB552">
        <f>'Revenue Model'!AJ73</f>
        <v>0</v>
      </c>
      <c r="AC552">
        <f>'Revenue Model'!AK73</f>
        <v>0</v>
      </c>
      <c r="AD552">
        <f>'Revenue Model'!AL73</f>
        <v>4.0140180420568816</v>
      </c>
      <c r="AE552">
        <f>'Revenue Model'!AM73</f>
        <v>4.0520256458074844</v>
      </c>
      <c r="AF552">
        <f>'Revenue Model'!AN73</f>
        <v>1.0968608299460487</v>
      </c>
      <c r="AG552">
        <f>'Revenue Model'!AO73</f>
        <v>0.58211239096370271</v>
      </c>
      <c r="AH552">
        <f>'Revenue Model'!AP73</f>
        <v>0.4375744643131152</v>
      </c>
      <c r="AI552">
        <f>'Revenue Model'!AQ73</f>
        <v>0.32110269439229255</v>
      </c>
      <c r="AJ552">
        <f>'Revenue Model'!AR73</f>
        <v>0.21764268036680789</v>
      </c>
      <c r="AK552">
        <f>'Revenue Model'!AS73</f>
        <v>0.17326054803429902</v>
      </c>
      <c r="AL552">
        <f>'Revenue Model'!AT73</f>
        <v>0.13702304485202643</v>
      </c>
      <c r="AM552">
        <f>'Revenue Model'!AU73</f>
        <v>0.10925819084128441</v>
      </c>
    </row>
    <row r="553" spans="1:39">
      <c r="A553" t="str">
        <f>'Revenue Model'!I74</f>
        <v>Q/Q % Growth</v>
      </c>
      <c r="B553">
        <f>'Revenue Model'!J74</f>
        <v>0</v>
      </c>
      <c r="C553">
        <f>'Revenue Model'!K74</f>
        <v>0</v>
      </c>
      <c r="D553">
        <f>'Revenue Model'!L74</f>
        <v>0</v>
      </c>
      <c r="E553">
        <f>'Revenue Model'!M74</f>
        <v>0</v>
      </c>
      <c r="F553">
        <f>'Revenue Model'!N74</f>
        <v>0</v>
      </c>
      <c r="G553">
        <f>'Revenue Model'!O74</f>
        <v>0</v>
      </c>
      <c r="H553">
        <f>'Revenue Model'!P74</f>
        <v>0</v>
      </c>
      <c r="I553">
        <f>'Revenue Model'!Q74</f>
        <v>0</v>
      </c>
      <c r="J553">
        <f>'Revenue Model'!R74</f>
        <v>0</v>
      </c>
      <c r="K553">
        <f>'Revenue Model'!S74</f>
        <v>0.25879662209711474</v>
      </c>
      <c r="L553">
        <f>'Revenue Model'!T74</f>
        <v>1.8990755314697854</v>
      </c>
      <c r="M553">
        <f>'Revenue Model'!U74</f>
        <v>0.74769134444538454</v>
      </c>
      <c r="N553">
        <f>'Revenue Model'!V74</f>
        <v>0.11617099192069213</v>
      </c>
      <c r="O553">
        <f>'Revenue Model'!W74</f>
        <v>0.5787988494829055</v>
      </c>
      <c r="P553">
        <f>'Revenue Model'!X74</f>
        <v>0.74147498735856154</v>
      </c>
      <c r="Q553">
        <f>'Revenue Model'!Y74</f>
        <v>0.16391449071030983</v>
      </c>
      <c r="R553">
        <f>'Revenue Model'!Z74</f>
        <v>0.19527796741635384</v>
      </c>
      <c r="S553">
        <f>'Revenue Model'!AA74</f>
        <v>1.1809516606213943</v>
      </c>
      <c r="T553">
        <f>'Revenue Model'!AB74</f>
        <v>0.41646355117525591</v>
      </c>
      <c r="U553">
        <f>'Revenue Model'!AC74</f>
        <v>0.54747172871377892</v>
      </c>
      <c r="V553">
        <f>'Revenue Model'!AD74</f>
        <v>-0.21938260180909874</v>
      </c>
      <c r="W553">
        <f>'Revenue Model'!AE74</f>
        <v>1.079448988988585</v>
      </c>
      <c r="X553">
        <f>'Revenue Model'!AF74</f>
        <v>-0.37365957999069099</v>
      </c>
      <c r="Y553">
        <f>'Revenue Model'!AG74</f>
        <v>0.43542171456809764</v>
      </c>
      <c r="Z553">
        <f>'Revenue Model'!AH74</f>
        <v>0</v>
      </c>
      <c r="AA553">
        <f>'Revenue Model'!AI74</f>
        <v>0</v>
      </c>
      <c r="AB553">
        <f>'Revenue Model'!AJ74</f>
        <v>0</v>
      </c>
      <c r="AC553">
        <f>'Revenue Model'!AK74</f>
        <v>0</v>
      </c>
      <c r="AD553">
        <f>'Revenue Model'!AL74</f>
        <v>0</v>
      </c>
      <c r="AE553">
        <f>'Revenue Model'!AM74</f>
        <v>0</v>
      </c>
      <c r="AF553">
        <f>'Revenue Model'!AN74</f>
        <v>0</v>
      </c>
      <c r="AG553">
        <f>'Revenue Model'!AO74</f>
        <v>0</v>
      </c>
      <c r="AH553">
        <f>'Revenue Model'!AP74</f>
        <v>0</v>
      </c>
      <c r="AI553">
        <f>'Revenue Model'!AQ74</f>
        <v>0</v>
      </c>
      <c r="AJ553">
        <f>'Revenue Model'!AR74</f>
        <v>0</v>
      </c>
      <c r="AK553">
        <f>'Revenue Model'!AS74</f>
        <v>0</v>
      </c>
      <c r="AL553">
        <f>'Revenue Model'!AT74</f>
        <v>0</v>
      </c>
      <c r="AM553">
        <f>'Revenue Model'!AU74</f>
        <v>0</v>
      </c>
    </row>
    <row r="554" spans="1:39">
      <c r="A554">
        <f>'Revenue Model'!I75</f>
        <v>0</v>
      </c>
      <c r="B554">
        <f>'Revenue Model'!J75</f>
        <v>0</v>
      </c>
      <c r="C554">
        <f>'Revenue Model'!K75</f>
        <v>0</v>
      </c>
      <c r="D554">
        <f>'Revenue Model'!L75</f>
        <v>0</v>
      </c>
      <c r="E554">
        <f>'Revenue Model'!M75</f>
        <v>0</v>
      </c>
      <c r="F554">
        <f>'Revenue Model'!N75</f>
        <v>0</v>
      </c>
      <c r="G554">
        <f>'Revenue Model'!O75</f>
        <v>0</v>
      </c>
      <c r="H554">
        <f>'Revenue Model'!P75</f>
        <v>0</v>
      </c>
      <c r="I554">
        <f>'Revenue Model'!Q75</f>
        <v>0</v>
      </c>
      <c r="J554">
        <f>'Revenue Model'!R75</f>
        <v>0</v>
      </c>
      <c r="K554">
        <f>'Revenue Model'!S75</f>
        <v>0</v>
      </c>
      <c r="L554">
        <f>'Revenue Model'!T75</f>
        <v>0</v>
      </c>
      <c r="M554">
        <f>'Revenue Model'!U75</f>
        <v>0</v>
      </c>
      <c r="N554">
        <f>'Revenue Model'!V75</f>
        <v>0</v>
      </c>
      <c r="O554">
        <f>'Revenue Model'!W75</f>
        <v>0</v>
      </c>
      <c r="P554">
        <f>'Revenue Model'!X75</f>
        <v>0</v>
      </c>
      <c r="Q554">
        <f>'Revenue Model'!Y75</f>
        <v>0</v>
      </c>
      <c r="R554">
        <f>'Revenue Model'!Z75</f>
        <v>0</v>
      </c>
      <c r="S554">
        <f>'Revenue Model'!AA75</f>
        <v>0</v>
      </c>
      <c r="T554">
        <f>'Revenue Model'!AB75</f>
        <v>0</v>
      </c>
      <c r="U554">
        <f>'Revenue Model'!AC75</f>
        <v>0</v>
      </c>
      <c r="V554">
        <f>'Revenue Model'!AD75</f>
        <v>0</v>
      </c>
      <c r="W554">
        <f>'Revenue Model'!AE75</f>
        <v>0</v>
      </c>
      <c r="X554">
        <f>'Revenue Model'!AF75</f>
        <v>0</v>
      </c>
      <c r="Y554">
        <f>'Revenue Model'!AG75</f>
        <v>0</v>
      </c>
      <c r="Z554">
        <f>'Revenue Model'!AH75</f>
        <v>0</v>
      </c>
      <c r="AA554">
        <f>'Revenue Model'!AI75</f>
        <v>0</v>
      </c>
      <c r="AB554">
        <f>'Revenue Model'!AJ75</f>
        <v>0</v>
      </c>
      <c r="AC554">
        <f>'Revenue Model'!AK75</f>
        <v>0</v>
      </c>
      <c r="AD554">
        <f>'Revenue Model'!AL75</f>
        <v>0</v>
      </c>
      <c r="AE554">
        <f>'Revenue Model'!AM75</f>
        <v>0</v>
      </c>
      <c r="AF554">
        <f>'Revenue Model'!AN75</f>
        <v>0</v>
      </c>
      <c r="AG554">
        <f>'Revenue Model'!AO75</f>
        <v>0</v>
      </c>
      <c r="AH554">
        <f>'Revenue Model'!AP75</f>
        <v>0</v>
      </c>
      <c r="AI554">
        <f>'Revenue Model'!AQ75</f>
        <v>0</v>
      </c>
      <c r="AJ554">
        <f>'Revenue Model'!AR75</f>
        <v>0</v>
      </c>
      <c r="AK554">
        <f>'Revenue Model'!AS75</f>
        <v>0</v>
      </c>
      <c r="AL554">
        <f>'Revenue Model'!AT75</f>
        <v>0</v>
      </c>
      <c r="AM554">
        <f>'Revenue Model'!AU75</f>
        <v>0</v>
      </c>
    </row>
    <row r="555" spans="1:39">
      <c r="A555" t="str">
        <f>'Revenue Model'!I76</f>
        <v>Minutes Spent per DAU per Day</v>
      </c>
      <c r="B555">
        <f>'Revenue Model'!J76</f>
        <v>0</v>
      </c>
      <c r="C555">
        <f>'Revenue Model'!K76</f>
        <v>0</v>
      </c>
      <c r="D555">
        <f>'Revenue Model'!L76</f>
        <v>0</v>
      </c>
      <c r="E555">
        <f>'Revenue Model'!M76</f>
        <v>0</v>
      </c>
      <c r="F555">
        <f>'Revenue Model'!N76</f>
        <v>0</v>
      </c>
      <c r="G555">
        <f>'Revenue Model'!O76</f>
        <v>0</v>
      </c>
      <c r="H555">
        <f>'Revenue Model'!P76</f>
        <v>0</v>
      </c>
      <c r="I555">
        <f>'Revenue Model'!Q76</f>
        <v>0</v>
      </c>
      <c r="J555">
        <f>'Revenue Model'!R76</f>
        <v>0</v>
      </c>
      <c r="K555">
        <f>'Revenue Model'!S76</f>
        <v>0</v>
      </c>
      <c r="L555">
        <f>'Revenue Model'!T76</f>
        <v>0</v>
      </c>
      <c r="M555">
        <f>'Revenue Model'!U76</f>
        <v>0</v>
      </c>
      <c r="N555">
        <f>'Revenue Model'!V76</f>
        <v>27.5</v>
      </c>
      <c r="O555">
        <f>'Revenue Model'!W76</f>
        <v>27.5</v>
      </c>
      <c r="P555">
        <f>'Revenue Model'!X76</f>
        <v>27.5</v>
      </c>
      <c r="Q555">
        <f>'Revenue Model'!Y76</f>
        <v>27.5</v>
      </c>
      <c r="R555">
        <f>'Revenue Model'!Z76</f>
        <v>31</v>
      </c>
      <c r="S555">
        <f>'Revenue Model'!AA76</f>
        <v>31.6</v>
      </c>
      <c r="T555">
        <f>'Revenue Model'!AB76</f>
        <v>32</v>
      </c>
      <c r="U555">
        <f>'Revenue Model'!AC76</f>
        <v>32.449999999999996</v>
      </c>
      <c r="V555">
        <f>'Revenue Model'!AD76</f>
        <v>33.480000000000004</v>
      </c>
      <c r="W555">
        <f>'Revenue Model'!AE76</f>
        <v>34.128000000000007</v>
      </c>
      <c r="X555">
        <f>'Revenue Model'!AF76</f>
        <v>34.56</v>
      </c>
      <c r="Y555">
        <f>'Revenue Model'!AG76</f>
        <v>35.045999999999999</v>
      </c>
      <c r="Z555">
        <f>'Revenue Model'!AH76</f>
        <v>0</v>
      </c>
      <c r="AA555">
        <f>'Revenue Model'!AI76</f>
        <v>0</v>
      </c>
      <c r="AB555">
        <f>'Revenue Model'!AJ76</f>
        <v>0</v>
      </c>
      <c r="AC555">
        <f>'Revenue Model'!AK76</f>
        <v>0</v>
      </c>
      <c r="AD555">
        <f>'Revenue Model'!AL76</f>
        <v>25.028821857233101</v>
      </c>
      <c r="AE555">
        <f>'Revenue Model'!AM76</f>
        <v>29.957954545454548</v>
      </c>
      <c r="AF555">
        <f>'Revenue Model'!AN76</f>
        <v>32.651439877126336</v>
      </c>
      <c r="AG555">
        <f>'Revenue Model'!AO76</f>
        <v>33.957497472211394</v>
      </c>
      <c r="AH555">
        <f>'Revenue Model'!AP76</f>
        <v>34.976222396377736</v>
      </c>
      <c r="AI555">
        <f>'Revenue Model'!AQ76</f>
        <v>35.675746844305294</v>
      </c>
      <c r="AJ555">
        <f>'Revenue Model'!AR76</f>
        <v>36.389261781191401</v>
      </c>
      <c r="AK555">
        <f>'Revenue Model'!AS76</f>
        <v>37.117047016815228</v>
      </c>
      <c r="AL555">
        <f>'Revenue Model'!AT76</f>
        <v>37.859387957151533</v>
      </c>
      <c r="AM555">
        <f>'Revenue Model'!AU76</f>
        <v>38.616575716294562</v>
      </c>
    </row>
    <row r="556" spans="1:39">
      <c r="A556" t="str">
        <f>'Revenue Model'!I77</f>
        <v>Y/Y % Growth</v>
      </c>
      <c r="B556">
        <f>'Revenue Model'!J77</f>
        <v>0</v>
      </c>
      <c r="C556">
        <f>'Revenue Model'!K77</f>
        <v>0</v>
      </c>
      <c r="D556">
        <f>'Revenue Model'!L77</f>
        <v>0</v>
      </c>
      <c r="E556">
        <f>'Revenue Model'!M77</f>
        <v>0</v>
      </c>
      <c r="F556">
        <f>'Revenue Model'!N77</f>
        <v>0</v>
      </c>
      <c r="G556">
        <f>'Revenue Model'!O77</f>
        <v>0</v>
      </c>
      <c r="H556">
        <f>'Revenue Model'!P77</f>
        <v>0</v>
      </c>
      <c r="I556">
        <f>'Revenue Model'!Q77</f>
        <v>0</v>
      </c>
      <c r="J556">
        <f>'Revenue Model'!R77</f>
        <v>0</v>
      </c>
      <c r="K556">
        <f>'Revenue Model'!S77</f>
        <v>0</v>
      </c>
      <c r="L556">
        <f>'Revenue Model'!T77</f>
        <v>0</v>
      </c>
      <c r="M556">
        <f>'Revenue Model'!U77</f>
        <v>0</v>
      </c>
      <c r="N556">
        <f>'Revenue Model'!V77</f>
        <v>0</v>
      </c>
      <c r="O556">
        <f>'Revenue Model'!W77</f>
        <v>0</v>
      </c>
      <c r="P556">
        <f>'Revenue Model'!X77</f>
        <v>0</v>
      </c>
      <c r="Q556">
        <f>'Revenue Model'!Y77</f>
        <v>0</v>
      </c>
      <c r="R556">
        <f>'Revenue Model'!Z77</f>
        <v>0.1272727272727272</v>
      </c>
      <c r="S556">
        <f>'Revenue Model'!AA77</f>
        <v>0.14909090909090916</v>
      </c>
      <c r="T556">
        <f>'Revenue Model'!AB77</f>
        <v>0.16363636363636358</v>
      </c>
      <c r="U556">
        <f>'Revenue Model'!AC77</f>
        <v>0.18</v>
      </c>
      <c r="V556">
        <f>'Revenue Model'!AD77</f>
        <v>0.08</v>
      </c>
      <c r="W556">
        <f>'Revenue Model'!AE77</f>
        <v>0.08</v>
      </c>
      <c r="X556">
        <f>'Revenue Model'!AF77</f>
        <v>0.08</v>
      </c>
      <c r="Y556">
        <f>'Revenue Model'!AG77</f>
        <v>0.08</v>
      </c>
      <c r="Z556">
        <f>'Revenue Model'!AH77</f>
        <v>0</v>
      </c>
      <c r="AA556">
        <f>'Revenue Model'!AI77</f>
        <v>0</v>
      </c>
      <c r="AB556">
        <f>'Revenue Model'!AJ77</f>
        <v>0</v>
      </c>
      <c r="AC556">
        <f>'Revenue Model'!AK77</f>
        <v>0</v>
      </c>
      <c r="AD556">
        <f>'Revenue Model'!AL77</f>
        <v>0</v>
      </c>
      <c r="AE556">
        <f>'Revenue Model'!AM77</f>
        <v>0</v>
      </c>
      <c r="AF556">
        <f>'Revenue Model'!AN77</f>
        <v>8.9908853008806799E-2</v>
      </c>
      <c r="AG556">
        <f>'Revenue Model'!AO77</f>
        <v>0.04</v>
      </c>
      <c r="AH556">
        <f>'Revenue Model'!AP77</f>
        <v>0.03</v>
      </c>
      <c r="AI556">
        <f>'Revenue Model'!AQ77</f>
        <v>0.02</v>
      </c>
      <c r="AJ556">
        <f>'Revenue Model'!AR77</f>
        <v>0.02</v>
      </c>
      <c r="AK556">
        <f>'Revenue Model'!AS77</f>
        <v>0.02</v>
      </c>
      <c r="AL556">
        <f>'Revenue Model'!AT77</f>
        <v>0.02</v>
      </c>
      <c r="AM556">
        <f>'Revenue Model'!AU77</f>
        <v>0.02</v>
      </c>
    </row>
    <row r="557" spans="1:39">
      <c r="A557" t="str">
        <f>'Revenue Model'!I78</f>
        <v>Y/Y % Growth</v>
      </c>
      <c r="B557">
        <f>'Revenue Model'!J78</f>
        <v>0</v>
      </c>
      <c r="C557">
        <f>'Revenue Model'!K78</f>
        <v>0</v>
      </c>
      <c r="D557">
        <f>'Revenue Model'!L78</f>
        <v>0</v>
      </c>
      <c r="E557">
        <f>'Revenue Model'!M78</f>
        <v>0</v>
      </c>
      <c r="F557">
        <f>'Revenue Model'!N78</f>
        <v>0</v>
      </c>
      <c r="G557">
        <f>'Revenue Model'!O78</f>
        <v>0</v>
      </c>
      <c r="H557">
        <f>'Revenue Model'!P78</f>
        <v>0</v>
      </c>
      <c r="I557">
        <f>'Revenue Model'!Q78</f>
        <v>0</v>
      </c>
      <c r="J557">
        <f>'Revenue Model'!R78</f>
        <v>0</v>
      </c>
      <c r="K557">
        <f>'Revenue Model'!S78</f>
        <v>0</v>
      </c>
      <c r="L557">
        <f>'Revenue Model'!T78</f>
        <v>0</v>
      </c>
      <c r="M557">
        <f>'Revenue Model'!U78</f>
        <v>0</v>
      </c>
      <c r="N557">
        <f>'Revenue Model'!V78</f>
        <v>0</v>
      </c>
      <c r="O557">
        <f>'Revenue Model'!W78</f>
        <v>0</v>
      </c>
      <c r="P557">
        <f>'Revenue Model'!X78</f>
        <v>0</v>
      </c>
      <c r="Q557">
        <f>'Revenue Model'!Y78</f>
        <v>0</v>
      </c>
      <c r="R557">
        <f>'Revenue Model'!Z78</f>
        <v>0</v>
      </c>
      <c r="S557">
        <f>'Revenue Model'!AA78</f>
        <v>0</v>
      </c>
      <c r="T557">
        <f>'Revenue Model'!AB78</f>
        <v>0</v>
      </c>
      <c r="U557">
        <f>'Revenue Model'!AC78</f>
        <v>0</v>
      </c>
      <c r="V557">
        <f>'Revenue Model'!AD78</f>
        <v>0</v>
      </c>
      <c r="W557">
        <f>'Revenue Model'!AE78</f>
        <v>0</v>
      </c>
      <c r="X557">
        <f>'Revenue Model'!AF78</f>
        <v>0</v>
      </c>
      <c r="Y557">
        <f>'Revenue Model'!AG78</f>
        <v>0</v>
      </c>
      <c r="Z557">
        <f>'Revenue Model'!AH78</f>
        <v>0</v>
      </c>
      <c r="AA557">
        <f>'Revenue Model'!AI78</f>
        <v>0</v>
      </c>
      <c r="AB557">
        <f>'Revenue Model'!AJ78</f>
        <v>0</v>
      </c>
      <c r="AC557">
        <f>'Revenue Model'!AK78</f>
        <v>0</v>
      </c>
      <c r="AD557">
        <f>'Revenue Model'!AL78</f>
        <v>0</v>
      </c>
      <c r="AE557">
        <f>'Revenue Model'!AM78</f>
        <v>4.929132688221447</v>
      </c>
      <c r="AF557">
        <f>'Revenue Model'!AN78</f>
        <v>2.6934853316717877</v>
      </c>
      <c r="AG557">
        <f>'Revenue Model'!AO78</f>
        <v>1.3060575950850577</v>
      </c>
      <c r="AH557">
        <f>'Revenue Model'!AP78</f>
        <v>1.0187249241663423</v>
      </c>
      <c r="AI557">
        <f>'Revenue Model'!AQ78</f>
        <v>0.69952444792755841</v>
      </c>
      <c r="AJ557">
        <f>'Revenue Model'!AR78</f>
        <v>0.71351493688610645</v>
      </c>
      <c r="AK557">
        <f>'Revenue Model'!AS78</f>
        <v>0.72778523562382702</v>
      </c>
      <c r="AL557">
        <f>'Revenue Model'!AT78</f>
        <v>0.74234094033630527</v>
      </c>
      <c r="AM557">
        <f>'Revenue Model'!AU78</f>
        <v>0.75718775914302938</v>
      </c>
    </row>
    <row r="558" spans="1:39">
      <c r="A558" t="str">
        <f>'Revenue Model'!I79</f>
        <v xml:space="preserve">Minutes Spent on Snap </v>
      </c>
      <c r="B558">
        <f>'Revenue Model'!J79</f>
        <v>0</v>
      </c>
      <c r="C558">
        <f>'Revenue Model'!K79</f>
        <v>0</v>
      </c>
      <c r="D558">
        <f>'Revenue Model'!L79</f>
        <v>0</v>
      </c>
      <c r="E558">
        <f>'Revenue Model'!M79</f>
        <v>0</v>
      </c>
      <c r="F558">
        <f>'Revenue Model'!N79</f>
        <v>0</v>
      </c>
      <c r="G558">
        <f>'Revenue Model'!O79</f>
        <v>0</v>
      </c>
      <c r="H558">
        <f>'Revenue Model'!P79</f>
        <v>0</v>
      </c>
      <c r="I558">
        <f>'Revenue Model'!Q79</f>
        <v>0</v>
      </c>
      <c r="J558">
        <f>'Revenue Model'!R79</f>
        <v>0</v>
      </c>
      <c r="K558">
        <f>'Revenue Model'!S79</f>
        <v>0</v>
      </c>
      <c r="L558">
        <f>'Revenue Model'!T79</f>
        <v>0</v>
      </c>
      <c r="M558">
        <f>'Revenue Model'!U79</f>
        <v>0</v>
      </c>
      <c r="N558">
        <f>'Revenue Model'!V79</f>
        <v>306143.75</v>
      </c>
      <c r="O558">
        <f>'Revenue Model'!W79</f>
        <v>358840.625</v>
      </c>
      <c r="P558">
        <f>'Revenue Model'!X79</f>
        <v>383934.375</v>
      </c>
      <c r="Q558">
        <f>'Revenue Model'!Y79</f>
        <v>397234.0625</v>
      </c>
      <c r="R558">
        <f>'Revenue Model'!Z79</f>
        <v>469572.5</v>
      </c>
      <c r="S558">
        <f>'Revenue Model'!AA79</f>
        <v>501729.00000000006</v>
      </c>
      <c r="T558">
        <f>'Revenue Model'!AB79</f>
        <v>519760</v>
      </c>
      <c r="U558">
        <f>'Revenue Model'!AC79</f>
        <v>553718.6875</v>
      </c>
      <c r="V558">
        <f>'Revenue Model'!AD79</f>
        <v>592435.29599999997</v>
      </c>
      <c r="W558">
        <f>'Revenue Model'!AE79</f>
        <v>626887.54818000016</v>
      </c>
      <c r="X558">
        <f>'Revenue Model'!AF79</f>
        <v>655433.97479999997</v>
      </c>
      <c r="Y558">
        <f>'Revenue Model'!AG79</f>
        <v>687556.43396240612</v>
      </c>
      <c r="Z558">
        <f>'Revenue Model'!AH79</f>
        <v>0</v>
      </c>
      <c r="AA558">
        <f>'Revenue Model'!AI79</f>
        <v>0</v>
      </c>
      <c r="AB558">
        <f>'Revenue Model'!AJ79</f>
        <v>0</v>
      </c>
      <c r="AC558">
        <f>'Revenue Model'!AK79</f>
        <v>0</v>
      </c>
      <c r="AD558">
        <f>'Revenue Model'!AL79</f>
        <v>1446152.8125</v>
      </c>
      <c r="AE558">
        <f>'Revenue Model'!AM79</f>
        <v>2044780.1875</v>
      </c>
      <c r="AF558">
        <f>'Revenue Model'!AN79</f>
        <v>2562313.2529424061</v>
      </c>
      <c r="AG558">
        <f>'Revenue Model'!AO79</f>
        <v>2994490.7364997007</v>
      </c>
      <c r="AH558">
        <f>'Revenue Model'!AP79</f>
        <v>3398990.4701895118</v>
      </c>
      <c r="AI558">
        <f>'Revenue Model'!AQ79</f>
        <v>3757767.5166374827</v>
      </c>
      <c r="AJ558">
        <f>'Revenue Model'!AR79</f>
        <v>4099874.7305767895</v>
      </c>
      <c r="AK558">
        <f>'Revenue Model'!AS79</f>
        <v>4426934.0359791461</v>
      </c>
      <c r="AL558">
        <f>'Revenue Model'!AT79</f>
        <v>4740439.4590047011</v>
      </c>
      <c r="AM558">
        <f>'Revenue Model'!AU79</f>
        <v>5064714.3253368884</v>
      </c>
    </row>
    <row r="559" spans="1:39">
      <c r="A559" t="str">
        <f>'Revenue Model'!I80</f>
        <v>Y/Y % Growth</v>
      </c>
      <c r="B559">
        <f>'Revenue Model'!J80</f>
        <v>0</v>
      </c>
      <c r="C559">
        <f>'Revenue Model'!K80</f>
        <v>0</v>
      </c>
      <c r="D559">
        <f>'Revenue Model'!L80</f>
        <v>0</v>
      </c>
      <c r="E559">
        <f>'Revenue Model'!M80</f>
        <v>0</v>
      </c>
      <c r="F559">
        <f>'Revenue Model'!N80</f>
        <v>0</v>
      </c>
      <c r="G559">
        <f>'Revenue Model'!O80</f>
        <v>0</v>
      </c>
      <c r="H559">
        <f>'Revenue Model'!P80</f>
        <v>0</v>
      </c>
      <c r="I559">
        <f>'Revenue Model'!Q80</f>
        <v>0</v>
      </c>
      <c r="J559">
        <f>'Revenue Model'!R80</f>
        <v>0</v>
      </c>
      <c r="K559">
        <f>'Revenue Model'!S80</f>
        <v>0</v>
      </c>
      <c r="L559">
        <f>'Revenue Model'!T80</f>
        <v>0</v>
      </c>
      <c r="M559">
        <f>'Revenue Model'!U80</f>
        <v>0</v>
      </c>
      <c r="N559">
        <f>'Revenue Model'!V80</f>
        <v>0</v>
      </c>
      <c r="O559">
        <f>'Revenue Model'!W80</f>
        <v>0</v>
      </c>
      <c r="P559">
        <f>'Revenue Model'!X80</f>
        <v>0</v>
      </c>
      <c r="Q559">
        <f>'Revenue Model'!Y80</f>
        <v>0</v>
      </c>
      <c r="R559">
        <f>'Revenue Model'!Z80</f>
        <v>0</v>
      </c>
      <c r="S559">
        <f>'Revenue Model'!AA80</f>
        <v>0</v>
      </c>
      <c r="T559">
        <f>'Revenue Model'!AB80</f>
        <v>0</v>
      </c>
      <c r="U559">
        <f>'Revenue Model'!AC80</f>
        <v>0.39393556538218566</v>
      </c>
      <c r="V559">
        <f>'Revenue Model'!AD80</f>
        <v>0.26164819277108431</v>
      </c>
      <c r="W559">
        <f>'Revenue Model'!AE80</f>
        <v>0.24945448275862092</v>
      </c>
      <c r="X559">
        <f>'Revenue Model'!AF80</f>
        <v>0.26103196629213476</v>
      </c>
      <c r="Y559">
        <f>'Revenue Model'!AG80</f>
        <v>0.24170711497326192</v>
      </c>
      <c r="Z559">
        <f>'Revenue Model'!AH80</f>
        <v>0</v>
      </c>
      <c r="AA559">
        <f>'Revenue Model'!AI80</f>
        <v>0</v>
      </c>
      <c r="AB559">
        <f>'Revenue Model'!AJ80</f>
        <v>0</v>
      </c>
      <c r="AC559">
        <f>'Revenue Model'!AK80</f>
        <v>0</v>
      </c>
      <c r="AD559">
        <f>'Revenue Model'!AL80</f>
        <v>0</v>
      </c>
      <c r="AE559">
        <f>'Revenue Model'!AM80</f>
        <v>0.41394475730758917</v>
      </c>
      <c r="AF559">
        <f>'Revenue Model'!AN80</f>
        <v>0.25309960875313209</v>
      </c>
      <c r="AG559">
        <f>'Revenue Model'!AO80</f>
        <v>0.1686669196520012</v>
      </c>
      <c r="AH559">
        <f>'Revenue Model'!AP80</f>
        <v>0.13508131074155072</v>
      </c>
      <c r="AI559">
        <f>'Revenue Model'!AQ80</f>
        <v>0.10555400187043396</v>
      </c>
      <c r="AJ559">
        <f>'Revenue Model'!AR80</f>
        <v>9.1040015760589288E-2</v>
      </c>
      <c r="AK559">
        <f>'Revenue Model'!AS80</f>
        <v>7.977299963902662E-2</v>
      </c>
      <c r="AL559">
        <f>'Revenue Model'!AT80</f>
        <v>7.0817730844325633E-2</v>
      </c>
      <c r="AM559">
        <f>'Revenue Model'!AU80</f>
        <v>6.8406076933692495E-2</v>
      </c>
    </row>
    <row r="560" spans="1:39">
      <c r="A560">
        <f>'Revenue Model'!I81</f>
        <v>0</v>
      </c>
      <c r="B560">
        <f>'Revenue Model'!J81</f>
        <v>0</v>
      </c>
      <c r="C560">
        <f>'Revenue Model'!K81</f>
        <v>0</v>
      </c>
      <c r="D560">
        <f>'Revenue Model'!L81</f>
        <v>0</v>
      </c>
      <c r="E560">
        <f>'Revenue Model'!M81</f>
        <v>0</v>
      </c>
      <c r="F560">
        <f>'Revenue Model'!N81</f>
        <v>0</v>
      </c>
      <c r="G560">
        <f>'Revenue Model'!O81</f>
        <v>0</v>
      </c>
      <c r="H560">
        <f>'Revenue Model'!P81</f>
        <v>0</v>
      </c>
      <c r="I560">
        <f>'Revenue Model'!Q81</f>
        <v>0</v>
      </c>
      <c r="J560">
        <f>'Revenue Model'!R81</f>
        <v>0</v>
      </c>
      <c r="K560">
        <f>'Revenue Model'!S81</f>
        <v>0</v>
      </c>
      <c r="L560">
        <f>'Revenue Model'!T81</f>
        <v>0</v>
      </c>
      <c r="M560">
        <f>'Revenue Model'!U81</f>
        <v>0</v>
      </c>
      <c r="N560">
        <f>'Revenue Model'!V81</f>
        <v>0</v>
      </c>
      <c r="O560">
        <f>'Revenue Model'!W81</f>
        <v>0</v>
      </c>
      <c r="P560">
        <f>'Revenue Model'!X81</f>
        <v>0</v>
      </c>
      <c r="Q560">
        <f>'Revenue Model'!Y81</f>
        <v>0</v>
      </c>
      <c r="R560">
        <f>'Revenue Model'!Z81</f>
        <v>0</v>
      </c>
      <c r="S560">
        <f>'Revenue Model'!AA81</f>
        <v>0</v>
      </c>
      <c r="T560">
        <f>'Revenue Model'!AB81</f>
        <v>0</v>
      </c>
      <c r="U560">
        <f>'Revenue Model'!AC81</f>
        <v>0</v>
      </c>
      <c r="V560">
        <f>'Revenue Model'!AD81</f>
        <v>0</v>
      </c>
      <c r="W560">
        <f>'Revenue Model'!AE81</f>
        <v>0</v>
      </c>
      <c r="X560">
        <f>'Revenue Model'!AF81</f>
        <v>0</v>
      </c>
      <c r="Y560">
        <f>'Revenue Model'!AG81</f>
        <v>0</v>
      </c>
      <c r="Z560">
        <f>'Revenue Model'!AH81</f>
        <v>0</v>
      </c>
      <c r="AA560">
        <f>'Revenue Model'!AI81</f>
        <v>0</v>
      </c>
      <c r="AB560">
        <f>'Revenue Model'!AJ81</f>
        <v>0</v>
      </c>
      <c r="AC560">
        <f>'Revenue Model'!AK81</f>
        <v>0</v>
      </c>
      <c r="AD560">
        <f>'Revenue Model'!AL81</f>
        <v>0</v>
      </c>
      <c r="AE560">
        <f>'Revenue Model'!AM81</f>
        <v>0</v>
      </c>
      <c r="AF560">
        <f>'Revenue Model'!AN81</f>
        <v>0</v>
      </c>
      <c r="AG560">
        <f>'Revenue Model'!AO81</f>
        <v>0</v>
      </c>
      <c r="AH560">
        <f>'Revenue Model'!AP81</f>
        <v>0</v>
      </c>
      <c r="AI560">
        <f>'Revenue Model'!AQ81</f>
        <v>0</v>
      </c>
      <c r="AJ560">
        <f>'Revenue Model'!AR81</f>
        <v>0</v>
      </c>
      <c r="AK560">
        <f>'Revenue Model'!AS81</f>
        <v>0</v>
      </c>
      <c r="AL560">
        <f>'Revenue Model'!AT81</f>
        <v>0</v>
      </c>
      <c r="AM560">
        <f>'Revenue Model'!AU81</f>
        <v>0</v>
      </c>
    </row>
    <row r="561" spans="1:39">
      <c r="A561" t="str">
        <f>'Revenue Model'!I82</f>
        <v>Minutes per Hour</v>
      </c>
      <c r="B561">
        <f>'Revenue Model'!J82</f>
        <v>0</v>
      </c>
      <c r="C561">
        <f>'Revenue Model'!K82</f>
        <v>0</v>
      </c>
      <c r="D561">
        <f>'Revenue Model'!L82</f>
        <v>0</v>
      </c>
      <c r="E561">
        <f>'Revenue Model'!M82</f>
        <v>0</v>
      </c>
      <c r="F561">
        <f>'Revenue Model'!N82</f>
        <v>0</v>
      </c>
      <c r="G561">
        <f>'Revenue Model'!O82</f>
        <v>0</v>
      </c>
      <c r="H561">
        <f>'Revenue Model'!P82</f>
        <v>0</v>
      </c>
      <c r="I561">
        <f>'Revenue Model'!Q82</f>
        <v>0</v>
      </c>
      <c r="J561">
        <f>'Revenue Model'!R82</f>
        <v>0</v>
      </c>
      <c r="K561">
        <f>'Revenue Model'!S82</f>
        <v>0</v>
      </c>
      <c r="L561">
        <f>'Revenue Model'!T82</f>
        <v>0</v>
      </c>
      <c r="M561">
        <f>'Revenue Model'!U82</f>
        <v>0</v>
      </c>
      <c r="N561">
        <f>'Revenue Model'!V82</f>
        <v>0</v>
      </c>
      <c r="O561">
        <f>'Revenue Model'!W82</f>
        <v>0</v>
      </c>
      <c r="P561">
        <f>'Revenue Model'!X82</f>
        <v>0</v>
      </c>
      <c r="Q561">
        <f>'Revenue Model'!Y82</f>
        <v>60</v>
      </c>
      <c r="R561">
        <f>'Revenue Model'!Z82</f>
        <v>60</v>
      </c>
      <c r="S561">
        <f>'Revenue Model'!AA82</f>
        <v>60</v>
      </c>
      <c r="T561">
        <f>'Revenue Model'!AB82</f>
        <v>60</v>
      </c>
      <c r="U561">
        <f>'Revenue Model'!AC82</f>
        <v>60</v>
      </c>
      <c r="V561">
        <f>'Revenue Model'!AD82</f>
        <v>60</v>
      </c>
      <c r="W561">
        <f>'Revenue Model'!AE82</f>
        <v>60</v>
      </c>
      <c r="X561">
        <f>'Revenue Model'!AF82</f>
        <v>60</v>
      </c>
      <c r="Y561">
        <f>'Revenue Model'!AG82</f>
        <v>60</v>
      </c>
      <c r="Z561">
        <f>'Revenue Model'!AH82</f>
        <v>0</v>
      </c>
      <c r="AA561">
        <f>'Revenue Model'!AI82</f>
        <v>0</v>
      </c>
      <c r="AB561">
        <f>'Revenue Model'!AJ82</f>
        <v>0</v>
      </c>
      <c r="AC561">
        <f>'Revenue Model'!AK82</f>
        <v>0</v>
      </c>
      <c r="AD561">
        <f>'Revenue Model'!AL82</f>
        <v>60</v>
      </c>
      <c r="AE561">
        <f>'Revenue Model'!AM82</f>
        <v>60</v>
      </c>
      <c r="AF561">
        <f>'Revenue Model'!AN82</f>
        <v>60</v>
      </c>
      <c r="AG561">
        <f>'Revenue Model'!AO82</f>
        <v>60</v>
      </c>
      <c r="AH561">
        <f>'Revenue Model'!AP82</f>
        <v>60</v>
      </c>
      <c r="AI561">
        <f>'Revenue Model'!AQ82</f>
        <v>60</v>
      </c>
      <c r="AJ561">
        <f>'Revenue Model'!AR82</f>
        <v>60</v>
      </c>
      <c r="AK561">
        <f>'Revenue Model'!AS82</f>
        <v>60</v>
      </c>
      <c r="AL561">
        <f>'Revenue Model'!AT82</f>
        <v>60</v>
      </c>
      <c r="AM561">
        <f>'Revenue Model'!AU82</f>
        <v>60</v>
      </c>
    </row>
    <row r="562" spans="1:39">
      <c r="A562" t="str">
        <f>'Revenue Model'!I83</f>
        <v>Hours Spent per DAU per Day</v>
      </c>
      <c r="B562">
        <f>'Revenue Model'!J83</f>
        <v>0</v>
      </c>
      <c r="C562">
        <f>'Revenue Model'!K83</f>
        <v>0</v>
      </c>
      <c r="D562">
        <f>'Revenue Model'!L83</f>
        <v>0</v>
      </c>
      <c r="E562">
        <f>'Revenue Model'!M83</f>
        <v>0</v>
      </c>
      <c r="F562">
        <f>'Revenue Model'!N83</f>
        <v>0</v>
      </c>
      <c r="G562">
        <f>'Revenue Model'!O83</f>
        <v>0</v>
      </c>
      <c r="H562">
        <f>'Revenue Model'!P83</f>
        <v>0</v>
      </c>
      <c r="I562">
        <f>'Revenue Model'!Q83</f>
        <v>0</v>
      </c>
      <c r="J562">
        <f>'Revenue Model'!R83</f>
        <v>0</v>
      </c>
      <c r="K562">
        <f>'Revenue Model'!S83</f>
        <v>0</v>
      </c>
      <c r="L562">
        <f>'Revenue Model'!T83</f>
        <v>0</v>
      </c>
      <c r="M562">
        <f>'Revenue Model'!U83</f>
        <v>0</v>
      </c>
      <c r="N562">
        <f>'Revenue Model'!V83</f>
        <v>0</v>
      </c>
      <c r="O562">
        <f>'Revenue Model'!W83</f>
        <v>0</v>
      </c>
      <c r="P562">
        <f>'Revenue Model'!X83</f>
        <v>0</v>
      </c>
      <c r="Q562">
        <f>'Revenue Model'!Y83</f>
        <v>0.45833333333333331</v>
      </c>
      <c r="R562">
        <f>'Revenue Model'!Z83</f>
        <v>0.51666666666666672</v>
      </c>
      <c r="S562">
        <f>'Revenue Model'!AA83</f>
        <v>0.52666666666666673</v>
      </c>
      <c r="T562">
        <f>'Revenue Model'!AB83</f>
        <v>0.53333333333333333</v>
      </c>
      <c r="U562">
        <f>'Revenue Model'!AC83</f>
        <v>0.54083333333333328</v>
      </c>
      <c r="V562">
        <f>'Revenue Model'!AD83</f>
        <v>0.55800000000000005</v>
      </c>
      <c r="W562">
        <f>'Revenue Model'!AE83</f>
        <v>0.56880000000000008</v>
      </c>
      <c r="X562">
        <f>'Revenue Model'!AF83</f>
        <v>0.57600000000000007</v>
      </c>
      <c r="Y562">
        <f>'Revenue Model'!AG83</f>
        <v>0.58409999999999995</v>
      </c>
      <c r="Z562">
        <f>'Revenue Model'!AH83</f>
        <v>0</v>
      </c>
      <c r="AA562">
        <f>'Revenue Model'!AI83</f>
        <v>0</v>
      </c>
      <c r="AB562">
        <f>'Revenue Model'!AJ83</f>
        <v>0</v>
      </c>
      <c r="AC562">
        <f>'Revenue Model'!AK83</f>
        <v>0</v>
      </c>
      <c r="AD562">
        <f>'Revenue Model'!AL83</f>
        <v>0.417147030953885</v>
      </c>
      <c r="AE562">
        <f>'Revenue Model'!AM83</f>
        <v>0.49929924242424245</v>
      </c>
      <c r="AF562">
        <f>'Revenue Model'!AN83</f>
        <v>0.5441906646187723</v>
      </c>
      <c r="AG562">
        <f>'Revenue Model'!AO83</f>
        <v>0.56595829120352326</v>
      </c>
      <c r="AH562">
        <f>'Revenue Model'!AP83</f>
        <v>0.58293703993962898</v>
      </c>
      <c r="AI562">
        <f>'Revenue Model'!AQ83</f>
        <v>0.59459578073842156</v>
      </c>
      <c r="AJ562">
        <f>'Revenue Model'!AR83</f>
        <v>0.60648769635319</v>
      </c>
      <c r="AK562">
        <f>'Revenue Model'!AS83</f>
        <v>0.61861745028025383</v>
      </c>
      <c r="AL562">
        <f>'Revenue Model'!AT83</f>
        <v>0.63098979928585885</v>
      </c>
      <c r="AM562">
        <f>'Revenue Model'!AU83</f>
        <v>0.64360959527157602</v>
      </c>
    </row>
    <row r="563" spans="1:39">
      <c r="A563">
        <f>'Revenue Model'!I84</f>
        <v>0</v>
      </c>
      <c r="B563">
        <f>'Revenue Model'!J84</f>
        <v>0</v>
      </c>
      <c r="C563">
        <f>'Revenue Model'!K84</f>
        <v>0</v>
      </c>
      <c r="D563">
        <f>'Revenue Model'!L84</f>
        <v>0</v>
      </c>
      <c r="E563">
        <f>'Revenue Model'!M84</f>
        <v>0</v>
      </c>
      <c r="F563">
        <f>'Revenue Model'!N84</f>
        <v>0</v>
      </c>
      <c r="G563">
        <f>'Revenue Model'!O84</f>
        <v>0</v>
      </c>
      <c r="H563">
        <f>'Revenue Model'!P84</f>
        <v>0</v>
      </c>
      <c r="I563">
        <f>'Revenue Model'!Q84</f>
        <v>0</v>
      </c>
      <c r="J563">
        <f>'Revenue Model'!R84</f>
        <v>0</v>
      </c>
      <c r="K563">
        <f>'Revenue Model'!S84</f>
        <v>0</v>
      </c>
      <c r="L563">
        <f>'Revenue Model'!T84</f>
        <v>0</v>
      </c>
      <c r="M563">
        <f>'Revenue Model'!U84</f>
        <v>0</v>
      </c>
      <c r="N563">
        <f>'Revenue Model'!V84</f>
        <v>0</v>
      </c>
      <c r="O563">
        <f>'Revenue Model'!W84</f>
        <v>0</v>
      </c>
      <c r="P563">
        <f>'Revenue Model'!X84</f>
        <v>0</v>
      </c>
      <c r="Q563">
        <f>'Revenue Model'!Y84</f>
        <v>0</v>
      </c>
      <c r="R563">
        <f>'Revenue Model'!Z84</f>
        <v>0</v>
      </c>
      <c r="S563">
        <f>'Revenue Model'!AA84</f>
        <v>0</v>
      </c>
      <c r="T563">
        <f>'Revenue Model'!AB84</f>
        <v>0</v>
      </c>
      <c r="U563">
        <f>'Revenue Model'!AC84</f>
        <v>0</v>
      </c>
      <c r="V563">
        <f>'Revenue Model'!AD84</f>
        <v>0</v>
      </c>
      <c r="W563">
        <f>'Revenue Model'!AE84</f>
        <v>0</v>
      </c>
      <c r="X563">
        <f>'Revenue Model'!AF84</f>
        <v>0</v>
      </c>
      <c r="Y563">
        <f>'Revenue Model'!AG84</f>
        <v>0</v>
      </c>
      <c r="Z563">
        <f>'Revenue Model'!AH84</f>
        <v>0</v>
      </c>
      <c r="AA563">
        <f>'Revenue Model'!AI84</f>
        <v>0</v>
      </c>
      <c r="AB563">
        <f>'Revenue Model'!AJ84</f>
        <v>0</v>
      </c>
      <c r="AC563">
        <f>'Revenue Model'!AK84</f>
        <v>0</v>
      </c>
      <c r="AD563">
        <f>'Revenue Model'!AL84</f>
        <v>0</v>
      </c>
      <c r="AE563">
        <f>'Revenue Model'!AM84</f>
        <v>0</v>
      </c>
      <c r="AF563">
        <f>'Revenue Model'!AN84</f>
        <v>0</v>
      </c>
      <c r="AG563">
        <f>'Revenue Model'!AO84</f>
        <v>0</v>
      </c>
      <c r="AH563">
        <f>'Revenue Model'!AP84</f>
        <v>0</v>
      </c>
      <c r="AI563">
        <f>'Revenue Model'!AQ84</f>
        <v>0</v>
      </c>
      <c r="AJ563">
        <f>'Revenue Model'!AR84</f>
        <v>0</v>
      </c>
      <c r="AK563">
        <f>'Revenue Model'!AS84</f>
        <v>0</v>
      </c>
      <c r="AL563">
        <f>'Revenue Model'!AT84</f>
        <v>0</v>
      </c>
      <c r="AM563">
        <f>'Revenue Model'!AU84</f>
        <v>0</v>
      </c>
    </row>
    <row r="564" spans="1:39">
      <c r="A564" t="str">
        <f>'Revenue Model'!I85</f>
        <v>Ads per DAU per Hour</v>
      </c>
      <c r="B564">
        <f>'Revenue Model'!J85</f>
        <v>0</v>
      </c>
      <c r="C564">
        <f>'Revenue Model'!K85</f>
        <v>0</v>
      </c>
      <c r="D564">
        <f>'Revenue Model'!L85</f>
        <v>0</v>
      </c>
      <c r="E564">
        <f>'Revenue Model'!M85</f>
        <v>0</v>
      </c>
      <c r="F564">
        <f>'Revenue Model'!N85</f>
        <v>0</v>
      </c>
      <c r="G564">
        <f>'Revenue Model'!O85</f>
        <v>0</v>
      </c>
      <c r="H564">
        <f>'Revenue Model'!P85</f>
        <v>0</v>
      </c>
      <c r="I564">
        <f>'Revenue Model'!Q85</f>
        <v>0</v>
      </c>
      <c r="J564">
        <f>'Revenue Model'!R85</f>
        <v>0</v>
      </c>
      <c r="K564">
        <f>'Revenue Model'!S85</f>
        <v>0</v>
      </c>
      <c r="L564">
        <f>'Revenue Model'!T85</f>
        <v>0</v>
      </c>
      <c r="M564">
        <f>'Revenue Model'!U85</f>
        <v>0</v>
      </c>
      <c r="N564">
        <f>'Revenue Model'!V85</f>
        <v>0</v>
      </c>
      <c r="O564">
        <f>'Revenue Model'!W85</f>
        <v>0</v>
      </c>
      <c r="P564">
        <f>'Revenue Model'!X85</f>
        <v>0</v>
      </c>
      <c r="Q564">
        <f>'Revenue Model'!Y85</f>
        <v>1.0138858623182645</v>
      </c>
      <c r="R564">
        <f>'Revenue Model'!Z85</f>
        <v>1.0750507870760866</v>
      </c>
      <c r="S564">
        <f>'Revenue Model'!AA85</f>
        <v>2.3001154360475877</v>
      </c>
      <c r="T564">
        <f>'Revenue Model'!AB85</f>
        <v>3.2173043076737762</v>
      </c>
      <c r="U564">
        <f>'Revenue Model'!AC85</f>
        <v>4.909645567994307</v>
      </c>
      <c r="V564">
        <f>'Revenue Model'!AD85</f>
        <v>3.7146475990342829</v>
      </c>
      <c r="W564">
        <f>'Revenue Model'!AE85</f>
        <v>7.5777539880405742</v>
      </c>
      <c r="X564">
        <f>'Revenue Model'!AF85</f>
        <v>4.6869254454015934</v>
      </c>
      <c r="Y564">
        <f>'Revenue Model'!AG85</f>
        <v>6.6344180549928637</v>
      </c>
      <c r="Z564">
        <f>'Revenue Model'!AH85</f>
        <v>0</v>
      </c>
      <c r="AA564">
        <f>'Revenue Model'!AI85</f>
        <v>0</v>
      </c>
      <c r="AB564">
        <f>'Revenue Model'!AJ85</f>
        <v>0</v>
      </c>
      <c r="AC564">
        <f>'Revenue Model'!AK85</f>
        <v>0</v>
      </c>
      <c r="AD564">
        <f>'Revenue Model'!AL85</f>
        <v>0.70095304495444144</v>
      </c>
      <c r="AE564">
        <f>'Revenue Model'!AM85</f>
        <v>2.9585759522053894</v>
      </c>
      <c r="AF564">
        <f>'Revenue Model'!AN85</f>
        <v>5.6919640660535915</v>
      </c>
      <c r="AG564">
        <f>'Revenue Model'!AO85</f>
        <v>8.6589681517533901</v>
      </c>
      <c r="AH564">
        <f>'Revenue Model'!AP85</f>
        <v>12.085350973069131</v>
      </c>
      <c r="AI564">
        <f>'Revenue Model'!AQ85</f>
        <v>15.652931110978571</v>
      </c>
      <c r="AJ564">
        <f>'Revenue Model'!AR85</f>
        <v>18.685957836832298</v>
      </c>
      <c r="AK564">
        <f>'Revenue Model'!AS85</f>
        <v>21.49362463939967</v>
      </c>
      <c r="AL564">
        <f>'Revenue Model'!AT85</f>
        <v>23.959555423918385</v>
      </c>
      <c r="AM564">
        <f>'Revenue Model'!AU85</f>
        <v>26.056208924409013</v>
      </c>
    </row>
    <row r="565" spans="1:39">
      <c r="A565" t="str">
        <f>'Revenue Model'!I86</f>
        <v>Y/Y % Growth</v>
      </c>
      <c r="B565">
        <f>'Revenue Model'!J86</f>
        <v>0</v>
      </c>
      <c r="C565">
        <f>'Revenue Model'!K86</f>
        <v>0</v>
      </c>
      <c r="D565">
        <f>'Revenue Model'!L86</f>
        <v>0</v>
      </c>
      <c r="E565">
        <f>'Revenue Model'!M86</f>
        <v>0</v>
      </c>
      <c r="F565">
        <f>'Revenue Model'!N86</f>
        <v>0</v>
      </c>
      <c r="G565">
        <f>'Revenue Model'!O86</f>
        <v>0</v>
      </c>
      <c r="H565">
        <f>'Revenue Model'!P86</f>
        <v>0</v>
      </c>
      <c r="I565">
        <f>'Revenue Model'!Q86</f>
        <v>0</v>
      </c>
      <c r="J565">
        <f>'Revenue Model'!R86</f>
        <v>0</v>
      </c>
      <c r="K565">
        <f>'Revenue Model'!S86</f>
        <v>0</v>
      </c>
      <c r="L565">
        <f>'Revenue Model'!T86</f>
        <v>0</v>
      </c>
      <c r="M565">
        <f>'Revenue Model'!U86</f>
        <v>0</v>
      </c>
      <c r="N565">
        <f>'Revenue Model'!V86</f>
        <v>0</v>
      </c>
      <c r="O565">
        <f>'Revenue Model'!W86</f>
        <v>0</v>
      </c>
      <c r="P565">
        <f>'Revenue Model'!X86</f>
        <v>0</v>
      </c>
      <c r="Q565">
        <f>'Revenue Model'!Y86</f>
        <v>0</v>
      </c>
      <c r="R565">
        <f>'Revenue Model'!Z86</f>
        <v>0</v>
      </c>
      <c r="S565">
        <f>'Revenue Model'!AA86</f>
        <v>0</v>
      </c>
      <c r="T565">
        <f>'Revenue Model'!AB86</f>
        <v>0</v>
      </c>
      <c r="U565">
        <f>'Revenue Model'!AC86</f>
        <v>3.8424046043687126</v>
      </c>
      <c r="V565">
        <f>'Revenue Model'!AD86</f>
        <v>2.4553228960813542</v>
      </c>
      <c r="W565">
        <f>'Revenue Model'!AE86</f>
        <v>2.2945102968665942</v>
      </c>
      <c r="X565">
        <f>'Revenue Model'!AF86</f>
        <v>0.45678648868325578</v>
      </c>
      <c r="Y565">
        <f>'Revenue Model'!AG86</f>
        <v>0.3513028513182801</v>
      </c>
      <c r="Z565">
        <f>'Revenue Model'!AH86</f>
        <v>0</v>
      </c>
      <c r="AA565">
        <f>'Revenue Model'!AI86</f>
        <v>0</v>
      </c>
      <c r="AB565">
        <f>'Revenue Model'!AJ86</f>
        <v>0</v>
      </c>
      <c r="AC565">
        <f>'Revenue Model'!AK86</f>
        <v>0</v>
      </c>
      <c r="AD565">
        <f>'Revenue Model'!AL86</f>
        <v>0</v>
      </c>
      <c r="AE565">
        <f>'Revenue Model'!AM86</f>
        <v>0</v>
      </c>
      <c r="AF565">
        <f>'Revenue Model'!AN86</f>
        <v>0.92388640954465706</v>
      </c>
      <c r="AG565">
        <f>'Revenue Model'!AO86</f>
        <v>0.5212619143881756</v>
      </c>
      <c r="AH565">
        <f>'Revenue Model'!AP86</f>
        <v>0.39570336341079138</v>
      </c>
      <c r="AI565">
        <f>'Revenue Model'!AQ86</f>
        <v>0.29519871999244351</v>
      </c>
      <c r="AJ565">
        <f>'Revenue Model'!AR86</f>
        <v>0.19376733369294885</v>
      </c>
      <c r="AK565">
        <f>'Revenue Model'!AS86</f>
        <v>0.15025543924931251</v>
      </c>
      <c r="AL565">
        <f>'Revenue Model'!AT86</f>
        <v>0.11472847534512409</v>
      </c>
      <c r="AM565">
        <f>'Revenue Model'!AU86</f>
        <v>8.7508030236553402E-2</v>
      </c>
    </row>
    <row r="566" spans="1:39">
      <c r="A566">
        <f>'Revenue Model'!I87</f>
        <v>0</v>
      </c>
      <c r="B566">
        <f>'Revenue Model'!J87</f>
        <v>0</v>
      </c>
      <c r="C566">
        <f>'Revenue Model'!K87</f>
        <v>0</v>
      </c>
      <c r="D566">
        <f>'Revenue Model'!L87</f>
        <v>0</v>
      </c>
      <c r="E566">
        <f>'Revenue Model'!M87</f>
        <v>0</v>
      </c>
      <c r="F566">
        <f>'Revenue Model'!N87</f>
        <v>0</v>
      </c>
      <c r="G566">
        <f>'Revenue Model'!O87</f>
        <v>0</v>
      </c>
      <c r="H566">
        <f>'Revenue Model'!P87</f>
        <v>0</v>
      </c>
      <c r="I566">
        <f>'Revenue Model'!Q87</f>
        <v>0</v>
      </c>
      <c r="J566">
        <f>'Revenue Model'!R87</f>
        <v>0</v>
      </c>
      <c r="K566">
        <f>'Revenue Model'!S87</f>
        <v>0</v>
      </c>
      <c r="L566">
        <f>'Revenue Model'!T87</f>
        <v>0</v>
      </c>
      <c r="M566">
        <f>'Revenue Model'!U87</f>
        <v>0</v>
      </c>
      <c r="N566">
        <f>'Revenue Model'!V87</f>
        <v>0</v>
      </c>
      <c r="O566">
        <f>'Revenue Model'!W87</f>
        <v>0</v>
      </c>
      <c r="P566">
        <f>'Revenue Model'!X87</f>
        <v>0</v>
      </c>
      <c r="Q566">
        <f>'Revenue Model'!Y87</f>
        <v>0</v>
      </c>
      <c r="R566">
        <f>'Revenue Model'!Z87</f>
        <v>0</v>
      </c>
      <c r="S566">
        <f>'Revenue Model'!AA87</f>
        <v>0</v>
      </c>
      <c r="T566">
        <f>'Revenue Model'!AB87</f>
        <v>0</v>
      </c>
      <c r="U566">
        <f>'Revenue Model'!AC87</f>
        <v>0</v>
      </c>
      <c r="V566">
        <f>'Revenue Model'!AD87</f>
        <v>0</v>
      </c>
      <c r="W566">
        <f>'Revenue Model'!AE87</f>
        <v>0</v>
      </c>
      <c r="X566">
        <f>'Revenue Model'!AF87</f>
        <v>0</v>
      </c>
      <c r="Y566">
        <f>'Revenue Model'!AG87</f>
        <v>0</v>
      </c>
      <c r="Z566">
        <f>'Revenue Model'!AH87</f>
        <v>0</v>
      </c>
      <c r="AA566">
        <f>'Revenue Model'!AI87</f>
        <v>0</v>
      </c>
      <c r="AB566">
        <f>'Revenue Model'!AJ87</f>
        <v>0</v>
      </c>
      <c r="AC566">
        <f>'Revenue Model'!AK87</f>
        <v>0</v>
      </c>
      <c r="AD566">
        <f>'Revenue Model'!AL87</f>
        <v>0</v>
      </c>
      <c r="AE566">
        <f>'Revenue Model'!AM87</f>
        <v>0</v>
      </c>
      <c r="AF566">
        <f>'Revenue Model'!AN87</f>
        <v>0</v>
      </c>
      <c r="AG566">
        <f>'Revenue Model'!AO87</f>
        <v>0</v>
      </c>
      <c r="AH566">
        <f>'Revenue Model'!AP87</f>
        <v>0</v>
      </c>
      <c r="AI566">
        <f>'Revenue Model'!AQ87</f>
        <v>0</v>
      </c>
      <c r="AJ566">
        <f>'Revenue Model'!AR87</f>
        <v>0</v>
      </c>
      <c r="AK566">
        <f>'Revenue Model'!AS87</f>
        <v>0</v>
      </c>
      <c r="AL566">
        <f>'Revenue Model'!AT87</f>
        <v>0</v>
      </c>
      <c r="AM566">
        <f>'Revenue Model'!AU87</f>
        <v>0</v>
      </c>
    </row>
    <row r="567" spans="1:39">
      <c r="A567">
        <f>'Revenue Model'!I88</f>
        <v>0</v>
      </c>
      <c r="B567">
        <f>'Revenue Model'!J88</f>
        <v>0</v>
      </c>
      <c r="C567">
        <f>'Revenue Model'!K88</f>
        <v>0</v>
      </c>
      <c r="D567">
        <f>'Revenue Model'!L88</f>
        <v>0</v>
      </c>
      <c r="E567">
        <f>'Revenue Model'!M88</f>
        <v>0</v>
      </c>
      <c r="F567">
        <f>'Revenue Model'!N88</f>
        <v>0</v>
      </c>
      <c r="G567">
        <f>'Revenue Model'!O88</f>
        <v>0</v>
      </c>
      <c r="H567">
        <f>'Revenue Model'!P88</f>
        <v>0</v>
      </c>
      <c r="I567">
        <f>'Revenue Model'!Q88</f>
        <v>0</v>
      </c>
      <c r="J567">
        <f>'Revenue Model'!R88</f>
        <v>0</v>
      </c>
      <c r="K567">
        <f>'Revenue Model'!S88</f>
        <v>0</v>
      </c>
      <c r="L567">
        <f>'Revenue Model'!T88</f>
        <v>0</v>
      </c>
      <c r="M567">
        <f>'Revenue Model'!U88</f>
        <v>0</v>
      </c>
      <c r="N567">
        <f>'Revenue Model'!V88</f>
        <v>0</v>
      </c>
      <c r="O567">
        <f>'Revenue Model'!W88</f>
        <v>0</v>
      </c>
      <c r="P567">
        <f>'Revenue Model'!X88</f>
        <v>0</v>
      </c>
      <c r="Q567">
        <f>'Revenue Model'!Y88</f>
        <v>0</v>
      </c>
      <c r="R567">
        <f>'Revenue Model'!Z88</f>
        <v>0</v>
      </c>
      <c r="S567">
        <f>'Revenue Model'!AA88</f>
        <v>0</v>
      </c>
      <c r="T567">
        <f>'Revenue Model'!AB88</f>
        <v>0</v>
      </c>
      <c r="U567">
        <f>'Revenue Model'!AC88</f>
        <v>0</v>
      </c>
      <c r="V567">
        <f>'Revenue Model'!AD88</f>
        <v>0</v>
      </c>
      <c r="W567">
        <f>'Revenue Model'!AE88</f>
        <v>0</v>
      </c>
      <c r="X567">
        <f>'Revenue Model'!AF88</f>
        <v>0</v>
      </c>
      <c r="Y567">
        <f>'Revenue Model'!AG88</f>
        <v>0</v>
      </c>
      <c r="Z567">
        <f>'Revenue Model'!AH88</f>
        <v>0</v>
      </c>
      <c r="AA567">
        <f>'Revenue Model'!AI88</f>
        <v>0</v>
      </c>
      <c r="AB567">
        <f>'Revenue Model'!AJ88</f>
        <v>0</v>
      </c>
      <c r="AC567">
        <f>'Revenue Model'!AK88</f>
        <v>0</v>
      </c>
      <c r="AD567">
        <f>'Revenue Model'!AL88</f>
        <v>0</v>
      </c>
      <c r="AE567">
        <f>'Revenue Model'!AM88</f>
        <v>0</v>
      </c>
      <c r="AF567">
        <f>'Revenue Model'!AN88</f>
        <v>0</v>
      </c>
      <c r="AG567">
        <f>'Revenue Model'!AO88</f>
        <v>0</v>
      </c>
      <c r="AH567">
        <f>'Revenue Model'!AP88</f>
        <v>0</v>
      </c>
      <c r="AI567">
        <f>'Revenue Model'!AQ88</f>
        <v>0</v>
      </c>
      <c r="AJ567">
        <f>'Revenue Model'!AR88</f>
        <v>0</v>
      </c>
      <c r="AK567">
        <f>'Revenue Model'!AS88</f>
        <v>0</v>
      </c>
      <c r="AL567">
        <f>'Revenue Model'!AT88</f>
        <v>0</v>
      </c>
      <c r="AM567">
        <f>'Revenue Model'!AU88</f>
        <v>0</v>
      </c>
    </row>
    <row r="568" spans="1:39">
      <c r="A568" t="str">
        <f>'Revenue Model'!I89</f>
        <v>North America Revenue Build</v>
      </c>
      <c r="B568">
        <f>'Revenue Model'!J89</f>
        <v>0</v>
      </c>
      <c r="C568">
        <f>'Revenue Model'!K89</f>
        <v>0</v>
      </c>
      <c r="D568">
        <f>'Revenue Model'!L89</f>
        <v>0</v>
      </c>
      <c r="E568">
        <f>'Revenue Model'!M89</f>
        <v>0</v>
      </c>
      <c r="F568">
        <f>'Revenue Model'!N89</f>
        <v>0</v>
      </c>
      <c r="G568">
        <f>'Revenue Model'!O89</f>
        <v>0</v>
      </c>
      <c r="H568">
        <f>'Revenue Model'!P89</f>
        <v>0</v>
      </c>
      <c r="I568">
        <f>'Revenue Model'!Q89</f>
        <v>0</v>
      </c>
      <c r="J568">
        <f>'Revenue Model'!R89</f>
        <v>0</v>
      </c>
      <c r="K568">
        <f>'Revenue Model'!S89</f>
        <v>0</v>
      </c>
      <c r="L568">
        <f>'Revenue Model'!T89</f>
        <v>0</v>
      </c>
      <c r="M568">
        <f>'Revenue Model'!U89</f>
        <v>0</v>
      </c>
      <c r="N568">
        <f>'Revenue Model'!V89</f>
        <v>0</v>
      </c>
      <c r="O568">
        <f>'Revenue Model'!W89</f>
        <v>0</v>
      </c>
      <c r="P568">
        <f>'Revenue Model'!X89</f>
        <v>0</v>
      </c>
      <c r="Q568">
        <f>'Revenue Model'!Y89</f>
        <v>0</v>
      </c>
      <c r="R568">
        <f>'Revenue Model'!Z89</f>
        <v>0</v>
      </c>
      <c r="S568">
        <f>'Revenue Model'!AA89</f>
        <v>0</v>
      </c>
      <c r="T568">
        <f>'Revenue Model'!AB89</f>
        <v>0</v>
      </c>
      <c r="U568">
        <f>'Revenue Model'!AC89</f>
        <v>0</v>
      </c>
      <c r="V568">
        <f>'Revenue Model'!AD89</f>
        <v>0</v>
      </c>
      <c r="W568">
        <f>'Revenue Model'!AE89</f>
        <v>0</v>
      </c>
      <c r="X568">
        <f>'Revenue Model'!AF89</f>
        <v>0</v>
      </c>
      <c r="Y568">
        <f>'Revenue Model'!AG89</f>
        <v>0</v>
      </c>
      <c r="Z568">
        <f>'Revenue Model'!AH89</f>
        <v>0</v>
      </c>
      <c r="AA568">
        <f>'Revenue Model'!AI89</f>
        <v>0</v>
      </c>
      <c r="AB568">
        <f>'Revenue Model'!AJ89</f>
        <v>0</v>
      </c>
      <c r="AC568">
        <f>'Revenue Model'!AK89</f>
        <v>0</v>
      </c>
      <c r="AD568">
        <f>'Revenue Model'!AL89</f>
        <v>0</v>
      </c>
      <c r="AE568">
        <f>'Revenue Model'!AM89</f>
        <v>0</v>
      </c>
      <c r="AF568">
        <f>'Revenue Model'!AN89</f>
        <v>0</v>
      </c>
      <c r="AG568">
        <f>'Revenue Model'!AO89</f>
        <v>0</v>
      </c>
      <c r="AH568">
        <f>'Revenue Model'!AP89</f>
        <v>0</v>
      </c>
      <c r="AI568">
        <f>'Revenue Model'!AQ89</f>
        <v>0</v>
      </c>
      <c r="AJ568">
        <f>'Revenue Model'!AR89</f>
        <v>0</v>
      </c>
      <c r="AK568">
        <f>'Revenue Model'!AS89</f>
        <v>0</v>
      </c>
      <c r="AL568">
        <f>'Revenue Model'!AT89</f>
        <v>0</v>
      </c>
      <c r="AM568">
        <f>'Revenue Model'!AU89</f>
        <v>0</v>
      </c>
    </row>
    <row r="569" spans="1:39">
      <c r="A569">
        <f>'Revenue Model'!I90</f>
        <v>0</v>
      </c>
      <c r="B569">
        <f>'Revenue Model'!J90</f>
        <v>0</v>
      </c>
      <c r="C569">
        <f>'Revenue Model'!K90</f>
        <v>0</v>
      </c>
      <c r="D569">
        <f>'Revenue Model'!L90</f>
        <v>0</v>
      </c>
      <c r="E569">
        <f>'Revenue Model'!M90</f>
        <v>0</v>
      </c>
      <c r="F569">
        <f>'Revenue Model'!N90</f>
        <v>0</v>
      </c>
      <c r="G569">
        <f>'Revenue Model'!O90</f>
        <v>0</v>
      </c>
      <c r="H569">
        <f>'Revenue Model'!P90</f>
        <v>0</v>
      </c>
      <c r="I569">
        <f>'Revenue Model'!Q90</f>
        <v>0</v>
      </c>
      <c r="J569">
        <f>'Revenue Model'!R90</f>
        <v>0</v>
      </c>
      <c r="K569">
        <f>'Revenue Model'!S90</f>
        <v>0</v>
      </c>
      <c r="L569">
        <f>'Revenue Model'!T90</f>
        <v>0</v>
      </c>
      <c r="M569">
        <f>'Revenue Model'!U90</f>
        <v>0</v>
      </c>
      <c r="N569">
        <f>'Revenue Model'!V90</f>
        <v>0</v>
      </c>
      <c r="O569">
        <f>'Revenue Model'!W90</f>
        <v>0</v>
      </c>
      <c r="P569">
        <f>'Revenue Model'!X90</f>
        <v>0</v>
      </c>
      <c r="Q569">
        <f>'Revenue Model'!Y90</f>
        <v>0</v>
      </c>
      <c r="R569">
        <f>'Revenue Model'!Z90</f>
        <v>0</v>
      </c>
      <c r="S569">
        <f>'Revenue Model'!AA90</f>
        <v>0</v>
      </c>
      <c r="T569">
        <f>'Revenue Model'!AB90</f>
        <v>0</v>
      </c>
      <c r="U569">
        <f>'Revenue Model'!AC90</f>
        <v>0</v>
      </c>
      <c r="V569">
        <f>'Revenue Model'!AD90</f>
        <v>0</v>
      </c>
      <c r="W569">
        <f>'Revenue Model'!AE90</f>
        <v>0</v>
      </c>
      <c r="X569">
        <f>'Revenue Model'!AF90</f>
        <v>0</v>
      </c>
      <c r="Y569">
        <f>'Revenue Model'!AG90</f>
        <v>0</v>
      </c>
      <c r="Z569">
        <f>'Revenue Model'!AH90</f>
        <v>0</v>
      </c>
      <c r="AA569">
        <f>'Revenue Model'!AI90</f>
        <v>0</v>
      </c>
      <c r="AB569">
        <f>'Revenue Model'!AJ90</f>
        <v>0</v>
      </c>
      <c r="AC569">
        <f>'Revenue Model'!AK90</f>
        <v>0</v>
      </c>
      <c r="AD569">
        <f>'Revenue Model'!AL90</f>
        <v>0</v>
      </c>
      <c r="AE569">
        <f>'Revenue Model'!AM90</f>
        <v>0</v>
      </c>
      <c r="AF569">
        <f>'Revenue Model'!AN90</f>
        <v>0</v>
      </c>
      <c r="AG569">
        <f>'Revenue Model'!AO90</f>
        <v>0</v>
      </c>
      <c r="AH569">
        <f>'Revenue Model'!AP90</f>
        <v>0</v>
      </c>
      <c r="AI569">
        <f>'Revenue Model'!AQ90</f>
        <v>0</v>
      </c>
      <c r="AJ569">
        <f>'Revenue Model'!AR90</f>
        <v>0</v>
      </c>
      <c r="AK569">
        <f>'Revenue Model'!AS90</f>
        <v>0</v>
      </c>
      <c r="AL569">
        <f>'Revenue Model'!AT90</f>
        <v>0</v>
      </c>
      <c r="AM569">
        <f>'Revenue Model'!AU90</f>
        <v>0</v>
      </c>
    </row>
    <row r="570" spans="1:39">
      <c r="A570" t="str">
        <f>'Revenue Model'!I91</f>
        <v>North America DAUs</v>
      </c>
      <c r="B570">
        <f>'Revenue Model'!J91</f>
        <v>6.5989847715736039</v>
      </c>
      <c r="C570">
        <f>'Revenue Model'!K91</f>
        <v>11.904761904761905</v>
      </c>
      <c r="D570">
        <f>'Revenue Model'!L91</f>
        <v>17.486338797814206</v>
      </c>
      <c r="E570">
        <f>'Revenue Model'!M91</f>
        <v>18.918918918918919</v>
      </c>
      <c r="F570">
        <f>'Revenue Model'!N91</f>
        <v>26</v>
      </c>
      <c r="G570">
        <f>'Revenue Model'!O91</f>
        <v>30</v>
      </c>
      <c r="H570">
        <f>'Revenue Model'!P91</f>
        <v>32</v>
      </c>
      <c r="I570">
        <f>'Revenue Model'!Q91</f>
        <v>35</v>
      </c>
      <c r="J570">
        <f>'Revenue Model'!R91</f>
        <v>38</v>
      </c>
      <c r="K570">
        <f>'Revenue Model'!S91</f>
        <v>40</v>
      </c>
      <c r="L570">
        <f>'Revenue Model'!T91</f>
        <v>44.3</v>
      </c>
      <c r="M570">
        <f>'Revenue Model'!U91</f>
        <v>48</v>
      </c>
      <c r="N570">
        <f>'Revenue Model'!V91</f>
        <v>54</v>
      </c>
      <c r="O570">
        <f>'Revenue Model'!W91</f>
        <v>61</v>
      </c>
      <c r="P570">
        <f>'Revenue Model'!X91</f>
        <v>65</v>
      </c>
      <c r="Q570">
        <f>'Revenue Model'!Y91</f>
        <v>67.599999999999994</v>
      </c>
      <c r="R570">
        <f>'Revenue Model'!Z91</f>
        <v>71</v>
      </c>
      <c r="S570">
        <f>'Revenue Model'!AA91</f>
        <v>75</v>
      </c>
      <c r="T570">
        <f>'Revenue Model'!AB91</f>
        <v>77</v>
      </c>
      <c r="U570">
        <f>'Revenue Model'!AC91</f>
        <v>80</v>
      </c>
      <c r="V570">
        <f>'Revenue Model'!AD91</f>
        <v>82.94</v>
      </c>
      <c r="W570">
        <f>'Revenue Model'!AE91</f>
        <v>86.320999999999998</v>
      </c>
      <c r="X570">
        <f>'Revenue Model'!AF91</f>
        <v>88.856749999999991</v>
      </c>
      <c r="Y570">
        <f>'Revenue Model'!AG91</f>
        <v>91.51928749999999</v>
      </c>
      <c r="Z570">
        <f>'Revenue Model'!AH91</f>
        <v>0</v>
      </c>
      <c r="AA570">
        <f>'Revenue Model'!AI91</f>
        <v>18.918918918918919</v>
      </c>
      <c r="AB570">
        <f>'Revenue Model'!AJ91</f>
        <v>35</v>
      </c>
      <c r="AC570">
        <f>'Revenue Model'!AK91</f>
        <v>48</v>
      </c>
      <c r="AD570">
        <f>'Revenue Model'!AL91</f>
        <v>67.599999999999994</v>
      </c>
      <c r="AE570">
        <f>'Revenue Model'!AM91</f>
        <v>80</v>
      </c>
      <c r="AF570">
        <f>'Revenue Model'!AN91</f>
        <v>91.51928749999999</v>
      </c>
      <c r="AG570">
        <f>'Revenue Model'!AO91</f>
        <v>102.46261062499998</v>
      </c>
      <c r="AH570">
        <f>'Revenue Model'!AP91</f>
        <v>112.85876759374997</v>
      </c>
      <c r="AI570">
        <f>'Revenue Model'!AQ91</f>
        <v>122.21530886562496</v>
      </c>
      <c r="AJ570">
        <f>'Revenue Model'!AR91</f>
        <v>130.63619601031246</v>
      </c>
      <c r="AK570">
        <f>'Revenue Model'!AS91</f>
        <v>138.2149944405312</v>
      </c>
      <c r="AL570">
        <f>'Revenue Model'!AT91</f>
        <v>145.03591302772807</v>
      </c>
      <c r="AM570">
        <f>'Revenue Model'!AU91</f>
        <v>151.85683161492494</v>
      </c>
    </row>
    <row r="571" spans="1:39">
      <c r="A571" t="str">
        <f>'Revenue Model'!I92</f>
        <v>Sequential Net Adds</v>
      </c>
      <c r="B571">
        <f>'Revenue Model'!J92</f>
        <v>0</v>
      </c>
      <c r="C571">
        <f>'Revenue Model'!K92</f>
        <v>5.3057771331883012</v>
      </c>
      <c r="D571">
        <f>'Revenue Model'!L92</f>
        <v>5.5815768930523006</v>
      </c>
      <c r="E571">
        <f>'Revenue Model'!M92</f>
        <v>1.4325801211047136</v>
      </c>
      <c r="F571">
        <f>'Revenue Model'!N92</f>
        <v>7.0810810810810807</v>
      </c>
      <c r="G571">
        <f>'Revenue Model'!O92</f>
        <v>4</v>
      </c>
      <c r="H571">
        <f>'Revenue Model'!P92</f>
        <v>2</v>
      </c>
      <c r="I571">
        <f>'Revenue Model'!Q92</f>
        <v>3</v>
      </c>
      <c r="J571">
        <f>'Revenue Model'!R92</f>
        <v>3</v>
      </c>
      <c r="K571">
        <f>'Revenue Model'!S92</f>
        <v>2</v>
      </c>
      <c r="L571">
        <f>'Revenue Model'!T92</f>
        <v>4.2999999999999972</v>
      </c>
      <c r="M571">
        <f>'Revenue Model'!U92</f>
        <v>3.7000000000000028</v>
      </c>
      <c r="N571">
        <f>'Revenue Model'!V92</f>
        <v>6</v>
      </c>
      <c r="O571">
        <f>'Revenue Model'!W92</f>
        <v>7</v>
      </c>
      <c r="P571">
        <f>'Revenue Model'!X92</f>
        <v>4</v>
      </c>
      <c r="Q571">
        <f>'Revenue Model'!Y92</f>
        <v>2.5999999999999943</v>
      </c>
      <c r="R571">
        <f>'Revenue Model'!Z92</f>
        <v>3.4000000000000057</v>
      </c>
      <c r="S571">
        <f>'Revenue Model'!AA92</f>
        <v>4</v>
      </c>
      <c r="T571">
        <f>'Revenue Model'!AB92</f>
        <v>2</v>
      </c>
      <c r="U571">
        <f>'Revenue Model'!AC92</f>
        <v>3</v>
      </c>
      <c r="V571">
        <f>'Revenue Model'!AD92</f>
        <v>2.94</v>
      </c>
      <c r="W571">
        <f>'Revenue Model'!AE92</f>
        <v>3.3809999999999998</v>
      </c>
      <c r="X571">
        <f>'Revenue Model'!AF92</f>
        <v>2.5357499999999997</v>
      </c>
      <c r="Y571">
        <f>'Revenue Model'!AG92</f>
        <v>2.6625375</v>
      </c>
      <c r="Z571">
        <f>'Revenue Model'!AH92</f>
        <v>0</v>
      </c>
      <c r="AA571">
        <f>'Revenue Model'!AI92</f>
        <v>0</v>
      </c>
      <c r="AB571">
        <f>'Revenue Model'!AJ92</f>
        <v>16.081081081081081</v>
      </c>
      <c r="AC571">
        <f>'Revenue Model'!AK92</f>
        <v>13</v>
      </c>
      <c r="AD571">
        <f>'Revenue Model'!AL92</f>
        <v>19.599999999999994</v>
      </c>
      <c r="AE571">
        <f>'Revenue Model'!AM92</f>
        <v>12.400000000000006</v>
      </c>
      <c r="AF571">
        <f>'Revenue Model'!AN92</f>
        <v>11.51928749999999</v>
      </c>
      <c r="AG571">
        <f>'Revenue Model'!AO92</f>
        <v>10.94332312499999</v>
      </c>
      <c r="AH571">
        <f>'Revenue Model'!AP92</f>
        <v>10.39615696874999</v>
      </c>
      <c r="AI571">
        <f>'Revenue Model'!AQ92</f>
        <v>9.3565412718749918</v>
      </c>
      <c r="AJ571">
        <f>'Revenue Model'!AR92</f>
        <v>8.4208871446874927</v>
      </c>
      <c r="AK571">
        <f>'Revenue Model'!AS92</f>
        <v>7.5787984302187432</v>
      </c>
      <c r="AL571">
        <f>'Revenue Model'!AT92</f>
        <v>6.8209185871968687</v>
      </c>
      <c r="AM571">
        <f>'Revenue Model'!AU92</f>
        <v>6.8209185871968687</v>
      </c>
    </row>
    <row r="572" spans="1:39">
      <c r="A572" t="str">
        <f>'Revenue Model'!I93</f>
        <v>Y/Y % Growth</v>
      </c>
      <c r="B572">
        <f>'Revenue Model'!J93</f>
        <v>0</v>
      </c>
      <c r="C572">
        <f>'Revenue Model'!K93</f>
        <v>0</v>
      </c>
      <c r="D572">
        <f>'Revenue Model'!L93</f>
        <v>0</v>
      </c>
      <c r="E572">
        <f>'Revenue Model'!M93</f>
        <v>0</v>
      </c>
      <c r="F572">
        <f>'Revenue Model'!N93</f>
        <v>2.94</v>
      </c>
      <c r="G572">
        <f>'Revenue Model'!O93</f>
        <v>1.52</v>
      </c>
      <c r="H572">
        <f>'Revenue Model'!P93</f>
        <v>0.83</v>
      </c>
      <c r="I572">
        <f>'Revenue Model'!Q93</f>
        <v>0.85</v>
      </c>
      <c r="J572">
        <f>'Revenue Model'!R93</f>
        <v>0.46153846153846145</v>
      </c>
      <c r="K572">
        <f>'Revenue Model'!S93</f>
        <v>0.33333333333333326</v>
      </c>
      <c r="L572">
        <f>'Revenue Model'!T93</f>
        <v>0.38437499999999991</v>
      </c>
      <c r="M572">
        <f>'Revenue Model'!U93</f>
        <v>0.37142857142857144</v>
      </c>
      <c r="N572">
        <f>'Revenue Model'!V93</f>
        <v>0.42105263157894735</v>
      </c>
      <c r="O572">
        <f>'Revenue Model'!W93</f>
        <v>0.52499999999999991</v>
      </c>
      <c r="P572">
        <f>'Revenue Model'!X93</f>
        <v>0.46726862302483085</v>
      </c>
      <c r="Q572">
        <f>'Revenue Model'!Y93</f>
        <v>0.40833333333333321</v>
      </c>
      <c r="R572">
        <f>'Revenue Model'!Z93</f>
        <v>0.31481481481481488</v>
      </c>
      <c r="S572">
        <f>'Revenue Model'!AA93</f>
        <v>0.22950819672131151</v>
      </c>
      <c r="T572">
        <f>'Revenue Model'!AB93</f>
        <v>0.18461538461538463</v>
      </c>
      <c r="U572">
        <f>'Revenue Model'!AC93</f>
        <v>0.18343195266272194</v>
      </c>
      <c r="V572">
        <f>'Revenue Model'!AD93</f>
        <v>0.16816901408450691</v>
      </c>
      <c r="W572">
        <f>'Revenue Model'!AE93</f>
        <v>0.15094666666666656</v>
      </c>
      <c r="X572">
        <f>'Revenue Model'!AF93</f>
        <v>0.15398376623376619</v>
      </c>
      <c r="Y572">
        <f>'Revenue Model'!AG93</f>
        <v>0.14399109374999997</v>
      </c>
      <c r="Z572">
        <f>'Revenue Model'!AH93</f>
        <v>0</v>
      </c>
      <c r="AA572">
        <f>'Revenue Model'!AI93</f>
        <v>0</v>
      </c>
      <c r="AB572">
        <f>'Revenue Model'!AJ93</f>
        <v>0.84999999999999987</v>
      </c>
      <c r="AC572">
        <f>'Revenue Model'!AK93</f>
        <v>0.37142857142857144</v>
      </c>
      <c r="AD572">
        <f>'Revenue Model'!AL93</f>
        <v>0.40833333333333321</v>
      </c>
      <c r="AE572">
        <f>'Revenue Model'!AM93</f>
        <v>0.18343195266272194</v>
      </c>
      <c r="AF572">
        <f>'Revenue Model'!AN93</f>
        <v>0.14399109374999997</v>
      </c>
      <c r="AG572">
        <f>'Revenue Model'!AO93</f>
        <v>0.11957395456121733</v>
      </c>
      <c r="AH572">
        <f>'Revenue Model'!AP93</f>
        <v>0.10146293272575879</v>
      </c>
      <c r="AI572">
        <f>'Revenue Model'!AQ93</f>
        <v>8.2904868371016516E-2</v>
      </c>
      <c r="AJ572">
        <f>'Revenue Model'!AR93</f>
        <v>6.8902064911902539E-2</v>
      </c>
      <c r="AK572">
        <f>'Revenue Model'!AS93</f>
        <v>5.8014537024795754E-2</v>
      </c>
      <c r="AL572">
        <f>'Revenue Model'!AT93</f>
        <v>4.9350062305516751E-2</v>
      </c>
      <c r="AM572">
        <f>'Revenue Model'!AU93</f>
        <v>4.7029169843560314E-2</v>
      </c>
    </row>
    <row r="573" spans="1:39">
      <c r="A573" t="str">
        <f>'Revenue Model'!I94</f>
        <v>Q/Q % Growth</v>
      </c>
      <c r="B573">
        <f>'Revenue Model'!J94</f>
        <v>0</v>
      </c>
      <c r="C573">
        <f>'Revenue Model'!K94</f>
        <v>0.80402930402930406</v>
      </c>
      <c r="D573">
        <f>'Revenue Model'!L94</f>
        <v>0.46885245901639316</v>
      </c>
      <c r="E573">
        <f>'Revenue Model'!M94</f>
        <v>8.192567567567588E-2</v>
      </c>
      <c r="F573">
        <f>'Revenue Model'!N94</f>
        <v>0.37428571428571433</v>
      </c>
      <c r="G573">
        <f>'Revenue Model'!O94</f>
        <v>0.15384615384615374</v>
      </c>
      <c r="H573">
        <f>'Revenue Model'!P94</f>
        <v>6.6666666666666652E-2</v>
      </c>
      <c r="I573">
        <f>'Revenue Model'!Q94</f>
        <v>9.375E-2</v>
      </c>
      <c r="J573">
        <f>'Revenue Model'!R94</f>
        <v>8.5714285714285632E-2</v>
      </c>
      <c r="K573">
        <f>'Revenue Model'!S94</f>
        <v>5.2631578947368363E-2</v>
      </c>
      <c r="L573">
        <f>'Revenue Model'!T94</f>
        <v>0.10749999999999993</v>
      </c>
      <c r="M573">
        <f>'Revenue Model'!U94</f>
        <v>8.3521444695259683E-2</v>
      </c>
      <c r="N573">
        <f>'Revenue Model'!V94</f>
        <v>0.125</v>
      </c>
      <c r="O573">
        <f>'Revenue Model'!W94</f>
        <v>0.12962962962962954</v>
      </c>
      <c r="P573">
        <f>'Revenue Model'!X94</f>
        <v>6.5573770491803351E-2</v>
      </c>
      <c r="Q573">
        <f>'Revenue Model'!Y94</f>
        <v>3.9999999999999813E-2</v>
      </c>
      <c r="R573">
        <f>'Revenue Model'!Z94</f>
        <v>5.0295857988165826E-2</v>
      </c>
      <c r="S573">
        <f>'Revenue Model'!AA94</f>
        <v>5.6338028169014009E-2</v>
      </c>
      <c r="T573">
        <f>'Revenue Model'!AB94</f>
        <v>2.6666666666666616E-2</v>
      </c>
      <c r="U573">
        <f>'Revenue Model'!AC94</f>
        <v>3.8961038961038863E-2</v>
      </c>
      <c r="V573">
        <f>'Revenue Model'!AD94</f>
        <v>3.675000000000006E-2</v>
      </c>
      <c r="W573">
        <f>'Revenue Model'!AE94</f>
        <v>4.07644080057874E-2</v>
      </c>
      <c r="X573">
        <f>'Revenue Model'!AF94</f>
        <v>2.9375818167074019E-2</v>
      </c>
      <c r="Y573">
        <f>'Revenue Model'!AG94</f>
        <v>2.9964380871458918E-2</v>
      </c>
      <c r="Z573">
        <f>'Revenue Model'!AH94</f>
        <v>0</v>
      </c>
      <c r="AA573">
        <f>'Revenue Model'!AI94</f>
        <v>0</v>
      </c>
      <c r="AB573">
        <f>'Revenue Model'!AJ94</f>
        <v>0</v>
      </c>
      <c r="AC573">
        <f>'Revenue Model'!AK94</f>
        <v>0</v>
      </c>
      <c r="AD573">
        <f>'Revenue Model'!AL94</f>
        <v>0</v>
      </c>
      <c r="AE573">
        <f>'Revenue Model'!AM94</f>
        <v>0</v>
      </c>
      <c r="AF573">
        <f>'Revenue Model'!AN94</f>
        <v>0</v>
      </c>
      <c r="AG573">
        <f>'Revenue Model'!AO94</f>
        <v>0</v>
      </c>
      <c r="AH573">
        <f>'Revenue Model'!AP94</f>
        <v>0</v>
      </c>
      <c r="AI573">
        <f>'Revenue Model'!AQ94</f>
        <v>0</v>
      </c>
      <c r="AJ573">
        <f>'Revenue Model'!AR94</f>
        <v>0</v>
      </c>
      <c r="AK573">
        <f>'Revenue Model'!AS94</f>
        <v>0</v>
      </c>
      <c r="AL573">
        <f>'Revenue Model'!AT94</f>
        <v>0</v>
      </c>
      <c r="AM573">
        <f>'Revenue Model'!AU94</f>
        <v>0</v>
      </c>
    </row>
    <row r="574" spans="1:39">
      <c r="A574" t="str">
        <f>'Revenue Model'!I95</f>
        <v>% of Total DAUs</v>
      </c>
      <c r="B574">
        <f>'Revenue Model'!J95</f>
        <v>0.73879938203487094</v>
      </c>
      <c r="C574">
        <f>'Revenue Model'!K95</f>
        <v>0.57017543859649122</v>
      </c>
      <c r="D574">
        <f>'Revenue Model'!L95</f>
        <v>0.62728770925492217</v>
      </c>
      <c r="E574">
        <f>'Revenue Model'!M95</f>
        <v>0.51161020175104677</v>
      </c>
      <c r="F574">
        <f>'Revenue Model'!N95</f>
        <v>0.56521739130434778</v>
      </c>
      <c r="G574">
        <f>'Revenue Model'!O95</f>
        <v>0.52631578947368418</v>
      </c>
      <c r="H574">
        <f>'Revenue Model'!P95</f>
        <v>0.50793650793650791</v>
      </c>
      <c r="I574">
        <f>'Revenue Model'!Q95</f>
        <v>0.49295774647887325</v>
      </c>
      <c r="J574">
        <f>'Revenue Model'!R95</f>
        <v>0.46913580246913578</v>
      </c>
      <c r="K574">
        <f>'Revenue Model'!S95</f>
        <v>0.45977011494252873</v>
      </c>
      <c r="L574">
        <f>'Revenue Model'!T95</f>
        <v>0.46779303062302002</v>
      </c>
      <c r="M574">
        <f>'Revenue Model'!U95</f>
        <v>0.45283018867924529</v>
      </c>
      <c r="N574">
        <f>'Revenue Model'!V95</f>
        <v>0.44262295081967212</v>
      </c>
      <c r="O574">
        <f>'Revenue Model'!W95</f>
        <v>0.42657342657342656</v>
      </c>
      <c r="P574">
        <f>'Revenue Model'!X95</f>
        <v>0.42483660130718953</v>
      </c>
      <c r="Q574">
        <f>'Revenue Model'!Y95</f>
        <v>0.4270372710044219</v>
      </c>
      <c r="R574">
        <f>'Revenue Model'!Z95</f>
        <v>0.42771084337349397</v>
      </c>
      <c r="S574">
        <f>'Revenue Model'!AA95</f>
        <v>0.43103448275862066</v>
      </c>
      <c r="T574">
        <f>'Revenue Model'!AB95</f>
        <v>0.43258426966292135</v>
      </c>
      <c r="U574">
        <f>'Revenue Model'!AC95</f>
        <v>0.42780748663101603</v>
      </c>
      <c r="V574">
        <f>'Revenue Model'!AD95</f>
        <v>0.42770214521452149</v>
      </c>
      <c r="W574">
        <f>'Revenue Model'!AE95</f>
        <v>0.42881555481592243</v>
      </c>
      <c r="X574">
        <f>'Revenue Model'!AF95</f>
        <v>0.42753146399758468</v>
      </c>
      <c r="Y574">
        <f>'Revenue Model'!AG95</f>
        <v>0.42567251531007982</v>
      </c>
      <c r="Z574">
        <f>'Revenue Model'!AH95</f>
        <v>0</v>
      </c>
      <c r="AA574">
        <f>'Revenue Model'!AI95</f>
        <v>0.51161020175104677</v>
      </c>
      <c r="AB574">
        <f>'Revenue Model'!AJ95</f>
        <v>0.49295774647887325</v>
      </c>
      <c r="AC574">
        <f>'Revenue Model'!AK95</f>
        <v>0.45283018867924529</v>
      </c>
      <c r="AD574">
        <f>'Revenue Model'!AL95</f>
        <v>0.4270372710044219</v>
      </c>
      <c r="AE574">
        <f>'Revenue Model'!AM95</f>
        <v>0.42780748663101603</v>
      </c>
      <c r="AF574">
        <f>'Revenue Model'!AN95</f>
        <v>0.42567251531007982</v>
      </c>
      <c r="AG574">
        <f>'Revenue Model'!AO95</f>
        <v>0.42410264843798495</v>
      </c>
      <c r="AH574">
        <f>'Revenue Model'!AP95</f>
        <v>0.42388800060384035</v>
      </c>
      <c r="AI574">
        <f>'Revenue Model'!AQ95</f>
        <v>0.42350802068082649</v>
      </c>
      <c r="AJ574">
        <f>'Revenue Model'!AR95</f>
        <v>0.423213047274757</v>
      </c>
      <c r="AK574">
        <f>'Revenue Model'!AS95</f>
        <v>0.4229785960136474</v>
      </c>
      <c r="AL574">
        <f>'Revenue Model'!AT95</f>
        <v>0.42278872992275351</v>
      </c>
      <c r="AM574">
        <f>'Revenue Model'!AU95</f>
        <v>0.42261606828773324</v>
      </c>
    </row>
    <row r="575" spans="1:39">
      <c r="A575" t="str">
        <f>'Revenue Model'!I96</f>
        <v>Contrib to total DAU Growth</v>
      </c>
      <c r="B575">
        <f>'Revenue Model'!J96</f>
        <v>0</v>
      </c>
      <c r="C575">
        <f>'Revenue Model'!K96</f>
        <v>0</v>
      </c>
      <c r="D575">
        <f>'Revenue Model'!L96</f>
        <v>0</v>
      </c>
      <c r="E575">
        <f>'Revenue Model'!M96</f>
        <v>0</v>
      </c>
      <c r="F575">
        <f>'Revenue Model'!N96</f>
        <v>0</v>
      </c>
      <c r="G575">
        <f>'Revenue Model'!O96</f>
        <v>0</v>
      </c>
      <c r="H575">
        <f>'Revenue Model'!P96</f>
        <v>0</v>
      </c>
      <c r="I575">
        <f>'Revenue Model'!Q96</f>
        <v>0</v>
      </c>
      <c r="J575">
        <f>'Revenue Model'!R96</f>
        <v>0</v>
      </c>
      <c r="K575">
        <f>'Revenue Model'!S96</f>
        <v>0</v>
      </c>
      <c r="L575">
        <f>'Revenue Model'!T96</f>
        <v>0</v>
      </c>
      <c r="M575">
        <f>'Revenue Model'!U96</f>
        <v>0</v>
      </c>
      <c r="N575">
        <f>'Revenue Model'!V96</f>
        <v>0.3902439024390244</v>
      </c>
      <c r="O575">
        <f>'Revenue Model'!W96</f>
        <v>0.375</v>
      </c>
      <c r="P575">
        <f>'Revenue Model'!X96</f>
        <v>0.35506003430531741</v>
      </c>
      <c r="Q575">
        <f>'Revenue Model'!Y96</f>
        <v>0.37476099426386217</v>
      </c>
      <c r="R575">
        <f>'Revenue Model'!Z96</f>
        <v>0.38636363636363635</v>
      </c>
      <c r="S575">
        <f>'Revenue Model'!AA96</f>
        <v>0.45161290322580644</v>
      </c>
      <c r="T575">
        <f>'Revenue Model'!AB96</f>
        <v>0.48</v>
      </c>
      <c r="U575">
        <f>'Revenue Model'!AC96</f>
        <v>0.43205574912892025</v>
      </c>
      <c r="V575">
        <f>'Revenue Model'!AD96</f>
        <v>0.42765042979942702</v>
      </c>
      <c r="W575">
        <f>'Revenue Model'!AE96</f>
        <v>0.41467345518479187</v>
      </c>
      <c r="X575">
        <f>'Revenue Model'!AF96</f>
        <v>0.39738745004063797</v>
      </c>
      <c r="Y575">
        <f>'Revenue Model'!AG96</f>
        <v>0.41141359400663313</v>
      </c>
      <c r="Z575">
        <f>'Revenue Model'!AH96</f>
        <v>0</v>
      </c>
      <c r="AA575">
        <f>'Revenue Model'!AI96</f>
        <v>0</v>
      </c>
      <c r="AB575">
        <f>'Revenue Model'!AJ96</f>
        <v>0</v>
      </c>
      <c r="AC575">
        <f>'Revenue Model'!AK96</f>
        <v>0</v>
      </c>
      <c r="AD575">
        <f>'Revenue Model'!AL96</f>
        <v>0.37476099426386217</v>
      </c>
      <c r="AE575">
        <f>'Revenue Model'!AM96</f>
        <v>0.43205574912892025</v>
      </c>
      <c r="AF575">
        <f>'Revenue Model'!AN96</f>
        <v>0.41141359400663313</v>
      </c>
      <c r="AG575">
        <f>'Revenue Model'!AO96</f>
        <v>0.41141359400663274</v>
      </c>
      <c r="AH575">
        <f>'Revenue Model'!AP96</f>
        <v>0.42178403684845217</v>
      </c>
      <c r="AI575">
        <f>'Revenue Model'!AQ96</f>
        <v>0.41897778816100689</v>
      </c>
      <c r="AJ575">
        <f>'Revenue Model'!AR96</f>
        <v>0.41897778816100828</v>
      </c>
      <c r="AK575">
        <f>'Revenue Model'!AS96</f>
        <v>0.41897778816100539</v>
      </c>
      <c r="AL575">
        <f>'Revenue Model'!AT96</f>
        <v>0.41897778816100867</v>
      </c>
      <c r="AM575">
        <f>'Revenue Model'!AU96</f>
        <v>0.41897778816100578</v>
      </c>
    </row>
    <row r="576" spans="1:39">
      <c r="A576">
        <f>'Revenue Model'!I97</f>
        <v>0</v>
      </c>
      <c r="B576">
        <f>'Revenue Model'!J97</f>
        <v>0</v>
      </c>
      <c r="C576">
        <f>'Revenue Model'!K97</f>
        <v>0</v>
      </c>
      <c r="D576">
        <f>'Revenue Model'!L97</f>
        <v>0</v>
      </c>
      <c r="E576">
        <f>'Revenue Model'!M97</f>
        <v>0</v>
      </c>
      <c r="F576">
        <f>'Revenue Model'!N97</f>
        <v>0</v>
      </c>
      <c r="G576">
        <f>'Revenue Model'!O97</f>
        <v>0</v>
      </c>
      <c r="H576">
        <f>'Revenue Model'!P97</f>
        <v>0</v>
      </c>
      <c r="I576">
        <f>'Revenue Model'!Q97</f>
        <v>0</v>
      </c>
      <c r="J576">
        <f>'Revenue Model'!R97</f>
        <v>0</v>
      </c>
      <c r="K576">
        <f>'Revenue Model'!S97</f>
        <v>0</v>
      </c>
      <c r="L576">
        <f>'Revenue Model'!T97</f>
        <v>0</v>
      </c>
      <c r="M576">
        <f>'Revenue Model'!U97</f>
        <v>0</v>
      </c>
      <c r="N576">
        <f>'Revenue Model'!V97</f>
        <v>0</v>
      </c>
      <c r="O576">
        <f>'Revenue Model'!W97</f>
        <v>0</v>
      </c>
      <c r="P576">
        <f>'Revenue Model'!X97</f>
        <v>0</v>
      </c>
      <c r="Q576">
        <f>'Revenue Model'!Y97</f>
        <v>0</v>
      </c>
      <c r="R576">
        <f>'Revenue Model'!Z97</f>
        <v>0</v>
      </c>
      <c r="S576">
        <f>'Revenue Model'!AA97</f>
        <v>0</v>
      </c>
      <c r="T576">
        <f>'Revenue Model'!AB97</f>
        <v>0</v>
      </c>
      <c r="U576">
        <f>'Revenue Model'!AC97</f>
        <v>0</v>
      </c>
      <c r="V576">
        <f>'Revenue Model'!AD97</f>
        <v>0</v>
      </c>
      <c r="W576">
        <f>'Revenue Model'!AE97</f>
        <v>0</v>
      </c>
      <c r="X576">
        <f>'Revenue Model'!AF97</f>
        <v>0</v>
      </c>
      <c r="Y576">
        <f>'Revenue Model'!AG97</f>
        <v>0</v>
      </c>
      <c r="Z576">
        <f>'Revenue Model'!AH97</f>
        <v>0</v>
      </c>
      <c r="AA576">
        <f>'Revenue Model'!AI97</f>
        <v>0</v>
      </c>
      <c r="AB576">
        <f>'Revenue Model'!AJ97</f>
        <v>0</v>
      </c>
      <c r="AC576">
        <f>'Revenue Model'!AK97</f>
        <v>0</v>
      </c>
      <c r="AD576">
        <f>'Revenue Model'!AL97</f>
        <v>0</v>
      </c>
      <c r="AE576">
        <f>'Revenue Model'!AM97</f>
        <v>0</v>
      </c>
      <c r="AF576">
        <f>'Revenue Model'!AN97</f>
        <v>0</v>
      </c>
      <c r="AG576">
        <f>'Revenue Model'!AO97</f>
        <v>0</v>
      </c>
      <c r="AH576">
        <f>'Revenue Model'!AP97</f>
        <v>0</v>
      </c>
      <c r="AI576">
        <f>'Revenue Model'!AQ97</f>
        <v>0</v>
      </c>
      <c r="AJ576">
        <f>'Revenue Model'!AR97</f>
        <v>0</v>
      </c>
      <c r="AK576">
        <f>'Revenue Model'!AS97</f>
        <v>0</v>
      </c>
      <c r="AL576">
        <f>'Revenue Model'!AT97</f>
        <v>0</v>
      </c>
      <c r="AM576">
        <f>'Revenue Model'!AU97</f>
        <v>0</v>
      </c>
    </row>
    <row r="577" spans="1:39">
      <c r="A577" t="str">
        <f>'Revenue Model'!I98</f>
        <v xml:space="preserve">North America Revenue </v>
      </c>
      <c r="B577">
        <f>'Revenue Model'!J98</f>
        <v>0</v>
      </c>
      <c r="C577">
        <f>'Revenue Model'!K98</f>
        <v>0</v>
      </c>
      <c r="D577">
        <f>'Revenue Model'!L98</f>
        <v>0</v>
      </c>
      <c r="E577">
        <f>'Revenue Model'!M98</f>
        <v>0</v>
      </c>
      <c r="F577">
        <f>'Revenue Model'!N98</f>
        <v>0</v>
      </c>
      <c r="G577">
        <f>'Revenue Model'!O98</f>
        <v>0</v>
      </c>
      <c r="H577">
        <f>'Revenue Model'!P98</f>
        <v>0</v>
      </c>
      <c r="I577">
        <f>'Revenue Model'!Q98</f>
        <v>0</v>
      </c>
      <c r="J577">
        <f>'Revenue Model'!R98</f>
        <v>3.911</v>
      </c>
      <c r="K577">
        <f>'Revenue Model'!S98</f>
        <v>5.2160000000000002</v>
      </c>
      <c r="L577">
        <f>'Revenue Model'!T98</f>
        <v>15.859</v>
      </c>
      <c r="M577">
        <f>'Revenue Model'!U98</f>
        <v>31.364000000000001</v>
      </c>
      <c r="N577">
        <f>'Revenue Model'!V98</f>
        <v>35.898000000000003</v>
      </c>
      <c r="O577">
        <f>'Revenue Model'!W98</f>
        <v>65.218999999999994</v>
      </c>
      <c r="P577">
        <f>'Revenue Model'!X98</f>
        <v>114.755</v>
      </c>
      <c r="Q577">
        <f>'Revenue Model'!Y98</f>
        <v>145.35599999999999</v>
      </c>
      <c r="R577">
        <f>'Revenue Model'!Z98</f>
        <v>129</v>
      </c>
      <c r="S577">
        <f>'Revenue Model'!AA98</f>
        <v>148</v>
      </c>
      <c r="T577">
        <f>'Revenue Model'!AB98</f>
        <v>167</v>
      </c>
      <c r="U577">
        <f>'Revenue Model'!AC98</f>
        <v>219</v>
      </c>
      <c r="V577">
        <f>'Revenue Model'!AD98</f>
        <v>194</v>
      </c>
      <c r="W577">
        <f>'Revenue Model'!AE98</f>
        <v>222</v>
      </c>
      <c r="X577">
        <f>'Revenue Model'!AF98</f>
        <v>250</v>
      </c>
      <c r="Y577">
        <f>'Revenue Model'!AG98</f>
        <v>310</v>
      </c>
      <c r="Z577">
        <f>'Revenue Model'!AH98</f>
        <v>0</v>
      </c>
      <c r="AA577">
        <f>'Revenue Model'!AI98</f>
        <v>0</v>
      </c>
      <c r="AB577">
        <f>'Revenue Model'!AJ98</f>
        <v>0</v>
      </c>
      <c r="AC577">
        <f>'Revenue Model'!AK98</f>
        <v>56.35</v>
      </c>
      <c r="AD577">
        <f>'Revenue Model'!AL98</f>
        <v>361.22799999999995</v>
      </c>
      <c r="AE577">
        <f>'Revenue Model'!AM98</f>
        <v>663</v>
      </c>
      <c r="AF577">
        <f>'Revenue Model'!AN98</f>
        <v>976</v>
      </c>
      <c r="AG577">
        <f>'Revenue Model'!AO98</f>
        <v>1367.6512820512821</v>
      </c>
      <c r="AH577">
        <f>'Revenue Model'!AP98</f>
        <v>1834.1431071663383</v>
      </c>
      <c r="AI577">
        <f>'Revenue Model'!AQ98</f>
        <v>2365.9093989770608</v>
      </c>
      <c r="AJ577">
        <f>'Revenue Model'!AR98</f>
        <v>2948.9578173353229</v>
      </c>
      <c r="AK577">
        <f>'Revenue Model'!AS98</f>
        <v>3515.8098065610634</v>
      </c>
      <c r="AL577">
        <f>'Revenue Model'!AT98</f>
        <v>4042.9438812775593</v>
      </c>
      <c r="AM577">
        <f>'Revenue Model'!AU98</f>
        <v>4515.7553834380196</v>
      </c>
    </row>
    <row r="578" spans="1:39">
      <c r="A578" t="str">
        <f>'Revenue Model'!I99</f>
        <v>Y/Y % Growth</v>
      </c>
      <c r="B578">
        <f>'Revenue Model'!J99</f>
        <v>0</v>
      </c>
      <c r="C578">
        <f>'Revenue Model'!K99</f>
        <v>0</v>
      </c>
      <c r="D578">
        <f>'Revenue Model'!L99</f>
        <v>0</v>
      </c>
      <c r="E578">
        <f>'Revenue Model'!M99</f>
        <v>0</v>
      </c>
      <c r="F578">
        <f>'Revenue Model'!N99</f>
        <v>0</v>
      </c>
      <c r="G578">
        <f>'Revenue Model'!O99</f>
        <v>0</v>
      </c>
      <c r="H578">
        <f>'Revenue Model'!P99</f>
        <v>0</v>
      </c>
      <c r="I578">
        <f>'Revenue Model'!Q99</f>
        <v>0</v>
      </c>
      <c r="J578">
        <f>'Revenue Model'!R99</f>
        <v>0</v>
      </c>
      <c r="K578">
        <f>'Revenue Model'!S99</f>
        <v>0</v>
      </c>
      <c r="L578">
        <f>'Revenue Model'!T99</f>
        <v>0</v>
      </c>
      <c r="M578">
        <f>'Revenue Model'!U99</f>
        <v>0</v>
      </c>
      <c r="N578">
        <f>'Revenue Model'!V99</f>
        <v>8.1787266683712616</v>
      </c>
      <c r="O578">
        <f>'Revenue Model'!W99</f>
        <v>11.503642638036808</v>
      </c>
      <c r="P578">
        <f>'Revenue Model'!X99</f>
        <v>6.2359543476890087</v>
      </c>
      <c r="Q578">
        <f>'Revenue Model'!Y99</f>
        <v>3.6344853972707556</v>
      </c>
      <c r="R578">
        <f>'Revenue Model'!Z99</f>
        <v>2.5935149590506432</v>
      </c>
      <c r="S578">
        <f>'Revenue Model'!AA99</f>
        <v>1.2692773578251737</v>
      </c>
      <c r="T578">
        <f>'Revenue Model'!AB99</f>
        <v>0.45527427998780023</v>
      </c>
      <c r="U578">
        <f>'Revenue Model'!AC99</f>
        <v>0.50664575249731691</v>
      </c>
      <c r="V578">
        <f>'Revenue Model'!AD99</f>
        <v>0.50387596899224807</v>
      </c>
      <c r="W578">
        <f>'Revenue Model'!AE99</f>
        <v>0.5</v>
      </c>
      <c r="X578">
        <f>'Revenue Model'!AF99</f>
        <v>0.49700598802395213</v>
      </c>
      <c r="Y578">
        <f>'Revenue Model'!AG99</f>
        <v>0.41552511415525117</v>
      </c>
      <c r="Z578">
        <f>'Revenue Model'!AH99</f>
        <v>0</v>
      </c>
      <c r="AA578">
        <f>'Revenue Model'!AI99</f>
        <v>0</v>
      </c>
      <c r="AB578">
        <f>'Revenue Model'!AJ99</f>
        <v>0</v>
      </c>
      <c r="AC578">
        <f>'Revenue Model'!AK99</f>
        <v>0</v>
      </c>
      <c r="AD578">
        <f>'Revenue Model'!AL99</f>
        <v>5.4104347826086947</v>
      </c>
      <c r="AE578">
        <f>'Revenue Model'!AM99</f>
        <v>0.83540589323086833</v>
      </c>
      <c r="AF578">
        <f>'Revenue Model'!AN99</f>
        <v>0.47209653092006043</v>
      </c>
      <c r="AG578">
        <f>'Revenue Model'!AO99</f>
        <v>0.40128205128205136</v>
      </c>
      <c r="AH578">
        <f>'Revenue Model'!AP99</f>
        <v>0.34108974358974364</v>
      </c>
      <c r="AI578">
        <f>'Revenue Model'!AQ99</f>
        <v>0.28992628205128207</v>
      </c>
      <c r="AJ578">
        <f>'Revenue Model'!AR99</f>
        <v>0.24643733974358975</v>
      </c>
      <c r="AK578">
        <f>'Revenue Model'!AS99</f>
        <v>0.19222112500000002</v>
      </c>
      <c r="AL578">
        <f>'Revenue Model'!AT99</f>
        <v>0.14993247750000002</v>
      </c>
      <c r="AM578">
        <f>'Revenue Model'!AU99</f>
        <v>0.11694733245000002</v>
      </c>
    </row>
    <row r="579" spans="1:39">
      <c r="A579" t="str">
        <f>'Revenue Model'!I100</f>
        <v>Y/Y Abs Growth</v>
      </c>
      <c r="B579">
        <f>'Revenue Model'!J100</f>
        <v>0</v>
      </c>
      <c r="C579">
        <f>'Revenue Model'!K100</f>
        <v>0</v>
      </c>
      <c r="D579">
        <f>'Revenue Model'!L100</f>
        <v>0</v>
      </c>
      <c r="E579">
        <f>'Revenue Model'!M100</f>
        <v>0</v>
      </c>
      <c r="F579">
        <f>'Revenue Model'!N100</f>
        <v>0</v>
      </c>
      <c r="G579">
        <f>'Revenue Model'!O100</f>
        <v>0</v>
      </c>
      <c r="H579">
        <f>'Revenue Model'!P100</f>
        <v>0</v>
      </c>
      <c r="I579">
        <f>'Revenue Model'!Q100</f>
        <v>0</v>
      </c>
      <c r="J579">
        <f>'Revenue Model'!R100</f>
        <v>0</v>
      </c>
      <c r="K579">
        <f>'Revenue Model'!S100</f>
        <v>0</v>
      </c>
      <c r="L579">
        <f>'Revenue Model'!T100</f>
        <v>0</v>
      </c>
      <c r="M579">
        <f>'Revenue Model'!U100</f>
        <v>0</v>
      </c>
      <c r="N579">
        <f>'Revenue Model'!V100</f>
        <v>31.987000000000002</v>
      </c>
      <c r="O579">
        <f>'Revenue Model'!W100</f>
        <v>60.002999999999993</v>
      </c>
      <c r="P579">
        <f>'Revenue Model'!X100</f>
        <v>98.896000000000001</v>
      </c>
      <c r="Q579">
        <f>'Revenue Model'!Y100</f>
        <v>113.99199999999999</v>
      </c>
      <c r="R579">
        <f>'Revenue Model'!Z100</f>
        <v>93.102000000000004</v>
      </c>
      <c r="S579">
        <f>'Revenue Model'!AA100</f>
        <v>82.781000000000006</v>
      </c>
      <c r="T579">
        <f>'Revenue Model'!AB100</f>
        <v>52.245000000000005</v>
      </c>
      <c r="U579">
        <f>'Revenue Model'!AC100</f>
        <v>73.644000000000005</v>
      </c>
      <c r="V579">
        <f>'Revenue Model'!AD100</f>
        <v>65</v>
      </c>
      <c r="W579">
        <f>'Revenue Model'!AE100</f>
        <v>74</v>
      </c>
      <c r="X579">
        <f>'Revenue Model'!AF100</f>
        <v>83</v>
      </c>
      <c r="Y579">
        <f>'Revenue Model'!AG100</f>
        <v>91</v>
      </c>
      <c r="Z579">
        <f>'Revenue Model'!AH100</f>
        <v>0</v>
      </c>
      <c r="AA579">
        <f>'Revenue Model'!AI100</f>
        <v>0</v>
      </c>
      <c r="AB579">
        <f>'Revenue Model'!AJ100</f>
        <v>0</v>
      </c>
      <c r="AC579">
        <f>'Revenue Model'!AK100</f>
        <v>56.35</v>
      </c>
      <c r="AD579">
        <f>'Revenue Model'!AL100</f>
        <v>304.87799999999993</v>
      </c>
      <c r="AE579">
        <f>'Revenue Model'!AM100</f>
        <v>301.77200000000005</v>
      </c>
      <c r="AF579">
        <f>'Revenue Model'!AN100</f>
        <v>313</v>
      </c>
      <c r="AG579">
        <f>'Revenue Model'!AO100</f>
        <v>391.65128205128212</v>
      </c>
      <c r="AH579">
        <f>'Revenue Model'!AP100</f>
        <v>466.49182511505614</v>
      </c>
      <c r="AI579">
        <f>'Revenue Model'!AQ100</f>
        <v>531.76629181072258</v>
      </c>
      <c r="AJ579">
        <f>'Revenue Model'!AR100</f>
        <v>583.0484183582621</v>
      </c>
      <c r="AK579">
        <f>'Revenue Model'!AS100</f>
        <v>566.85198922574045</v>
      </c>
      <c r="AL579">
        <f>'Revenue Model'!AT100</f>
        <v>527.13407471649589</v>
      </c>
      <c r="AM579">
        <f>'Revenue Model'!AU100</f>
        <v>472.81150216046035</v>
      </c>
    </row>
    <row r="580" spans="1:39">
      <c r="A580" t="str">
        <f>'Revenue Model'!I101</f>
        <v>Q/Q % Growth</v>
      </c>
      <c r="B580">
        <f>'Revenue Model'!J101</f>
        <v>0</v>
      </c>
      <c r="C580">
        <f>'Revenue Model'!K101</f>
        <v>0</v>
      </c>
      <c r="D580">
        <f>'Revenue Model'!L101</f>
        <v>0</v>
      </c>
      <c r="E580">
        <f>'Revenue Model'!M101</f>
        <v>0</v>
      </c>
      <c r="F580">
        <f>'Revenue Model'!N101</f>
        <v>0</v>
      </c>
      <c r="G580">
        <f>'Revenue Model'!O101</f>
        <v>0</v>
      </c>
      <c r="H580">
        <f>'Revenue Model'!P101</f>
        <v>0</v>
      </c>
      <c r="I580">
        <f>'Revenue Model'!Q101</f>
        <v>0</v>
      </c>
      <c r="J580">
        <f>'Revenue Model'!R101</f>
        <v>0</v>
      </c>
      <c r="K580">
        <f>'Revenue Model'!S101</f>
        <v>0.33367425210943491</v>
      </c>
      <c r="L580">
        <f>'Revenue Model'!T101</f>
        <v>2.0404524539877298</v>
      </c>
      <c r="M580">
        <f>'Revenue Model'!U101</f>
        <v>0.97767828993000827</v>
      </c>
      <c r="N580">
        <f>'Revenue Model'!V101</f>
        <v>0.14456064277515623</v>
      </c>
      <c r="O580">
        <f>'Revenue Model'!W101</f>
        <v>0.81678645049863463</v>
      </c>
      <c r="P580">
        <f>'Revenue Model'!X101</f>
        <v>0.75953326484613393</v>
      </c>
      <c r="Q580">
        <f>'Revenue Model'!Y101</f>
        <v>0.2666637619275849</v>
      </c>
      <c r="R580">
        <f>'Revenue Model'!Z101</f>
        <v>-0.1125237348303475</v>
      </c>
      <c r="S580">
        <f>'Revenue Model'!AA101</f>
        <v>0.1472868217054264</v>
      </c>
      <c r="T580">
        <f>'Revenue Model'!AB101</f>
        <v>0.12837837837837829</v>
      </c>
      <c r="U580">
        <f>'Revenue Model'!AC101</f>
        <v>0.31137724550898205</v>
      </c>
      <c r="V580">
        <f>'Revenue Model'!AD101</f>
        <v>-0.11415525114155256</v>
      </c>
      <c r="W580">
        <f>'Revenue Model'!AE101</f>
        <v>0.14432989690721643</v>
      </c>
      <c r="X580">
        <f>'Revenue Model'!AF101</f>
        <v>0.12612612612612617</v>
      </c>
      <c r="Y580">
        <f>'Revenue Model'!AG101</f>
        <v>0.24</v>
      </c>
      <c r="Z580">
        <f>'Revenue Model'!AH101</f>
        <v>0</v>
      </c>
      <c r="AA580">
        <f>'Revenue Model'!AI101</f>
        <v>0</v>
      </c>
      <c r="AB580">
        <f>'Revenue Model'!AJ101</f>
        <v>0</v>
      </c>
      <c r="AC580">
        <f>'Revenue Model'!AK101</f>
        <v>0</v>
      </c>
      <c r="AD580">
        <f>'Revenue Model'!AL101</f>
        <v>0</v>
      </c>
      <c r="AE580">
        <f>'Revenue Model'!AM101</f>
        <v>0</v>
      </c>
      <c r="AF580">
        <f>'Revenue Model'!AN101</f>
        <v>0</v>
      </c>
      <c r="AG580">
        <f>'Revenue Model'!AO101</f>
        <v>0</v>
      </c>
      <c r="AH580">
        <f>'Revenue Model'!AP101</f>
        <v>0</v>
      </c>
      <c r="AI580">
        <f>'Revenue Model'!AQ101</f>
        <v>0</v>
      </c>
      <c r="AJ580">
        <f>'Revenue Model'!AR101</f>
        <v>0</v>
      </c>
      <c r="AK580">
        <f>'Revenue Model'!AS101</f>
        <v>0</v>
      </c>
      <c r="AL580">
        <f>'Revenue Model'!AT101</f>
        <v>0</v>
      </c>
      <c r="AM580">
        <f>'Revenue Model'!AU101</f>
        <v>0</v>
      </c>
    </row>
    <row r="581" spans="1:39">
      <c r="A581" t="str">
        <f>'Revenue Model'!I102</f>
        <v>Q/Q Abs Growth</v>
      </c>
      <c r="B581">
        <f>'Revenue Model'!J102</f>
        <v>0</v>
      </c>
      <c r="C581">
        <f>'Revenue Model'!K102</f>
        <v>0</v>
      </c>
      <c r="D581">
        <f>'Revenue Model'!L102</f>
        <v>0</v>
      </c>
      <c r="E581">
        <f>'Revenue Model'!M102</f>
        <v>0</v>
      </c>
      <c r="F581">
        <f>'Revenue Model'!N102</f>
        <v>0</v>
      </c>
      <c r="G581">
        <f>'Revenue Model'!O102</f>
        <v>0</v>
      </c>
      <c r="H581">
        <f>'Revenue Model'!P102</f>
        <v>0</v>
      </c>
      <c r="I581">
        <f>'Revenue Model'!Q102</f>
        <v>0</v>
      </c>
      <c r="J581">
        <f>'Revenue Model'!R102</f>
        <v>0</v>
      </c>
      <c r="K581">
        <f>'Revenue Model'!S102</f>
        <v>1.3050000000000002</v>
      </c>
      <c r="L581">
        <f>'Revenue Model'!T102</f>
        <v>10.643000000000001</v>
      </c>
      <c r="M581">
        <f>'Revenue Model'!U102</f>
        <v>15.505000000000001</v>
      </c>
      <c r="N581">
        <f>'Revenue Model'!V102</f>
        <v>4.5340000000000025</v>
      </c>
      <c r="O581">
        <f>'Revenue Model'!W102</f>
        <v>29.320999999999991</v>
      </c>
      <c r="P581">
        <f>'Revenue Model'!X102</f>
        <v>49.536000000000001</v>
      </c>
      <c r="Q581">
        <f>'Revenue Model'!Y102</f>
        <v>30.600999999999999</v>
      </c>
      <c r="R581">
        <f>'Revenue Model'!Z102</f>
        <v>-16.355999999999995</v>
      </c>
      <c r="S581">
        <f>'Revenue Model'!AA102</f>
        <v>19</v>
      </c>
      <c r="T581">
        <f>'Revenue Model'!AB102</f>
        <v>19</v>
      </c>
      <c r="U581">
        <f>'Revenue Model'!AC102</f>
        <v>52</v>
      </c>
      <c r="V581">
        <f>'Revenue Model'!AD102</f>
        <v>-25</v>
      </c>
      <c r="W581">
        <f>'Revenue Model'!AE102</f>
        <v>28</v>
      </c>
      <c r="X581">
        <f>'Revenue Model'!AF102</f>
        <v>28</v>
      </c>
      <c r="Y581">
        <f>'Revenue Model'!AG102</f>
        <v>60</v>
      </c>
      <c r="Z581">
        <f>'Revenue Model'!AH102</f>
        <v>0</v>
      </c>
      <c r="AA581">
        <f>'Revenue Model'!AI102</f>
        <v>0</v>
      </c>
      <c r="AB581">
        <f>'Revenue Model'!AJ102</f>
        <v>0</v>
      </c>
      <c r="AC581">
        <f>'Revenue Model'!AK102</f>
        <v>0</v>
      </c>
      <c r="AD581">
        <f>'Revenue Model'!AL102</f>
        <v>0</v>
      </c>
      <c r="AE581">
        <f>'Revenue Model'!AM102</f>
        <v>0</v>
      </c>
      <c r="AF581">
        <f>'Revenue Model'!AN102</f>
        <v>0</v>
      </c>
      <c r="AG581">
        <f>'Revenue Model'!AO102</f>
        <v>0</v>
      </c>
      <c r="AH581">
        <f>'Revenue Model'!AP102</f>
        <v>0</v>
      </c>
      <c r="AI581">
        <f>'Revenue Model'!AQ102</f>
        <v>0</v>
      </c>
      <c r="AJ581">
        <f>'Revenue Model'!AR102</f>
        <v>0</v>
      </c>
      <c r="AK581">
        <f>'Revenue Model'!AS102</f>
        <v>0</v>
      </c>
      <c r="AL581">
        <f>'Revenue Model'!AT102</f>
        <v>0</v>
      </c>
      <c r="AM581">
        <f>'Revenue Model'!AU102</f>
        <v>0</v>
      </c>
    </row>
    <row r="582" spans="1:39">
      <c r="A582" t="str">
        <f>'Revenue Model'!I103</f>
        <v>% of Total Revenue</v>
      </c>
      <c r="B582">
        <f>'Revenue Model'!J103</f>
        <v>0</v>
      </c>
      <c r="C582">
        <f>'Revenue Model'!K103</f>
        <v>0</v>
      </c>
      <c r="D582">
        <f>'Revenue Model'!L103</f>
        <v>0</v>
      </c>
      <c r="E582">
        <f>'Revenue Model'!M103</f>
        <v>0</v>
      </c>
      <c r="F582">
        <f>'Revenue Model'!N103</f>
        <v>0</v>
      </c>
      <c r="G582">
        <f>'Revenue Model'!O103</f>
        <v>0</v>
      </c>
      <c r="H582">
        <f>'Revenue Model'!P103</f>
        <v>0</v>
      </c>
      <c r="I582">
        <f>'Revenue Model'!Q103</f>
        <v>0</v>
      </c>
      <c r="J582">
        <f>'Revenue Model'!R103</f>
        <v>0.99770408163265312</v>
      </c>
      <c r="K582">
        <f>'Revenue Model'!S103</f>
        <v>0.98415094339622644</v>
      </c>
      <c r="L582">
        <f>'Revenue Model'!T103</f>
        <v>0.94822122571001488</v>
      </c>
      <c r="M582">
        <f>'Revenue Model'!U103</f>
        <v>0.95861605232593672</v>
      </c>
      <c r="N582">
        <f>'Revenue Model'!V103</f>
        <v>0.92525387906593126</v>
      </c>
      <c r="O582">
        <f>'Revenue Model'!W103</f>
        <v>0.90836792111200859</v>
      </c>
      <c r="P582">
        <f>'Revenue Model'!X103</f>
        <v>0.89509687685251627</v>
      </c>
      <c r="Q582">
        <f>'Revenue Model'!Y103</f>
        <v>0.8773192018444973</v>
      </c>
      <c r="R582">
        <f>'Revenue Model'!Z103</f>
        <v>0.86202288035924302</v>
      </c>
      <c r="S582">
        <f>'Revenue Model'!AA103</f>
        <v>0.81465946683840573</v>
      </c>
      <c r="T582">
        <f>'Revenue Model'!AB103</f>
        <v>0.8031278704607645</v>
      </c>
      <c r="U582">
        <f>'Revenue Model'!AC103</f>
        <v>0.76655710850458358</v>
      </c>
      <c r="V582">
        <f>'Revenue Model'!AD103</f>
        <v>0.77911646586345384</v>
      </c>
      <c r="W582">
        <f>'Revenue Model'!AE103</f>
        <v>0.75254237288135595</v>
      </c>
      <c r="X582">
        <f>'Revenue Model'!AF103</f>
        <v>0.73313782991202348</v>
      </c>
      <c r="Y582">
        <f>'Revenue Model'!AG103</f>
        <v>0.72429906542056077</v>
      </c>
      <c r="Z582">
        <f>'Revenue Model'!AH103</f>
        <v>0</v>
      </c>
      <c r="AA582">
        <f>'Revenue Model'!AI103</f>
        <v>0</v>
      </c>
      <c r="AB582">
        <f>'Revenue Model'!AJ103</f>
        <v>0</v>
      </c>
      <c r="AC582">
        <f>'Revenue Model'!AK103</f>
        <v>0.96057139934882285</v>
      </c>
      <c r="AD582">
        <f>'Revenue Model'!AL103</f>
        <v>0.89306322654654591</v>
      </c>
      <c r="AE582">
        <f>'Revenue Model'!AM103</f>
        <v>0.80368604604648297</v>
      </c>
      <c r="AF582">
        <f>'Revenue Model'!AN103</f>
        <v>0.7433358720487433</v>
      </c>
      <c r="AG582">
        <f>'Revenue Model'!AO103</f>
        <v>0.69446315275785286</v>
      </c>
      <c r="AH582">
        <f>'Revenue Model'!AP103</f>
        <v>0.65391177928888644</v>
      </c>
      <c r="AI582">
        <f>'Revenue Model'!AQ103</f>
        <v>0.62049693481922075</v>
      </c>
      <c r="AJ582">
        <f>'Revenue Model'!AR103</f>
        <v>0.59407367712096881</v>
      </c>
      <c r="AK582">
        <f>'Revenue Model'!AS103</f>
        <v>0.57041796784109589</v>
      </c>
      <c r="AL582">
        <f>'Revenue Model'!AT103</f>
        <v>0.54962092169462218</v>
      </c>
      <c r="AM582">
        <f>'Revenue Model'!AU103</f>
        <v>0.52842870417253462</v>
      </c>
    </row>
    <row r="583" spans="1:39">
      <c r="A583" t="str">
        <f>'Revenue Model'!I104</f>
        <v>Contrib to Total Snap Revenue Growth</v>
      </c>
      <c r="B583">
        <f>'Revenue Model'!J104</f>
        <v>0</v>
      </c>
      <c r="C583">
        <f>'Revenue Model'!K104</f>
        <v>0</v>
      </c>
      <c r="D583">
        <f>'Revenue Model'!L104</f>
        <v>0</v>
      </c>
      <c r="E583">
        <f>'Revenue Model'!M104</f>
        <v>0</v>
      </c>
      <c r="F583">
        <f>'Revenue Model'!N104</f>
        <v>0</v>
      </c>
      <c r="G583">
        <f>'Revenue Model'!O104</f>
        <v>0</v>
      </c>
      <c r="H583">
        <f>'Revenue Model'!P104</f>
        <v>0</v>
      </c>
      <c r="I583">
        <f>'Revenue Model'!Q104</f>
        <v>0</v>
      </c>
      <c r="J583">
        <f>'Revenue Model'!R104</f>
        <v>0</v>
      </c>
      <c r="K583">
        <f>'Revenue Model'!S104</f>
        <v>0</v>
      </c>
      <c r="L583">
        <f>'Revenue Model'!T104</f>
        <v>0</v>
      </c>
      <c r="M583">
        <f>'Revenue Model'!U104</f>
        <v>0</v>
      </c>
      <c r="N583">
        <f>'Revenue Model'!V104</f>
        <v>0.9171110728826195</v>
      </c>
      <c r="O583">
        <f>'Revenue Model'!W104</f>
        <v>0.90232788956058807</v>
      </c>
      <c r="P583">
        <f>'Revenue Model'!X104</f>
        <v>0.88712672341876042</v>
      </c>
      <c r="Q583">
        <f>'Revenue Model'!Y104</f>
        <v>0.85731476189043643</v>
      </c>
      <c r="R583">
        <f>'Revenue Model'!Z104</f>
        <v>0.83989174560216517</v>
      </c>
      <c r="S583">
        <f>'Revenue Model'!AA104</f>
        <v>0.75342440818035383</v>
      </c>
      <c r="T583">
        <f>'Revenue Model'!AB104</f>
        <v>0.65524939485532974</v>
      </c>
      <c r="U583">
        <f>'Revenue Model'!AC104</f>
        <v>0.61364374932297883</v>
      </c>
      <c r="V583">
        <f>'Revenue Model'!AD104</f>
        <v>0.65423947177711572</v>
      </c>
      <c r="W583">
        <f>'Revenue Model'!AE104</f>
        <v>0.65296614282310794</v>
      </c>
      <c r="X583">
        <f>'Revenue Model'!AF104</f>
        <v>0.62376468289456877</v>
      </c>
      <c r="Y583">
        <f>'Revenue Model'!AG104</f>
        <v>0.63946257035845033</v>
      </c>
      <c r="Z583">
        <f>'Revenue Model'!AH104</f>
        <v>0</v>
      </c>
      <c r="AA583">
        <f>'Revenue Model'!AI104</f>
        <v>0</v>
      </c>
      <c r="AB583">
        <f>'Revenue Model'!AJ104</f>
        <v>0</v>
      </c>
      <c r="AC583">
        <f>'Revenue Model'!AK104</f>
        <v>0.96057139934882285</v>
      </c>
      <c r="AD583">
        <f>'Revenue Model'!AL104</f>
        <v>0.88161147883719504</v>
      </c>
      <c r="AE583">
        <f>'Revenue Model'!AM104</f>
        <v>0.71770674036250182</v>
      </c>
      <c r="AF583">
        <f>'Revenue Model'!AN104</f>
        <v>0.64132641875541685</v>
      </c>
      <c r="AG583">
        <f>'Revenue Model'!AO104</f>
        <v>0.5966975790133271</v>
      </c>
      <c r="AH583">
        <f>'Revenue Model'!AP104</f>
        <v>0.55832933231113469</v>
      </c>
      <c r="AI583">
        <f>'Revenue Model'!AQ104</f>
        <v>0.52752065481438137</v>
      </c>
      <c r="AJ583">
        <f>'Revenue Model'!AR104</f>
        <v>0.50654364651834904</v>
      </c>
      <c r="AK583">
        <f>'Revenue Model'!AS104</f>
        <v>0.4725310038669201</v>
      </c>
      <c r="AL583">
        <f>'Revenue Model'!AT104</f>
        <v>0.44211189288177716</v>
      </c>
      <c r="AM583">
        <f>'Revenue Model'!AU104</f>
        <v>0.39740357500131995</v>
      </c>
    </row>
    <row r="584" spans="1:39">
      <c r="A584">
        <f>'Revenue Model'!I105</f>
        <v>0</v>
      </c>
      <c r="B584">
        <f>'Revenue Model'!J105</f>
        <v>0</v>
      </c>
      <c r="C584">
        <f>'Revenue Model'!K105</f>
        <v>0</v>
      </c>
      <c r="D584">
        <f>'Revenue Model'!L105</f>
        <v>0</v>
      </c>
      <c r="E584">
        <f>'Revenue Model'!M105</f>
        <v>0</v>
      </c>
      <c r="F584">
        <f>'Revenue Model'!N105</f>
        <v>0</v>
      </c>
      <c r="G584">
        <f>'Revenue Model'!O105</f>
        <v>0</v>
      </c>
      <c r="H584">
        <f>'Revenue Model'!P105</f>
        <v>0</v>
      </c>
      <c r="I584">
        <f>'Revenue Model'!Q105</f>
        <v>0</v>
      </c>
      <c r="J584">
        <f>'Revenue Model'!R105</f>
        <v>0</v>
      </c>
      <c r="K584">
        <f>'Revenue Model'!S105</f>
        <v>0</v>
      </c>
      <c r="L584">
        <f>'Revenue Model'!T105</f>
        <v>0</v>
      </c>
      <c r="M584">
        <f>'Revenue Model'!U105</f>
        <v>0</v>
      </c>
      <c r="N584">
        <f>'Revenue Model'!V105</f>
        <v>0</v>
      </c>
      <c r="O584">
        <f>'Revenue Model'!W105</f>
        <v>0</v>
      </c>
      <c r="P584">
        <f>'Revenue Model'!X105</f>
        <v>0</v>
      </c>
      <c r="Q584">
        <f>'Revenue Model'!Y105</f>
        <v>0</v>
      </c>
      <c r="R584">
        <f>'Revenue Model'!Z105</f>
        <v>0</v>
      </c>
      <c r="S584">
        <f>'Revenue Model'!AA105</f>
        <v>0</v>
      </c>
      <c r="T584">
        <f>'Revenue Model'!AB105</f>
        <v>0</v>
      </c>
      <c r="U584">
        <f>'Revenue Model'!AC105</f>
        <v>0</v>
      </c>
      <c r="V584">
        <f>'Revenue Model'!AD105</f>
        <v>0</v>
      </c>
      <c r="W584">
        <f>'Revenue Model'!AE105</f>
        <v>0</v>
      </c>
      <c r="X584">
        <f>'Revenue Model'!AF105</f>
        <v>0</v>
      </c>
      <c r="Y584">
        <f>'Revenue Model'!AG105</f>
        <v>0</v>
      </c>
      <c r="Z584">
        <f>'Revenue Model'!AH105</f>
        <v>0</v>
      </c>
      <c r="AA584">
        <f>'Revenue Model'!AI105</f>
        <v>0</v>
      </c>
      <c r="AB584">
        <f>'Revenue Model'!AJ105</f>
        <v>0</v>
      </c>
      <c r="AC584">
        <f>'Revenue Model'!AK105</f>
        <v>0</v>
      </c>
      <c r="AD584">
        <f>'Revenue Model'!AL105</f>
        <v>0</v>
      </c>
      <c r="AE584">
        <f>'Revenue Model'!AM105</f>
        <v>0</v>
      </c>
      <c r="AF584">
        <f>'Revenue Model'!AN105</f>
        <v>0</v>
      </c>
      <c r="AG584">
        <f>'Revenue Model'!AO105</f>
        <v>0</v>
      </c>
      <c r="AH584">
        <f>'Revenue Model'!AP105</f>
        <v>0</v>
      </c>
      <c r="AI584">
        <f>'Revenue Model'!AQ105</f>
        <v>0</v>
      </c>
      <c r="AJ584">
        <f>'Revenue Model'!AR105</f>
        <v>0</v>
      </c>
      <c r="AK584">
        <f>'Revenue Model'!AS105</f>
        <v>0</v>
      </c>
      <c r="AL584">
        <f>'Revenue Model'!AT105</f>
        <v>0</v>
      </c>
      <c r="AM584">
        <f>'Revenue Model'!AU105</f>
        <v>0</v>
      </c>
    </row>
    <row r="586" spans="1:39">
      <c r="A586" t="str">
        <f>'Revenue Model'!I106</f>
        <v>North America ARPU</v>
      </c>
      <c r="B586">
        <f>'Revenue Model'!J106</f>
        <v>0</v>
      </c>
      <c r="C586">
        <f>'Revenue Model'!K106</f>
        <v>0</v>
      </c>
      <c r="D586">
        <f>'Revenue Model'!L106</f>
        <v>0</v>
      </c>
      <c r="E586">
        <f>'Revenue Model'!M106</f>
        <v>0</v>
      </c>
      <c r="F586">
        <f>'Revenue Model'!N106</f>
        <v>0</v>
      </c>
      <c r="G586">
        <f>'Revenue Model'!O106</f>
        <v>0</v>
      </c>
      <c r="H586">
        <f>'Revenue Model'!P106</f>
        <v>0</v>
      </c>
      <c r="I586">
        <f>'Revenue Model'!Q106</f>
        <v>0</v>
      </c>
      <c r="J586">
        <f>'Revenue Model'!R106</f>
        <v>0.10292105263157895</v>
      </c>
      <c r="K586">
        <f>'Revenue Model'!S106</f>
        <v>0.13040000000000002</v>
      </c>
      <c r="L586">
        <f>'Revenue Model'!T106</f>
        <v>0.35799097065462754</v>
      </c>
      <c r="M586">
        <f>'Revenue Model'!U106</f>
        <v>0.65341666666666665</v>
      </c>
      <c r="N586">
        <f>'Revenue Model'!V106</f>
        <v>0.6647777777777778</v>
      </c>
      <c r="O586">
        <f>'Revenue Model'!W106</f>
        <v>1.0691639344262294</v>
      </c>
      <c r="P586">
        <f>'Revenue Model'!X106</f>
        <v>1.7654615384615384</v>
      </c>
      <c r="Q586">
        <f>'Revenue Model'!Y106</f>
        <v>2.1502366863905324</v>
      </c>
      <c r="R586">
        <f>'Revenue Model'!Z106</f>
        <v>1.8169014084507042</v>
      </c>
      <c r="S586">
        <f>'Revenue Model'!AA106</f>
        <v>1.9733333333333334</v>
      </c>
      <c r="T586">
        <f>'Revenue Model'!AB106</f>
        <v>2.168831168831169</v>
      </c>
      <c r="U586">
        <f>'Revenue Model'!AC106</f>
        <v>2.7374999999999998</v>
      </c>
      <c r="V586">
        <f>'Revenue Model'!AD106</f>
        <v>2.339040270074753</v>
      </c>
      <c r="W586">
        <f>'Revenue Model'!AE106</f>
        <v>2.5717959708529792</v>
      </c>
      <c r="X586">
        <f>'Revenue Model'!AF106</f>
        <v>2.8135172623351634</v>
      </c>
      <c r="Y586">
        <f>'Revenue Model'!AG106</f>
        <v>3.3872641327108237</v>
      </c>
      <c r="Z586">
        <f>'Revenue Model'!AH106</f>
        <v>0</v>
      </c>
      <c r="AA586">
        <f>'Revenue Model'!AI106</f>
        <v>0</v>
      </c>
      <c r="AB586">
        <f>'Revenue Model'!AJ106</f>
        <v>0</v>
      </c>
      <c r="AC586">
        <f>'Revenue Model'!AK106</f>
        <v>1.3578313253012049</v>
      </c>
      <c r="AD586">
        <f>'Revenue Model'!AL106</f>
        <v>6.2496193771626292</v>
      </c>
      <c r="AE586">
        <f>'Revenue Model'!AM106</f>
        <v>8.9837398373983746</v>
      </c>
      <c r="AF586">
        <f>'Revenue Model'!AN106</f>
        <v>11.380644290514558</v>
      </c>
      <c r="AG586">
        <f>'Revenue Model'!AO106</f>
        <v>14.100813480750471</v>
      </c>
      <c r="AH586">
        <f>'Revenue Model'!AP106</f>
        <v>17.036330738167486</v>
      </c>
      <c r="AI586">
        <f>'Revenue Model'!AQ106</f>
        <v>20.129054080413948</v>
      </c>
      <c r="AJ586">
        <f>'Revenue Model'!AR106</f>
        <v>23.325610174099939</v>
      </c>
      <c r="AK586">
        <f>'Revenue Model'!AS106</f>
        <v>26.154318310179761</v>
      </c>
      <c r="AL586">
        <f>'Revenue Model'!AT106</f>
        <v>28.546732064613821</v>
      </c>
      <c r="AM586">
        <f>'Revenue Model'!AU106</f>
        <v>30.42011275063853</v>
      </c>
    </row>
    <row r="587" spans="1:39">
      <c r="A587" t="str">
        <f>'Revenue Model'!I107</f>
        <v>Y/Y % Growth</v>
      </c>
      <c r="B587">
        <f>'Revenue Model'!J107</f>
        <v>0</v>
      </c>
      <c r="C587">
        <f>'Revenue Model'!K107</f>
        <v>0</v>
      </c>
      <c r="D587">
        <f>'Revenue Model'!L107</f>
        <v>0</v>
      </c>
      <c r="E587">
        <f>'Revenue Model'!M107</f>
        <v>0</v>
      </c>
      <c r="F587">
        <f>'Revenue Model'!N107</f>
        <v>0</v>
      </c>
      <c r="G587">
        <f>'Revenue Model'!O107</f>
        <v>0</v>
      </c>
      <c r="H587">
        <f>'Revenue Model'!P107</f>
        <v>0</v>
      </c>
      <c r="I587">
        <f>'Revenue Model'!Q107</f>
        <v>0</v>
      </c>
      <c r="J587">
        <f>'Revenue Model'!R107</f>
        <v>0</v>
      </c>
      <c r="K587">
        <f>'Revenue Model'!S107</f>
        <v>0</v>
      </c>
      <c r="L587">
        <f>'Revenue Model'!T107</f>
        <v>0</v>
      </c>
      <c r="M587">
        <f>'Revenue Model'!U107</f>
        <v>0</v>
      </c>
      <c r="N587">
        <f>'Revenue Model'!V107</f>
        <v>5.4591039518168127</v>
      </c>
      <c r="O587">
        <f>'Revenue Model'!W107</f>
        <v>7.1991099265815119</v>
      </c>
      <c r="P587">
        <f>'Revenue Model'!X107</f>
        <v>3.9315811938865091</v>
      </c>
      <c r="Q587">
        <f>'Revenue Model'!Y107</f>
        <v>2.2907588619674009</v>
      </c>
      <c r="R587">
        <f>'Revenue Model'!Z107</f>
        <v>1.7330958843483768</v>
      </c>
      <c r="S587">
        <f>'Revenue Model'!AA107</f>
        <v>0.84567891769780812</v>
      </c>
      <c r="T587">
        <f>'Revenue Model'!AB107</f>
        <v>0.22847828830138983</v>
      </c>
      <c r="U587">
        <f>'Revenue Model'!AC107</f>
        <v>0.27311566086023276</v>
      </c>
      <c r="V587">
        <f>'Revenue Model'!AD107</f>
        <v>0.28737875329695717</v>
      </c>
      <c r="W587">
        <f>'Revenue Model'!AE107</f>
        <v>0.30327498522955021</v>
      </c>
      <c r="X587">
        <f>'Revenue Model'!AF107</f>
        <v>0.29725047425034479</v>
      </c>
      <c r="Y587">
        <f>'Revenue Model'!AG107</f>
        <v>0.23735676080760681</v>
      </c>
      <c r="Z587">
        <f>'Revenue Model'!AH107</f>
        <v>0</v>
      </c>
      <c r="AA587">
        <f>'Revenue Model'!AI107</f>
        <v>0</v>
      </c>
      <c r="AB587">
        <f>'Revenue Model'!AJ107</f>
        <v>0</v>
      </c>
      <c r="AC587">
        <f>'Revenue Model'!AK107</f>
        <v>0</v>
      </c>
      <c r="AD587">
        <f>'Revenue Model'!AL107</f>
        <v>3.6026478110425746</v>
      </c>
      <c r="AE587">
        <f>'Revenue Model'!AM107</f>
        <v>0.43748591637864753</v>
      </c>
      <c r="AF587">
        <f>'Revenue Model'!AN107</f>
        <v>0.26680474907990104</v>
      </c>
      <c r="AG587">
        <f>'Revenue Model'!AO107</f>
        <v>0.23901715235077647</v>
      </c>
      <c r="AH587">
        <f>'Revenue Model'!AP107</f>
        <v>0.20818070258318033</v>
      </c>
      <c r="AI587">
        <f>'Revenue Model'!AQ107</f>
        <v>0.18153693948413752</v>
      </c>
      <c r="AJ587">
        <f>'Revenue Model'!AR107</f>
        <v>0.15880309531267622</v>
      </c>
      <c r="AK587">
        <f>'Revenue Model'!AS107</f>
        <v>0.12127048831591702</v>
      </c>
      <c r="AL587">
        <f>'Revenue Model'!AT107</f>
        <v>9.1472992186643509E-2</v>
      </c>
      <c r="AM587">
        <f>'Revenue Model'!AU107</f>
        <v>6.5625048842173017E-2</v>
      </c>
    </row>
    <row r="588" spans="1:39">
      <c r="A588" t="str">
        <f>'Revenue Model'!I108</f>
        <v>Y/Y Abs Growth</v>
      </c>
      <c r="B588">
        <f>'Revenue Model'!J108</f>
        <v>0</v>
      </c>
      <c r="C588">
        <f>'Revenue Model'!K108</f>
        <v>0</v>
      </c>
      <c r="D588">
        <f>'Revenue Model'!L108</f>
        <v>0</v>
      </c>
      <c r="E588">
        <f>'Revenue Model'!M108</f>
        <v>0</v>
      </c>
      <c r="F588">
        <f>'Revenue Model'!N108</f>
        <v>0</v>
      </c>
      <c r="G588">
        <f>'Revenue Model'!O108</f>
        <v>0</v>
      </c>
      <c r="H588">
        <f>'Revenue Model'!P108</f>
        <v>0</v>
      </c>
      <c r="I588">
        <f>'Revenue Model'!Q108</f>
        <v>0</v>
      </c>
      <c r="J588">
        <f>'Revenue Model'!R108</f>
        <v>0</v>
      </c>
      <c r="K588">
        <f>'Revenue Model'!S108</f>
        <v>0</v>
      </c>
      <c r="L588">
        <f>'Revenue Model'!T108</f>
        <v>0</v>
      </c>
      <c r="M588">
        <f>'Revenue Model'!U108</f>
        <v>0</v>
      </c>
      <c r="N588">
        <f>'Revenue Model'!V108</f>
        <v>0.56185672514619889</v>
      </c>
      <c r="O588">
        <f>'Revenue Model'!W108</f>
        <v>0.9387639344262293</v>
      </c>
      <c r="P588">
        <f>'Revenue Model'!X108</f>
        <v>1.4074705678069108</v>
      </c>
      <c r="Q588">
        <f>'Revenue Model'!Y108</f>
        <v>1.4968200197238657</v>
      </c>
      <c r="R588">
        <f>'Revenue Model'!Z108</f>
        <v>1.1521236306729263</v>
      </c>
      <c r="S588">
        <f>'Revenue Model'!AA108</f>
        <v>0.90416939890710402</v>
      </c>
      <c r="T588">
        <f>'Revenue Model'!AB108</f>
        <v>0.40336963036963058</v>
      </c>
      <c r="U588">
        <f>'Revenue Model'!AC108</f>
        <v>0.58726331360946737</v>
      </c>
      <c r="V588">
        <f>'Revenue Model'!AD108</f>
        <v>0.52213886162404877</v>
      </c>
      <c r="W588">
        <f>'Revenue Model'!AE108</f>
        <v>0.59846263751964579</v>
      </c>
      <c r="X588">
        <f>'Revenue Model'!AF108</f>
        <v>0.64468609350399442</v>
      </c>
      <c r="Y588">
        <f>'Revenue Model'!AG108</f>
        <v>0.64976413271082389</v>
      </c>
      <c r="Z588">
        <f>'Revenue Model'!AH108</f>
        <v>0</v>
      </c>
      <c r="AA588">
        <f>'Revenue Model'!AI108</f>
        <v>0</v>
      </c>
      <c r="AB588">
        <f>'Revenue Model'!AJ108</f>
        <v>0</v>
      </c>
      <c r="AC588">
        <f>'Revenue Model'!AK108</f>
        <v>1.3578313253012049</v>
      </c>
      <c r="AD588">
        <f>'Revenue Model'!AL108</f>
        <v>4.8917880518614245</v>
      </c>
      <c r="AE588">
        <f>'Revenue Model'!AM108</f>
        <v>2.7341204602357454</v>
      </c>
      <c r="AF588">
        <f>'Revenue Model'!AN108</f>
        <v>2.3969044531161838</v>
      </c>
      <c r="AG588">
        <f>'Revenue Model'!AO108</f>
        <v>2.7201691902359126</v>
      </c>
      <c r="AH588">
        <f>'Revenue Model'!AP108</f>
        <v>2.9355172574170147</v>
      </c>
      <c r="AI588">
        <f>'Revenue Model'!AQ108</f>
        <v>3.0927233422464617</v>
      </c>
      <c r="AJ588">
        <f>'Revenue Model'!AR108</f>
        <v>3.1965560936859916</v>
      </c>
      <c r="AK588">
        <f>'Revenue Model'!AS108</f>
        <v>2.8287081360798219</v>
      </c>
      <c r="AL588">
        <f>'Revenue Model'!AT108</f>
        <v>2.3924137544340596</v>
      </c>
      <c r="AM588">
        <f>'Revenue Model'!AU108</f>
        <v>1.87338068602471</v>
      </c>
    </row>
    <row r="589" spans="1:39">
      <c r="A589" t="str">
        <f>'Revenue Model'!I109</f>
        <v>Q/Q % Growth</v>
      </c>
      <c r="B589">
        <f>'Revenue Model'!J109</f>
        <v>0</v>
      </c>
      <c r="C589">
        <f>'Revenue Model'!K109</f>
        <v>0</v>
      </c>
      <c r="D589">
        <f>'Revenue Model'!L109</f>
        <v>0</v>
      </c>
      <c r="E589">
        <f>'Revenue Model'!M109</f>
        <v>0</v>
      </c>
      <c r="F589">
        <f>'Revenue Model'!N109</f>
        <v>0</v>
      </c>
      <c r="G589">
        <f>'Revenue Model'!O109</f>
        <v>0</v>
      </c>
      <c r="H589">
        <f>'Revenue Model'!P109</f>
        <v>0</v>
      </c>
      <c r="I589">
        <f>'Revenue Model'!Q109</f>
        <v>0</v>
      </c>
      <c r="J589">
        <f>'Revenue Model'!R109</f>
        <v>0</v>
      </c>
      <c r="K589">
        <f>'Revenue Model'!S109</f>
        <v>0.26699053950396334</v>
      </c>
      <c r="L589">
        <f>'Revenue Model'!T109</f>
        <v>1.7453295295600268</v>
      </c>
      <c r="M589">
        <f>'Revenue Model'!U109</f>
        <v>0.82523225508123677</v>
      </c>
      <c r="N589">
        <f>'Revenue Model'!V109</f>
        <v>1.7387238022361196E-2</v>
      </c>
      <c r="O589">
        <f>'Revenue Model'!W109</f>
        <v>0.60830275945780787</v>
      </c>
      <c r="P589">
        <f>'Revenue Model'!X109</f>
        <v>0.65125429470175655</v>
      </c>
      <c r="Q589">
        <f>'Revenue Model'!Y109</f>
        <v>0.21794592493037013</v>
      </c>
      <c r="R589">
        <f>'Revenue Model'!Z109</f>
        <v>-0.15502259823283793</v>
      </c>
      <c r="S589">
        <f>'Revenue Model'!AA109</f>
        <v>8.6098191214470265E-2</v>
      </c>
      <c r="T589">
        <f>'Revenue Model'!AB109</f>
        <v>9.906984906984917E-2</v>
      </c>
      <c r="U589">
        <f>'Revenue Model'!AC109</f>
        <v>0.26220059880239499</v>
      </c>
      <c r="V589">
        <f>'Revenue Model'!AD109</f>
        <v>-0.14555606572611757</v>
      </c>
      <c r="W589">
        <f>'Revenue Model'!AE109</f>
        <v>9.9509060940959237E-2</v>
      </c>
      <c r="X589">
        <f>'Revenue Model'!AF109</f>
        <v>9.3989295504655956E-2</v>
      </c>
      <c r="Y589">
        <f>'Revenue Model'!AG109</f>
        <v>0.20392512889700987</v>
      </c>
      <c r="Z589">
        <f>'Revenue Model'!AH109</f>
        <v>0</v>
      </c>
      <c r="AA589">
        <f>'Revenue Model'!AI109</f>
        <v>0</v>
      </c>
      <c r="AB589">
        <f>'Revenue Model'!AJ109</f>
        <v>0</v>
      </c>
      <c r="AC589">
        <f>'Revenue Model'!AK109</f>
        <v>0</v>
      </c>
      <c r="AD589">
        <f>'Revenue Model'!AL109</f>
        <v>0</v>
      </c>
      <c r="AE589">
        <f>'Revenue Model'!AM109</f>
        <v>0</v>
      </c>
      <c r="AF589">
        <f>'Revenue Model'!AN109</f>
        <v>0</v>
      </c>
      <c r="AG589">
        <f>'Revenue Model'!AO109</f>
        <v>0</v>
      </c>
      <c r="AH589">
        <f>'Revenue Model'!AP109</f>
        <v>0</v>
      </c>
      <c r="AI589">
        <f>'Revenue Model'!AQ109</f>
        <v>0</v>
      </c>
      <c r="AJ589">
        <f>'Revenue Model'!AR109</f>
        <v>0</v>
      </c>
      <c r="AK589">
        <f>'Revenue Model'!AS109</f>
        <v>0</v>
      </c>
      <c r="AL589">
        <f>'Revenue Model'!AT109</f>
        <v>0</v>
      </c>
      <c r="AM589">
        <f>'Revenue Model'!AU109</f>
        <v>0</v>
      </c>
    </row>
    <row r="590" spans="1:39">
      <c r="A590" t="str">
        <f>'Revenue Model'!I110</f>
        <v>Q/Q Abs Growth</v>
      </c>
      <c r="B590">
        <f>'Revenue Model'!J110</f>
        <v>0</v>
      </c>
      <c r="C590">
        <f>'Revenue Model'!K110</f>
        <v>0</v>
      </c>
      <c r="D590">
        <f>'Revenue Model'!L110</f>
        <v>0</v>
      </c>
      <c r="E590">
        <f>'Revenue Model'!M110</f>
        <v>0</v>
      </c>
      <c r="F590">
        <f>'Revenue Model'!N110</f>
        <v>0</v>
      </c>
      <c r="G590">
        <f>'Revenue Model'!O110</f>
        <v>0</v>
      </c>
      <c r="H590">
        <f>'Revenue Model'!P110</f>
        <v>0</v>
      </c>
      <c r="I590">
        <f>'Revenue Model'!Q110</f>
        <v>0</v>
      </c>
      <c r="J590">
        <f>'Revenue Model'!R110</f>
        <v>0</v>
      </c>
      <c r="K590">
        <f>'Revenue Model'!S110</f>
        <v>2.7478947368421061E-2</v>
      </c>
      <c r="L590">
        <f>'Revenue Model'!T110</f>
        <v>0.22759097065462752</v>
      </c>
      <c r="M590">
        <f>'Revenue Model'!U110</f>
        <v>0.29542569601203911</v>
      </c>
      <c r="N590">
        <f>'Revenue Model'!V110</f>
        <v>1.1361111111111155E-2</v>
      </c>
      <c r="O590">
        <f>'Revenue Model'!W110</f>
        <v>0.40438615664845157</v>
      </c>
      <c r="P590">
        <f>'Revenue Model'!X110</f>
        <v>0.69629760403530905</v>
      </c>
      <c r="Q590">
        <f>'Revenue Model'!Y110</f>
        <v>0.38477514792899403</v>
      </c>
      <c r="R590">
        <f>'Revenue Model'!Z110</f>
        <v>-0.3333352779398282</v>
      </c>
      <c r="S590">
        <f>'Revenue Model'!AA110</f>
        <v>0.15643192488262914</v>
      </c>
      <c r="T590">
        <f>'Revenue Model'!AB110</f>
        <v>0.19549783549783561</v>
      </c>
      <c r="U590">
        <f>'Revenue Model'!AC110</f>
        <v>0.56866883116883082</v>
      </c>
      <c r="V590">
        <f>'Revenue Model'!AD110</f>
        <v>-0.39845972992524681</v>
      </c>
      <c r="W590">
        <f>'Revenue Model'!AE110</f>
        <v>0.23275570077822616</v>
      </c>
      <c r="X590">
        <f>'Revenue Model'!AF110</f>
        <v>0.24172129148218424</v>
      </c>
      <c r="Y590">
        <f>'Revenue Model'!AG110</f>
        <v>0.5737468703756603</v>
      </c>
      <c r="Z590">
        <f>'Revenue Model'!AH110</f>
        <v>0</v>
      </c>
      <c r="AA590">
        <f>'Revenue Model'!AI110</f>
        <v>0</v>
      </c>
      <c r="AB590">
        <f>'Revenue Model'!AJ110</f>
        <v>0</v>
      </c>
      <c r="AC590">
        <f>'Revenue Model'!AK110</f>
        <v>0</v>
      </c>
      <c r="AD590">
        <f>'Revenue Model'!AL110</f>
        <v>0</v>
      </c>
      <c r="AE590">
        <f>'Revenue Model'!AM110</f>
        <v>0</v>
      </c>
      <c r="AF590">
        <f>'Revenue Model'!AN110</f>
        <v>0</v>
      </c>
      <c r="AG590">
        <f>'Revenue Model'!AO110</f>
        <v>0</v>
      </c>
      <c r="AH590">
        <f>'Revenue Model'!AP110</f>
        <v>0</v>
      </c>
      <c r="AI590">
        <f>'Revenue Model'!AQ110</f>
        <v>0</v>
      </c>
      <c r="AJ590">
        <f>'Revenue Model'!AR110</f>
        <v>0</v>
      </c>
      <c r="AK590">
        <f>'Revenue Model'!AS110</f>
        <v>0</v>
      </c>
      <c r="AL590">
        <f>'Revenue Model'!AT110</f>
        <v>0</v>
      </c>
      <c r="AM590">
        <f>'Revenue Model'!AU110</f>
        <v>0</v>
      </c>
    </row>
    <row r="591" spans="1:39">
      <c r="A591">
        <f>'Revenue Model'!I111</f>
        <v>0</v>
      </c>
      <c r="B591">
        <f>'Revenue Model'!J111</f>
        <v>0</v>
      </c>
      <c r="C591">
        <f>'Revenue Model'!K111</f>
        <v>0</v>
      </c>
      <c r="D591">
        <f>'Revenue Model'!L111</f>
        <v>0</v>
      </c>
      <c r="E591">
        <f>'Revenue Model'!M111</f>
        <v>0</v>
      </c>
      <c r="F591">
        <f>'Revenue Model'!N111</f>
        <v>0</v>
      </c>
      <c r="G591">
        <f>'Revenue Model'!O111</f>
        <v>0</v>
      </c>
      <c r="H591">
        <f>'Revenue Model'!P111</f>
        <v>0</v>
      </c>
      <c r="I591">
        <f>'Revenue Model'!Q111</f>
        <v>0</v>
      </c>
      <c r="J591">
        <f>'Revenue Model'!R111</f>
        <v>0</v>
      </c>
      <c r="K591">
        <f>'Revenue Model'!S111</f>
        <v>0</v>
      </c>
      <c r="L591">
        <f>'Revenue Model'!T111</f>
        <v>0</v>
      </c>
      <c r="M591">
        <f>'Revenue Model'!U111</f>
        <v>0</v>
      </c>
      <c r="N591">
        <f>'Revenue Model'!V111</f>
        <v>0</v>
      </c>
      <c r="O591">
        <f>'Revenue Model'!W111</f>
        <v>0</v>
      </c>
      <c r="P591">
        <f>'Revenue Model'!X111</f>
        <v>0</v>
      </c>
      <c r="Q591">
        <f>'Revenue Model'!Y111</f>
        <v>0</v>
      </c>
      <c r="R591">
        <f>'Revenue Model'!Z111</f>
        <v>0</v>
      </c>
      <c r="S591">
        <f>'Revenue Model'!AA111</f>
        <v>0</v>
      </c>
      <c r="T591">
        <f>'Revenue Model'!AB111</f>
        <v>0</v>
      </c>
      <c r="U591">
        <f>'Revenue Model'!AC111</f>
        <v>0</v>
      </c>
      <c r="V591">
        <f>'Revenue Model'!AD111</f>
        <v>0</v>
      </c>
      <c r="W591">
        <f>'Revenue Model'!AE111</f>
        <v>0</v>
      </c>
      <c r="X591">
        <f>'Revenue Model'!AF111</f>
        <v>0</v>
      </c>
      <c r="Y591">
        <f>'Revenue Model'!AG111</f>
        <v>0</v>
      </c>
      <c r="Z591">
        <f>'Revenue Model'!AH111</f>
        <v>0</v>
      </c>
      <c r="AA591">
        <f>'Revenue Model'!AI111</f>
        <v>0</v>
      </c>
      <c r="AB591">
        <f>'Revenue Model'!AJ111</f>
        <v>0</v>
      </c>
      <c r="AC591">
        <f>'Revenue Model'!AK111</f>
        <v>0</v>
      </c>
      <c r="AD591">
        <f>'Revenue Model'!AL111</f>
        <v>0</v>
      </c>
      <c r="AE591">
        <f>'Revenue Model'!AM111</f>
        <v>0</v>
      </c>
      <c r="AF591">
        <f>'Revenue Model'!AN111</f>
        <v>0</v>
      </c>
      <c r="AG591">
        <f>'Revenue Model'!AO111</f>
        <v>0</v>
      </c>
      <c r="AH591">
        <f>'Revenue Model'!AP111</f>
        <v>0</v>
      </c>
      <c r="AI591">
        <f>'Revenue Model'!AQ111</f>
        <v>0</v>
      </c>
      <c r="AJ591">
        <f>'Revenue Model'!AR111</f>
        <v>0</v>
      </c>
      <c r="AK591">
        <f>'Revenue Model'!AS111</f>
        <v>0</v>
      </c>
      <c r="AL591">
        <f>'Revenue Model'!AT111</f>
        <v>0</v>
      </c>
      <c r="AM591">
        <f>'Revenue Model'!AU111</f>
        <v>0</v>
      </c>
    </row>
    <row r="592" spans="1:39">
      <c r="A592" t="str">
        <f>'Revenue Model'!I112</f>
        <v>Europe Revenue Build</v>
      </c>
      <c r="B592">
        <f>'Revenue Model'!J112</f>
        <v>0</v>
      </c>
      <c r="C592">
        <f>'Revenue Model'!K112</f>
        <v>0</v>
      </c>
      <c r="D592">
        <f>'Revenue Model'!L112</f>
        <v>0</v>
      </c>
      <c r="E592">
        <f>'Revenue Model'!M112</f>
        <v>0</v>
      </c>
      <c r="F592">
        <f>'Revenue Model'!N112</f>
        <v>0</v>
      </c>
      <c r="G592">
        <f>'Revenue Model'!O112</f>
        <v>0</v>
      </c>
      <c r="H592">
        <f>'Revenue Model'!P112</f>
        <v>0</v>
      </c>
      <c r="I592">
        <f>'Revenue Model'!Q112</f>
        <v>0</v>
      </c>
      <c r="J592">
        <f>'Revenue Model'!R112</f>
        <v>0</v>
      </c>
      <c r="K592">
        <f>'Revenue Model'!S112</f>
        <v>0</v>
      </c>
      <c r="L592">
        <f>'Revenue Model'!T112</f>
        <v>0</v>
      </c>
      <c r="M592">
        <f>'Revenue Model'!U112</f>
        <v>0</v>
      </c>
      <c r="N592">
        <f>'Revenue Model'!V112</f>
        <v>0</v>
      </c>
      <c r="O592">
        <f>'Revenue Model'!W112</f>
        <v>0</v>
      </c>
      <c r="P592">
        <f>'Revenue Model'!X112</f>
        <v>0</v>
      </c>
      <c r="Q592">
        <f>'Revenue Model'!Y112</f>
        <v>0</v>
      </c>
      <c r="R592">
        <f>'Revenue Model'!Z112</f>
        <v>0</v>
      </c>
      <c r="S592">
        <f>'Revenue Model'!AA112</f>
        <v>0</v>
      </c>
      <c r="T592">
        <f>'Revenue Model'!AB112</f>
        <v>0</v>
      </c>
      <c r="U592">
        <f>'Revenue Model'!AC112</f>
        <v>0</v>
      </c>
      <c r="V592">
        <f>'Revenue Model'!AD112</f>
        <v>0</v>
      </c>
      <c r="W592">
        <f>'Revenue Model'!AE112</f>
        <v>0</v>
      </c>
      <c r="X592">
        <f>'Revenue Model'!AF112</f>
        <v>0</v>
      </c>
      <c r="Y592">
        <f>'Revenue Model'!AG112</f>
        <v>0</v>
      </c>
      <c r="Z592">
        <f>'Revenue Model'!AH112</f>
        <v>0</v>
      </c>
      <c r="AA592">
        <f>'Revenue Model'!AI112</f>
        <v>0</v>
      </c>
      <c r="AB592">
        <f>'Revenue Model'!AJ112</f>
        <v>0</v>
      </c>
      <c r="AC592">
        <f>'Revenue Model'!AK112</f>
        <v>0</v>
      </c>
      <c r="AD592">
        <f>'Revenue Model'!AL112</f>
        <v>0</v>
      </c>
      <c r="AE592">
        <f>'Revenue Model'!AM112</f>
        <v>0</v>
      </c>
      <c r="AF592">
        <f>'Revenue Model'!AN112</f>
        <v>0</v>
      </c>
      <c r="AG592">
        <f>'Revenue Model'!AO112</f>
        <v>0</v>
      </c>
      <c r="AH592">
        <f>'Revenue Model'!AP112</f>
        <v>0</v>
      </c>
      <c r="AI592">
        <f>'Revenue Model'!AQ112</f>
        <v>0</v>
      </c>
      <c r="AJ592">
        <f>'Revenue Model'!AR112</f>
        <v>0</v>
      </c>
      <c r="AK592">
        <f>'Revenue Model'!AS112</f>
        <v>0</v>
      </c>
      <c r="AL592">
        <f>'Revenue Model'!AT112</f>
        <v>0</v>
      </c>
      <c r="AM592">
        <f>'Revenue Model'!AU112</f>
        <v>0</v>
      </c>
    </row>
    <row r="593" spans="1:39">
      <c r="A593">
        <f>'Revenue Model'!I113</f>
        <v>0</v>
      </c>
      <c r="B593">
        <f>'Revenue Model'!J113</f>
        <v>0</v>
      </c>
      <c r="C593">
        <f>'Revenue Model'!K113</f>
        <v>0</v>
      </c>
      <c r="D593">
        <f>'Revenue Model'!L113</f>
        <v>0</v>
      </c>
      <c r="E593">
        <f>'Revenue Model'!M113</f>
        <v>0</v>
      </c>
      <c r="F593">
        <f>'Revenue Model'!N113</f>
        <v>0</v>
      </c>
      <c r="G593">
        <f>'Revenue Model'!O113</f>
        <v>0</v>
      </c>
      <c r="H593">
        <f>'Revenue Model'!P113</f>
        <v>0</v>
      </c>
      <c r="I593">
        <f>'Revenue Model'!Q113</f>
        <v>0</v>
      </c>
      <c r="J593">
        <f>'Revenue Model'!R113</f>
        <v>0</v>
      </c>
      <c r="K593">
        <f>'Revenue Model'!S113</f>
        <v>0</v>
      </c>
      <c r="L593">
        <f>'Revenue Model'!T113</f>
        <v>0</v>
      </c>
      <c r="M593">
        <f>'Revenue Model'!U113</f>
        <v>0</v>
      </c>
      <c r="N593">
        <f>'Revenue Model'!V113</f>
        <v>0</v>
      </c>
      <c r="O593">
        <f>'Revenue Model'!W113</f>
        <v>0</v>
      </c>
      <c r="P593">
        <f>'Revenue Model'!X113</f>
        <v>0</v>
      </c>
      <c r="Q593">
        <f>'Revenue Model'!Y113</f>
        <v>0</v>
      </c>
      <c r="R593">
        <f>'Revenue Model'!Z113</f>
        <v>0</v>
      </c>
      <c r="S593">
        <f>'Revenue Model'!AA113</f>
        <v>0</v>
      </c>
      <c r="T593">
        <f>'Revenue Model'!AB113</f>
        <v>0</v>
      </c>
      <c r="U593">
        <f>'Revenue Model'!AC113</f>
        <v>0</v>
      </c>
      <c r="V593">
        <f>'Revenue Model'!AD113</f>
        <v>0</v>
      </c>
      <c r="W593">
        <f>'Revenue Model'!AE113</f>
        <v>0</v>
      </c>
      <c r="X593">
        <f>'Revenue Model'!AF113</f>
        <v>0</v>
      </c>
      <c r="Y593">
        <f>'Revenue Model'!AG113</f>
        <v>0</v>
      </c>
      <c r="Z593">
        <f>'Revenue Model'!AH113</f>
        <v>0</v>
      </c>
      <c r="AA593">
        <f>'Revenue Model'!AI113</f>
        <v>0</v>
      </c>
      <c r="AB593">
        <f>'Revenue Model'!AJ113</f>
        <v>0</v>
      </c>
      <c r="AC593">
        <f>'Revenue Model'!AK113</f>
        <v>0</v>
      </c>
      <c r="AD593">
        <f>'Revenue Model'!AL113</f>
        <v>0</v>
      </c>
      <c r="AE593">
        <f>'Revenue Model'!AM113</f>
        <v>0</v>
      </c>
      <c r="AF593">
        <f>'Revenue Model'!AN113</f>
        <v>0</v>
      </c>
      <c r="AG593">
        <f>'Revenue Model'!AO113</f>
        <v>0</v>
      </c>
      <c r="AH593">
        <f>'Revenue Model'!AP113</f>
        <v>0</v>
      </c>
      <c r="AI593">
        <f>'Revenue Model'!AQ113</f>
        <v>0</v>
      </c>
      <c r="AJ593">
        <f>'Revenue Model'!AR113</f>
        <v>0</v>
      </c>
      <c r="AK593">
        <f>'Revenue Model'!AS113</f>
        <v>0</v>
      </c>
      <c r="AL593">
        <f>'Revenue Model'!AT113</f>
        <v>0</v>
      </c>
      <c r="AM593">
        <f>'Revenue Model'!AU113</f>
        <v>0</v>
      </c>
    </row>
    <row r="594" spans="1:39">
      <c r="A594" t="str">
        <f>'Revenue Model'!I114</f>
        <v>Europe DAUs</v>
      </c>
      <c r="B594">
        <f>'Revenue Model'!J114</f>
        <v>0.96286107290233847</v>
      </c>
      <c r="C594">
        <f>'Revenue Model'!K114</f>
        <v>3.8543897216274092</v>
      </c>
      <c r="D594">
        <f>'Revenue Model'!L114</f>
        <v>6.5146579804560263</v>
      </c>
      <c r="E594">
        <f>'Revenue Model'!M114</f>
        <v>9.7457627118644048</v>
      </c>
      <c r="F594">
        <f>'Revenue Model'!N114</f>
        <v>14</v>
      </c>
      <c r="G594">
        <f>'Revenue Model'!O114</f>
        <v>18</v>
      </c>
      <c r="H594">
        <f>'Revenue Model'!P114</f>
        <v>20</v>
      </c>
      <c r="I594">
        <f>'Revenue Model'!Q114</f>
        <v>23</v>
      </c>
      <c r="J594">
        <f>'Revenue Model'!R114</f>
        <v>27</v>
      </c>
      <c r="K594">
        <f>'Revenue Model'!S114</f>
        <v>29</v>
      </c>
      <c r="L594">
        <f>'Revenue Model'!T114</f>
        <v>30.2</v>
      </c>
      <c r="M594">
        <f>'Revenue Model'!U114</f>
        <v>34</v>
      </c>
      <c r="N594">
        <f>'Revenue Model'!V114</f>
        <v>39</v>
      </c>
      <c r="O594">
        <f>'Revenue Model'!W114</f>
        <v>46</v>
      </c>
      <c r="P594">
        <f>'Revenue Model'!X114</f>
        <v>49</v>
      </c>
      <c r="Q594">
        <f>'Revenue Model'!Y114</f>
        <v>51.7</v>
      </c>
      <c r="R594">
        <f>'Revenue Model'!Z114</f>
        <v>55</v>
      </c>
      <c r="S594">
        <f>'Revenue Model'!AA114</f>
        <v>57</v>
      </c>
      <c r="T594">
        <f>'Revenue Model'!AB114</f>
        <v>57</v>
      </c>
      <c r="U594">
        <f>'Revenue Model'!AC114</f>
        <v>60</v>
      </c>
      <c r="V594">
        <f>'Revenue Model'!AD114</f>
        <v>63</v>
      </c>
      <c r="W594">
        <f>'Revenue Model'!AE114</f>
        <v>65</v>
      </c>
      <c r="X594">
        <f>'Revenue Model'!AF114</f>
        <v>67</v>
      </c>
      <c r="Y594">
        <f>'Revenue Model'!AG114</f>
        <v>68.5</v>
      </c>
      <c r="Z594">
        <f>'Revenue Model'!AH114</f>
        <v>0</v>
      </c>
      <c r="AA594">
        <f>'Revenue Model'!AI114</f>
        <v>9.7457627118644048</v>
      </c>
      <c r="AB594">
        <f>'Revenue Model'!AJ114</f>
        <v>23</v>
      </c>
      <c r="AC594">
        <f>'Revenue Model'!AK114</f>
        <v>34</v>
      </c>
      <c r="AD594">
        <f>'Revenue Model'!AL114</f>
        <v>51.7</v>
      </c>
      <c r="AE594">
        <f>'Revenue Model'!AM114</f>
        <v>60</v>
      </c>
      <c r="AF594">
        <f>'Revenue Model'!AN114</f>
        <v>68.5</v>
      </c>
      <c r="AG594">
        <f>'Revenue Model'!AO114</f>
        <v>76.575000000000003</v>
      </c>
      <c r="AH594">
        <f>'Revenue Model'!AP114</f>
        <v>84.004000000000005</v>
      </c>
      <c r="AI594">
        <f>'Revenue Model'!AQ114</f>
        <v>90.838680000000011</v>
      </c>
      <c r="AJ594">
        <f>'Revenue Model'!AR114</f>
        <v>96.989892000000012</v>
      </c>
      <c r="AK594">
        <f>'Revenue Model'!AS114</f>
        <v>102.52598280000001</v>
      </c>
      <c r="AL594">
        <f>'Revenue Model'!AT114</f>
        <v>107.50846452</v>
      </c>
      <c r="AM594">
        <f>'Revenue Model'!AU114</f>
        <v>112.49094624</v>
      </c>
    </row>
    <row r="595" spans="1:39">
      <c r="A595" t="str">
        <f>'Revenue Model'!I115</f>
        <v>Sequential Net Adds</v>
      </c>
      <c r="B595">
        <f>'Revenue Model'!J115</f>
        <v>0</v>
      </c>
      <c r="C595">
        <f>'Revenue Model'!K115</f>
        <v>2.8915286487250706</v>
      </c>
      <c r="D595">
        <f>'Revenue Model'!L115</f>
        <v>2.6602682588286171</v>
      </c>
      <c r="E595">
        <f>'Revenue Model'!M115</f>
        <v>3.2311047314083785</v>
      </c>
      <c r="F595">
        <f>'Revenue Model'!N115</f>
        <v>4.2542372881355952</v>
      </c>
      <c r="G595">
        <f>'Revenue Model'!O115</f>
        <v>4</v>
      </c>
      <c r="H595">
        <f>'Revenue Model'!P115</f>
        <v>2</v>
      </c>
      <c r="I595">
        <f>'Revenue Model'!Q115</f>
        <v>3</v>
      </c>
      <c r="J595">
        <f>'Revenue Model'!R115</f>
        <v>4</v>
      </c>
      <c r="K595">
        <f>'Revenue Model'!S115</f>
        <v>2</v>
      </c>
      <c r="L595">
        <f>'Revenue Model'!T115</f>
        <v>1.1999999999999993</v>
      </c>
      <c r="M595">
        <f>'Revenue Model'!U115</f>
        <v>3.8000000000000007</v>
      </c>
      <c r="N595">
        <f>'Revenue Model'!V115</f>
        <v>5</v>
      </c>
      <c r="O595">
        <f>'Revenue Model'!W115</f>
        <v>7</v>
      </c>
      <c r="P595">
        <f>'Revenue Model'!X115</f>
        <v>3</v>
      </c>
      <c r="Q595">
        <f>'Revenue Model'!Y115</f>
        <v>2.7000000000000028</v>
      </c>
      <c r="R595">
        <f>'Revenue Model'!Z115</f>
        <v>3.2999999999999972</v>
      </c>
      <c r="S595">
        <f>'Revenue Model'!AA115</f>
        <v>2</v>
      </c>
      <c r="T595">
        <f>'Revenue Model'!AB115</f>
        <v>0</v>
      </c>
      <c r="U595">
        <f>'Revenue Model'!AC115</f>
        <v>3</v>
      </c>
      <c r="V595">
        <f>'Revenue Model'!AD115</f>
        <v>3</v>
      </c>
      <c r="W595">
        <f>'Revenue Model'!AE115</f>
        <v>2</v>
      </c>
      <c r="X595">
        <f>'Revenue Model'!AF115</f>
        <v>2</v>
      </c>
      <c r="Y595">
        <f>'Revenue Model'!AG115</f>
        <v>1.5</v>
      </c>
      <c r="Z595">
        <f>'Revenue Model'!AH115</f>
        <v>0</v>
      </c>
      <c r="AA595">
        <f>'Revenue Model'!AI115</f>
        <v>0</v>
      </c>
      <c r="AB595">
        <f>'Revenue Model'!AJ115</f>
        <v>13.254237288135595</v>
      </c>
      <c r="AC595">
        <f>'Revenue Model'!AK115</f>
        <v>11</v>
      </c>
      <c r="AD595">
        <f>'Revenue Model'!AL115</f>
        <v>17.700000000000003</v>
      </c>
      <c r="AE595">
        <f>'Revenue Model'!AM115</f>
        <v>8.2999999999999972</v>
      </c>
      <c r="AF595">
        <f>'Revenue Model'!AN115</f>
        <v>8.5</v>
      </c>
      <c r="AG595">
        <f>'Revenue Model'!AO115</f>
        <v>8.0749999999999993</v>
      </c>
      <c r="AH595">
        <f>'Revenue Model'!AP115</f>
        <v>7.4289999999999994</v>
      </c>
      <c r="AI595">
        <f>'Revenue Model'!AQ115</f>
        <v>6.8346799999999996</v>
      </c>
      <c r="AJ595">
        <f>'Revenue Model'!AR115</f>
        <v>6.1512120000000001</v>
      </c>
      <c r="AK595">
        <f>'Revenue Model'!AS115</f>
        <v>5.5360908000000002</v>
      </c>
      <c r="AL595">
        <f>'Revenue Model'!AT115</f>
        <v>4.98248172</v>
      </c>
      <c r="AM595">
        <f>'Revenue Model'!AU115</f>
        <v>4.98248172</v>
      </c>
    </row>
    <row r="596" spans="1:39">
      <c r="A596" t="str">
        <f>'Revenue Model'!I116</f>
        <v>Y/Y % Growth</v>
      </c>
      <c r="B596">
        <f>'Revenue Model'!J116</f>
        <v>0</v>
      </c>
      <c r="C596">
        <f>'Revenue Model'!K116</f>
        <v>0</v>
      </c>
      <c r="D596">
        <f>'Revenue Model'!L116</f>
        <v>0</v>
      </c>
      <c r="E596">
        <f>'Revenue Model'!M116</f>
        <v>0</v>
      </c>
      <c r="F596">
        <f>'Revenue Model'!N116</f>
        <v>13.54</v>
      </c>
      <c r="G596">
        <f>'Revenue Model'!O116</f>
        <v>3.67</v>
      </c>
      <c r="H596">
        <f>'Revenue Model'!P116</f>
        <v>2.0699999999999998</v>
      </c>
      <c r="I596">
        <f>'Revenue Model'!Q116</f>
        <v>1.36</v>
      </c>
      <c r="J596">
        <f>'Revenue Model'!R116</f>
        <v>0.9285714285714286</v>
      </c>
      <c r="K596">
        <f>'Revenue Model'!S116</f>
        <v>0.61111111111111116</v>
      </c>
      <c r="L596">
        <f>'Revenue Model'!T116</f>
        <v>0.51</v>
      </c>
      <c r="M596">
        <f>'Revenue Model'!U116</f>
        <v>0.47826086956521729</v>
      </c>
      <c r="N596">
        <f>'Revenue Model'!V116</f>
        <v>0.44444444444444442</v>
      </c>
      <c r="O596">
        <f>'Revenue Model'!W116</f>
        <v>0.5862068965517242</v>
      </c>
      <c r="P596">
        <f>'Revenue Model'!X116</f>
        <v>0.6225165562913908</v>
      </c>
      <c r="Q596">
        <f>'Revenue Model'!Y116</f>
        <v>0.5205882352941178</v>
      </c>
      <c r="R596">
        <f>'Revenue Model'!Z116</f>
        <v>0.41025641025641035</v>
      </c>
      <c r="S596">
        <f>'Revenue Model'!AA116</f>
        <v>0.23913043478260865</v>
      </c>
      <c r="T596">
        <f>'Revenue Model'!AB116</f>
        <v>0.16326530612244894</v>
      </c>
      <c r="U596">
        <f>'Revenue Model'!AC116</f>
        <v>0.16054158607350089</v>
      </c>
      <c r="V596">
        <f>'Revenue Model'!AD116</f>
        <v>0.1454545454545455</v>
      </c>
      <c r="W596">
        <f>'Revenue Model'!AE116</f>
        <v>0.14035087719298245</v>
      </c>
      <c r="X596">
        <f>'Revenue Model'!AF116</f>
        <v>0.17543859649122817</v>
      </c>
      <c r="Y596">
        <f>'Revenue Model'!AG116</f>
        <v>0.14166666666666661</v>
      </c>
      <c r="Z596">
        <f>'Revenue Model'!AH116</f>
        <v>0</v>
      </c>
      <c r="AA596">
        <f>'Revenue Model'!AI116</f>
        <v>0</v>
      </c>
      <c r="AB596">
        <f>'Revenue Model'!AJ116</f>
        <v>1.3600000000000003</v>
      </c>
      <c r="AC596">
        <f>'Revenue Model'!AK116</f>
        <v>0.47826086956521729</v>
      </c>
      <c r="AD596">
        <f>'Revenue Model'!AL116</f>
        <v>0.5205882352941178</v>
      </c>
      <c r="AE596">
        <f>'Revenue Model'!AM116</f>
        <v>0.16054158607350089</v>
      </c>
      <c r="AF596">
        <f>'Revenue Model'!AN116</f>
        <v>0.14166666666666661</v>
      </c>
      <c r="AG596">
        <f>'Revenue Model'!AO116</f>
        <v>0.1178832116788322</v>
      </c>
      <c r="AH596">
        <f>'Revenue Model'!AP116</f>
        <v>9.7015997388181452E-2</v>
      </c>
      <c r="AI596">
        <f>'Revenue Model'!AQ116</f>
        <v>8.1361363744583581E-2</v>
      </c>
      <c r="AJ596">
        <f>'Revenue Model'!AR116</f>
        <v>6.7715779225325567E-2</v>
      </c>
      <c r="AK596">
        <f>'Revenue Model'!AS116</f>
        <v>5.7079049020902106E-2</v>
      </c>
      <c r="AL596">
        <f>'Revenue Model'!AT116</f>
        <v>4.8597258801404974E-2</v>
      </c>
      <c r="AM596">
        <f>'Revenue Model'!AU116</f>
        <v>4.634501796900925E-2</v>
      </c>
    </row>
    <row r="597" spans="1:39">
      <c r="A597" t="str">
        <f>'Revenue Model'!I117</f>
        <v>Q/Q % Growth</v>
      </c>
      <c r="B597">
        <f>'Revenue Model'!J117</f>
        <v>0</v>
      </c>
      <c r="C597">
        <f>'Revenue Model'!K117</f>
        <v>3.0030590394616086</v>
      </c>
      <c r="D597">
        <f>'Revenue Model'!L117</f>
        <v>0.69019182048497996</v>
      </c>
      <c r="E597">
        <f>'Revenue Model'!M117</f>
        <v>0.49597457627118602</v>
      </c>
      <c r="F597">
        <f>'Revenue Model'!N117</f>
        <v>0.43652173913043502</v>
      </c>
      <c r="G597">
        <f>'Revenue Model'!O117</f>
        <v>0.28571428571428581</v>
      </c>
      <c r="H597">
        <f>'Revenue Model'!P117</f>
        <v>0.11111111111111116</v>
      </c>
      <c r="I597">
        <f>'Revenue Model'!Q117</f>
        <v>0.14999999999999991</v>
      </c>
      <c r="J597">
        <f>'Revenue Model'!R117</f>
        <v>0.17391304347826098</v>
      </c>
      <c r="K597">
        <f>'Revenue Model'!S117</f>
        <v>7.4074074074074181E-2</v>
      </c>
      <c r="L597">
        <f>'Revenue Model'!T117</f>
        <v>4.1379310344827669E-2</v>
      </c>
      <c r="M597">
        <f>'Revenue Model'!U117</f>
        <v>0.1258278145695364</v>
      </c>
      <c r="N597">
        <f>'Revenue Model'!V117</f>
        <v>0.14705882352941169</v>
      </c>
      <c r="O597">
        <f>'Revenue Model'!W117</f>
        <v>0.17948717948717952</v>
      </c>
      <c r="P597">
        <f>'Revenue Model'!X117</f>
        <v>6.5217391304347894E-2</v>
      </c>
      <c r="Q597">
        <f>'Revenue Model'!Y117</f>
        <v>5.5102040816326525E-2</v>
      </c>
      <c r="R597">
        <f>'Revenue Model'!Z117</f>
        <v>6.3829787234042534E-2</v>
      </c>
      <c r="S597">
        <f>'Revenue Model'!AA117</f>
        <v>3.6363636363636376E-2</v>
      </c>
      <c r="T597">
        <f>'Revenue Model'!AB117</f>
        <v>0</v>
      </c>
      <c r="U597">
        <f>'Revenue Model'!AC117</f>
        <v>5.2631578947368363E-2</v>
      </c>
      <c r="V597">
        <f>'Revenue Model'!AD117</f>
        <v>5.0000000000000044E-2</v>
      </c>
      <c r="W597">
        <f>'Revenue Model'!AE117</f>
        <v>3.1746031746031855E-2</v>
      </c>
      <c r="X597">
        <f>'Revenue Model'!AF117</f>
        <v>3.076923076923066E-2</v>
      </c>
      <c r="Y597">
        <f>'Revenue Model'!AG117</f>
        <v>2.2388059701492491E-2</v>
      </c>
      <c r="Z597">
        <f>'Revenue Model'!AH117</f>
        <v>0</v>
      </c>
      <c r="AA597">
        <f>'Revenue Model'!AI117</f>
        <v>0</v>
      </c>
      <c r="AB597">
        <f>'Revenue Model'!AJ117</f>
        <v>0</v>
      </c>
      <c r="AC597">
        <f>'Revenue Model'!AK117</f>
        <v>0</v>
      </c>
      <c r="AD597">
        <f>'Revenue Model'!AL117</f>
        <v>0</v>
      </c>
      <c r="AE597">
        <f>'Revenue Model'!AM117</f>
        <v>0</v>
      </c>
      <c r="AF597">
        <f>'Revenue Model'!AN117</f>
        <v>0</v>
      </c>
      <c r="AG597">
        <f>'Revenue Model'!AO117</f>
        <v>0</v>
      </c>
      <c r="AH597">
        <f>'Revenue Model'!AP117</f>
        <v>0</v>
      </c>
      <c r="AI597">
        <f>'Revenue Model'!AQ117</f>
        <v>0</v>
      </c>
      <c r="AJ597">
        <f>'Revenue Model'!AR117</f>
        <v>0</v>
      </c>
      <c r="AK597">
        <f>'Revenue Model'!AS117</f>
        <v>0</v>
      </c>
      <c r="AL597">
        <f>'Revenue Model'!AT117</f>
        <v>0</v>
      </c>
      <c r="AM597">
        <f>'Revenue Model'!AU117</f>
        <v>0</v>
      </c>
    </row>
    <row r="598" spans="1:39">
      <c r="A598" t="str">
        <f>'Revenue Model'!I118</f>
        <v>% of Total DAUs</v>
      </c>
      <c r="B598">
        <f>'Revenue Model'!J118</f>
        <v>0.10779857664015312</v>
      </c>
      <c r="C598">
        <f>'Revenue Model'!K118</f>
        <v>0.18460498140426013</v>
      </c>
      <c r="D598">
        <f>'Revenue Model'!L118</f>
        <v>0.23370042914016853</v>
      </c>
      <c r="E598">
        <f>'Revenue Model'!M118</f>
        <v>0.26354738601098104</v>
      </c>
      <c r="F598">
        <f>'Revenue Model'!N118</f>
        <v>0.30434782608695654</v>
      </c>
      <c r="G598">
        <f>'Revenue Model'!O118</f>
        <v>0.31578947368421051</v>
      </c>
      <c r="H598">
        <f>'Revenue Model'!P118</f>
        <v>0.31746031746031744</v>
      </c>
      <c r="I598">
        <f>'Revenue Model'!Q118</f>
        <v>0.323943661971831</v>
      </c>
      <c r="J598">
        <f>'Revenue Model'!R118</f>
        <v>0.33333333333333331</v>
      </c>
      <c r="K598">
        <f>'Revenue Model'!S118</f>
        <v>0.33333333333333331</v>
      </c>
      <c r="L598">
        <f>'Revenue Model'!T118</f>
        <v>0.3189017951425554</v>
      </c>
      <c r="M598">
        <f>'Revenue Model'!U118</f>
        <v>0.32075471698113206</v>
      </c>
      <c r="N598">
        <f>'Revenue Model'!V118</f>
        <v>0.31967213114754101</v>
      </c>
      <c r="O598">
        <f>'Revenue Model'!W118</f>
        <v>0.32167832167832167</v>
      </c>
      <c r="P598">
        <f>'Revenue Model'!X118</f>
        <v>0.3202614379084967</v>
      </c>
      <c r="Q598">
        <f>'Revenue Model'!Y118</f>
        <v>0.32659507264687304</v>
      </c>
      <c r="R598">
        <f>'Revenue Model'!Z118</f>
        <v>0.33132530120481929</v>
      </c>
      <c r="S598">
        <f>'Revenue Model'!AA118</f>
        <v>0.32758620689655171</v>
      </c>
      <c r="T598">
        <f>'Revenue Model'!AB118</f>
        <v>0.3202247191011236</v>
      </c>
      <c r="U598">
        <f>'Revenue Model'!AC118</f>
        <v>0.32085561497326204</v>
      </c>
      <c r="V598">
        <f>'Revenue Model'!AD118</f>
        <v>0.32487623762376239</v>
      </c>
      <c r="W598">
        <f>'Revenue Model'!AE118</f>
        <v>0.32289953850204423</v>
      </c>
      <c r="X598">
        <f>'Revenue Model'!AF118</f>
        <v>0.32236839731183253</v>
      </c>
      <c r="Y598">
        <f>'Revenue Model'!AG118</f>
        <v>0.31860570700728486</v>
      </c>
      <c r="Z598">
        <f>'Revenue Model'!AH118</f>
        <v>0</v>
      </c>
      <c r="AA598">
        <f>'Revenue Model'!AI118</f>
        <v>0.26354738601098104</v>
      </c>
      <c r="AB598">
        <f>'Revenue Model'!AJ118</f>
        <v>0.323943661971831</v>
      </c>
      <c r="AC598">
        <f>'Revenue Model'!AK118</f>
        <v>0.32075471698113206</v>
      </c>
      <c r="AD598">
        <f>'Revenue Model'!AL118</f>
        <v>0.32659507264687304</v>
      </c>
      <c r="AE598">
        <f>'Revenue Model'!AM118</f>
        <v>0.32085561497326204</v>
      </c>
      <c r="AF598">
        <f>'Revenue Model'!AN118</f>
        <v>0.31860570700728486</v>
      </c>
      <c r="AG598">
        <f>'Revenue Model'!AO118</f>
        <v>0.31695132601096265</v>
      </c>
      <c r="AH598">
        <f>'Revenue Model'!AP118</f>
        <v>0.31551193019315732</v>
      </c>
      <c r="AI598">
        <f>'Revenue Model'!AQ118</f>
        <v>0.31477979252466259</v>
      </c>
      <c r="AJ598">
        <f>'Revenue Model'!AR118</f>
        <v>0.3142114437022438</v>
      </c>
      <c r="AK598">
        <f>'Revenue Model'!AS118</f>
        <v>0.31375970773071427</v>
      </c>
      <c r="AL598">
        <f>'Revenue Model'!AT118</f>
        <v>0.31339387756787107</v>
      </c>
      <c r="AM598">
        <f>'Revenue Model'!AU118</f>
        <v>0.31306119660436238</v>
      </c>
    </row>
    <row r="599" spans="1:39">
      <c r="A599" t="str">
        <f>'Revenue Model'!I119</f>
        <v>Contrib to total DAU Growth</v>
      </c>
      <c r="B599">
        <f>'Revenue Model'!J119</f>
        <v>0</v>
      </c>
      <c r="C599">
        <f>'Revenue Model'!K119</f>
        <v>0</v>
      </c>
      <c r="D599">
        <f>'Revenue Model'!L119</f>
        <v>0</v>
      </c>
      <c r="E599">
        <f>'Revenue Model'!M119</f>
        <v>0</v>
      </c>
      <c r="F599">
        <f>'Revenue Model'!N119</f>
        <v>0</v>
      </c>
      <c r="G599">
        <f>'Revenue Model'!O119</f>
        <v>0</v>
      </c>
      <c r="H599">
        <f>'Revenue Model'!P119</f>
        <v>0</v>
      </c>
      <c r="I599">
        <f>'Revenue Model'!Q119</f>
        <v>0</v>
      </c>
      <c r="J599">
        <f>'Revenue Model'!R119</f>
        <v>0</v>
      </c>
      <c r="K599">
        <f>'Revenue Model'!S119</f>
        <v>0</v>
      </c>
      <c r="L599">
        <f>'Revenue Model'!T119</f>
        <v>0</v>
      </c>
      <c r="M599">
        <f>'Revenue Model'!U119</f>
        <v>0</v>
      </c>
      <c r="N599">
        <f>'Revenue Model'!V119</f>
        <v>0.29268292682926828</v>
      </c>
      <c r="O599">
        <f>'Revenue Model'!W119</f>
        <v>0.30357142857142855</v>
      </c>
      <c r="P599">
        <f>'Revenue Model'!X119</f>
        <v>0.32246998284734135</v>
      </c>
      <c r="Q599">
        <f>'Revenue Model'!Y119</f>
        <v>0.33843212237093689</v>
      </c>
      <c r="R599">
        <f>'Revenue Model'!Z119</f>
        <v>0.36363636363636365</v>
      </c>
      <c r="S599">
        <f>'Revenue Model'!AA119</f>
        <v>0.35483870967741937</v>
      </c>
      <c r="T599">
        <f>'Revenue Model'!AB119</f>
        <v>0.32</v>
      </c>
      <c r="U599">
        <f>'Revenue Model'!AC119</f>
        <v>0.28919860627177701</v>
      </c>
      <c r="V599">
        <f>'Revenue Model'!AD119</f>
        <v>0.28653295128939843</v>
      </c>
      <c r="W599">
        <f>'Revenue Model'!AE119</f>
        <v>0.29302955935680025</v>
      </c>
      <c r="X599">
        <f>'Revenue Model'!AF119</f>
        <v>0.33515714680720959</v>
      </c>
      <c r="Y599">
        <f>'Revenue Model'!AG119</f>
        <v>0.30357915357667603</v>
      </c>
      <c r="Z599">
        <f>'Revenue Model'!AH119</f>
        <v>0</v>
      </c>
      <c r="AA599">
        <f>'Revenue Model'!AI119</f>
        <v>0</v>
      </c>
      <c r="AB599">
        <f>'Revenue Model'!AJ119</f>
        <v>0</v>
      </c>
      <c r="AC599">
        <f>'Revenue Model'!AK119</f>
        <v>0</v>
      </c>
      <c r="AD599">
        <f>'Revenue Model'!AL119</f>
        <v>0.33843212237093689</v>
      </c>
      <c r="AE599">
        <f>'Revenue Model'!AM119</f>
        <v>0.28919860627177701</v>
      </c>
      <c r="AF599">
        <f>'Revenue Model'!AN119</f>
        <v>0.30357915357667603</v>
      </c>
      <c r="AG599">
        <f>'Revenue Model'!AO119</f>
        <v>0.30357915357667581</v>
      </c>
      <c r="AH599">
        <f>'Revenue Model'!AP119</f>
        <v>0.30140306838055642</v>
      </c>
      <c r="AI599">
        <f>'Revenue Model'!AQ119</f>
        <v>0.30605103167726755</v>
      </c>
      <c r="AJ599">
        <f>'Revenue Model'!AR119</f>
        <v>0.30605103167726799</v>
      </c>
      <c r="AK599">
        <f>'Revenue Model'!AS119</f>
        <v>0.30605103167726605</v>
      </c>
      <c r="AL599">
        <f>'Revenue Model'!AT119</f>
        <v>0.3060510316772681</v>
      </c>
      <c r="AM599">
        <f>'Revenue Model'!AU119</f>
        <v>0.30605103167726594</v>
      </c>
    </row>
    <row r="600" spans="1:39">
      <c r="A600">
        <f>'Revenue Model'!I120</f>
        <v>0</v>
      </c>
      <c r="B600">
        <f>'Revenue Model'!J120</f>
        <v>0</v>
      </c>
      <c r="C600">
        <f>'Revenue Model'!K120</f>
        <v>0</v>
      </c>
      <c r="D600">
        <f>'Revenue Model'!L120</f>
        <v>0</v>
      </c>
      <c r="E600">
        <f>'Revenue Model'!M120</f>
        <v>0</v>
      </c>
      <c r="F600">
        <f>'Revenue Model'!N120</f>
        <v>0</v>
      </c>
      <c r="G600">
        <f>'Revenue Model'!O120</f>
        <v>0</v>
      </c>
      <c r="H600">
        <f>'Revenue Model'!P120</f>
        <v>0</v>
      </c>
      <c r="I600">
        <f>'Revenue Model'!Q120</f>
        <v>0</v>
      </c>
      <c r="J600">
        <f>'Revenue Model'!R120</f>
        <v>0</v>
      </c>
      <c r="K600">
        <f>'Revenue Model'!S120</f>
        <v>0</v>
      </c>
      <c r="L600">
        <f>'Revenue Model'!T120</f>
        <v>0</v>
      </c>
      <c r="M600">
        <f>'Revenue Model'!U120</f>
        <v>0</v>
      </c>
      <c r="N600">
        <f>'Revenue Model'!V120</f>
        <v>0</v>
      </c>
      <c r="O600">
        <f>'Revenue Model'!W120</f>
        <v>0</v>
      </c>
      <c r="P600">
        <f>'Revenue Model'!X120</f>
        <v>0</v>
      </c>
      <c r="Q600">
        <f>'Revenue Model'!Y120</f>
        <v>0</v>
      </c>
      <c r="R600">
        <f>'Revenue Model'!Z120</f>
        <v>0</v>
      </c>
      <c r="S600">
        <f>'Revenue Model'!AA120</f>
        <v>0</v>
      </c>
      <c r="T600">
        <f>'Revenue Model'!AB120</f>
        <v>0</v>
      </c>
      <c r="U600">
        <f>'Revenue Model'!AC120</f>
        <v>0</v>
      </c>
      <c r="V600">
        <f>'Revenue Model'!AD120</f>
        <v>0</v>
      </c>
      <c r="W600">
        <f>'Revenue Model'!AE120</f>
        <v>0</v>
      </c>
      <c r="X600">
        <f>'Revenue Model'!AF120</f>
        <v>0</v>
      </c>
      <c r="Y600">
        <f>'Revenue Model'!AG120</f>
        <v>0</v>
      </c>
      <c r="Z600">
        <f>'Revenue Model'!AH120</f>
        <v>0</v>
      </c>
      <c r="AA600">
        <f>'Revenue Model'!AI120</f>
        <v>0</v>
      </c>
      <c r="AB600">
        <f>'Revenue Model'!AJ120</f>
        <v>0</v>
      </c>
      <c r="AC600">
        <f>'Revenue Model'!AK120</f>
        <v>0</v>
      </c>
      <c r="AD600">
        <f>'Revenue Model'!AL120</f>
        <v>0</v>
      </c>
      <c r="AE600">
        <f>'Revenue Model'!AM120</f>
        <v>0</v>
      </c>
      <c r="AF600">
        <f>'Revenue Model'!AN120</f>
        <v>0</v>
      </c>
      <c r="AG600">
        <f>'Revenue Model'!AO120</f>
        <v>0</v>
      </c>
      <c r="AH600">
        <f>'Revenue Model'!AP120</f>
        <v>0</v>
      </c>
      <c r="AI600">
        <f>'Revenue Model'!AQ120</f>
        <v>0</v>
      </c>
      <c r="AJ600">
        <f>'Revenue Model'!AR120</f>
        <v>0</v>
      </c>
      <c r="AK600">
        <f>'Revenue Model'!AS120</f>
        <v>0</v>
      </c>
      <c r="AL600">
        <f>'Revenue Model'!AT120</f>
        <v>0</v>
      </c>
      <c r="AM600">
        <f>'Revenue Model'!AU120</f>
        <v>0</v>
      </c>
    </row>
    <row r="601" spans="1:39">
      <c r="A601" t="str">
        <f>'Revenue Model'!I121</f>
        <v>Europe Revenue</v>
      </c>
      <c r="B601">
        <f>'Revenue Model'!J121</f>
        <v>0</v>
      </c>
      <c r="C601">
        <f>'Revenue Model'!K121</f>
        <v>0</v>
      </c>
      <c r="D601">
        <f>'Revenue Model'!L121</f>
        <v>0</v>
      </c>
      <c r="E601">
        <f>'Revenue Model'!M121</f>
        <v>0</v>
      </c>
      <c r="F601">
        <f>'Revenue Model'!N121</f>
        <v>0</v>
      </c>
      <c r="G601">
        <f>'Revenue Model'!O121</f>
        <v>0</v>
      </c>
      <c r="H601">
        <f>'Revenue Model'!P121</f>
        <v>0</v>
      </c>
      <c r="I601">
        <f>'Revenue Model'!Q121</f>
        <v>0</v>
      </c>
      <c r="J601">
        <f>'Revenue Model'!R121</f>
        <v>8.9999999999999993E-3</v>
      </c>
      <c r="K601">
        <f>'Revenue Model'!S121</f>
        <v>7.9000000000000001E-2</v>
      </c>
      <c r="L601">
        <f>'Revenue Model'!T121</f>
        <v>0.86</v>
      </c>
      <c r="M601">
        <f>'Revenue Model'!U121</f>
        <v>1.2569999999999999</v>
      </c>
      <c r="N601">
        <f>'Revenue Model'!V121</f>
        <v>2.702</v>
      </c>
      <c r="O601">
        <f>'Revenue Model'!W121</f>
        <v>6.2359999999999998</v>
      </c>
      <c r="P601">
        <f>'Revenue Model'!X121</f>
        <v>11.791</v>
      </c>
      <c r="Q601">
        <f>'Revenue Model'!Y121</f>
        <v>14.664999999999999</v>
      </c>
      <c r="R601">
        <f>'Revenue Model'!Z121</f>
        <v>13</v>
      </c>
      <c r="S601">
        <f>'Revenue Model'!AA121</f>
        <v>22</v>
      </c>
      <c r="T601">
        <f>'Revenue Model'!AB121</f>
        <v>27</v>
      </c>
      <c r="U601">
        <f>'Revenue Model'!AC121</f>
        <v>40</v>
      </c>
      <c r="V601">
        <f>'Revenue Model'!AD121</f>
        <v>32</v>
      </c>
      <c r="W601">
        <f>'Revenue Model'!AE121</f>
        <v>46</v>
      </c>
      <c r="X601">
        <f>'Revenue Model'!AF121</f>
        <v>60</v>
      </c>
      <c r="Y601">
        <f>'Revenue Model'!AG121</f>
        <v>75</v>
      </c>
      <c r="Z601">
        <f>'Revenue Model'!AH121</f>
        <v>0</v>
      </c>
      <c r="AA601">
        <f>'Revenue Model'!AI121</f>
        <v>0</v>
      </c>
      <c r="AB601">
        <f>'Revenue Model'!AJ121</f>
        <v>0</v>
      </c>
      <c r="AC601">
        <f>'Revenue Model'!AK121</f>
        <v>2.2050000000000001</v>
      </c>
      <c r="AD601">
        <f>'Revenue Model'!AL121</f>
        <v>35.393999999999998</v>
      </c>
      <c r="AE601">
        <f>'Revenue Model'!AM121</f>
        <v>102</v>
      </c>
      <c r="AF601">
        <f>'Revenue Model'!AN121</f>
        <v>213</v>
      </c>
      <c r="AG601">
        <f>'Revenue Model'!AO121</f>
        <v>375.25588235294117</v>
      </c>
      <c r="AH601">
        <f>'Revenue Model'!AP121</f>
        <v>603.94123183391002</v>
      </c>
      <c r="AI601">
        <f>'Revenue Model'!AQ121</f>
        <v>898.38034533034806</v>
      </c>
      <c r="AJ601">
        <f>'Revenue Model'!AR121</f>
        <v>1248.7698183702505</v>
      </c>
      <c r="AK601">
        <f>'Revenue Model'!AS121</f>
        <v>1638.4095079571734</v>
      </c>
      <c r="AL601">
        <f>'Revenue Model'!AT121</f>
        <v>2047.3811936629334</v>
      </c>
      <c r="AM601">
        <f>'Revenue Model'!AU121</f>
        <v>2507.3326530442587</v>
      </c>
    </row>
    <row r="602" spans="1:39">
      <c r="A602" t="str">
        <f>'Revenue Model'!I122</f>
        <v>Y/Y % Growth</v>
      </c>
      <c r="B602">
        <f>'Revenue Model'!J122</f>
        <v>0</v>
      </c>
      <c r="C602">
        <f>'Revenue Model'!K122</f>
        <v>0</v>
      </c>
      <c r="D602">
        <f>'Revenue Model'!L122</f>
        <v>0</v>
      </c>
      <c r="E602">
        <f>'Revenue Model'!M122</f>
        <v>0</v>
      </c>
      <c r="F602">
        <f>'Revenue Model'!N122</f>
        <v>0</v>
      </c>
      <c r="G602">
        <f>'Revenue Model'!O122</f>
        <v>0</v>
      </c>
      <c r="H602">
        <f>'Revenue Model'!P122</f>
        <v>0</v>
      </c>
      <c r="I602">
        <f>'Revenue Model'!Q122</f>
        <v>0</v>
      </c>
      <c r="J602">
        <f>'Revenue Model'!R122</f>
        <v>0</v>
      </c>
      <c r="K602">
        <f>'Revenue Model'!S122</f>
        <v>0</v>
      </c>
      <c r="L602">
        <f>'Revenue Model'!T122</f>
        <v>0</v>
      </c>
      <c r="M602">
        <f>'Revenue Model'!U122</f>
        <v>0</v>
      </c>
      <c r="N602">
        <f>'Revenue Model'!V122</f>
        <v>299.22222222222223</v>
      </c>
      <c r="O602">
        <f>'Revenue Model'!W122</f>
        <v>77.936708860759495</v>
      </c>
      <c r="P602">
        <f>'Revenue Model'!X122</f>
        <v>12.710465116279071</v>
      </c>
      <c r="Q602">
        <f>'Revenue Model'!Y122</f>
        <v>10.666666666666666</v>
      </c>
      <c r="R602">
        <f>'Revenue Model'!Z122</f>
        <v>3.8112509252405626</v>
      </c>
      <c r="S602">
        <f>'Revenue Model'!AA122</f>
        <v>2.5279025016035921</v>
      </c>
      <c r="T602">
        <f>'Revenue Model'!AB122</f>
        <v>1.2898821134763803</v>
      </c>
      <c r="U602">
        <f>'Revenue Model'!AC122</f>
        <v>1.7275826798499829</v>
      </c>
      <c r="V602">
        <f>'Revenue Model'!AD122</f>
        <v>1.4615384615384617</v>
      </c>
      <c r="W602">
        <f>'Revenue Model'!AE122</f>
        <v>1.0909090909090908</v>
      </c>
      <c r="X602">
        <f>'Revenue Model'!AF122</f>
        <v>1.2222222222222223</v>
      </c>
      <c r="Y602">
        <f>'Revenue Model'!AG122</f>
        <v>0.875</v>
      </c>
      <c r="Z602">
        <f>'Revenue Model'!AH122</f>
        <v>0</v>
      </c>
      <c r="AA602">
        <f>'Revenue Model'!AI122</f>
        <v>0</v>
      </c>
      <c r="AB602">
        <f>'Revenue Model'!AJ122</f>
        <v>0</v>
      </c>
      <c r="AC602">
        <f>'Revenue Model'!AK122</f>
        <v>0</v>
      </c>
      <c r="AD602">
        <f>'Revenue Model'!AL122</f>
        <v>15.051700680272109</v>
      </c>
      <c r="AE602">
        <f>'Revenue Model'!AM122</f>
        <v>1.8818443804034581</v>
      </c>
      <c r="AF602">
        <f>'Revenue Model'!AN122</f>
        <v>1.0882352941176472</v>
      </c>
      <c r="AG602">
        <f>'Revenue Model'!AO122</f>
        <v>0.76176470588235301</v>
      </c>
      <c r="AH602">
        <f>'Revenue Model'!AP122</f>
        <v>0.60941176470588243</v>
      </c>
      <c r="AI602">
        <f>'Revenue Model'!AQ122</f>
        <v>0.48752941176470599</v>
      </c>
      <c r="AJ602">
        <f>'Revenue Model'!AR122</f>
        <v>0.39002352941176482</v>
      </c>
      <c r="AK602">
        <f>'Revenue Model'!AS122</f>
        <v>0.3120188235294119</v>
      </c>
      <c r="AL602">
        <f>'Revenue Model'!AT122</f>
        <v>0.24961505882352952</v>
      </c>
      <c r="AM602">
        <f>'Revenue Model'!AU122</f>
        <v>0.22465355294117659</v>
      </c>
    </row>
    <row r="603" spans="1:39">
      <c r="A603" t="str">
        <f>'Revenue Model'!I123</f>
        <v>Y/Y Abs Growth</v>
      </c>
      <c r="B603">
        <f>'Revenue Model'!J123</f>
        <v>0</v>
      </c>
      <c r="C603">
        <f>'Revenue Model'!K123</f>
        <v>0</v>
      </c>
      <c r="D603">
        <f>'Revenue Model'!L123</f>
        <v>0</v>
      </c>
      <c r="E603">
        <f>'Revenue Model'!M123</f>
        <v>0</v>
      </c>
      <c r="F603">
        <f>'Revenue Model'!N123</f>
        <v>0</v>
      </c>
      <c r="G603">
        <f>'Revenue Model'!O123</f>
        <v>0</v>
      </c>
      <c r="H603">
        <f>'Revenue Model'!P123</f>
        <v>0</v>
      </c>
      <c r="I603">
        <f>'Revenue Model'!Q123</f>
        <v>0</v>
      </c>
      <c r="J603">
        <f>'Revenue Model'!R123</f>
        <v>0</v>
      </c>
      <c r="K603">
        <f>'Revenue Model'!S123</f>
        <v>0</v>
      </c>
      <c r="L603">
        <f>'Revenue Model'!T123</f>
        <v>0</v>
      </c>
      <c r="M603">
        <f>'Revenue Model'!U123</f>
        <v>0</v>
      </c>
      <c r="N603">
        <f>'Revenue Model'!V123</f>
        <v>2.6930000000000001</v>
      </c>
      <c r="O603">
        <f>'Revenue Model'!W123</f>
        <v>6.157</v>
      </c>
      <c r="P603">
        <f>'Revenue Model'!X123</f>
        <v>10.931000000000001</v>
      </c>
      <c r="Q603">
        <f>'Revenue Model'!Y123</f>
        <v>13.407999999999999</v>
      </c>
      <c r="R603">
        <f>'Revenue Model'!Z123</f>
        <v>10.298</v>
      </c>
      <c r="S603">
        <f>'Revenue Model'!AA123</f>
        <v>15.763999999999999</v>
      </c>
      <c r="T603">
        <f>'Revenue Model'!AB123</f>
        <v>15.209</v>
      </c>
      <c r="U603">
        <f>'Revenue Model'!AC123</f>
        <v>25.335000000000001</v>
      </c>
      <c r="V603">
        <f>'Revenue Model'!AD123</f>
        <v>19</v>
      </c>
      <c r="W603">
        <f>'Revenue Model'!AE123</f>
        <v>24</v>
      </c>
      <c r="X603">
        <f>'Revenue Model'!AF123</f>
        <v>33</v>
      </c>
      <c r="Y603">
        <f>'Revenue Model'!AG123</f>
        <v>35</v>
      </c>
      <c r="Z603">
        <f>'Revenue Model'!AH123</f>
        <v>0</v>
      </c>
      <c r="AA603">
        <f>'Revenue Model'!AI123</f>
        <v>0</v>
      </c>
      <c r="AB603">
        <f>'Revenue Model'!AJ123</f>
        <v>0</v>
      </c>
      <c r="AC603">
        <f>'Revenue Model'!AK123</f>
        <v>2.2050000000000001</v>
      </c>
      <c r="AD603">
        <f>'Revenue Model'!AL123</f>
        <v>33.189</v>
      </c>
      <c r="AE603">
        <f>'Revenue Model'!AM123</f>
        <v>66.605999999999995</v>
      </c>
      <c r="AF603">
        <f>'Revenue Model'!AN123</f>
        <v>111</v>
      </c>
      <c r="AG603">
        <f>'Revenue Model'!AO123</f>
        <v>162.25588235294117</v>
      </c>
      <c r="AH603">
        <f>'Revenue Model'!AP123</f>
        <v>228.68534948096885</v>
      </c>
      <c r="AI603">
        <f>'Revenue Model'!AQ123</f>
        <v>294.43911349643804</v>
      </c>
      <c r="AJ603">
        <f>'Revenue Model'!AR123</f>
        <v>350.38947303990244</v>
      </c>
      <c r="AK603">
        <f>'Revenue Model'!AS123</f>
        <v>389.63968958692294</v>
      </c>
      <c r="AL603">
        <f>'Revenue Model'!AT123</f>
        <v>408.97168570575991</v>
      </c>
      <c r="AM603">
        <f>'Revenue Model'!AU123</f>
        <v>459.95145938132532</v>
      </c>
    </row>
    <row r="604" spans="1:39">
      <c r="A604" t="str">
        <f>'Revenue Model'!I124</f>
        <v>Q/Q % Growth</v>
      </c>
      <c r="B604">
        <f>'Revenue Model'!J124</f>
        <v>0</v>
      </c>
      <c r="C604">
        <f>'Revenue Model'!K124</f>
        <v>0</v>
      </c>
      <c r="D604">
        <f>'Revenue Model'!L124</f>
        <v>0</v>
      </c>
      <c r="E604">
        <f>'Revenue Model'!M124</f>
        <v>0</v>
      </c>
      <c r="F604">
        <f>'Revenue Model'!N124</f>
        <v>0</v>
      </c>
      <c r="G604">
        <f>'Revenue Model'!O124</f>
        <v>0</v>
      </c>
      <c r="H604">
        <f>'Revenue Model'!P124</f>
        <v>0</v>
      </c>
      <c r="I604">
        <f>'Revenue Model'!Q124</f>
        <v>0</v>
      </c>
      <c r="J604">
        <f>'Revenue Model'!R124</f>
        <v>0</v>
      </c>
      <c r="K604">
        <f>'Revenue Model'!S124</f>
        <v>7.7777777777777786</v>
      </c>
      <c r="L604">
        <f>'Revenue Model'!T124</f>
        <v>9.886075949367088</v>
      </c>
      <c r="M604">
        <f>'Revenue Model'!U124</f>
        <v>0.46162790697674416</v>
      </c>
      <c r="N604">
        <f>'Revenue Model'!V124</f>
        <v>1.1495624502784407</v>
      </c>
      <c r="O604">
        <f>'Revenue Model'!W124</f>
        <v>1.3079200592153959</v>
      </c>
      <c r="P604">
        <f>'Revenue Model'!X124</f>
        <v>0.89079538165490701</v>
      </c>
      <c r="Q604">
        <f>'Revenue Model'!Y124</f>
        <v>0.24374522941226351</v>
      </c>
      <c r="R604">
        <f>'Revenue Model'!Z124</f>
        <v>-0.11353562904875547</v>
      </c>
      <c r="S604">
        <f>'Revenue Model'!AA124</f>
        <v>0.69230769230769229</v>
      </c>
      <c r="T604">
        <f>'Revenue Model'!AB124</f>
        <v>0.22727272727272729</v>
      </c>
      <c r="U604">
        <f>'Revenue Model'!AC124</f>
        <v>0.4814814814814814</v>
      </c>
      <c r="V604">
        <f>'Revenue Model'!AD124</f>
        <v>-0.19999999999999996</v>
      </c>
      <c r="W604">
        <f>'Revenue Model'!AE124</f>
        <v>0.4375</v>
      </c>
      <c r="X604">
        <f>'Revenue Model'!AF124</f>
        <v>0.30434782608695654</v>
      </c>
      <c r="Y604">
        <f>'Revenue Model'!AG124</f>
        <v>0.25</v>
      </c>
      <c r="Z604">
        <f>'Revenue Model'!AH124</f>
        <v>0</v>
      </c>
      <c r="AA604">
        <f>'Revenue Model'!AI124</f>
        <v>0</v>
      </c>
      <c r="AB604">
        <f>'Revenue Model'!AJ124</f>
        <v>0</v>
      </c>
      <c r="AC604">
        <f>'Revenue Model'!AK124</f>
        <v>0</v>
      </c>
      <c r="AD604">
        <f>'Revenue Model'!AL124</f>
        <v>0</v>
      </c>
      <c r="AE604">
        <f>'Revenue Model'!AM124</f>
        <v>0</v>
      </c>
      <c r="AF604">
        <f>'Revenue Model'!AN124</f>
        <v>0</v>
      </c>
      <c r="AG604">
        <f>'Revenue Model'!AO124</f>
        <v>0</v>
      </c>
      <c r="AH604">
        <f>'Revenue Model'!AP124</f>
        <v>0</v>
      </c>
      <c r="AI604">
        <f>'Revenue Model'!AQ124</f>
        <v>0</v>
      </c>
      <c r="AJ604">
        <f>'Revenue Model'!AR124</f>
        <v>0</v>
      </c>
      <c r="AK604">
        <f>'Revenue Model'!AS124</f>
        <v>0</v>
      </c>
      <c r="AL604">
        <f>'Revenue Model'!AT124</f>
        <v>0</v>
      </c>
      <c r="AM604">
        <f>'Revenue Model'!AU124</f>
        <v>0</v>
      </c>
    </row>
    <row r="605" spans="1:39">
      <c r="A605" t="str">
        <f>'Revenue Model'!I125</f>
        <v>Q/Q Abs Growth</v>
      </c>
      <c r="B605">
        <f>'Revenue Model'!J125</f>
        <v>0</v>
      </c>
      <c r="C605">
        <f>'Revenue Model'!K125</f>
        <v>0</v>
      </c>
      <c r="D605">
        <f>'Revenue Model'!L125</f>
        <v>0</v>
      </c>
      <c r="E605">
        <f>'Revenue Model'!M125</f>
        <v>0</v>
      </c>
      <c r="F605">
        <f>'Revenue Model'!N125</f>
        <v>0</v>
      </c>
      <c r="G605">
        <f>'Revenue Model'!O125</f>
        <v>0</v>
      </c>
      <c r="H605">
        <f>'Revenue Model'!P125</f>
        <v>0</v>
      </c>
      <c r="I605">
        <f>'Revenue Model'!Q125</f>
        <v>0</v>
      </c>
      <c r="J605">
        <f>'Revenue Model'!R125</f>
        <v>0</v>
      </c>
      <c r="K605">
        <f>'Revenue Model'!S125</f>
        <v>7.0000000000000007E-2</v>
      </c>
      <c r="L605">
        <f>'Revenue Model'!T125</f>
        <v>0.78100000000000003</v>
      </c>
      <c r="M605">
        <f>'Revenue Model'!U125</f>
        <v>0.39699999999999991</v>
      </c>
      <c r="N605">
        <f>'Revenue Model'!V125</f>
        <v>1.4450000000000001</v>
      </c>
      <c r="O605">
        <f>'Revenue Model'!W125</f>
        <v>3.5339999999999998</v>
      </c>
      <c r="P605">
        <f>'Revenue Model'!X125</f>
        <v>5.5550000000000006</v>
      </c>
      <c r="Q605">
        <f>'Revenue Model'!Y125</f>
        <v>2.8739999999999988</v>
      </c>
      <c r="R605">
        <f>'Revenue Model'!Z125</f>
        <v>-1.6649999999999991</v>
      </c>
      <c r="S605">
        <f>'Revenue Model'!AA125</f>
        <v>9</v>
      </c>
      <c r="T605">
        <f>'Revenue Model'!AB125</f>
        <v>5</v>
      </c>
      <c r="U605">
        <f>'Revenue Model'!AC125</f>
        <v>13</v>
      </c>
      <c r="V605">
        <f>'Revenue Model'!AD125</f>
        <v>-8</v>
      </c>
      <c r="W605">
        <f>'Revenue Model'!AE125</f>
        <v>14</v>
      </c>
      <c r="X605">
        <f>'Revenue Model'!AF125</f>
        <v>14</v>
      </c>
      <c r="Y605">
        <f>'Revenue Model'!AG125</f>
        <v>15</v>
      </c>
      <c r="Z605">
        <f>'Revenue Model'!AH125</f>
        <v>0</v>
      </c>
      <c r="AA605">
        <f>'Revenue Model'!AI125</f>
        <v>0</v>
      </c>
      <c r="AB605">
        <f>'Revenue Model'!AJ125</f>
        <v>0</v>
      </c>
      <c r="AC605">
        <f>'Revenue Model'!AK125</f>
        <v>0</v>
      </c>
      <c r="AD605">
        <f>'Revenue Model'!AL125</f>
        <v>0</v>
      </c>
      <c r="AE605">
        <f>'Revenue Model'!AM125</f>
        <v>0</v>
      </c>
      <c r="AF605">
        <f>'Revenue Model'!AN125</f>
        <v>0</v>
      </c>
      <c r="AG605">
        <f>'Revenue Model'!AO125</f>
        <v>0</v>
      </c>
      <c r="AH605">
        <f>'Revenue Model'!AP125</f>
        <v>0</v>
      </c>
      <c r="AI605">
        <f>'Revenue Model'!AQ125</f>
        <v>0</v>
      </c>
      <c r="AJ605">
        <f>'Revenue Model'!AR125</f>
        <v>0</v>
      </c>
      <c r="AK605">
        <f>'Revenue Model'!AS125</f>
        <v>0</v>
      </c>
      <c r="AL605">
        <f>'Revenue Model'!AT125</f>
        <v>0</v>
      </c>
      <c r="AM605">
        <f>'Revenue Model'!AU125</f>
        <v>0</v>
      </c>
    </row>
    <row r="606" spans="1:39">
      <c r="A606" t="str">
        <f>'Revenue Model'!I126</f>
        <v>% of Total Revenue</v>
      </c>
      <c r="B606">
        <f>'Revenue Model'!J126</f>
        <v>0</v>
      </c>
      <c r="C606">
        <f>'Revenue Model'!K126</f>
        <v>0</v>
      </c>
      <c r="D606">
        <f>'Revenue Model'!L126</f>
        <v>0</v>
      </c>
      <c r="E606">
        <f>'Revenue Model'!M126</f>
        <v>0</v>
      </c>
      <c r="F606">
        <f>'Revenue Model'!N126</f>
        <v>0</v>
      </c>
      <c r="G606">
        <f>'Revenue Model'!O126</f>
        <v>0</v>
      </c>
      <c r="H606">
        <f>'Revenue Model'!P126</f>
        <v>0</v>
      </c>
      <c r="I606">
        <f>'Revenue Model'!Q126</f>
        <v>0</v>
      </c>
      <c r="J606">
        <f>'Revenue Model'!R126</f>
        <v>2.2959183673469385E-3</v>
      </c>
      <c r="K606">
        <f>'Revenue Model'!S126</f>
        <v>1.4905660377358491E-2</v>
      </c>
      <c r="L606">
        <f>'Revenue Model'!T126</f>
        <v>5.1420029895366211E-2</v>
      </c>
      <c r="M606">
        <f>'Revenue Model'!U126</f>
        <v>3.8419218778653945E-2</v>
      </c>
      <c r="N606">
        <f>'Revenue Model'!V126</f>
        <v>6.9642765090984063E-2</v>
      </c>
      <c r="O606">
        <f>'Revenue Model'!W126</f>
        <v>8.6854787041421758E-2</v>
      </c>
      <c r="P606">
        <f>'Revenue Model'!X126</f>
        <v>9.1970609341362197E-2</v>
      </c>
      <c r="Q606">
        <f>'Revenue Model'!Y126</f>
        <v>8.8512934416532879E-2</v>
      </c>
      <c r="R606">
        <f>'Revenue Model'!Z126</f>
        <v>8.6870522826900456E-2</v>
      </c>
      <c r="S606">
        <f>'Revenue Model'!AA126</f>
        <v>0.12109802885435761</v>
      </c>
      <c r="T606">
        <f>'Revenue Model'!AB126</f>
        <v>0.12984702097269846</v>
      </c>
      <c r="U606">
        <f>'Revenue Model'!AC126</f>
        <v>0.14001043077709291</v>
      </c>
      <c r="V606">
        <f>'Revenue Model'!AD126</f>
        <v>0.12851405622489959</v>
      </c>
      <c r="W606">
        <f>'Revenue Model'!AE126</f>
        <v>0.15593220338983052</v>
      </c>
      <c r="X606">
        <f>'Revenue Model'!AF126</f>
        <v>0.17595307917888564</v>
      </c>
      <c r="Y606">
        <f>'Revenue Model'!AG126</f>
        <v>0.17523364485981308</v>
      </c>
      <c r="Z606">
        <f>'Revenue Model'!AH126</f>
        <v>0</v>
      </c>
      <c r="AA606">
        <f>'Revenue Model'!AI126</f>
        <v>0</v>
      </c>
      <c r="AB606">
        <f>'Revenue Model'!AJ126</f>
        <v>0</v>
      </c>
      <c r="AC606">
        <f>'Revenue Model'!AK126</f>
        <v>3.7587576496258289E-2</v>
      </c>
      <c r="AD606">
        <f>'Revenue Model'!AL126</f>
        <v>8.7504511943671162E-2</v>
      </c>
      <c r="AE606">
        <f>'Revenue Model'!AM126</f>
        <v>0.12364400708407429</v>
      </c>
      <c r="AF606">
        <f>'Revenue Model'!AN126</f>
        <v>0.16222391469916222</v>
      </c>
      <c r="AG606">
        <f>'Revenue Model'!AO126</f>
        <v>0.19054665949560512</v>
      </c>
      <c r="AH606">
        <f>'Revenue Model'!AP126</f>
        <v>0.2153181417259053</v>
      </c>
      <c r="AI606">
        <f>'Revenue Model'!AQ126</f>
        <v>0.23561436918097253</v>
      </c>
      <c r="AJ606">
        <f>'Revenue Model'!AR126</f>
        <v>0.25156727353504321</v>
      </c>
      <c r="AK606">
        <f>'Revenue Model'!AS126</f>
        <v>0.26582160965487617</v>
      </c>
      <c r="AL606">
        <f>'Revenue Model'!AT126</f>
        <v>0.27833271293532541</v>
      </c>
      <c r="AM606">
        <f>'Revenue Model'!AU126</f>
        <v>0.29340529596377912</v>
      </c>
    </row>
    <row r="607" spans="1:39">
      <c r="A607" t="str">
        <f>'Revenue Model'!I127</f>
        <v>Contrib to Total Revenue Growth</v>
      </c>
      <c r="B607">
        <f>'Revenue Model'!J127</f>
        <v>0</v>
      </c>
      <c r="C607">
        <f>'Revenue Model'!K127</f>
        <v>0</v>
      </c>
      <c r="D607">
        <f>'Revenue Model'!L127</f>
        <v>0</v>
      </c>
      <c r="E607">
        <f>'Revenue Model'!M127</f>
        <v>0</v>
      </c>
      <c r="F607">
        <f>'Revenue Model'!N127</f>
        <v>0</v>
      </c>
      <c r="G607">
        <f>'Revenue Model'!O127</f>
        <v>0</v>
      </c>
      <c r="H607">
        <f>'Revenue Model'!P127</f>
        <v>0</v>
      </c>
      <c r="I607">
        <f>'Revenue Model'!Q127</f>
        <v>0</v>
      </c>
      <c r="J607">
        <f>'Revenue Model'!R127</f>
        <v>0</v>
      </c>
      <c r="K607">
        <f>'Revenue Model'!S127</f>
        <v>0</v>
      </c>
      <c r="L607">
        <f>'Revenue Model'!T127</f>
        <v>0</v>
      </c>
      <c r="M607">
        <f>'Revenue Model'!U127</f>
        <v>0</v>
      </c>
      <c r="N607">
        <f>'Revenue Model'!V127</f>
        <v>7.7211996100693847E-2</v>
      </c>
      <c r="O607">
        <f>'Revenue Model'!W127</f>
        <v>9.2589250804535464E-2</v>
      </c>
      <c r="P607">
        <f>'Revenue Model'!X127</f>
        <v>9.8054342073394987E-2</v>
      </c>
      <c r="Q607">
        <f>'Revenue Model'!Y127</f>
        <v>0.10083932493005625</v>
      </c>
      <c r="R607">
        <f>'Revenue Model'!Z127</f>
        <v>9.2900315741993686E-2</v>
      </c>
      <c r="S607">
        <f>'Revenue Model'!AA127</f>
        <v>0.14347473901686494</v>
      </c>
      <c r="T607">
        <f>'Revenue Model'!AB127</f>
        <v>0.1907491252053729</v>
      </c>
      <c r="U607">
        <f>'Revenue Model'!AC127</f>
        <v>0.21110564864887388</v>
      </c>
      <c r="V607">
        <f>'Revenue Model'!AD127</f>
        <v>0.19123923021177228</v>
      </c>
      <c r="W607">
        <f>'Revenue Model'!AE127</f>
        <v>0.21177280307776472</v>
      </c>
      <c r="X607">
        <f>'Revenue Model'!AF127</f>
        <v>0.2480028257291659</v>
      </c>
      <c r="Y607">
        <f>'Revenue Model'!AG127</f>
        <v>0.24594714244555782</v>
      </c>
      <c r="Z607">
        <f>'Revenue Model'!AH127</f>
        <v>0</v>
      </c>
      <c r="AA607">
        <f>'Revenue Model'!AI127</f>
        <v>0</v>
      </c>
      <c r="AB607">
        <f>'Revenue Model'!AJ127</f>
        <v>0</v>
      </c>
      <c r="AC607">
        <f>'Revenue Model'!AK127</f>
        <v>3.7587576496258289E-2</v>
      </c>
      <c r="AD607">
        <f>'Revenue Model'!AL127</f>
        <v>9.5972170412846045E-2</v>
      </c>
      <c r="AE607">
        <f>'Revenue Model'!AM127</f>
        <v>0.15840957792169183</v>
      </c>
      <c r="AF607">
        <f>'Revenue Model'!AN127</f>
        <v>0.22743524754585073</v>
      </c>
      <c r="AG607">
        <f>'Revenue Model'!AO127</f>
        <v>0.24720381782892795</v>
      </c>
      <c r="AH607">
        <f>'Revenue Model'!AP127</f>
        <v>0.27370627224508431</v>
      </c>
      <c r="AI607">
        <f>'Revenue Model'!AQ127</f>
        <v>0.2920883033516774</v>
      </c>
      <c r="AJ607">
        <f>'Revenue Model'!AR127</f>
        <v>0.30441307408918356</v>
      </c>
      <c r="AK607">
        <f>'Revenue Model'!AS127</f>
        <v>0.32480583497358428</v>
      </c>
      <c r="AL607">
        <f>'Revenue Model'!AT127</f>
        <v>0.3430080785418187</v>
      </c>
      <c r="AM607">
        <f>'Revenue Model'!AU127</f>
        <v>0.38659455924822234</v>
      </c>
    </row>
    <row r="608" spans="1:39">
      <c r="A608">
        <f>'Revenue Model'!I128</f>
        <v>0</v>
      </c>
      <c r="B608">
        <f>'Revenue Model'!J128</f>
        <v>0</v>
      </c>
      <c r="C608">
        <f>'Revenue Model'!K128</f>
        <v>0</v>
      </c>
      <c r="D608">
        <f>'Revenue Model'!L128</f>
        <v>0</v>
      </c>
      <c r="E608">
        <f>'Revenue Model'!M128</f>
        <v>0</v>
      </c>
      <c r="F608">
        <f>'Revenue Model'!N128</f>
        <v>0</v>
      </c>
      <c r="G608">
        <f>'Revenue Model'!O128</f>
        <v>0</v>
      </c>
      <c r="H608">
        <f>'Revenue Model'!P128</f>
        <v>0</v>
      </c>
      <c r="I608">
        <f>'Revenue Model'!Q128</f>
        <v>0</v>
      </c>
      <c r="J608">
        <f>'Revenue Model'!R128</f>
        <v>0</v>
      </c>
      <c r="K608">
        <f>'Revenue Model'!S128</f>
        <v>0</v>
      </c>
      <c r="L608">
        <f>'Revenue Model'!T128</f>
        <v>0</v>
      </c>
      <c r="M608">
        <f>'Revenue Model'!U128</f>
        <v>0</v>
      </c>
      <c r="N608">
        <f>'Revenue Model'!V128</f>
        <v>0</v>
      </c>
      <c r="O608">
        <f>'Revenue Model'!W128</f>
        <v>0</v>
      </c>
      <c r="P608">
        <f>'Revenue Model'!X128</f>
        <v>0</v>
      </c>
      <c r="Q608">
        <f>'Revenue Model'!Y128</f>
        <v>0</v>
      </c>
      <c r="R608">
        <f>'Revenue Model'!Z128</f>
        <v>0</v>
      </c>
      <c r="S608">
        <f>'Revenue Model'!AA128</f>
        <v>0</v>
      </c>
      <c r="T608">
        <f>'Revenue Model'!AB128</f>
        <v>0</v>
      </c>
      <c r="U608">
        <f>'Revenue Model'!AC128</f>
        <v>0</v>
      </c>
      <c r="V608">
        <f>'Revenue Model'!AD128</f>
        <v>0</v>
      </c>
      <c r="W608">
        <f>'Revenue Model'!AE105</f>
        <v>0</v>
      </c>
      <c r="X608">
        <f>'Revenue Model'!AF128</f>
        <v>0</v>
      </c>
      <c r="Y608">
        <f>'Revenue Model'!AG128</f>
        <v>0</v>
      </c>
      <c r="Z608">
        <f>'Revenue Model'!AH128</f>
        <v>0</v>
      </c>
      <c r="AA608">
        <f>'Revenue Model'!AI128</f>
        <v>0</v>
      </c>
      <c r="AB608">
        <f>'Revenue Model'!AJ128</f>
        <v>0</v>
      </c>
      <c r="AC608">
        <f>'Revenue Model'!AK128</f>
        <v>0</v>
      </c>
      <c r="AD608">
        <f>'Revenue Model'!AL128</f>
        <v>0</v>
      </c>
      <c r="AE608">
        <f>'Revenue Model'!AM128</f>
        <v>0</v>
      </c>
      <c r="AF608">
        <f>'Revenue Model'!AN128</f>
        <v>0</v>
      </c>
      <c r="AG608">
        <f>'Revenue Model'!AO128</f>
        <v>0</v>
      </c>
      <c r="AH608">
        <f>'Revenue Model'!AP128</f>
        <v>0</v>
      </c>
      <c r="AI608">
        <f>'Revenue Model'!AQ128</f>
        <v>0</v>
      </c>
      <c r="AJ608">
        <f>'Revenue Model'!AR128</f>
        <v>0</v>
      </c>
      <c r="AK608">
        <f>'Revenue Model'!AS128</f>
        <v>0</v>
      </c>
      <c r="AL608">
        <f>'Revenue Model'!AT128</f>
        <v>0</v>
      </c>
      <c r="AM608">
        <f>'Revenue Model'!AU128</f>
        <v>0</v>
      </c>
    </row>
    <row r="609" spans="1:39">
      <c r="A609">
        <f>'Revenue Model'!I129</f>
        <v>0</v>
      </c>
      <c r="B609">
        <f>'Revenue Model'!J129</f>
        <v>0</v>
      </c>
      <c r="C609">
        <f>'Revenue Model'!K129</f>
        <v>0</v>
      </c>
      <c r="D609">
        <f>'Revenue Model'!L129</f>
        <v>0</v>
      </c>
      <c r="E609">
        <f>'Revenue Model'!M129</f>
        <v>0</v>
      </c>
      <c r="F609">
        <f>'Revenue Model'!N129</f>
        <v>0</v>
      </c>
      <c r="G609">
        <f>'Revenue Model'!O129</f>
        <v>0</v>
      </c>
      <c r="H609">
        <f>'Revenue Model'!P129</f>
        <v>0</v>
      </c>
      <c r="I609">
        <f>'Revenue Model'!Q129</f>
        <v>0</v>
      </c>
      <c r="J609">
        <f>'Revenue Model'!R129</f>
        <v>0</v>
      </c>
      <c r="K609">
        <f>'Revenue Model'!S129</f>
        <v>0</v>
      </c>
      <c r="L609">
        <f>'Revenue Model'!T129</f>
        <v>0</v>
      </c>
      <c r="M609">
        <f>'Revenue Model'!U129</f>
        <v>0</v>
      </c>
      <c r="N609">
        <f>'Revenue Model'!V129</f>
        <v>0</v>
      </c>
      <c r="O609">
        <f>'Revenue Model'!W129</f>
        <v>0</v>
      </c>
      <c r="P609">
        <f>'Revenue Model'!X129</f>
        <v>0</v>
      </c>
      <c r="Q609">
        <f>'Revenue Model'!Y129</f>
        <v>0</v>
      </c>
      <c r="R609">
        <f>'Revenue Model'!Z129</f>
        <v>0</v>
      </c>
      <c r="S609">
        <f>'Revenue Model'!AA129</f>
        <v>0</v>
      </c>
      <c r="T609">
        <f>'Revenue Model'!AB129</f>
        <v>0</v>
      </c>
      <c r="U609">
        <f>'Revenue Model'!AC129</f>
        <v>0</v>
      </c>
      <c r="V609">
        <f>'Revenue Model'!AD129</f>
        <v>0</v>
      </c>
      <c r="W609">
        <f>'Revenue Model'!AE129</f>
        <v>0</v>
      </c>
      <c r="X609">
        <f>'Revenue Model'!AF129</f>
        <v>0</v>
      </c>
      <c r="Y609">
        <f>'Revenue Model'!AG129</f>
        <v>0</v>
      </c>
      <c r="Z609">
        <f>'Revenue Model'!AH129</f>
        <v>0</v>
      </c>
      <c r="AA609">
        <f>'Revenue Model'!AI129</f>
        <v>0</v>
      </c>
      <c r="AB609">
        <f>'Revenue Model'!AJ129</f>
        <v>0</v>
      </c>
      <c r="AC609">
        <f>'Revenue Model'!AK129</f>
        <v>0</v>
      </c>
      <c r="AD609">
        <f>'Revenue Model'!AL129</f>
        <v>0</v>
      </c>
      <c r="AE609">
        <f>'Revenue Model'!AM129</f>
        <v>0</v>
      </c>
      <c r="AF609">
        <f>'Revenue Model'!AN129</f>
        <v>0</v>
      </c>
      <c r="AG609">
        <f>'Revenue Model'!AO129</f>
        <v>0</v>
      </c>
      <c r="AH609">
        <f>'Revenue Model'!AP129</f>
        <v>0</v>
      </c>
      <c r="AI609">
        <f>'Revenue Model'!AQ129</f>
        <v>0</v>
      </c>
      <c r="AJ609">
        <f>'Revenue Model'!AR129</f>
        <v>0</v>
      </c>
      <c r="AK609">
        <f>'Revenue Model'!AS129</f>
        <v>0</v>
      </c>
      <c r="AL609">
        <f>'Revenue Model'!AT129</f>
        <v>0</v>
      </c>
      <c r="AM609">
        <f>'Revenue Model'!AU129</f>
        <v>0</v>
      </c>
    </row>
    <row r="610" spans="1:39">
      <c r="A610" t="str">
        <f>'Revenue Model'!I130</f>
        <v>Europe ARPU</v>
      </c>
      <c r="B610">
        <f>'Revenue Model'!J130</f>
        <v>0</v>
      </c>
      <c r="C610">
        <f>'Revenue Model'!K130</f>
        <v>0</v>
      </c>
      <c r="D610">
        <f>'Revenue Model'!L130</f>
        <v>0</v>
      </c>
      <c r="E610">
        <f>'Revenue Model'!M130</f>
        <v>0</v>
      </c>
      <c r="F610">
        <f>'Revenue Model'!N130</f>
        <v>0</v>
      </c>
      <c r="G610">
        <f>'Revenue Model'!O130</f>
        <v>0</v>
      </c>
      <c r="H610">
        <f>'Revenue Model'!P130</f>
        <v>0</v>
      </c>
      <c r="I610">
        <f>'Revenue Model'!Q130</f>
        <v>0</v>
      </c>
      <c r="J610">
        <f>'Revenue Model'!R130</f>
        <v>3.3333333333333332E-4</v>
      </c>
      <c r="K610">
        <f>'Revenue Model'!S130</f>
        <v>2.7241379310344828E-3</v>
      </c>
      <c r="L610">
        <f>'Revenue Model'!T130</f>
        <v>2.8476821192052981E-2</v>
      </c>
      <c r="M610">
        <f>'Revenue Model'!U130</f>
        <v>3.6970588235294116E-2</v>
      </c>
      <c r="N610">
        <f>'Revenue Model'!V130</f>
        <v>6.9282051282051282E-2</v>
      </c>
      <c r="O610">
        <f>'Revenue Model'!W130</f>
        <v>0.13556521739130434</v>
      </c>
      <c r="P610">
        <f>'Revenue Model'!X130</f>
        <v>0.2406326530612245</v>
      </c>
      <c r="Q610">
        <f>'Revenue Model'!Y130</f>
        <v>0.28365570599613149</v>
      </c>
      <c r="R610">
        <f>'Revenue Model'!Z130</f>
        <v>0.23636363636363636</v>
      </c>
      <c r="S610">
        <f>'Revenue Model'!AA130</f>
        <v>0.38596491228070173</v>
      </c>
      <c r="T610">
        <f>'Revenue Model'!AB130</f>
        <v>0.47368421052631576</v>
      </c>
      <c r="U610">
        <f>'Revenue Model'!AC130</f>
        <v>0.66666666666666663</v>
      </c>
      <c r="V610">
        <f>'Revenue Model'!AD130</f>
        <v>0.50793650793650791</v>
      </c>
      <c r="W610">
        <f>'Revenue Model'!AE130</f>
        <v>0.70769230769230773</v>
      </c>
      <c r="X610">
        <f>'Revenue Model'!AF130</f>
        <v>0.89552238805970152</v>
      </c>
      <c r="Y610">
        <f>'Revenue Model'!AG130</f>
        <v>1.0948905109489051</v>
      </c>
      <c r="Z610">
        <f>'Revenue Model'!AH130</f>
        <v>0</v>
      </c>
      <c r="AA610">
        <f>'Revenue Model'!AI130</f>
        <v>0</v>
      </c>
      <c r="AB610">
        <f>'Revenue Model'!AJ130</f>
        <v>0</v>
      </c>
      <c r="AC610">
        <f>'Revenue Model'!AK130</f>
        <v>7.7368421052631586E-2</v>
      </c>
      <c r="AD610">
        <f>'Revenue Model'!AL130</f>
        <v>0.82599766627771287</v>
      </c>
      <c r="AE610">
        <f>'Revenue Model'!AM130</f>
        <v>1.8263205013428827</v>
      </c>
      <c r="AF610">
        <f>'Revenue Model'!AN130</f>
        <v>3.3151750972762648</v>
      </c>
      <c r="AG610">
        <f>'Revenue Model'!AO130</f>
        <v>5.1732673769145778</v>
      </c>
      <c r="AH610">
        <f>'Revenue Model'!AP130</f>
        <v>7.5220449975888499</v>
      </c>
      <c r="AI610">
        <f>'Revenue Model'!AQ130</f>
        <v>10.276442174534822</v>
      </c>
      <c r="AJ610">
        <f>'Revenue Model'!AR130</f>
        <v>13.296910103434641</v>
      </c>
      <c r="AK610">
        <f>'Revenue Model'!AS130</f>
        <v>16.423851080517363</v>
      </c>
      <c r="AL610">
        <f>'Revenue Model'!AT130</f>
        <v>19.495670541543365</v>
      </c>
      <c r="AM610">
        <f>'Revenue Model'!AU130</f>
        <v>22.793994260098614</v>
      </c>
    </row>
    <row r="611" spans="1:39">
      <c r="A611" t="str">
        <f>'Revenue Model'!I131</f>
        <v>Y/Y % Growth</v>
      </c>
      <c r="B611">
        <f>'Revenue Model'!J131</f>
        <v>0</v>
      </c>
      <c r="C611">
        <f>'Revenue Model'!K131</f>
        <v>0</v>
      </c>
      <c r="D611">
        <f>'Revenue Model'!L131</f>
        <v>0</v>
      </c>
      <c r="E611">
        <f>'Revenue Model'!M131</f>
        <v>0</v>
      </c>
      <c r="F611">
        <f>'Revenue Model'!N131</f>
        <v>0</v>
      </c>
      <c r="G611">
        <f>'Revenue Model'!O131</f>
        <v>0</v>
      </c>
      <c r="H611">
        <f>'Revenue Model'!P131</f>
        <v>0</v>
      </c>
      <c r="I611">
        <f>'Revenue Model'!Q131</f>
        <v>0</v>
      </c>
      <c r="J611">
        <f>'Revenue Model'!R131</f>
        <v>0</v>
      </c>
      <c r="K611">
        <f>'Revenue Model'!S131</f>
        <v>0</v>
      </c>
      <c r="L611">
        <f>'Revenue Model'!T131</f>
        <v>0</v>
      </c>
      <c r="M611">
        <f>'Revenue Model'!U131</f>
        <v>0</v>
      </c>
      <c r="N611">
        <f>'Revenue Model'!V131</f>
        <v>0</v>
      </c>
      <c r="O611">
        <f>'Revenue Model'!W131</f>
        <v>0</v>
      </c>
      <c r="P611">
        <f>'Revenue Model'!X131</f>
        <v>7.4501233981964887</v>
      </c>
      <c r="Q611">
        <f>'Revenue Model'!Y131</f>
        <v>6.6724693745970338</v>
      </c>
      <c r="R611">
        <f>'Revenue Model'!Z131</f>
        <v>0</v>
      </c>
      <c r="S611">
        <f>'Revenue Model'!AA131</f>
        <v>1.8470792118204429</v>
      </c>
      <c r="T611">
        <f>'Revenue Model'!AB131</f>
        <v>0.9684951501814496</v>
      </c>
      <c r="U611">
        <f>'Revenue Model'!AC131</f>
        <v>1.3502670758040689</v>
      </c>
      <c r="V611">
        <f>'Revenue Model'!AD131</f>
        <v>1.1489621489621489</v>
      </c>
      <c r="W611">
        <f>'Revenue Model'!AE131</f>
        <v>0.83356643356643367</v>
      </c>
      <c r="X611">
        <f>'Revenue Model'!AF131</f>
        <v>0.89054726368159232</v>
      </c>
      <c r="Y611">
        <f>'Revenue Model'!AG131</f>
        <v>0.64233576642335777</v>
      </c>
      <c r="Z611">
        <f>'Revenue Model'!AH131</f>
        <v>0</v>
      </c>
      <c r="AA611">
        <f>'Revenue Model'!AI131</f>
        <v>0</v>
      </c>
      <c r="AB611">
        <f>'Revenue Model'!AJ131</f>
        <v>0</v>
      </c>
      <c r="AC611">
        <f>'Revenue Model'!AK131</f>
        <v>0</v>
      </c>
      <c r="AD611">
        <f>'Revenue Model'!AL131</f>
        <v>9.6761603124330229</v>
      </c>
      <c r="AE611">
        <f>'Revenue Model'!AM131</f>
        <v>1.211048016119753</v>
      </c>
      <c r="AF611">
        <f>'Revenue Model'!AN131</f>
        <v>0.81522087434195489</v>
      </c>
      <c r="AG611">
        <f>'Revenue Model'!AO131</f>
        <v>0.56048088716789479</v>
      </c>
      <c r="AH611">
        <f>'Revenue Model'!AP131</f>
        <v>0.45402208112334641</v>
      </c>
      <c r="AI611">
        <f>'Revenue Model'!AQ131</f>
        <v>0.36617664183461796</v>
      </c>
      <c r="AJ611">
        <f>'Revenue Model'!AR131</f>
        <v>0.29392156133419256</v>
      </c>
      <c r="AK611">
        <f>'Revenue Model'!AS131</f>
        <v>0.23516297792184226</v>
      </c>
      <c r="AL611">
        <f>'Revenue Model'!AT131</f>
        <v>0.1870340546785596</v>
      </c>
      <c r="AM611">
        <f>'Revenue Model'!AU131</f>
        <v>0.16918236854315127</v>
      </c>
    </row>
    <row r="612" spans="1:39">
      <c r="A612" t="str">
        <f>'Revenue Model'!I132</f>
        <v>Y/Y Abs Growth</v>
      </c>
      <c r="B612">
        <f>'Revenue Model'!J132</f>
        <v>0</v>
      </c>
      <c r="C612">
        <f>'Revenue Model'!K132</f>
        <v>0</v>
      </c>
      <c r="D612">
        <f>'Revenue Model'!L132</f>
        <v>0</v>
      </c>
      <c r="E612">
        <f>'Revenue Model'!M132</f>
        <v>0</v>
      </c>
      <c r="F612">
        <f>'Revenue Model'!N132</f>
        <v>0</v>
      </c>
      <c r="G612">
        <f>'Revenue Model'!O132</f>
        <v>0</v>
      </c>
      <c r="H612">
        <f>'Revenue Model'!P132</f>
        <v>0</v>
      </c>
      <c r="I612">
        <f>'Revenue Model'!Q132</f>
        <v>0</v>
      </c>
      <c r="J612">
        <f>'Revenue Model'!R132</f>
        <v>0</v>
      </c>
      <c r="K612">
        <f>'Revenue Model'!S132</f>
        <v>0</v>
      </c>
      <c r="L612">
        <f>'Revenue Model'!T132</f>
        <v>0</v>
      </c>
      <c r="M612">
        <f>'Revenue Model'!U132</f>
        <v>0</v>
      </c>
      <c r="N612">
        <f>'Revenue Model'!V132</f>
        <v>6.8948717948717944E-2</v>
      </c>
      <c r="O612">
        <f>'Revenue Model'!W132</f>
        <v>0.13284107946026985</v>
      </c>
      <c r="P612">
        <f>'Revenue Model'!X132</f>
        <v>0.21215583186917153</v>
      </c>
      <c r="Q612">
        <f>'Revenue Model'!Y132</f>
        <v>0.24668511776083737</v>
      </c>
      <c r="R612">
        <f>'Revenue Model'!Z132</f>
        <v>0.16708158508158508</v>
      </c>
      <c r="S612">
        <f>'Revenue Model'!AA132</f>
        <v>0.2503996948893974</v>
      </c>
      <c r="T612">
        <f>'Revenue Model'!AB132</f>
        <v>0.23305155746509126</v>
      </c>
      <c r="U612">
        <f>'Revenue Model'!AC132</f>
        <v>0.38301096067053514</v>
      </c>
      <c r="V612">
        <f>'Revenue Model'!AD132</f>
        <v>0.27157287157287158</v>
      </c>
      <c r="W612">
        <f>'Revenue Model'!AE132</f>
        <v>0.321727395411606</v>
      </c>
      <c r="X612">
        <f>'Revenue Model'!AF132</f>
        <v>0.42183817753338576</v>
      </c>
      <c r="Y612">
        <f>'Revenue Model'!AG132</f>
        <v>0.42822384428223847</v>
      </c>
      <c r="Z612">
        <f>'Revenue Model'!AH132</f>
        <v>0</v>
      </c>
      <c r="AA612">
        <f>'Revenue Model'!AI132</f>
        <v>0</v>
      </c>
      <c r="AB612">
        <f>'Revenue Model'!AJ132</f>
        <v>0</v>
      </c>
      <c r="AC612">
        <f>'Revenue Model'!AK132</f>
        <v>7.7368421052631586E-2</v>
      </c>
      <c r="AD612">
        <f>'Revenue Model'!AL132</f>
        <v>0.74862924522508134</v>
      </c>
      <c r="AE612">
        <f>'Revenue Model'!AM132</f>
        <v>1.0003228350651698</v>
      </c>
      <c r="AF612">
        <f>'Revenue Model'!AN132</f>
        <v>1.4888545959333821</v>
      </c>
      <c r="AG612">
        <f>'Revenue Model'!AO132</f>
        <v>1.858092279638313</v>
      </c>
      <c r="AH612">
        <f>'Revenue Model'!AP132</f>
        <v>2.3487776206742721</v>
      </c>
      <c r="AI612">
        <f>'Revenue Model'!AQ132</f>
        <v>2.7543971769459716</v>
      </c>
      <c r="AJ612">
        <f>'Revenue Model'!AR132</f>
        <v>3.0204679288998193</v>
      </c>
      <c r="AK612">
        <f>'Revenue Model'!AS132</f>
        <v>3.1269409770827217</v>
      </c>
      <c r="AL612">
        <f>'Revenue Model'!AT132</f>
        <v>3.0718194610260028</v>
      </c>
      <c r="AM612">
        <f>'Revenue Model'!AU132</f>
        <v>3.298323718555249</v>
      </c>
    </row>
    <row r="613" spans="1:39">
      <c r="A613" t="str">
        <f>'Revenue Model'!I133</f>
        <v>Q/Q % Growth</v>
      </c>
      <c r="B613">
        <f>'Revenue Model'!J133</f>
        <v>0</v>
      </c>
      <c r="C613">
        <f>'Revenue Model'!K133</f>
        <v>0</v>
      </c>
      <c r="D613">
        <f>'Revenue Model'!L133</f>
        <v>0</v>
      </c>
      <c r="E613">
        <f>'Revenue Model'!M133</f>
        <v>0</v>
      </c>
      <c r="F613">
        <f>'Revenue Model'!N133</f>
        <v>0</v>
      </c>
      <c r="G613">
        <f>'Revenue Model'!O133</f>
        <v>0</v>
      </c>
      <c r="H613">
        <f>'Revenue Model'!P133</f>
        <v>0</v>
      </c>
      <c r="I613">
        <f>'Revenue Model'!Q133</f>
        <v>0</v>
      </c>
      <c r="J613">
        <f>'Revenue Model'!R133</f>
        <v>0</v>
      </c>
      <c r="K613">
        <f>'Revenue Model'!S133</f>
        <v>7.1724137931034484</v>
      </c>
      <c r="L613">
        <f>'Revenue Model'!T133</f>
        <v>9.4535166401207142</v>
      </c>
      <c r="M613">
        <f>'Revenue Model'!U133</f>
        <v>0.29826949384404911</v>
      </c>
      <c r="N613">
        <f>'Revenue Model'!V133</f>
        <v>0.87397752075556379</v>
      </c>
      <c r="O613">
        <f>'Revenue Model'!W133</f>
        <v>0.95671483281305303</v>
      </c>
      <c r="P613">
        <f>'Revenue Model'!X133</f>
        <v>0.77503239910460686</v>
      </c>
      <c r="Q613">
        <f>'Revenue Model'!Y133</f>
        <v>0.17879141665765785</v>
      </c>
      <c r="R613">
        <f>'Revenue Model'!Z133</f>
        <v>-0.16672349130583008</v>
      </c>
      <c r="S613">
        <f>'Revenue Model'!AA133</f>
        <v>0.63292847503373806</v>
      </c>
      <c r="T613">
        <f>'Revenue Model'!AB133</f>
        <v>0.22727272727272729</v>
      </c>
      <c r="U613">
        <f>'Revenue Model'!AC133</f>
        <v>0.40740740740740744</v>
      </c>
      <c r="V613">
        <f>'Revenue Model'!AD133</f>
        <v>-0.23809523809523814</v>
      </c>
      <c r="W613">
        <f>'Revenue Model'!AE133</f>
        <v>0.39326923076923093</v>
      </c>
      <c r="X613">
        <f>'Revenue Model'!AF133</f>
        <v>0.26541207008436074</v>
      </c>
      <c r="Y613">
        <f>'Revenue Model'!AG133</f>
        <v>0.22262773722627727</v>
      </c>
      <c r="Z613">
        <f>'Revenue Model'!AH133</f>
        <v>0</v>
      </c>
      <c r="AA613">
        <f>'Revenue Model'!AI133</f>
        <v>0</v>
      </c>
      <c r="AB613">
        <f>'Revenue Model'!AJ133</f>
        <v>0</v>
      </c>
      <c r="AC613">
        <f>'Revenue Model'!AK133</f>
        <v>0</v>
      </c>
      <c r="AD613">
        <f>'Revenue Model'!AL133</f>
        <v>0</v>
      </c>
      <c r="AE613">
        <f>'Revenue Model'!AM133</f>
        <v>0</v>
      </c>
      <c r="AF613">
        <f>'Revenue Model'!AN133</f>
        <v>0</v>
      </c>
      <c r="AG613">
        <f>'Revenue Model'!AO133</f>
        <v>0</v>
      </c>
      <c r="AH613">
        <f>'Revenue Model'!AP133</f>
        <v>0</v>
      </c>
      <c r="AI613">
        <f>'Revenue Model'!AQ133</f>
        <v>0</v>
      </c>
      <c r="AJ613">
        <f>'Revenue Model'!AR133</f>
        <v>0</v>
      </c>
      <c r="AK613">
        <f>'Revenue Model'!AS133</f>
        <v>0</v>
      </c>
      <c r="AL613">
        <f>'Revenue Model'!AT133</f>
        <v>0</v>
      </c>
      <c r="AM613">
        <f>'Revenue Model'!AU133</f>
        <v>0</v>
      </c>
    </row>
    <row r="614" spans="1:39">
      <c r="A614" t="str">
        <f>'Revenue Model'!I134</f>
        <v>Q/Q Abs Growth</v>
      </c>
      <c r="B614">
        <f>'Revenue Model'!J134</f>
        <v>0</v>
      </c>
      <c r="C614">
        <f>'Revenue Model'!K134</f>
        <v>0</v>
      </c>
      <c r="D614">
        <f>'Revenue Model'!L134</f>
        <v>0</v>
      </c>
      <c r="E614">
        <f>'Revenue Model'!M134</f>
        <v>0</v>
      </c>
      <c r="F614">
        <f>'Revenue Model'!N134</f>
        <v>0</v>
      </c>
      <c r="G614">
        <f>'Revenue Model'!O134</f>
        <v>0</v>
      </c>
      <c r="H614">
        <f>'Revenue Model'!P134</f>
        <v>0</v>
      </c>
      <c r="I614">
        <f>'Revenue Model'!Q134</f>
        <v>0</v>
      </c>
      <c r="J614">
        <f>'Revenue Model'!R134</f>
        <v>0</v>
      </c>
      <c r="K614">
        <f>'Revenue Model'!S134</f>
        <v>2.3908045977011493E-3</v>
      </c>
      <c r="L614">
        <f>'Revenue Model'!T134</f>
        <v>2.5752683261018497E-2</v>
      </c>
      <c r="M614">
        <f>'Revenue Model'!U134</f>
        <v>8.4937670432411357E-3</v>
      </c>
      <c r="N614">
        <f>'Revenue Model'!V134</f>
        <v>3.2311463046757166E-2</v>
      </c>
      <c r="O614">
        <f>'Revenue Model'!W134</f>
        <v>6.6283166109253056E-2</v>
      </c>
      <c r="P614">
        <f>'Revenue Model'!X134</f>
        <v>0.10506743566992016</v>
      </c>
      <c r="Q614">
        <f>'Revenue Model'!Y134</f>
        <v>4.3023052934906991E-2</v>
      </c>
      <c r="R614">
        <f>'Revenue Model'!Z134</f>
        <v>-4.7292069632495132E-2</v>
      </c>
      <c r="S614">
        <f>'Revenue Model'!AA134</f>
        <v>0.14960127591706537</v>
      </c>
      <c r="T614">
        <f>'Revenue Model'!AB134</f>
        <v>8.771929824561403E-2</v>
      </c>
      <c r="U614">
        <f>'Revenue Model'!AC134</f>
        <v>0.19298245614035087</v>
      </c>
      <c r="V614">
        <f>'Revenue Model'!AD134</f>
        <v>-0.15873015873015872</v>
      </c>
      <c r="W614">
        <f>'Revenue Model'!AE134</f>
        <v>0.19975579975579982</v>
      </c>
      <c r="X614">
        <f>'Revenue Model'!AF134</f>
        <v>0.18783008036739379</v>
      </c>
      <c r="Y614">
        <f>'Revenue Model'!AG134</f>
        <v>0.19936812288920358</v>
      </c>
      <c r="Z614">
        <f>'Revenue Model'!AH134</f>
        <v>0</v>
      </c>
      <c r="AA614">
        <f>'Revenue Model'!AI134</f>
        <v>0</v>
      </c>
      <c r="AB614">
        <f>'Revenue Model'!AJ134</f>
        <v>0</v>
      </c>
      <c r="AC614">
        <f>'Revenue Model'!AK134</f>
        <v>0</v>
      </c>
      <c r="AD614">
        <f>'Revenue Model'!AL134</f>
        <v>0</v>
      </c>
      <c r="AE614">
        <f>'Revenue Model'!AM134</f>
        <v>0</v>
      </c>
      <c r="AF614">
        <f>'Revenue Model'!AN134</f>
        <v>0</v>
      </c>
      <c r="AG614">
        <f>'Revenue Model'!AO134</f>
        <v>0</v>
      </c>
      <c r="AH614">
        <f>'Revenue Model'!AP134</f>
        <v>0</v>
      </c>
      <c r="AI614">
        <f>'Revenue Model'!AQ134</f>
        <v>0</v>
      </c>
      <c r="AJ614">
        <f>'Revenue Model'!AR134</f>
        <v>0</v>
      </c>
      <c r="AK614">
        <f>'Revenue Model'!AS134</f>
        <v>0</v>
      </c>
      <c r="AL614">
        <f>'Revenue Model'!AT134</f>
        <v>0</v>
      </c>
      <c r="AM614">
        <f>'Revenue Model'!AU134</f>
        <v>0</v>
      </c>
    </row>
    <row r="615" spans="1:39">
      <c r="A615">
        <f>'Revenue Model'!I135</f>
        <v>0</v>
      </c>
      <c r="B615">
        <f>'Revenue Model'!J135</f>
        <v>0</v>
      </c>
      <c r="C615">
        <f>'Revenue Model'!K135</f>
        <v>0</v>
      </c>
      <c r="D615">
        <f>'Revenue Model'!L135</f>
        <v>0</v>
      </c>
      <c r="E615">
        <f>'Revenue Model'!M135</f>
        <v>0</v>
      </c>
      <c r="F615">
        <f>'Revenue Model'!N135</f>
        <v>0</v>
      </c>
      <c r="G615">
        <f>'Revenue Model'!O135</f>
        <v>0</v>
      </c>
      <c r="H615">
        <f>'Revenue Model'!P135</f>
        <v>0</v>
      </c>
      <c r="I615">
        <f>'Revenue Model'!Q135</f>
        <v>0</v>
      </c>
      <c r="J615">
        <f>'Revenue Model'!R135</f>
        <v>0</v>
      </c>
      <c r="K615">
        <f>'Revenue Model'!S135</f>
        <v>0</v>
      </c>
      <c r="L615">
        <f>'Revenue Model'!T135</f>
        <v>0</v>
      </c>
      <c r="M615">
        <f>'Revenue Model'!U135</f>
        <v>0</v>
      </c>
      <c r="N615">
        <f>'Revenue Model'!V135</f>
        <v>0</v>
      </c>
      <c r="O615">
        <f>'Revenue Model'!W135</f>
        <v>0</v>
      </c>
      <c r="P615">
        <f>'Revenue Model'!X135</f>
        <v>0</v>
      </c>
      <c r="Q615">
        <f>'Revenue Model'!Y135</f>
        <v>0</v>
      </c>
      <c r="R615">
        <f>'Revenue Model'!Z135</f>
        <v>0</v>
      </c>
      <c r="S615">
        <f>'Revenue Model'!AA135</f>
        <v>0</v>
      </c>
      <c r="T615">
        <f>'Revenue Model'!AB135</f>
        <v>0</v>
      </c>
      <c r="U615">
        <f>'Revenue Model'!AC135</f>
        <v>0</v>
      </c>
      <c r="V615">
        <f>'Revenue Model'!AD135</f>
        <v>0</v>
      </c>
      <c r="W615">
        <f>'Revenue Model'!AE135</f>
        <v>0</v>
      </c>
      <c r="X615">
        <f>'Revenue Model'!AF135</f>
        <v>0</v>
      </c>
      <c r="Y615">
        <f>'Revenue Model'!AG135</f>
        <v>0</v>
      </c>
      <c r="Z615">
        <f>'Revenue Model'!AH135</f>
        <v>0</v>
      </c>
      <c r="AA615">
        <f>'Revenue Model'!AI135</f>
        <v>0</v>
      </c>
      <c r="AB615">
        <f>'Revenue Model'!AJ135</f>
        <v>0</v>
      </c>
      <c r="AC615">
        <f>'Revenue Model'!AK135</f>
        <v>0</v>
      </c>
      <c r="AD615">
        <f>'Revenue Model'!AL135</f>
        <v>0</v>
      </c>
      <c r="AE615">
        <f>'Revenue Model'!AM135</f>
        <v>0</v>
      </c>
      <c r="AF615">
        <f>'Revenue Model'!AN135</f>
        <v>0</v>
      </c>
      <c r="AG615">
        <f>'Revenue Model'!AO135</f>
        <v>0</v>
      </c>
      <c r="AH615">
        <f>'Revenue Model'!AP135</f>
        <v>0</v>
      </c>
      <c r="AI615">
        <f>'Revenue Model'!AQ135</f>
        <v>0</v>
      </c>
      <c r="AJ615">
        <f>'Revenue Model'!AR135</f>
        <v>0</v>
      </c>
      <c r="AK615">
        <f>'Revenue Model'!AS135</f>
        <v>0</v>
      </c>
      <c r="AL615">
        <f>'Revenue Model'!AT135</f>
        <v>0</v>
      </c>
      <c r="AM615">
        <f>'Revenue Model'!AU135</f>
        <v>0</v>
      </c>
    </row>
    <row r="616" spans="1:39">
      <c r="A616" t="str">
        <f>'Revenue Model'!I136</f>
        <v>Rest of World Revenue Build</v>
      </c>
      <c r="B616">
        <f>'Revenue Model'!J136</f>
        <v>0</v>
      </c>
      <c r="C616">
        <f>'Revenue Model'!K136</f>
        <v>0</v>
      </c>
      <c r="D616">
        <f>'Revenue Model'!L136</f>
        <v>0</v>
      </c>
      <c r="E616">
        <f>'Revenue Model'!M136</f>
        <v>0</v>
      </c>
      <c r="F616">
        <f>'Revenue Model'!N136</f>
        <v>0</v>
      </c>
      <c r="G616">
        <f>'Revenue Model'!O136</f>
        <v>0</v>
      </c>
      <c r="H616">
        <f>'Revenue Model'!P136</f>
        <v>0</v>
      </c>
      <c r="I616">
        <f>'Revenue Model'!Q136</f>
        <v>0</v>
      </c>
      <c r="J616">
        <f>'Revenue Model'!R136</f>
        <v>0</v>
      </c>
      <c r="K616">
        <f>'Revenue Model'!S136</f>
        <v>0</v>
      </c>
      <c r="L616">
        <f>'Revenue Model'!T136</f>
        <v>0</v>
      </c>
      <c r="M616">
        <f>'Revenue Model'!U136</f>
        <v>0</v>
      </c>
      <c r="N616">
        <f>'Revenue Model'!V136</f>
        <v>0</v>
      </c>
      <c r="O616">
        <f>'Revenue Model'!W136</f>
        <v>0</v>
      </c>
      <c r="P616">
        <f>'Revenue Model'!X136</f>
        <v>0</v>
      </c>
      <c r="Q616">
        <f>'Revenue Model'!Y136</f>
        <v>0</v>
      </c>
      <c r="R616">
        <f>'Revenue Model'!Z136</f>
        <v>0</v>
      </c>
      <c r="S616">
        <f>'Revenue Model'!AA136</f>
        <v>0</v>
      </c>
      <c r="T616">
        <f>'Revenue Model'!AB136</f>
        <v>0</v>
      </c>
      <c r="U616">
        <f>'Revenue Model'!AC136</f>
        <v>0</v>
      </c>
      <c r="V616">
        <f>'Revenue Model'!AD136</f>
        <v>0</v>
      </c>
      <c r="W616">
        <f>'Revenue Model'!AE136</f>
        <v>0</v>
      </c>
      <c r="X616">
        <f>'Revenue Model'!AF136</f>
        <v>0</v>
      </c>
      <c r="Y616">
        <f>'Revenue Model'!AG136</f>
        <v>0</v>
      </c>
      <c r="Z616">
        <f>'Revenue Model'!AH136</f>
        <v>0</v>
      </c>
      <c r="AA616">
        <f>'Revenue Model'!AI136</f>
        <v>0</v>
      </c>
      <c r="AB616">
        <f>'Revenue Model'!AJ136</f>
        <v>0</v>
      </c>
      <c r="AC616">
        <f>'Revenue Model'!AK136</f>
        <v>0</v>
      </c>
      <c r="AD616">
        <f>'Revenue Model'!AL136</f>
        <v>0</v>
      </c>
      <c r="AE616">
        <f>'Revenue Model'!AM136</f>
        <v>0</v>
      </c>
      <c r="AF616">
        <f>'Revenue Model'!AN136</f>
        <v>0</v>
      </c>
      <c r="AG616">
        <f>'Revenue Model'!AO136</f>
        <v>0</v>
      </c>
      <c r="AH616">
        <f>'Revenue Model'!AP136</f>
        <v>0</v>
      </c>
      <c r="AI616">
        <f>'Revenue Model'!AQ136</f>
        <v>0</v>
      </c>
      <c r="AJ616">
        <f>'Revenue Model'!AR136</f>
        <v>0</v>
      </c>
      <c r="AK616">
        <f>'Revenue Model'!AS136</f>
        <v>0</v>
      </c>
      <c r="AL616">
        <f>'Revenue Model'!AT136</f>
        <v>0</v>
      </c>
      <c r="AM616">
        <f>'Revenue Model'!AU136</f>
        <v>0</v>
      </c>
    </row>
    <row r="617" spans="1:39">
      <c r="A617">
        <f>'Revenue Model'!I137</f>
        <v>0</v>
      </c>
      <c r="B617">
        <f>'Revenue Model'!J137</f>
        <v>0</v>
      </c>
      <c r="C617">
        <f>'Revenue Model'!K137</f>
        <v>0</v>
      </c>
      <c r="D617">
        <f>'Revenue Model'!L137</f>
        <v>0</v>
      </c>
      <c r="E617">
        <f>'Revenue Model'!M137</f>
        <v>0</v>
      </c>
      <c r="F617">
        <f>'Revenue Model'!N137</f>
        <v>0</v>
      </c>
      <c r="G617">
        <f>'Revenue Model'!O137</f>
        <v>0</v>
      </c>
      <c r="H617">
        <f>'Revenue Model'!P137</f>
        <v>0</v>
      </c>
      <c r="I617">
        <f>'Revenue Model'!Q137</f>
        <v>0</v>
      </c>
      <c r="J617">
        <f>'Revenue Model'!R137</f>
        <v>0</v>
      </c>
      <c r="K617">
        <f>'Revenue Model'!S137</f>
        <v>0</v>
      </c>
      <c r="L617">
        <f>'Revenue Model'!T137</f>
        <v>0</v>
      </c>
      <c r="M617">
        <f>'Revenue Model'!U137</f>
        <v>0</v>
      </c>
      <c r="N617">
        <f>'Revenue Model'!V137</f>
        <v>0</v>
      </c>
      <c r="O617">
        <f>'Revenue Model'!W137</f>
        <v>0</v>
      </c>
      <c r="P617">
        <f>'Revenue Model'!X137</f>
        <v>0</v>
      </c>
      <c r="Q617">
        <f>'Revenue Model'!Y137</f>
        <v>0</v>
      </c>
      <c r="R617">
        <f>'Revenue Model'!Z137</f>
        <v>0</v>
      </c>
      <c r="S617">
        <f>'Revenue Model'!AA137</f>
        <v>0</v>
      </c>
      <c r="T617">
        <f>'Revenue Model'!AB137</f>
        <v>0</v>
      </c>
      <c r="U617">
        <f>'Revenue Model'!AC137</f>
        <v>0</v>
      </c>
      <c r="V617">
        <f>'Revenue Model'!AD137</f>
        <v>0</v>
      </c>
      <c r="W617">
        <f>'Revenue Model'!AE137</f>
        <v>0</v>
      </c>
      <c r="X617">
        <f>'Revenue Model'!AF137</f>
        <v>0</v>
      </c>
      <c r="Y617">
        <f>'Revenue Model'!AG137</f>
        <v>0</v>
      </c>
      <c r="Z617">
        <f>'Revenue Model'!AH137</f>
        <v>0</v>
      </c>
      <c r="AA617">
        <f>'Revenue Model'!AI137</f>
        <v>0</v>
      </c>
      <c r="AB617">
        <f>'Revenue Model'!AJ137</f>
        <v>0</v>
      </c>
      <c r="AC617">
        <f>'Revenue Model'!AK137</f>
        <v>0</v>
      </c>
      <c r="AD617">
        <f>'Revenue Model'!AL137</f>
        <v>0</v>
      </c>
      <c r="AE617">
        <f>'Revenue Model'!AM137</f>
        <v>0</v>
      </c>
      <c r="AF617">
        <f>'Revenue Model'!AN137</f>
        <v>0</v>
      </c>
      <c r="AG617">
        <f>'Revenue Model'!AO137</f>
        <v>0</v>
      </c>
      <c r="AH617">
        <f>'Revenue Model'!AP137</f>
        <v>0</v>
      </c>
      <c r="AI617">
        <f>'Revenue Model'!AQ137</f>
        <v>0</v>
      </c>
      <c r="AJ617">
        <f>'Revenue Model'!AR137</f>
        <v>0</v>
      </c>
      <c r="AK617">
        <f>'Revenue Model'!AS137</f>
        <v>0</v>
      </c>
      <c r="AL617">
        <f>'Revenue Model'!AT137</f>
        <v>0</v>
      </c>
      <c r="AM617">
        <f>'Revenue Model'!AU137</f>
        <v>0</v>
      </c>
    </row>
    <row r="618" spans="1:39">
      <c r="A618" t="str">
        <f>'Revenue Model'!I138</f>
        <v>ROW DAUs</v>
      </c>
      <c r="B618">
        <f>'Revenue Model'!J138</f>
        <v>0.54054054054054057</v>
      </c>
      <c r="C618">
        <f>'Revenue Model'!K138</f>
        <v>1.7612524461839529</v>
      </c>
      <c r="D618">
        <f>'Revenue Model'!L138</f>
        <v>3.1428571428571428</v>
      </c>
      <c r="E618">
        <f>'Revenue Model'!M138</f>
        <v>3.9156626506024099</v>
      </c>
      <c r="F618">
        <f>'Revenue Model'!N138</f>
        <v>6</v>
      </c>
      <c r="G618">
        <f>'Revenue Model'!O138</f>
        <v>9</v>
      </c>
      <c r="H618">
        <f>'Revenue Model'!P138</f>
        <v>11</v>
      </c>
      <c r="I618">
        <f>'Revenue Model'!Q138</f>
        <v>13</v>
      </c>
      <c r="J618">
        <f>'Revenue Model'!R138</f>
        <v>16</v>
      </c>
      <c r="K618">
        <f>'Revenue Model'!S138</f>
        <v>18</v>
      </c>
      <c r="L618">
        <f>'Revenue Model'!T138</f>
        <v>20.2</v>
      </c>
      <c r="M618">
        <f>'Revenue Model'!U138</f>
        <v>24</v>
      </c>
      <c r="N618">
        <f>'Revenue Model'!V138</f>
        <v>29</v>
      </c>
      <c r="O618">
        <f>'Revenue Model'!W138</f>
        <v>36</v>
      </c>
      <c r="P618">
        <f>'Revenue Model'!X138</f>
        <v>39</v>
      </c>
      <c r="Q618">
        <f>'Revenue Model'!Y138</f>
        <v>39</v>
      </c>
      <c r="R618">
        <f>'Revenue Model'!Z138</f>
        <v>40</v>
      </c>
      <c r="S618">
        <f>'Revenue Model'!AA138</f>
        <v>42</v>
      </c>
      <c r="T618">
        <f>'Revenue Model'!AB138</f>
        <v>44</v>
      </c>
      <c r="U618">
        <f>'Revenue Model'!AC138</f>
        <v>47</v>
      </c>
      <c r="V618">
        <f>'Revenue Model'!AD138</f>
        <v>47.98</v>
      </c>
      <c r="W618">
        <f>'Revenue Model'!AE138</f>
        <v>49.98</v>
      </c>
      <c r="X618">
        <f>'Revenue Model'!AF138</f>
        <v>51.98</v>
      </c>
      <c r="Y618">
        <f>'Revenue Model'!AG138</f>
        <v>54.98</v>
      </c>
      <c r="Z618">
        <f>'Revenue Model'!AH138</f>
        <v>0</v>
      </c>
      <c r="AA618">
        <f>'Revenue Model'!AI138</f>
        <v>3.9156626506024099</v>
      </c>
      <c r="AB618">
        <f>'Revenue Model'!AJ138</f>
        <v>13</v>
      </c>
      <c r="AC618">
        <f>'Revenue Model'!AK138</f>
        <v>24</v>
      </c>
      <c r="AD618">
        <f>'Revenue Model'!AL138</f>
        <v>39</v>
      </c>
      <c r="AE618">
        <f>'Revenue Model'!AM138</f>
        <v>47</v>
      </c>
      <c r="AF618">
        <f>'Revenue Model'!AN138</f>
        <v>54.98</v>
      </c>
      <c r="AG618">
        <f>'Revenue Model'!AO138</f>
        <v>62.560999999999993</v>
      </c>
      <c r="AH618">
        <f>'Revenue Model'!AP138</f>
        <v>69.383899999999983</v>
      </c>
      <c r="AI618">
        <f>'Revenue Model'!AQ138</f>
        <v>75.524509999999978</v>
      </c>
      <c r="AJ618">
        <f>'Revenue Model'!AR138</f>
        <v>81.051058999999981</v>
      </c>
      <c r="AK618">
        <f>'Revenue Model'!AS138</f>
        <v>86.024953099999976</v>
      </c>
      <c r="AL618">
        <f>'Revenue Model'!AT138</f>
        <v>90.501457789999975</v>
      </c>
      <c r="AM618">
        <f>'Revenue Model'!AU138</f>
        <v>94.977962479999974</v>
      </c>
    </row>
    <row r="619" spans="1:39">
      <c r="A619" t="str">
        <f>'Revenue Model'!I139</f>
        <v>Sequential Net Adds</v>
      </c>
      <c r="B619">
        <f>'Revenue Model'!J139</f>
        <v>0</v>
      </c>
      <c r="C619">
        <f>'Revenue Model'!K139</f>
        <v>1.2207119056434124</v>
      </c>
      <c r="D619">
        <f>'Revenue Model'!L139</f>
        <v>1.3816046966731899</v>
      </c>
      <c r="E619">
        <f>'Revenue Model'!M139</f>
        <v>0.77280550774526713</v>
      </c>
      <c r="F619">
        <f>'Revenue Model'!N139</f>
        <v>2.0843373493975901</v>
      </c>
      <c r="G619">
        <f>'Revenue Model'!O139</f>
        <v>3</v>
      </c>
      <c r="H619">
        <f>'Revenue Model'!P139</f>
        <v>2</v>
      </c>
      <c r="I619">
        <f>'Revenue Model'!Q139</f>
        <v>2</v>
      </c>
      <c r="J619">
        <f>'Revenue Model'!R139</f>
        <v>3</v>
      </c>
      <c r="K619">
        <f>'Revenue Model'!S139</f>
        <v>2</v>
      </c>
      <c r="L619">
        <f>'Revenue Model'!T139</f>
        <v>2.1999999999999993</v>
      </c>
      <c r="M619">
        <f>'Revenue Model'!U139</f>
        <v>3.8000000000000007</v>
      </c>
      <c r="N619">
        <f>'Revenue Model'!V139</f>
        <v>5</v>
      </c>
      <c r="O619">
        <f>'Revenue Model'!W139</f>
        <v>7</v>
      </c>
      <c r="P619">
        <f>'Revenue Model'!X139</f>
        <v>3</v>
      </c>
      <c r="Q619">
        <f>'Revenue Model'!Y139</f>
        <v>0</v>
      </c>
      <c r="R619">
        <f>'Revenue Model'!Z139</f>
        <v>1</v>
      </c>
      <c r="S619">
        <f>'Revenue Model'!AA139</f>
        <v>2</v>
      </c>
      <c r="T619">
        <f>'Revenue Model'!AB139</f>
        <v>2</v>
      </c>
      <c r="U619">
        <f>'Revenue Model'!AC139</f>
        <v>3</v>
      </c>
      <c r="V619">
        <f>'Revenue Model'!AD139</f>
        <v>0.98</v>
      </c>
      <c r="W619">
        <f>'Revenue Model'!AE139</f>
        <v>2</v>
      </c>
      <c r="X619">
        <f>'Revenue Model'!AF139</f>
        <v>2</v>
      </c>
      <c r="Y619">
        <f>'Revenue Model'!AG139</f>
        <v>3</v>
      </c>
      <c r="Z619">
        <f>'Revenue Model'!AH139</f>
        <v>0</v>
      </c>
      <c r="AA619">
        <f>'Revenue Model'!AI139</f>
        <v>0</v>
      </c>
      <c r="AB619">
        <f>'Revenue Model'!AJ139</f>
        <v>9.0843373493975896</v>
      </c>
      <c r="AC619">
        <f>'Revenue Model'!AK139</f>
        <v>11</v>
      </c>
      <c r="AD619">
        <f>'Revenue Model'!AL139</f>
        <v>15</v>
      </c>
      <c r="AE619">
        <f>'Revenue Model'!AM139</f>
        <v>8</v>
      </c>
      <c r="AF619">
        <f>'Revenue Model'!AN139</f>
        <v>7.9799999999999969</v>
      </c>
      <c r="AG619">
        <f>'Revenue Model'!AO139</f>
        <v>7.5809999999999969</v>
      </c>
      <c r="AH619">
        <f>'Revenue Model'!AP139</f>
        <v>6.8228999999999971</v>
      </c>
      <c r="AI619">
        <f>'Revenue Model'!AQ139</f>
        <v>6.1406099999999979</v>
      </c>
      <c r="AJ619">
        <f>'Revenue Model'!AR139</f>
        <v>5.5265489999999984</v>
      </c>
      <c r="AK619">
        <f>'Revenue Model'!AS139</f>
        <v>4.973894099999999</v>
      </c>
      <c r="AL619">
        <f>'Revenue Model'!AT139</f>
        <v>4.4765046899999996</v>
      </c>
      <c r="AM619">
        <f>'Revenue Model'!AU139</f>
        <v>4.4765046899999996</v>
      </c>
    </row>
    <row r="620" spans="1:39">
      <c r="A620" t="str">
        <f>'Revenue Model'!I140</f>
        <v>Y/Y % Growth</v>
      </c>
      <c r="B620">
        <f>'Revenue Model'!J140</f>
        <v>0</v>
      </c>
      <c r="C620">
        <f>'Revenue Model'!K140</f>
        <v>0</v>
      </c>
      <c r="D620">
        <f>'Revenue Model'!L140</f>
        <v>0</v>
      </c>
      <c r="E620">
        <f>'Revenue Model'!M140</f>
        <v>0</v>
      </c>
      <c r="F620">
        <f>'Revenue Model'!N140</f>
        <v>10.1</v>
      </c>
      <c r="G620">
        <f>'Revenue Model'!O140</f>
        <v>4.1100000000000003</v>
      </c>
      <c r="H620">
        <f>'Revenue Model'!P140</f>
        <v>2.5</v>
      </c>
      <c r="I620">
        <f>'Revenue Model'!Q140</f>
        <v>2.3199999999999998</v>
      </c>
      <c r="J620">
        <f>'Revenue Model'!R140</f>
        <v>1.6666666666666665</v>
      </c>
      <c r="K620">
        <f>'Revenue Model'!S140</f>
        <v>1</v>
      </c>
      <c r="L620">
        <f>'Revenue Model'!T140</f>
        <v>0.8363636363636362</v>
      </c>
      <c r="M620">
        <f>'Revenue Model'!U140</f>
        <v>0.84615384615384626</v>
      </c>
      <c r="N620">
        <f>'Revenue Model'!V140</f>
        <v>0.8125</v>
      </c>
      <c r="O620">
        <f>'Revenue Model'!W140</f>
        <v>1</v>
      </c>
      <c r="P620">
        <f>'Revenue Model'!X140</f>
        <v>0.93069306930693085</v>
      </c>
      <c r="Q620">
        <f>'Revenue Model'!Y140</f>
        <v>0.625</v>
      </c>
      <c r="R620">
        <f>'Revenue Model'!Z140</f>
        <v>0.3793103448275863</v>
      </c>
      <c r="S620">
        <f>'Revenue Model'!AA140</f>
        <v>0.16666666666666674</v>
      </c>
      <c r="T620">
        <f>'Revenue Model'!AB140</f>
        <v>0.12820512820512819</v>
      </c>
      <c r="U620">
        <f>'Revenue Model'!AC140</f>
        <v>0.20512820512820507</v>
      </c>
      <c r="V620">
        <f>'Revenue Model'!AD140</f>
        <v>0.19950000000000001</v>
      </c>
      <c r="W620">
        <f>'Revenue Model'!AE140</f>
        <v>0.18999999999999995</v>
      </c>
      <c r="X620">
        <f>'Revenue Model'!AF140</f>
        <v>0.18136363636363639</v>
      </c>
      <c r="Y620">
        <f>'Revenue Model'!AG140</f>
        <v>0.16978723404255303</v>
      </c>
      <c r="Z620">
        <f>'Revenue Model'!AH140</f>
        <v>0</v>
      </c>
      <c r="AA620">
        <f>'Revenue Model'!AI140</f>
        <v>0</v>
      </c>
      <c r="AB620">
        <f>'Revenue Model'!AJ140</f>
        <v>2.3199999999999998</v>
      </c>
      <c r="AC620">
        <f>'Revenue Model'!AK140</f>
        <v>0.84615384615384626</v>
      </c>
      <c r="AD620">
        <f>'Revenue Model'!AL140</f>
        <v>0.625</v>
      </c>
      <c r="AE620">
        <f>'Revenue Model'!AM140</f>
        <v>0.20512820512820507</v>
      </c>
      <c r="AF620">
        <f>'Revenue Model'!AN140</f>
        <v>0.16978723404255303</v>
      </c>
      <c r="AG620">
        <f>'Revenue Model'!AO140</f>
        <v>0.13788650418333925</v>
      </c>
      <c r="AH620">
        <f>'Revenue Model'!AP140</f>
        <v>0.10905995748149788</v>
      </c>
      <c r="AI620">
        <f>'Revenue Model'!AQ140</f>
        <v>8.8501943534450955E-2</v>
      </c>
      <c r="AJ620">
        <f>'Revenue Model'!AR140</f>
        <v>7.3175569096707971E-2</v>
      </c>
      <c r="AK620">
        <f>'Revenue Model'!AS140</f>
        <v>6.1367416556519006E-2</v>
      </c>
      <c r="AL620">
        <f>'Revenue Model'!AT140</f>
        <v>5.2037281378070288E-2</v>
      </c>
      <c r="AM620">
        <f>'Revenue Model'!AU140</f>
        <v>4.9463343456713105E-2</v>
      </c>
    </row>
    <row r="621" spans="1:39">
      <c r="A621" t="str">
        <f>'Revenue Model'!I141</f>
        <v>Q/Q % Growth</v>
      </c>
      <c r="B621">
        <f>'Revenue Model'!J141</f>
        <v>0</v>
      </c>
      <c r="C621">
        <f>'Revenue Model'!K141</f>
        <v>2.2583170254403129</v>
      </c>
      <c r="D621">
        <f>'Revenue Model'!L141</f>
        <v>0.7844444444444445</v>
      </c>
      <c r="E621">
        <f>'Revenue Model'!M141</f>
        <v>0.24589266155531231</v>
      </c>
      <c r="F621">
        <f>'Revenue Model'!N141</f>
        <v>0.53230769230769215</v>
      </c>
      <c r="G621">
        <f>'Revenue Model'!O141</f>
        <v>0.5</v>
      </c>
      <c r="H621">
        <f>'Revenue Model'!P141</f>
        <v>0.22222222222222232</v>
      </c>
      <c r="I621">
        <f>'Revenue Model'!Q141</f>
        <v>0.18181818181818188</v>
      </c>
      <c r="J621">
        <f>'Revenue Model'!R141</f>
        <v>0.23076923076923084</v>
      </c>
      <c r="K621">
        <f>'Revenue Model'!S141</f>
        <v>0.125</v>
      </c>
      <c r="L621">
        <f>'Revenue Model'!T141</f>
        <v>0.12222222222222223</v>
      </c>
      <c r="M621">
        <f>'Revenue Model'!U141</f>
        <v>0.18811881188118806</v>
      </c>
      <c r="N621">
        <f>'Revenue Model'!V141</f>
        <v>0.20833333333333326</v>
      </c>
      <c r="O621">
        <f>'Revenue Model'!W141</f>
        <v>0.24137931034482762</v>
      </c>
      <c r="P621">
        <f>'Revenue Model'!X141</f>
        <v>8.3333333333333259E-2</v>
      </c>
      <c r="Q621">
        <f>'Revenue Model'!Y141</f>
        <v>0</v>
      </c>
      <c r="R621">
        <f>'Revenue Model'!Z141</f>
        <v>2.564102564102555E-2</v>
      </c>
      <c r="S621">
        <f>'Revenue Model'!AA141</f>
        <v>5.0000000000000044E-2</v>
      </c>
      <c r="T621">
        <f>'Revenue Model'!AB141</f>
        <v>4.7619047619047672E-2</v>
      </c>
      <c r="U621">
        <f>'Revenue Model'!AC141</f>
        <v>6.8181818181818121E-2</v>
      </c>
      <c r="V621">
        <f>'Revenue Model'!AD141</f>
        <v>2.0851063829787186E-2</v>
      </c>
      <c r="W621">
        <f>'Revenue Model'!AE141</f>
        <v>4.1684035014589504E-2</v>
      </c>
      <c r="X621">
        <f>'Revenue Model'!AF141</f>
        <v>4.0016006402560977E-2</v>
      </c>
      <c r="Y621">
        <f>'Revenue Model'!AG141</f>
        <v>5.7714505579068875E-2</v>
      </c>
      <c r="Z621">
        <f>'Revenue Model'!AH141</f>
        <v>0</v>
      </c>
      <c r="AA621">
        <f>'Revenue Model'!AI141</f>
        <v>0</v>
      </c>
      <c r="AB621">
        <f>'Revenue Model'!AJ141</f>
        <v>0</v>
      </c>
      <c r="AC621">
        <f>'Revenue Model'!AK141</f>
        <v>0</v>
      </c>
      <c r="AD621">
        <f>'Revenue Model'!AL141</f>
        <v>0</v>
      </c>
      <c r="AE621">
        <f>'Revenue Model'!AM141</f>
        <v>0</v>
      </c>
      <c r="AF621">
        <f>'Revenue Model'!AN141</f>
        <v>0</v>
      </c>
      <c r="AG621">
        <f>'Revenue Model'!AO141</f>
        <v>0</v>
      </c>
      <c r="AH621">
        <f>'Revenue Model'!AP141</f>
        <v>0</v>
      </c>
      <c r="AI621">
        <f>'Revenue Model'!AQ141</f>
        <v>0</v>
      </c>
      <c r="AJ621">
        <f>'Revenue Model'!AR141</f>
        <v>0</v>
      </c>
      <c r="AK621">
        <f>'Revenue Model'!AS141</f>
        <v>0</v>
      </c>
      <c r="AL621">
        <f>'Revenue Model'!AT141</f>
        <v>0</v>
      </c>
      <c r="AM621">
        <f>'Revenue Model'!AU141</f>
        <v>0</v>
      </c>
    </row>
    <row r="622" spans="1:39">
      <c r="A622" t="str">
        <f>'Revenue Model'!I142</f>
        <v>% of Total DAUs</v>
      </c>
      <c r="B622">
        <f>'Revenue Model'!J142</f>
        <v>6.0517038777908351E-2</v>
      </c>
      <c r="C622">
        <f>'Revenue Model'!K142</f>
        <v>8.4354722422494588E-2</v>
      </c>
      <c r="D622">
        <f>'Revenue Model'!L142</f>
        <v>0.11274376417233559</v>
      </c>
      <c r="E622">
        <f>'Revenue Model'!M142</f>
        <v>0.10588834210079755</v>
      </c>
      <c r="F622">
        <f>'Revenue Model'!N142</f>
        <v>0.13043478260869565</v>
      </c>
      <c r="G622">
        <f>'Revenue Model'!O142</f>
        <v>0.15789473684210525</v>
      </c>
      <c r="H622">
        <f>'Revenue Model'!P142</f>
        <v>0.17460317460317459</v>
      </c>
      <c r="I622">
        <f>'Revenue Model'!Q142</f>
        <v>0.18309859154929578</v>
      </c>
      <c r="J622">
        <f>'Revenue Model'!R142</f>
        <v>0.19753086419753085</v>
      </c>
      <c r="K622">
        <f>'Revenue Model'!S142</f>
        <v>0.20689655172413793</v>
      </c>
      <c r="L622">
        <f>'Revenue Model'!T142</f>
        <v>0.21330517423442449</v>
      </c>
      <c r="M622">
        <f>'Revenue Model'!U142</f>
        <v>0.22641509433962265</v>
      </c>
      <c r="N622">
        <f>'Revenue Model'!V142</f>
        <v>0.23770491803278687</v>
      </c>
      <c r="O622">
        <f>'Revenue Model'!W142</f>
        <v>0.25174825174825177</v>
      </c>
      <c r="P622">
        <f>'Revenue Model'!X142</f>
        <v>0.25490196078431371</v>
      </c>
      <c r="Q622">
        <f>'Revenue Model'!Y142</f>
        <v>0.24636765634870497</v>
      </c>
      <c r="R622">
        <f>'Revenue Model'!Z142</f>
        <v>0.24096385542168675</v>
      </c>
      <c r="S622">
        <f>'Revenue Model'!AA142</f>
        <v>0.2413793103448276</v>
      </c>
      <c r="T622">
        <f>'Revenue Model'!AB142</f>
        <v>0.24719101123595505</v>
      </c>
      <c r="U622">
        <f>'Revenue Model'!AC142</f>
        <v>0.25133689839572193</v>
      </c>
      <c r="V622">
        <f>'Revenue Model'!AD142</f>
        <v>0.24742161716171618</v>
      </c>
      <c r="W622">
        <f>'Revenue Model'!AE142</f>
        <v>0.24828490668203337</v>
      </c>
      <c r="X622">
        <f>'Revenue Model'!AF142</f>
        <v>0.2501001386905829</v>
      </c>
      <c r="Y622">
        <f>'Revenue Model'!AG142</f>
        <v>0.25572177768263538</v>
      </c>
      <c r="Z622">
        <f>'Revenue Model'!AH142</f>
        <v>0</v>
      </c>
      <c r="AA622">
        <f>'Revenue Model'!AI142</f>
        <v>0.10588834210079755</v>
      </c>
      <c r="AB622">
        <f>'Revenue Model'!AJ142</f>
        <v>0.18309859154929578</v>
      </c>
      <c r="AC622">
        <f>'Revenue Model'!AK142</f>
        <v>0.22641509433962265</v>
      </c>
      <c r="AD622">
        <f>'Revenue Model'!AL142</f>
        <v>0.24636765634870497</v>
      </c>
      <c r="AE622">
        <f>'Revenue Model'!AM142</f>
        <v>0.25133689839572193</v>
      </c>
      <c r="AF622">
        <f>'Revenue Model'!AN142</f>
        <v>0.25572177768263538</v>
      </c>
      <c r="AG622">
        <f>'Revenue Model'!AO142</f>
        <v>0.25894602555105234</v>
      </c>
      <c r="AH622">
        <f>'Revenue Model'!AP142</f>
        <v>0.26060006920300227</v>
      </c>
      <c r="AI622">
        <f>'Revenue Model'!AQ142</f>
        <v>0.26171218679451086</v>
      </c>
      <c r="AJ622">
        <f>'Revenue Model'!AR142</f>
        <v>0.26257550902299936</v>
      </c>
      <c r="AK622">
        <f>'Revenue Model'!AS142</f>
        <v>0.26326169625563828</v>
      </c>
      <c r="AL622">
        <f>'Revenue Model'!AT142</f>
        <v>0.26381739250937547</v>
      </c>
      <c r="AM622">
        <f>'Revenue Model'!AU142</f>
        <v>0.26432273510790433</v>
      </c>
    </row>
    <row r="623" spans="1:39">
      <c r="A623" t="str">
        <f>'Revenue Model'!I143</f>
        <v>Contrib to total DAU Growth</v>
      </c>
      <c r="B623">
        <f>'Revenue Model'!J143</f>
        <v>0</v>
      </c>
      <c r="C623">
        <f>'Revenue Model'!K143</f>
        <v>0</v>
      </c>
      <c r="D623">
        <f>'Revenue Model'!L143</f>
        <v>0</v>
      </c>
      <c r="E623">
        <f>'Revenue Model'!M143</f>
        <v>0</v>
      </c>
      <c r="F623">
        <f>'Revenue Model'!N143</f>
        <v>0</v>
      </c>
      <c r="G623">
        <f>'Revenue Model'!O143</f>
        <v>0</v>
      </c>
      <c r="H623">
        <f>'Revenue Model'!P143</f>
        <v>0</v>
      </c>
      <c r="I623">
        <f>'Revenue Model'!Q143</f>
        <v>0</v>
      </c>
      <c r="J623">
        <f>'Revenue Model'!R143</f>
        <v>0</v>
      </c>
      <c r="K623">
        <f>'Revenue Model'!S143</f>
        <v>0</v>
      </c>
      <c r="L623">
        <f>'Revenue Model'!T143</f>
        <v>0</v>
      </c>
      <c r="M623">
        <f>'Revenue Model'!U143</f>
        <v>0</v>
      </c>
      <c r="N623">
        <f>'Revenue Model'!V143</f>
        <v>0.31707317073170732</v>
      </c>
      <c r="O623">
        <f>'Revenue Model'!W143</f>
        <v>0.32142857142857145</v>
      </c>
      <c r="P623">
        <f>'Revenue Model'!X143</f>
        <v>0.32246998284734135</v>
      </c>
      <c r="Q623">
        <f>'Revenue Model'!Y143</f>
        <v>0.28680688336520072</v>
      </c>
      <c r="R623">
        <f>'Revenue Model'!Z143</f>
        <v>0.25</v>
      </c>
      <c r="S623">
        <f>'Revenue Model'!AA143</f>
        <v>0.19354838709677419</v>
      </c>
      <c r="T623">
        <f>'Revenue Model'!AB143</f>
        <v>0.2</v>
      </c>
      <c r="U623">
        <f>'Revenue Model'!AC143</f>
        <v>0.27874564459930323</v>
      </c>
      <c r="V623">
        <f>'Revenue Model'!AD143</f>
        <v>0.28581661891117482</v>
      </c>
      <c r="W623">
        <f>'Revenue Model'!AE143</f>
        <v>0.29229698545840815</v>
      </c>
      <c r="X623">
        <f>'Revenue Model'!AF143</f>
        <v>0.26745540315215316</v>
      </c>
      <c r="Y623">
        <f>'Revenue Model'!AG143</f>
        <v>0.28500725241669106</v>
      </c>
      <c r="Z623">
        <f>'Revenue Model'!AH143</f>
        <v>0</v>
      </c>
      <c r="AA623">
        <f>'Revenue Model'!AI143</f>
        <v>0</v>
      </c>
      <c r="AB623">
        <f>'Revenue Model'!AJ143</f>
        <v>0</v>
      </c>
      <c r="AC623">
        <f>'Revenue Model'!AK143</f>
        <v>0</v>
      </c>
      <c r="AD623">
        <f>'Revenue Model'!AL143</f>
        <v>0.28680688336520072</v>
      </c>
      <c r="AE623">
        <f>'Revenue Model'!AM143</f>
        <v>0.27874564459930323</v>
      </c>
      <c r="AF623">
        <f>'Revenue Model'!AN143</f>
        <v>0.28500725241669106</v>
      </c>
      <c r="AG623">
        <f>'Revenue Model'!AO143</f>
        <v>0.28500725241669067</v>
      </c>
      <c r="AH623">
        <f>'Revenue Model'!AP143</f>
        <v>0.27681289477099136</v>
      </c>
      <c r="AI623">
        <f>'Revenue Model'!AQ143</f>
        <v>0.27497118016172561</v>
      </c>
      <c r="AJ623">
        <f>'Revenue Model'!AR143</f>
        <v>0.27497118016172656</v>
      </c>
      <c r="AK623">
        <f>'Revenue Model'!AS143</f>
        <v>0.27497118016172462</v>
      </c>
      <c r="AL623">
        <f>'Revenue Model'!AT143</f>
        <v>0.27497118016172672</v>
      </c>
      <c r="AM623">
        <f>'Revenue Model'!AU143</f>
        <v>0.27497118016172478</v>
      </c>
    </row>
    <row r="624" spans="1:39">
      <c r="A624">
        <f>'Revenue Model'!I144</f>
        <v>0</v>
      </c>
      <c r="B624">
        <f>'Revenue Model'!J144</f>
        <v>0</v>
      </c>
      <c r="C624">
        <f>'Revenue Model'!K144</f>
        <v>0</v>
      </c>
      <c r="D624">
        <f>'Revenue Model'!L144</f>
        <v>0</v>
      </c>
      <c r="E624">
        <f>'Revenue Model'!M144</f>
        <v>0</v>
      </c>
      <c r="F624">
        <f>'Revenue Model'!N144</f>
        <v>0</v>
      </c>
      <c r="G624">
        <f>'Revenue Model'!O144</f>
        <v>0</v>
      </c>
      <c r="H624">
        <f>'Revenue Model'!P144</f>
        <v>0</v>
      </c>
      <c r="I624">
        <f>'Revenue Model'!Q144</f>
        <v>0</v>
      </c>
      <c r="J624">
        <f>'Revenue Model'!R144</f>
        <v>0</v>
      </c>
      <c r="K624">
        <f>'Revenue Model'!S144</f>
        <v>0</v>
      </c>
      <c r="L624">
        <f>'Revenue Model'!T144</f>
        <v>0</v>
      </c>
      <c r="M624">
        <f>'Revenue Model'!U144</f>
        <v>0</v>
      </c>
      <c r="N624">
        <f>'Revenue Model'!V144</f>
        <v>0</v>
      </c>
      <c r="O624">
        <f>'Revenue Model'!W144</f>
        <v>0</v>
      </c>
      <c r="P624">
        <f>'Revenue Model'!X144</f>
        <v>0</v>
      </c>
      <c r="Q624">
        <f>'Revenue Model'!Y144</f>
        <v>0</v>
      </c>
      <c r="R624">
        <f>'Revenue Model'!Z144</f>
        <v>0</v>
      </c>
      <c r="S624">
        <f>'Revenue Model'!AA144</f>
        <v>0</v>
      </c>
      <c r="T624">
        <f>'Revenue Model'!AB144</f>
        <v>0</v>
      </c>
      <c r="U624">
        <f>'Revenue Model'!AC144</f>
        <v>0</v>
      </c>
      <c r="V624">
        <f>'Revenue Model'!AD144</f>
        <v>0</v>
      </c>
      <c r="W624">
        <f>'Revenue Model'!AE144</f>
        <v>0</v>
      </c>
      <c r="X624">
        <f>'Revenue Model'!AF144</f>
        <v>0</v>
      </c>
      <c r="Y624">
        <f>'Revenue Model'!AG144</f>
        <v>0</v>
      </c>
      <c r="Z624">
        <f>'Revenue Model'!AH144</f>
        <v>0</v>
      </c>
      <c r="AA624">
        <f>'Revenue Model'!AI144</f>
        <v>0</v>
      </c>
      <c r="AB624">
        <f>'Revenue Model'!AJ144</f>
        <v>0</v>
      </c>
      <c r="AC624">
        <f>'Revenue Model'!AK144</f>
        <v>0</v>
      </c>
      <c r="AD624">
        <f>'Revenue Model'!AL144</f>
        <v>0</v>
      </c>
      <c r="AE624">
        <f>'Revenue Model'!AM144</f>
        <v>0</v>
      </c>
      <c r="AF624">
        <f>'Revenue Model'!AN144</f>
        <v>0</v>
      </c>
      <c r="AG624">
        <f>'Revenue Model'!AO144</f>
        <v>0</v>
      </c>
      <c r="AH624">
        <f>'Revenue Model'!AP144</f>
        <v>0</v>
      </c>
      <c r="AI624">
        <f>'Revenue Model'!AQ144</f>
        <v>0</v>
      </c>
      <c r="AJ624">
        <f>'Revenue Model'!AR144</f>
        <v>0</v>
      </c>
      <c r="AK624">
        <f>'Revenue Model'!AS144</f>
        <v>0</v>
      </c>
      <c r="AL624">
        <f>'Revenue Model'!AT144</f>
        <v>0</v>
      </c>
      <c r="AM624">
        <f>'Revenue Model'!AU144</f>
        <v>0</v>
      </c>
    </row>
    <row r="625" spans="1:39">
      <c r="A625" t="str">
        <f>'Revenue Model'!I145</f>
        <v xml:space="preserve">ROW Revenue </v>
      </c>
      <c r="B625">
        <f>'Revenue Model'!J145</f>
        <v>0</v>
      </c>
      <c r="C625">
        <f>'Revenue Model'!K145</f>
        <v>0</v>
      </c>
      <c r="D625">
        <f>'Revenue Model'!L145</f>
        <v>0</v>
      </c>
      <c r="E625">
        <f>'Revenue Model'!M145</f>
        <v>0</v>
      </c>
      <c r="F625">
        <f>'Revenue Model'!N145</f>
        <v>0</v>
      </c>
      <c r="G625">
        <f>'Revenue Model'!O145</f>
        <v>0</v>
      </c>
      <c r="H625">
        <f>'Revenue Model'!P145</f>
        <v>0</v>
      </c>
      <c r="I625">
        <f>'Revenue Model'!Q145</f>
        <v>0</v>
      </c>
      <c r="J625">
        <f>'Revenue Model'!R145</f>
        <v>0</v>
      </c>
      <c r="K625">
        <f>'Revenue Model'!S145</f>
        <v>5.0000000000000001E-3</v>
      </c>
      <c r="L625">
        <f>'Revenue Model'!T145</f>
        <v>6.0000000000000001E-3</v>
      </c>
      <c r="M625">
        <f>'Revenue Model'!U145</f>
        <v>9.7000000000000003E-2</v>
      </c>
      <c r="N625">
        <f>'Revenue Model'!V145</f>
        <v>0.19800000000000001</v>
      </c>
      <c r="O625">
        <f>'Revenue Model'!W145</f>
        <v>0.34300000000000003</v>
      </c>
      <c r="P625">
        <f>'Revenue Model'!X145</f>
        <v>1.6579999999999999</v>
      </c>
      <c r="Q625">
        <f>'Revenue Model'!Y145</f>
        <v>5.6609999999999996</v>
      </c>
      <c r="R625">
        <f>'Revenue Model'!Z145</f>
        <v>8</v>
      </c>
      <c r="S625">
        <f>'Revenue Model'!AA145</f>
        <v>12</v>
      </c>
      <c r="T625">
        <f>'Revenue Model'!AB145</f>
        <v>13</v>
      </c>
      <c r="U625">
        <f>'Revenue Model'!AC145</f>
        <v>26</v>
      </c>
      <c r="V625">
        <f>'Revenue Model'!AD145</f>
        <v>23</v>
      </c>
      <c r="W625">
        <f>'Revenue Model'!AE145</f>
        <v>27</v>
      </c>
      <c r="X625">
        <f>'Revenue Model'!AF145</f>
        <v>31</v>
      </c>
      <c r="Y625">
        <f>'Revenue Model'!AG145</f>
        <v>43</v>
      </c>
      <c r="Z625">
        <f>'Revenue Model'!AH145</f>
        <v>0</v>
      </c>
      <c r="AA625">
        <f>'Revenue Model'!AI145</f>
        <v>0</v>
      </c>
      <c r="AB625">
        <f>'Revenue Model'!AJ145</f>
        <v>0</v>
      </c>
      <c r="AC625">
        <f>'Revenue Model'!AK145</f>
        <v>0.108</v>
      </c>
      <c r="AD625">
        <f>'Revenue Model'!AL145</f>
        <v>7.8599999999999994</v>
      </c>
      <c r="AE625">
        <f>'Revenue Model'!AM145</f>
        <v>59</v>
      </c>
      <c r="AF625">
        <f>'Revenue Model'!AN145</f>
        <v>124</v>
      </c>
      <c r="AG625">
        <f>'Revenue Model'!AO145</f>
        <v>226.4576271186441</v>
      </c>
      <c r="AH625">
        <f>'Revenue Model'!AP145</f>
        <v>366.79418629704116</v>
      </c>
      <c r="AI625">
        <f>'Revenue Model'!AQ145</f>
        <v>548.63706679176073</v>
      </c>
      <c r="AJ625">
        <f>'Revenue Model'!AR145</f>
        <v>766.23210684137439</v>
      </c>
      <c r="AK625">
        <f>'Revenue Model'!AS145</f>
        <v>1009.3484634527393</v>
      </c>
      <c r="AL625">
        <f>'Revenue Model'!AT145</f>
        <v>1265.5518971589806</v>
      </c>
      <c r="AM625">
        <f>'Revenue Model'!AU145</f>
        <v>1522.5404424044439</v>
      </c>
    </row>
    <row r="626" spans="1:39">
      <c r="A626" t="str">
        <f>'Revenue Model'!I146</f>
        <v>Y/Y % Growth</v>
      </c>
      <c r="B626">
        <f>'Revenue Model'!J146</f>
        <v>0</v>
      </c>
      <c r="C626">
        <f>'Revenue Model'!K146</f>
        <v>0</v>
      </c>
      <c r="D626">
        <f>'Revenue Model'!L146</f>
        <v>0</v>
      </c>
      <c r="E626">
        <f>'Revenue Model'!M146</f>
        <v>0</v>
      </c>
      <c r="F626">
        <f>'Revenue Model'!N146</f>
        <v>0</v>
      </c>
      <c r="G626">
        <f>'Revenue Model'!O146</f>
        <v>0</v>
      </c>
      <c r="H626">
        <f>'Revenue Model'!P146</f>
        <v>0</v>
      </c>
      <c r="I626">
        <f>'Revenue Model'!Q146</f>
        <v>0</v>
      </c>
      <c r="J626">
        <f>'Revenue Model'!R146</f>
        <v>0</v>
      </c>
      <c r="K626">
        <f>'Revenue Model'!S146</f>
        <v>0</v>
      </c>
      <c r="L626">
        <f>'Revenue Model'!T146</f>
        <v>0</v>
      </c>
      <c r="M626">
        <f>'Revenue Model'!U146</f>
        <v>0</v>
      </c>
      <c r="N626">
        <f>'Revenue Model'!V146</f>
        <v>0</v>
      </c>
      <c r="O626">
        <f>'Revenue Model'!W146</f>
        <v>0</v>
      </c>
      <c r="P626">
        <f>'Revenue Model'!X146</f>
        <v>0</v>
      </c>
      <c r="Q626">
        <f>'Revenue Model'!Y146</f>
        <v>0</v>
      </c>
      <c r="R626">
        <f>'Revenue Model'!Z146</f>
        <v>0</v>
      </c>
      <c r="S626">
        <f>'Revenue Model'!AA146</f>
        <v>33.985422740524776</v>
      </c>
      <c r="T626">
        <f>'Revenue Model'!AB146</f>
        <v>6.8407720144752719</v>
      </c>
      <c r="U626">
        <f>'Revenue Model'!AC146</f>
        <v>3.5928281222398875</v>
      </c>
      <c r="V626">
        <f>'Revenue Model'!AD146</f>
        <v>1.875</v>
      </c>
      <c r="W626">
        <f>'Revenue Model'!AE146</f>
        <v>1.25</v>
      </c>
      <c r="X626">
        <f>'Revenue Model'!AF146</f>
        <v>1.3846153846153846</v>
      </c>
      <c r="Y626">
        <f>'Revenue Model'!AG146</f>
        <v>0.65384615384615374</v>
      </c>
      <c r="Z626">
        <f>'Revenue Model'!AH146</f>
        <v>0</v>
      </c>
      <c r="AA626">
        <f>'Revenue Model'!AI146</f>
        <v>0</v>
      </c>
      <c r="AB626">
        <f>'Revenue Model'!AJ146</f>
        <v>0</v>
      </c>
      <c r="AC626">
        <f>'Revenue Model'!AK146</f>
        <v>0</v>
      </c>
      <c r="AD626">
        <f>'Revenue Model'!AL146</f>
        <v>0</v>
      </c>
      <c r="AE626">
        <f>'Revenue Model'!AM146</f>
        <v>6.5063613231552164</v>
      </c>
      <c r="AF626">
        <f>'Revenue Model'!AN146</f>
        <v>1.1016949152542375</v>
      </c>
      <c r="AG626">
        <f>'Revenue Model'!AO146</f>
        <v>0.8262711864406781</v>
      </c>
      <c r="AH626">
        <f>'Revenue Model'!AP146</f>
        <v>0.61970338983050854</v>
      </c>
      <c r="AI626">
        <f>'Revenue Model'!AQ146</f>
        <v>0.49576271186440685</v>
      </c>
      <c r="AJ626">
        <f>'Revenue Model'!AR146</f>
        <v>0.3966101694915255</v>
      </c>
      <c r="AK626">
        <f>'Revenue Model'!AS146</f>
        <v>0.31728813559322044</v>
      </c>
      <c r="AL626">
        <f>'Revenue Model'!AT146</f>
        <v>0.25383050847457639</v>
      </c>
      <c r="AM626">
        <f>'Revenue Model'!AU146</f>
        <v>0.20306440677966112</v>
      </c>
    </row>
    <row r="627" spans="1:39">
      <c r="A627" t="str">
        <f>'Revenue Model'!I147</f>
        <v>Y/Y Abs Growth</v>
      </c>
      <c r="B627">
        <f>'Revenue Model'!J147</f>
        <v>0</v>
      </c>
      <c r="C627">
        <f>'Revenue Model'!K147</f>
        <v>0</v>
      </c>
      <c r="D627">
        <f>'Revenue Model'!L147</f>
        <v>0</v>
      </c>
      <c r="E627">
        <f>'Revenue Model'!M147</f>
        <v>0</v>
      </c>
      <c r="F627">
        <f>'Revenue Model'!N147</f>
        <v>0</v>
      </c>
      <c r="G627">
        <f>'Revenue Model'!O147</f>
        <v>0</v>
      </c>
      <c r="H627">
        <f>'Revenue Model'!P147</f>
        <v>0</v>
      </c>
      <c r="I627">
        <f>'Revenue Model'!Q147</f>
        <v>0</v>
      </c>
      <c r="J627">
        <f>'Revenue Model'!R147</f>
        <v>0</v>
      </c>
      <c r="K627">
        <f>'Revenue Model'!S147</f>
        <v>0</v>
      </c>
      <c r="L627">
        <f>'Revenue Model'!T147</f>
        <v>0</v>
      </c>
      <c r="M627">
        <f>'Revenue Model'!U147</f>
        <v>0</v>
      </c>
      <c r="N627">
        <f>'Revenue Model'!V147</f>
        <v>0.19800000000000001</v>
      </c>
      <c r="O627">
        <f>'Revenue Model'!W147</f>
        <v>0.33800000000000002</v>
      </c>
      <c r="P627">
        <f>'Revenue Model'!X147</f>
        <v>1.6519999999999999</v>
      </c>
      <c r="Q627">
        <f>'Revenue Model'!Y147</f>
        <v>5.5639999999999992</v>
      </c>
      <c r="R627">
        <f>'Revenue Model'!Z147</f>
        <v>7.8019999999999996</v>
      </c>
      <c r="S627">
        <f>'Revenue Model'!AA147</f>
        <v>11.657</v>
      </c>
      <c r="T627">
        <f>'Revenue Model'!AB147</f>
        <v>11.342000000000001</v>
      </c>
      <c r="U627">
        <f>'Revenue Model'!AC147</f>
        <v>20.338999999999999</v>
      </c>
      <c r="V627">
        <f>'Revenue Model'!AD147</f>
        <v>15</v>
      </c>
      <c r="W627">
        <f>'Revenue Model'!AE147</f>
        <v>15</v>
      </c>
      <c r="X627">
        <f>'Revenue Model'!AF147</f>
        <v>18</v>
      </c>
      <c r="Y627">
        <f>'Revenue Model'!AG147</f>
        <v>17</v>
      </c>
      <c r="Z627">
        <f>'Revenue Model'!AH147</f>
        <v>0</v>
      </c>
      <c r="AA627">
        <f>'Revenue Model'!AI147</f>
        <v>0</v>
      </c>
      <c r="AB627">
        <f>'Revenue Model'!AJ147</f>
        <v>0</v>
      </c>
      <c r="AC627">
        <f>'Revenue Model'!AK147</f>
        <v>0.108</v>
      </c>
      <c r="AD627">
        <f>'Revenue Model'!AL147</f>
        <v>7.7519999999999998</v>
      </c>
      <c r="AE627">
        <f>'Revenue Model'!AM147</f>
        <v>51.14</v>
      </c>
      <c r="AF627">
        <f>'Revenue Model'!AN147</f>
        <v>65</v>
      </c>
      <c r="AG627">
        <f>'Revenue Model'!AO147</f>
        <v>102.4576271186441</v>
      </c>
      <c r="AH627">
        <f>'Revenue Model'!AP147</f>
        <v>140.33655917839707</v>
      </c>
      <c r="AI627">
        <f>'Revenue Model'!AQ147</f>
        <v>181.84288049471957</v>
      </c>
      <c r="AJ627">
        <f>'Revenue Model'!AR147</f>
        <v>217.59504004961366</v>
      </c>
      <c r="AK627">
        <f>'Revenue Model'!AS147</f>
        <v>243.11635661136495</v>
      </c>
      <c r="AL627">
        <f>'Revenue Model'!AT147</f>
        <v>256.2034337062413</v>
      </c>
      <c r="AM627">
        <f>'Revenue Model'!AU147</f>
        <v>256.98854524546323</v>
      </c>
    </row>
    <row r="628" spans="1:39">
      <c r="A628" t="str">
        <f>'Revenue Model'!I148</f>
        <v>Q/Q % Growth</v>
      </c>
      <c r="B628">
        <f>'Revenue Model'!J148</f>
        <v>0</v>
      </c>
      <c r="C628">
        <f>'Revenue Model'!K148</f>
        <v>0</v>
      </c>
      <c r="D628">
        <f>'Revenue Model'!L148</f>
        <v>0</v>
      </c>
      <c r="E628">
        <f>'Revenue Model'!M148</f>
        <v>0</v>
      </c>
      <c r="F628">
        <f>'Revenue Model'!N148</f>
        <v>0</v>
      </c>
      <c r="G628">
        <f>'Revenue Model'!O148</f>
        <v>0</v>
      </c>
      <c r="H628">
        <f>'Revenue Model'!P148</f>
        <v>0</v>
      </c>
      <c r="I628">
        <f>'Revenue Model'!Q148</f>
        <v>0</v>
      </c>
      <c r="J628">
        <f>'Revenue Model'!R148</f>
        <v>0</v>
      </c>
      <c r="K628">
        <f>'Revenue Model'!S148</f>
        <v>0</v>
      </c>
      <c r="L628">
        <f>'Revenue Model'!T148</f>
        <v>0</v>
      </c>
      <c r="M628">
        <f>'Revenue Model'!U148</f>
        <v>0</v>
      </c>
      <c r="N628">
        <f>'Revenue Model'!V148</f>
        <v>0</v>
      </c>
      <c r="O628">
        <f>'Revenue Model'!W148</f>
        <v>0.73232323232323249</v>
      </c>
      <c r="P628">
        <f>'Revenue Model'!X148</f>
        <v>3.833819241982507</v>
      </c>
      <c r="Q628">
        <f>'Revenue Model'!Y148</f>
        <v>2.4143546441495776</v>
      </c>
      <c r="R628">
        <f>'Revenue Model'!Z148</f>
        <v>0.41317788376611908</v>
      </c>
      <c r="S628">
        <f>'Revenue Model'!AA148</f>
        <v>0.5</v>
      </c>
      <c r="T628">
        <f>'Revenue Model'!AB148</f>
        <v>8.3333333333333259E-2</v>
      </c>
      <c r="U628">
        <f>'Revenue Model'!AC148</f>
        <v>1</v>
      </c>
      <c r="V628">
        <f>'Revenue Model'!AD148</f>
        <v>-0.11538461538461542</v>
      </c>
      <c r="W628">
        <f>'Revenue Model'!AE148</f>
        <v>0.17391304347826098</v>
      </c>
      <c r="X628">
        <f>'Revenue Model'!AF148</f>
        <v>0.14814814814814814</v>
      </c>
      <c r="Y628">
        <f>'Revenue Model'!AG148</f>
        <v>0.38709677419354849</v>
      </c>
      <c r="Z628">
        <f>'Revenue Model'!AH148</f>
        <v>0</v>
      </c>
      <c r="AA628">
        <f>'Revenue Model'!AI148</f>
        <v>0</v>
      </c>
      <c r="AB628">
        <f>'Revenue Model'!AJ148</f>
        <v>0</v>
      </c>
      <c r="AC628">
        <f>'Revenue Model'!AK148</f>
        <v>0</v>
      </c>
      <c r="AD628">
        <f>'Revenue Model'!AL148</f>
        <v>0</v>
      </c>
      <c r="AE628">
        <f>'Revenue Model'!AM148</f>
        <v>0</v>
      </c>
      <c r="AF628">
        <f>'Revenue Model'!AN148</f>
        <v>0</v>
      </c>
      <c r="AG628">
        <f>'Revenue Model'!AO148</f>
        <v>0</v>
      </c>
      <c r="AH628">
        <f>'Revenue Model'!AP148</f>
        <v>0</v>
      </c>
      <c r="AI628">
        <f>'Revenue Model'!AQ148</f>
        <v>0</v>
      </c>
      <c r="AJ628">
        <f>'Revenue Model'!AR148</f>
        <v>0</v>
      </c>
      <c r="AK628">
        <f>'Revenue Model'!AS148</f>
        <v>0</v>
      </c>
      <c r="AL628">
        <f>'Revenue Model'!AT148</f>
        <v>0</v>
      </c>
      <c r="AM628">
        <f>'Revenue Model'!AU148</f>
        <v>0</v>
      </c>
    </row>
    <row r="629" spans="1:39">
      <c r="A629" t="str">
        <f>'Revenue Model'!I149</f>
        <v>Q/Q Abs Growth</v>
      </c>
      <c r="B629">
        <f>'Revenue Model'!J149</f>
        <v>0</v>
      </c>
      <c r="C629">
        <f>'Revenue Model'!K149</f>
        <v>0</v>
      </c>
      <c r="D629">
        <f>'Revenue Model'!L149</f>
        <v>0</v>
      </c>
      <c r="E629">
        <f>'Revenue Model'!M149</f>
        <v>0</v>
      </c>
      <c r="F629">
        <f>'Revenue Model'!N149</f>
        <v>0</v>
      </c>
      <c r="G629">
        <f>'Revenue Model'!O149</f>
        <v>0</v>
      </c>
      <c r="H629">
        <f>'Revenue Model'!P149</f>
        <v>0</v>
      </c>
      <c r="I629">
        <f>'Revenue Model'!Q149</f>
        <v>0</v>
      </c>
      <c r="J629">
        <f>'Revenue Model'!R149</f>
        <v>0</v>
      </c>
      <c r="K629">
        <f>'Revenue Model'!S149</f>
        <v>5.0000000000000001E-3</v>
      </c>
      <c r="L629">
        <f>'Revenue Model'!T149</f>
        <v>1E-3</v>
      </c>
      <c r="M629">
        <f>'Revenue Model'!U149</f>
        <v>9.0999999999999998E-2</v>
      </c>
      <c r="N629">
        <f>'Revenue Model'!V149</f>
        <v>0.10100000000000001</v>
      </c>
      <c r="O629">
        <f>'Revenue Model'!W149</f>
        <v>0.14500000000000002</v>
      </c>
      <c r="P629">
        <f>'Revenue Model'!X149</f>
        <v>1.3149999999999999</v>
      </c>
      <c r="Q629">
        <f>'Revenue Model'!Y149</f>
        <v>4.0030000000000001</v>
      </c>
      <c r="R629">
        <f>'Revenue Model'!Z149</f>
        <v>2.3390000000000004</v>
      </c>
      <c r="S629">
        <f>'Revenue Model'!AA149</f>
        <v>4</v>
      </c>
      <c r="T629">
        <f>'Revenue Model'!AB149</f>
        <v>1</v>
      </c>
      <c r="U629">
        <f>'Revenue Model'!AC149</f>
        <v>13</v>
      </c>
      <c r="V629">
        <f>'Revenue Model'!AD149</f>
        <v>-3</v>
      </c>
      <c r="W629">
        <f>'Revenue Model'!AE149</f>
        <v>4</v>
      </c>
      <c r="X629">
        <f>'Revenue Model'!AF149</f>
        <v>4</v>
      </c>
      <c r="Y629">
        <f>'Revenue Model'!AG149</f>
        <v>12</v>
      </c>
      <c r="Z629">
        <f>'Revenue Model'!AH149</f>
        <v>0</v>
      </c>
      <c r="AA629">
        <f>'Revenue Model'!AI149</f>
        <v>0</v>
      </c>
      <c r="AB629">
        <f>'Revenue Model'!AJ149</f>
        <v>0</v>
      </c>
      <c r="AC629">
        <f>'Revenue Model'!AK149</f>
        <v>0</v>
      </c>
      <c r="AD629">
        <f>'Revenue Model'!AL149</f>
        <v>0</v>
      </c>
      <c r="AE629">
        <f>'Revenue Model'!AM149</f>
        <v>0</v>
      </c>
      <c r="AF629">
        <f>'Revenue Model'!AN149</f>
        <v>0</v>
      </c>
      <c r="AG629">
        <f>'Revenue Model'!AO149</f>
        <v>0</v>
      </c>
      <c r="AH629">
        <f>'Revenue Model'!AP149</f>
        <v>0</v>
      </c>
      <c r="AI629">
        <f>'Revenue Model'!AQ149</f>
        <v>0</v>
      </c>
      <c r="AJ629">
        <f>'Revenue Model'!AR149</f>
        <v>0</v>
      </c>
      <c r="AK629">
        <f>'Revenue Model'!AS149</f>
        <v>0</v>
      </c>
      <c r="AL629">
        <f>'Revenue Model'!AT149</f>
        <v>0</v>
      </c>
      <c r="AM629">
        <f>'Revenue Model'!AU149</f>
        <v>0</v>
      </c>
    </row>
    <row r="630" spans="1:39">
      <c r="A630" t="str">
        <f>'Revenue Model'!I150</f>
        <v>% of Total Revenue</v>
      </c>
      <c r="B630">
        <f>'Revenue Model'!J150</f>
        <v>0</v>
      </c>
      <c r="C630">
        <f>'Revenue Model'!K150</f>
        <v>0</v>
      </c>
      <c r="D630">
        <f>'Revenue Model'!L150</f>
        <v>0</v>
      </c>
      <c r="E630">
        <f>'Revenue Model'!M150</f>
        <v>0</v>
      </c>
      <c r="F630">
        <f>'Revenue Model'!N150</f>
        <v>0</v>
      </c>
      <c r="G630">
        <f>'Revenue Model'!O150</f>
        <v>0</v>
      </c>
      <c r="H630">
        <f>'Revenue Model'!P150</f>
        <v>0</v>
      </c>
      <c r="I630">
        <f>'Revenue Model'!Q150</f>
        <v>0</v>
      </c>
      <c r="J630">
        <f>'Revenue Model'!R150</f>
        <v>0</v>
      </c>
      <c r="K630">
        <f>'Revenue Model'!S150</f>
        <v>9.4339622641509435E-4</v>
      </c>
      <c r="L630">
        <f>'Revenue Model'!T150</f>
        <v>3.5874439461883406E-4</v>
      </c>
      <c r="M630">
        <f>'Revenue Model'!U150</f>
        <v>2.9647288954092548E-3</v>
      </c>
      <c r="N630">
        <f>'Revenue Model'!V150</f>
        <v>5.1033558430846953E-3</v>
      </c>
      <c r="O630">
        <f>'Revenue Model'!W150</f>
        <v>4.7772918465695422E-3</v>
      </c>
      <c r="P630">
        <f>'Revenue Model'!X150</f>
        <v>1.2932513806121492E-2</v>
      </c>
      <c r="Q630">
        <f>'Revenue Model'!Y150</f>
        <v>3.4167863738969836E-2</v>
      </c>
      <c r="R630">
        <f>'Revenue Model'!Z150</f>
        <v>5.3458783278092593E-2</v>
      </c>
      <c r="S630">
        <f>'Revenue Model'!AA150</f>
        <v>6.6053470284195059E-2</v>
      </c>
      <c r="T630">
        <f>'Revenue Model'!AB150</f>
        <v>6.2518936023891844E-2</v>
      </c>
      <c r="U630">
        <f>'Revenue Model'!AC150</f>
        <v>9.100678000511038E-2</v>
      </c>
      <c r="V630">
        <f>'Revenue Model'!AD150</f>
        <v>9.2369477911646583E-2</v>
      </c>
      <c r="W630">
        <f>'Revenue Model'!AE150</f>
        <v>9.152542372881356E-2</v>
      </c>
      <c r="X630">
        <f>'Revenue Model'!AF150</f>
        <v>9.0909090909090912E-2</v>
      </c>
      <c r="Y630">
        <f>'Revenue Model'!AG150</f>
        <v>0.10046728971962617</v>
      </c>
      <c r="Z630">
        <f>'Revenue Model'!AH150</f>
        <v>0</v>
      </c>
      <c r="AA630">
        <f>'Revenue Model'!AI150</f>
        <v>0</v>
      </c>
      <c r="AB630">
        <f>'Revenue Model'!AJ150</f>
        <v>0</v>
      </c>
      <c r="AC630">
        <f>'Revenue Model'!AK150</f>
        <v>1.8410241549187733E-3</v>
      </c>
      <c r="AD630">
        <f>'Revenue Model'!AL150</f>
        <v>1.9432261509782882E-2</v>
      </c>
      <c r="AE630">
        <f>'Revenue Model'!AM150</f>
        <v>7.1519572725101802E-2</v>
      </c>
      <c r="AF630">
        <f>'Revenue Model'!AN150</f>
        <v>9.4440213252094438E-2</v>
      </c>
      <c r="AG630">
        <f>'Revenue Model'!AO150</f>
        <v>0.11499018774654202</v>
      </c>
      <c r="AH630">
        <f>'Revenue Model'!AP150</f>
        <v>0.13077007898520832</v>
      </c>
      <c r="AI630">
        <f>'Revenue Model'!AQ150</f>
        <v>0.14388869599980667</v>
      </c>
      <c r="AJ630">
        <f>'Revenue Model'!AR150</f>
        <v>0.15435904934398803</v>
      </c>
      <c r="AK630">
        <f>'Revenue Model'!AS150</f>
        <v>0.16376042250402786</v>
      </c>
      <c r="AL630">
        <f>'Revenue Model'!AT150</f>
        <v>0.17204636537005238</v>
      </c>
      <c r="AM630">
        <f>'Revenue Model'!AU150</f>
        <v>0.17816599986368609</v>
      </c>
    </row>
    <row r="631" spans="1:39">
      <c r="A631" t="str">
        <f>'Revenue Model'!I151</f>
        <v>Contrib to Total Revenue Growth</v>
      </c>
      <c r="B631">
        <f>'Revenue Model'!J151</f>
        <v>0</v>
      </c>
      <c r="C631">
        <f>'Revenue Model'!K151</f>
        <v>0</v>
      </c>
      <c r="D631">
        <f>'Revenue Model'!L151</f>
        <v>0</v>
      </c>
      <c r="E631">
        <f>'Revenue Model'!M151</f>
        <v>0</v>
      </c>
      <c r="F631">
        <f>'Revenue Model'!N151</f>
        <v>0</v>
      </c>
      <c r="G631">
        <f>'Revenue Model'!O151</f>
        <v>0</v>
      </c>
      <c r="H631">
        <f>'Revenue Model'!P151</f>
        <v>0</v>
      </c>
      <c r="I631">
        <f>'Revenue Model'!Q151</f>
        <v>0</v>
      </c>
      <c r="J631">
        <f>'Revenue Model'!R151</f>
        <v>0</v>
      </c>
      <c r="K631">
        <f>'Revenue Model'!S151</f>
        <v>0</v>
      </c>
      <c r="L631">
        <f>'Revenue Model'!T151</f>
        <v>0</v>
      </c>
      <c r="M631">
        <f>'Revenue Model'!U151</f>
        <v>0</v>
      </c>
      <c r="N631">
        <f>'Revenue Model'!V151</f>
        <v>5.6769310166867367E-3</v>
      </c>
      <c r="O631">
        <f>'Revenue Model'!W151</f>
        <v>5.082859634876237E-3</v>
      </c>
      <c r="P631">
        <f>'Revenue Model'!X151</f>
        <v>1.4818934507844524E-2</v>
      </c>
      <c r="Q631">
        <f>'Revenue Model'!Y151</f>
        <v>4.1845913179507227E-2</v>
      </c>
      <c r="R631">
        <f>'Revenue Model'!Z151</f>
        <v>7.0383400992331979E-2</v>
      </c>
      <c r="S631">
        <f>'Revenue Model'!AA151</f>
        <v>0.1060952190256023</v>
      </c>
      <c r="T631">
        <f>'Revenue Model'!AB151</f>
        <v>0.14224975856922478</v>
      </c>
      <c r="U631">
        <f>'Revenue Model'!AC151</f>
        <v>0.16947613135462583</v>
      </c>
      <c r="V631">
        <f>'Revenue Model'!AD151</f>
        <v>0.15097833964087284</v>
      </c>
      <c r="W631">
        <f>'Revenue Model'!AE151</f>
        <v>0.13235800192360295</v>
      </c>
      <c r="X631">
        <f>'Revenue Model'!AF151</f>
        <v>0.13527426857954503</v>
      </c>
      <c r="Y631">
        <f>'Revenue Model'!AG151</f>
        <v>0.1194600406164138</v>
      </c>
      <c r="Z631">
        <f>'Revenue Model'!AH151</f>
        <v>0</v>
      </c>
      <c r="AA631">
        <f>'Revenue Model'!AI151</f>
        <v>0</v>
      </c>
      <c r="AB631">
        <f>'Revenue Model'!AJ151</f>
        <v>0</v>
      </c>
      <c r="AC631">
        <f>'Revenue Model'!AK151</f>
        <v>1.8410241549187733E-3</v>
      </c>
      <c r="AD631">
        <f>'Revenue Model'!AL151</f>
        <v>2.2416350749958795E-2</v>
      </c>
      <c r="AE631">
        <f>'Revenue Model'!AM151</f>
        <v>0.12162666749114676</v>
      </c>
      <c r="AF631">
        <f>'Revenue Model'!AN151</f>
        <v>0.1331828026169396</v>
      </c>
      <c r="AG631">
        <f>'Revenue Model'!AO151</f>
        <v>0.15609860315774499</v>
      </c>
      <c r="AH631">
        <f>'Revenue Model'!AP151</f>
        <v>0.16796439544378111</v>
      </c>
      <c r="AI631">
        <f>'Revenue Model'!AQ151</f>
        <v>0.18039104183394103</v>
      </c>
      <c r="AJ631">
        <f>'Revenue Model'!AR151</f>
        <v>0.18904327939246798</v>
      </c>
      <c r="AK631">
        <f>'Revenue Model'!AS151</f>
        <v>0.20266316115949476</v>
      </c>
      <c r="AL631">
        <f>'Revenue Model'!AT151</f>
        <v>0.21488002857640462</v>
      </c>
      <c r="AM631">
        <f>'Revenue Model'!AU151</f>
        <v>0.21600186575045677</v>
      </c>
    </row>
    <row r="632" spans="1:39">
      <c r="A632">
        <f>'Revenue Model'!I152</f>
        <v>0</v>
      </c>
      <c r="B632">
        <f>'Revenue Model'!J152</f>
        <v>0</v>
      </c>
      <c r="C632">
        <f>'Revenue Model'!K152</f>
        <v>0</v>
      </c>
      <c r="D632">
        <f>'Revenue Model'!L152</f>
        <v>0</v>
      </c>
      <c r="E632">
        <f>'Revenue Model'!M152</f>
        <v>0</v>
      </c>
      <c r="F632">
        <f>'Revenue Model'!N152</f>
        <v>0</v>
      </c>
      <c r="G632">
        <f>'Revenue Model'!O152</f>
        <v>0</v>
      </c>
      <c r="H632">
        <f>'Revenue Model'!P152</f>
        <v>0</v>
      </c>
      <c r="I632">
        <f>'Revenue Model'!Q152</f>
        <v>0</v>
      </c>
      <c r="J632">
        <f>'Revenue Model'!R152</f>
        <v>0</v>
      </c>
      <c r="K632">
        <f>'Revenue Model'!S152</f>
        <v>0</v>
      </c>
      <c r="L632">
        <f>'Revenue Model'!T152</f>
        <v>0</v>
      </c>
      <c r="M632">
        <f>'Revenue Model'!U152</f>
        <v>0</v>
      </c>
      <c r="N632">
        <f>'Revenue Model'!V152</f>
        <v>0</v>
      </c>
      <c r="O632">
        <f>'Revenue Model'!W152</f>
        <v>0</v>
      </c>
      <c r="P632">
        <f>'Revenue Model'!X152</f>
        <v>0</v>
      </c>
      <c r="Q632">
        <f>'Revenue Model'!Y152</f>
        <v>0</v>
      </c>
      <c r="R632">
        <f>'Revenue Model'!Z152</f>
        <v>0</v>
      </c>
      <c r="S632">
        <f>'Revenue Model'!AA152</f>
        <v>0</v>
      </c>
      <c r="T632">
        <f>'Revenue Model'!AB152</f>
        <v>0</v>
      </c>
      <c r="U632">
        <f>'Revenue Model'!AC152</f>
        <v>0</v>
      </c>
      <c r="V632">
        <f>'Revenue Model'!AD152</f>
        <v>0</v>
      </c>
      <c r="W632">
        <f>'Revenue Model'!AE152</f>
        <v>0</v>
      </c>
      <c r="X632">
        <f>'Revenue Model'!AF152</f>
        <v>0</v>
      </c>
      <c r="Y632">
        <f>'Revenue Model'!AG152</f>
        <v>0</v>
      </c>
      <c r="Z632">
        <f>'Revenue Model'!AH152</f>
        <v>0</v>
      </c>
      <c r="AA632">
        <f>'Revenue Model'!AI152</f>
        <v>0</v>
      </c>
      <c r="AB632">
        <f>'Revenue Model'!AJ152</f>
        <v>0</v>
      </c>
      <c r="AC632">
        <f>'Revenue Model'!AK152</f>
        <v>0</v>
      </c>
      <c r="AD632">
        <f>'Revenue Model'!AL152</f>
        <v>0</v>
      </c>
      <c r="AE632">
        <f>'Revenue Model'!AM152</f>
        <v>0</v>
      </c>
      <c r="AF632">
        <f>'Revenue Model'!AN152</f>
        <v>0</v>
      </c>
      <c r="AG632">
        <f>'Revenue Model'!AO152</f>
        <v>0</v>
      </c>
      <c r="AH632">
        <f>'Revenue Model'!AP152</f>
        <v>0</v>
      </c>
      <c r="AI632">
        <f>'Revenue Model'!AQ152</f>
        <v>0</v>
      </c>
      <c r="AJ632">
        <f>'Revenue Model'!AR152</f>
        <v>0</v>
      </c>
      <c r="AK632">
        <f>'Revenue Model'!AS152</f>
        <v>0</v>
      </c>
      <c r="AL632">
        <f>'Revenue Model'!AT152</f>
        <v>0</v>
      </c>
      <c r="AM632">
        <f>'Revenue Model'!AU152</f>
        <v>0</v>
      </c>
    </row>
    <row r="633" spans="1:39">
      <c r="A633" t="str">
        <f>'Revenue Model'!I153</f>
        <v>Revenue ARPU</v>
      </c>
      <c r="B633">
        <f>'Revenue Model'!J153</f>
        <v>0</v>
      </c>
      <c r="C633">
        <f>'Revenue Model'!K153</f>
        <v>0</v>
      </c>
      <c r="D633">
        <f>'Revenue Model'!L153</f>
        <v>0</v>
      </c>
      <c r="E633">
        <f>'Revenue Model'!M153</f>
        <v>0</v>
      </c>
      <c r="F633">
        <f>'Revenue Model'!N153</f>
        <v>0</v>
      </c>
      <c r="G633">
        <f>'Revenue Model'!O153</f>
        <v>0</v>
      </c>
      <c r="H633">
        <f>'Revenue Model'!P153</f>
        <v>0</v>
      </c>
      <c r="I633">
        <f>'Revenue Model'!Q153</f>
        <v>0</v>
      </c>
      <c r="J633">
        <f>'Revenue Model'!R153</f>
        <v>0</v>
      </c>
      <c r="K633">
        <f>'Revenue Model'!S153</f>
        <v>2.7777777777777778E-4</v>
      </c>
      <c r="L633">
        <f>'Revenue Model'!T153</f>
        <v>2.9702970297029702E-4</v>
      </c>
      <c r="M633">
        <f>'Revenue Model'!U153</f>
        <v>4.0416666666666665E-3</v>
      </c>
      <c r="N633">
        <f>'Revenue Model'!V153</f>
        <v>6.827586206896552E-3</v>
      </c>
      <c r="O633">
        <f>'Revenue Model'!W153</f>
        <v>9.5277777777777791E-3</v>
      </c>
      <c r="P633">
        <f>'Revenue Model'!X153</f>
        <v>4.2512820512820508E-2</v>
      </c>
      <c r="Q633">
        <f>'Revenue Model'!Y153</f>
        <v>0.14515384615384613</v>
      </c>
      <c r="R633">
        <f>'Revenue Model'!Z153</f>
        <v>0.2</v>
      </c>
      <c r="S633">
        <f>'Revenue Model'!AA153</f>
        <v>0.2857142857142857</v>
      </c>
      <c r="T633">
        <f>'Revenue Model'!AB153</f>
        <v>0.29545454545454547</v>
      </c>
      <c r="U633">
        <f>'Revenue Model'!AC153</f>
        <v>0.55319148936170215</v>
      </c>
      <c r="V633">
        <f>'Revenue Model'!AD153</f>
        <v>0.47936640266777825</v>
      </c>
      <c r="W633">
        <f>'Revenue Model'!AE153</f>
        <v>0.54021608643457386</v>
      </c>
      <c r="X633">
        <f>'Revenue Model'!AF153</f>
        <v>0.59638322431704505</v>
      </c>
      <c r="Y633">
        <f>'Revenue Model'!AG153</f>
        <v>0.78210258275736633</v>
      </c>
      <c r="Z633">
        <f>'Revenue Model'!AH153</f>
        <v>0</v>
      </c>
      <c r="AA633">
        <f>'Revenue Model'!AI153</f>
        <v>0</v>
      </c>
      <c r="AB633">
        <f>'Revenue Model'!AJ153</f>
        <v>0</v>
      </c>
      <c r="AC633">
        <f>'Revenue Model'!AK153</f>
        <v>5.8378378378378375E-3</v>
      </c>
      <c r="AD633">
        <f>'Revenue Model'!AL153</f>
        <v>0.24952380952380951</v>
      </c>
      <c r="AE633">
        <f>'Revenue Model'!AM153</f>
        <v>1.3720930232558139</v>
      </c>
      <c r="AF633">
        <f>'Revenue Model'!AN153</f>
        <v>2.4318493822318104</v>
      </c>
      <c r="AG633">
        <f>'Revenue Model'!AO153</f>
        <v>3.8532533689290394</v>
      </c>
      <c r="AH633">
        <f>'Revenue Model'!AP153</f>
        <v>5.5598084700059083</v>
      </c>
      <c r="AI633">
        <f>'Revenue Model'!AQ153</f>
        <v>7.5721908313225015</v>
      </c>
      <c r="AJ633">
        <f>'Revenue Model'!AR153</f>
        <v>9.7873775804879823</v>
      </c>
      <c r="AK633">
        <f>'Revenue Model'!AS153</f>
        <v>12.082506049385644</v>
      </c>
      <c r="AL633">
        <f>'Revenue Model'!AT153</f>
        <v>14.338385862811114</v>
      </c>
      <c r="AM633">
        <f>'Revenue Model'!AU153</f>
        <v>16.417351749192466</v>
      </c>
    </row>
    <row r="634" spans="1:39">
      <c r="A634" t="str">
        <f>'Revenue Model'!I154</f>
        <v>Y/Y % Growth</v>
      </c>
      <c r="B634">
        <f>'Revenue Model'!J154</f>
        <v>0</v>
      </c>
      <c r="C634">
        <f>'Revenue Model'!K154</f>
        <v>0</v>
      </c>
      <c r="D634">
        <f>'Revenue Model'!L154</f>
        <v>0</v>
      </c>
      <c r="E634">
        <f>'Revenue Model'!M154</f>
        <v>0</v>
      </c>
      <c r="F634">
        <f>'Revenue Model'!N154</f>
        <v>0</v>
      </c>
      <c r="G634">
        <f>'Revenue Model'!O154</f>
        <v>0</v>
      </c>
      <c r="H634">
        <f>'Revenue Model'!P154</f>
        <v>0</v>
      </c>
      <c r="I634">
        <f>'Revenue Model'!Q154</f>
        <v>0</v>
      </c>
      <c r="J634">
        <f>'Revenue Model'!R154</f>
        <v>0</v>
      </c>
      <c r="K634">
        <f>'Revenue Model'!S154</f>
        <v>0</v>
      </c>
      <c r="L634">
        <f>'Revenue Model'!T154</f>
        <v>0</v>
      </c>
      <c r="M634">
        <f>'Revenue Model'!U154</f>
        <v>0</v>
      </c>
      <c r="N634">
        <f>'Revenue Model'!V154</f>
        <v>0</v>
      </c>
      <c r="O634">
        <f>'Revenue Model'!W154</f>
        <v>0</v>
      </c>
      <c r="P634">
        <f>'Revenue Model'!X154</f>
        <v>0</v>
      </c>
      <c r="Q634">
        <f>'Revenue Model'!Y154</f>
        <v>0</v>
      </c>
      <c r="R634">
        <f>'Revenue Model'!Z154</f>
        <v>0</v>
      </c>
      <c r="S634">
        <f>'Revenue Model'!AA154</f>
        <v>28.987505206164091</v>
      </c>
      <c r="T634">
        <f>'Revenue Model'!AB154</f>
        <v>5.9497751946485371</v>
      </c>
      <c r="U634">
        <f>'Revenue Model'!AC154</f>
        <v>2.81107014398629</v>
      </c>
      <c r="V634">
        <f>'Revenue Model'!AD154</f>
        <v>1.3968320133388912</v>
      </c>
      <c r="W634">
        <f>'Revenue Model'!AE154</f>
        <v>0.89075630252100857</v>
      </c>
      <c r="X634">
        <f>'Revenue Model'!AF154</f>
        <v>1.0185278361499983</v>
      </c>
      <c r="Y634">
        <f>'Revenue Model'!AG154</f>
        <v>0.41380082267677754</v>
      </c>
      <c r="Z634">
        <f>'Revenue Model'!AH154</f>
        <v>0</v>
      </c>
      <c r="AA634">
        <f>'Revenue Model'!AI154</f>
        <v>0</v>
      </c>
      <c r="AB634">
        <f>'Revenue Model'!AJ154</f>
        <v>0</v>
      </c>
      <c r="AC634">
        <f>'Revenue Model'!AK154</f>
        <v>0</v>
      </c>
      <c r="AD634">
        <f>'Revenue Model'!AL154</f>
        <v>41.742504409171076</v>
      </c>
      <c r="AE634">
        <f>'Revenue Model'!AM154</f>
        <v>4.4988460855671937</v>
      </c>
      <c r="AF634">
        <f>'Revenue Model'!AN154</f>
        <v>0.77236480399945506</v>
      </c>
      <c r="AG634">
        <f>'Revenue Model'!AO154</f>
        <v>0.58449507485235253</v>
      </c>
      <c r="AH634">
        <f>'Revenue Model'!AP154</f>
        <v>0.44288681217741543</v>
      </c>
      <c r="AI634">
        <f>'Revenue Model'!AQ154</f>
        <v>0.36195174207403125</v>
      </c>
      <c r="AJ634">
        <f>'Revenue Model'!AR154</f>
        <v>0.29254238284676104</v>
      </c>
      <c r="AK634">
        <f>'Revenue Model'!AS154</f>
        <v>0.23449881748439005</v>
      </c>
      <c r="AL634">
        <f>'Revenue Model'!AT154</f>
        <v>0.18670628462380723</v>
      </c>
      <c r="AM634">
        <f>'Revenue Model'!AU154</f>
        <v>0.14499302126981273</v>
      </c>
    </row>
    <row r="635" spans="1:39">
      <c r="A635" t="str">
        <f>'Revenue Model'!I155</f>
        <v>Y/Y Abs Growth</v>
      </c>
      <c r="B635">
        <f>'Revenue Model'!J155</f>
        <v>0</v>
      </c>
      <c r="C635">
        <f>'Revenue Model'!K155</f>
        <v>0</v>
      </c>
      <c r="D635">
        <f>'Revenue Model'!L155</f>
        <v>0</v>
      </c>
      <c r="E635">
        <f>'Revenue Model'!M155</f>
        <v>0</v>
      </c>
      <c r="F635">
        <f>'Revenue Model'!N155</f>
        <v>0</v>
      </c>
      <c r="G635">
        <f>'Revenue Model'!O155</f>
        <v>0</v>
      </c>
      <c r="H635">
        <f>'Revenue Model'!P155</f>
        <v>0</v>
      </c>
      <c r="I635">
        <f>'Revenue Model'!Q155</f>
        <v>0</v>
      </c>
      <c r="J635">
        <f>'Revenue Model'!R155</f>
        <v>0</v>
      </c>
      <c r="K635">
        <f>'Revenue Model'!S155</f>
        <v>0</v>
      </c>
      <c r="L635">
        <f>'Revenue Model'!T155</f>
        <v>0</v>
      </c>
      <c r="M635">
        <f>'Revenue Model'!U155</f>
        <v>0</v>
      </c>
      <c r="N635">
        <f>'Revenue Model'!V155</f>
        <v>6.827586206896552E-3</v>
      </c>
      <c r="O635">
        <f>'Revenue Model'!W155</f>
        <v>9.2500000000000013E-3</v>
      </c>
      <c r="P635">
        <f>'Revenue Model'!X155</f>
        <v>4.2215790809850211E-2</v>
      </c>
      <c r="Q635">
        <f>'Revenue Model'!Y155</f>
        <v>0.14111217948717947</v>
      </c>
      <c r="R635">
        <f>'Revenue Model'!Z155</f>
        <v>0.19317241379310346</v>
      </c>
      <c r="S635">
        <f>'Revenue Model'!AA155</f>
        <v>0.2761865079365079</v>
      </c>
      <c r="T635">
        <f>'Revenue Model'!AB155</f>
        <v>0.25294172494172495</v>
      </c>
      <c r="U635">
        <f>'Revenue Model'!AC155</f>
        <v>0.40803764320785602</v>
      </c>
      <c r="V635">
        <f>'Revenue Model'!AD155</f>
        <v>0.27936640266777824</v>
      </c>
      <c r="W635">
        <f>'Revenue Model'!AE155</f>
        <v>0.25450180072028816</v>
      </c>
      <c r="X635">
        <f>'Revenue Model'!AF155</f>
        <v>0.30092867886249958</v>
      </c>
      <c r="Y635">
        <f>'Revenue Model'!AG155</f>
        <v>0.22891109339566418</v>
      </c>
      <c r="Z635">
        <f>'Revenue Model'!AH155</f>
        <v>0</v>
      </c>
      <c r="AA635">
        <f>'Revenue Model'!AI155</f>
        <v>0</v>
      </c>
      <c r="AB635">
        <f>'Revenue Model'!AJ155</f>
        <v>0</v>
      </c>
      <c r="AC635">
        <f>'Revenue Model'!AK155</f>
        <v>5.8378378378378375E-3</v>
      </c>
      <c r="AD635">
        <f>'Revenue Model'!AL155</f>
        <v>0.24368597168597167</v>
      </c>
      <c r="AE635">
        <f>'Revenue Model'!AM155</f>
        <v>1.1225692137320045</v>
      </c>
      <c r="AF635">
        <f>'Revenue Model'!AN155</f>
        <v>1.0597563589759964</v>
      </c>
      <c r="AG635">
        <f>'Revenue Model'!AO155</f>
        <v>1.421403986697229</v>
      </c>
      <c r="AH635">
        <f>'Revenue Model'!AP155</f>
        <v>1.7065551010768689</v>
      </c>
      <c r="AI635">
        <f>'Revenue Model'!AQ155</f>
        <v>2.0123823613165932</v>
      </c>
      <c r="AJ635">
        <f>'Revenue Model'!AR155</f>
        <v>2.2151867491654809</v>
      </c>
      <c r="AK635">
        <f>'Revenue Model'!AS155</f>
        <v>2.2951284688976621</v>
      </c>
      <c r="AL635">
        <f>'Revenue Model'!AT155</f>
        <v>2.2558798134254694</v>
      </c>
      <c r="AM635">
        <f>'Revenue Model'!AU155</f>
        <v>2.0789658863813525</v>
      </c>
    </row>
    <row r="636" spans="1:39">
      <c r="A636" t="str">
        <f>'Revenue Model'!I156</f>
        <v>Q/Q % Growth</v>
      </c>
      <c r="B636">
        <f>'Revenue Model'!J156</f>
        <v>0</v>
      </c>
      <c r="C636">
        <f>'Revenue Model'!K156</f>
        <v>0</v>
      </c>
      <c r="D636">
        <f>'Revenue Model'!L156</f>
        <v>0</v>
      </c>
      <c r="E636">
        <f>'Revenue Model'!M156</f>
        <v>0</v>
      </c>
      <c r="F636">
        <f>'Revenue Model'!N156</f>
        <v>0</v>
      </c>
      <c r="G636">
        <f>'Revenue Model'!O156</f>
        <v>0</v>
      </c>
      <c r="H636">
        <f>'Revenue Model'!P156</f>
        <v>0</v>
      </c>
      <c r="I636">
        <f>'Revenue Model'!Q156</f>
        <v>0</v>
      </c>
      <c r="J636">
        <f>'Revenue Model'!R156</f>
        <v>0</v>
      </c>
      <c r="K636">
        <f>'Revenue Model'!S156</f>
        <v>0</v>
      </c>
      <c r="L636">
        <f>'Revenue Model'!T156</f>
        <v>0</v>
      </c>
      <c r="M636">
        <f>'Revenue Model'!U156</f>
        <v>0</v>
      </c>
      <c r="N636">
        <f>'Revenue Model'!V156</f>
        <v>0</v>
      </c>
      <c r="O636">
        <f>'Revenue Model'!W156</f>
        <v>0.39548260381593736</v>
      </c>
      <c r="P636">
        <f>'Revenue Model'!X156</f>
        <v>3.4619869925992361</v>
      </c>
      <c r="Q636">
        <f>'Revenue Model'!Y156</f>
        <v>2.4143546441495776</v>
      </c>
      <c r="R636">
        <f>'Revenue Model'!Z156</f>
        <v>0</v>
      </c>
      <c r="S636">
        <f>'Revenue Model'!AA156</f>
        <v>0.42857142857142838</v>
      </c>
      <c r="T636">
        <f>'Revenue Model'!AB156</f>
        <v>3.4090909090909172E-2</v>
      </c>
      <c r="U636">
        <f>'Revenue Model'!AC156</f>
        <v>0.87234042553191493</v>
      </c>
      <c r="V636">
        <f>'Revenue Model'!AD156</f>
        <v>-0.13345304133132396</v>
      </c>
      <c r="W636">
        <f>'Revenue Model'!AE156</f>
        <v>0.12693773161438493</v>
      </c>
      <c r="X636">
        <f>'Revenue Model'!AF156</f>
        <v>0.10397161301355218</v>
      </c>
      <c r="Y636">
        <f>'Revenue Model'!AG156</f>
        <v>0.31140942747509359</v>
      </c>
      <c r="Z636">
        <f>'Revenue Model'!AH156</f>
        <v>0</v>
      </c>
      <c r="AA636">
        <f>'Revenue Model'!AI156</f>
        <v>0</v>
      </c>
      <c r="AB636">
        <f>'Revenue Model'!AJ156</f>
        <v>0</v>
      </c>
      <c r="AC636">
        <f>'Revenue Model'!AK156</f>
        <v>0</v>
      </c>
      <c r="AD636">
        <f>'Revenue Model'!AL156</f>
        <v>0</v>
      </c>
      <c r="AE636">
        <f>'Revenue Model'!AM156</f>
        <v>0</v>
      </c>
      <c r="AF636">
        <f>'Revenue Model'!AN156</f>
        <v>0</v>
      </c>
      <c r="AG636">
        <f>'Revenue Model'!AO156</f>
        <v>0</v>
      </c>
      <c r="AH636">
        <f>'Revenue Model'!AP156</f>
        <v>0</v>
      </c>
      <c r="AI636">
        <f>'Revenue Model'!AQ156</f>
        <v>0</v>
      </c>
      <c r="AJ636">
        <f>'Revenue Model'!AR156</f>
        <v>0</v>
      </c>
      <c r="AK636">
        <f>'Revenue Model'!AS156</f>
        <v>0</v>
      </c>
      <c r="AL636">
        <f>'Revenue Model'!AT156</f>
        <v>0</v>
      </c>
      <c r="AM636">
        <f>'Revenue Model'!AU156</f>
        <v>0</v>
      </c>
    </row>
    <row r="637" spans="1:39">
      <c r="A637" t="str">
        <f>'Revenue Model'!I157</f>
        <v>Q/Q Abs Growth</v>
      </c>
      <c r="B637">
        <f>'Revenue Model'!J157</f>
        <v>0</v>
      </c>
      <c r="C637">
        <f>'Revenue Model'!K157</f>
        <v>0</v>
      </c>
      <c r="D637">
        <f>'Revenue Model'!L157</f>
        <v>0</v>
      </c>
      <c r="E637">
        <f>'Revenue Model'!M157</f>
        <v>0</v>
      </c>
      <c r="F637">
        <f>'Revenue Model'!N157</f>
        <v>0</v>
      </c>
      <c r="G637">
        <f>'Revenue Model'!O157</f>
        <v>0</v>
      </c>
      <c r="H637">
        <f>'Revenue Model'!P157</f>
        <v>0</v>
      </c>
      <c r="I637">
        <f>'Revenue Model'!Q157</f>
        <v>0</v>
      </c>
      <c r="J637">
        <f>'Revenue Model'!R157</f>
        <v>0</v>
      </c>
      <c r="K637">
        <f>'Revenue Model'!S157</f>
        <v>2.7777777777777778E-4</v>
      </c>
      <c r="L637">
        <f>'Revenue Model'!T157</f>
        <v>1.9251925192519245E-5</v>
      </c>
      <c r="M637">
        <f>'Revenue Model'!U157</f>
        <v>3.7446369636963696E-3</v>
      </c>
      <c r="N637">
        <f>'Revenue Model'!V157</f>
        <v>2.7859195402298855E-3</v>
      </c>
      <c r="O637">
        <f>'Revenue Model'!W157</f>
        <v>2.7001915708812271E-3</v>
      </c>
      <c r="P637">
        <f>'Revenue Model'!X157</f>
        <v>3.2985042735042727E-2</v>
      </c>
      <c r="Q637">
        <f>'Revenue Model'!Y157</f>
        <v>0.10264102564102562</v>
      </c>
      <c r="R637">
        <f>'Revenue Model'!Z157</f>
        <v>5.4846153846153878E-2</v>
      </c>
      <c r="S637">
        <f>'Revenue Model'!AA157</f>
        <v>8.5714285714285687E-2</v>
      </c>
      <c r="T637">
        <f>'Revenue Model'!AB157</f>
        <v>9.7402597402597713E-3</v>
      </c>
      <c r="U637">
        <f>'Revenue Model'!AC157</f>
        <v>0.25773694390715668</v>
      </c>
      <c r="V637">
        <f>'Revenue Model'!AD157</f>
        <v>-7.3825086693923903E-2</v>
      </c>
      <c r="W637">
        <f>'Revenue Model'!AE157</f>
        <v>6.0849683766795615E-2</v>
      </c>
      <c r="X637">
        <f>'Revenue Model'!AF157</f>
        <v>5.6167137882471185E-2</v>
      </c>
      <c r="Y637">
        <f>'Revenue Model'!AG157</f>
        <v>0.18571935844032128</v>
      </c>
      <c r="Z637">
        <f>'Revenue Model'!AH157</f>
        <v>0</v>
      </c>
      <c r="AA637">
        <f>'Revenue Model'!AI157</f>
        <v>0</v>
      </c>
      <c r="AB637">
        <f>'Revenue Model'!AJ157</f>
        <v>0</v>
      </c>
      <c r="AC637">
        <f>'Revenue Model'!AK157</f>
        <v>0</v>
      </c>
      <c r="AD637">
        <f>'Revenue Model'!AL157</f>
        <v>0</v>
      </c>
      <c r="AE637">
        <f>'Revenue Model'!AM157</f>
        <v>0</v>
      </c>
      <c r="AF637">
        <f>'Revenue Model'!AN157</f>
        <v>0</v>
      </c>
      <c r="AG637">
        <f>'Revenue Model'!AO157</f>
        <v>0</v>
      </c>
      <c r="AH637">
        <f>'Revenue Model'!AP157</f>
        <v>0</v>
      </c>
      <c r="AI637">
        <f>'Revenue Model'!AQ157</f>
        <v>0</v>
      </c>
      <c r="AJ637">
        <f>'Revenue Model'!AR157</f>
        <v>0</v>
      </c>
      <c r="AK637">
        <f>'Revenue Model'!AS157</f>
        <v>0</v>
      </c>
      <c r="AL637">
        <f>'Revenue Model'!AT157</f>
        <v>0</v>
      </c>
      <c r="AM637">
        <f>'Revenue Model'!AU157</f>
        <v>0</v>
      </c>
    </row>
    <row r="638" spans="1:39">
      <c r="A638">
        <f>'Revenue Model'!I158</f>
        <v>0</v>
      </c>
      <c r="B638">
        <f>'Revenue Model'!J158</f>
        <v>0</v>
      </c>
      <c r="C638">
        <f>'Revenue Model'!K158</f>
        <v>0</v>
      </c>
      <c r="D638">
        <f>'Revenue Model'!L158</f>
        <v>0</v>
      </c>
      <c r="E638">
        <f>'Revenue Model'!M158</f>
        <v>0</v>
      </c>
      <c r="F638">
        <f>'Revenue Model'!N158</f>
        <v>0</v>
      </c>
      <c r="G638">
        <f>'Revenue Model'!O158</f>
        <v>0</v>
      </c>
      <c r="H638">
        <f>'Revenue Model'!P158</f>
        <v>0</v>
      </c>
      <c r="I638">
        <f>'Revenue Model'!Q158</f>
        <v>0</v>
      </c>
      <c r="J638">
        <f>'Revenue Model'!R158</f>
        <v>0</v>
      </c>
      <c r="K638">
        <f>'Revenue Model'!S158</f>
        <v>0</v>
      </c>
      <c r="L638">
        <f>'Revenue Model'!T158</f>
        <v>0</v>
      </c>
      <c r="M638">
        <f>'Revenue Model'!U158</f>
        <v>0</v>
      </c>
      <c r="N638">
        <f>'Revenue Model'!V158</f>
        <v>0</v>
      </c>
      <c r="O638">
        <f>'Revenue Model'!W158</f>
        <v>0</v>
      </c>
      <c r="P638">
        <f>'Revenue Model'!X158</f>
        <v>0</v>
      </c>
      <c r="Q638">
        <f>'Revenue Model'!Y158</f>
        <v>0</v>
      </c>
      <c r="R638">
        <f>'Revenue Model'!Z158</f>
        <v>0</v>
      </c>
      <c r="S638">
        <f>'Revenue Model'!AA158</f>
        <v>0</v>
      </c>
      <c r="T638">
        <f>'Revenue Model'!AB158</f>
        <v>0</v>
      </c>
      <c r="U638">
        <f>'Revenue Model'!AC158</f>
        <v>0</v>
      </c>
      <c r="V638">
        <f>'Revenue Model'!AD158</f>
        <v>0</v>
      </c>
      <c r="W638">
        <f>'Revenue Model'!AE158</f>
        <v>0</v>
      </c>
      <c r="X638">
        <f>'Revenue Model'!AF158</f>
        <v>0</v>
      </c>
      <c r="Y638">
        <f>'Revenue Model'!AG158</f>
        <v>0</v>
      </c>
      <c r="Z638">
        <f>'Revenue Model'!AH158</f>
        <v>0</v>
      </c>
      <c r="AA638">
        <f>'Revenue Model'!AI158</f>
        <v>0</v>
      </c>
      <c r="AB638">
        <f>'Revenue Model'!AJ158</f>
        <v>0</v>
      </c>
      <c r="AC638">
        <f>'Revenue Model'!AK158</f>
        <v>0</v>
      </c>
      <c r="AD638">
        <f>'Revenue Model'!AL158</f>
        <v>0</v>
      </c>
      <c r="AE638">
        <f>'Revenue Model'!AM158</f>
        <v>0</v>
      </c>
      <c r="AF638">
        <f>'Revenue Model'!AN158</f>
        <v>0</v>
      </c>
      <c r="AG638">
        <f>'Revenue Model'!AO158</f>
        <v>0</v>
      </c>
      <c r="AH638">
        <f>'Revenue Model'!AP158</f>
        <v>0</v>
      </c>
      <c r="AI638">
        <f>'Revenue Model'!AQ158</f>
        <v>0</v>
      </c>
      <c r="AJ638">
        <f>'Revenue Model'!AR158</f>
        <v>0</v>
      </c>
      <c r="AK638">
        <f>'Revenue Model'!AS158</f>
        <v>0</v>
      </c>
      <c r="AL638">
        <f>'Revenue Model'!AT158</f>
        <v>0</v>
      </c>
      <c r="AM638">
        <f>'Revenue Model'!AU158</f>
        <v>0</v>
      </c>
    </row>
    <row r="639" spans="1:39">
      <c r="A639">
        <f>'Revenue Model'!I159</f>
        <v>0</v>
      </c>
      <c r="B639">
        <f>'Revenue Model'!J159</f>
        <v>0</v>
      </c>
      <c r="C639">
        <f>'Revenue Model'!K159</f>
        <v>0</v>
      </c>
      <c r="D639">
        <f>'Revenue Model'!L159</f>
        <v>0</v>
      </c>
      <c r="E639">
        <f>'Revenue Model'!M159</f>
        <v>0</v>
      </c>
      <c r="F639">
        <f>'Revenue Model'!N159</f>
        <v>0</v>
      </c>
      <c r="G639">
        <f>'Revenue Model'!O159</f>
        <v>0</v>
      </c>
      <c r="H639">
        <f>'Revenue Model'!P159</f>
        <v>0</v>
      </c>
      <c r="I639">
        <f>'Revenue Model'!Q159</f>
        <v>0</v>
      </c>
      <c r="J639">
        <f>'Revenue Model'!R159</f>
        <v>0</v>
      </c>
      <c r="K639">
        <f>'Revenue Model'!S159</f>
        <v>0</v>
      </c>
      <c r="L639">
        <f>'Revenue Model'!T159</f>
        <v>0</v>
      </c>
      <c r="M639">
        <f>'Revenue Model'!U159</f>
        <v>0</v>
      </c>
      <c r="N639">
        <f>'Revenue Model'!V159</f>
        <v>0</v>
      </c>
      <c r="O639">
        <f>'Revenue Model'!W159</f>
        <v>0</v>
      </c>
      <c r="P639">
        <f>'Revenue Model'!X159</f>
        <v>0</v>
      </c>
      <c r="Q639">
        <f>'Revenue Model'!Y159</f>
        <v>0</v>
      </c>
      <c r="R639">
        <f>'Revenue Model'!Z159</f>
        <v>0</v>
      </c>
      <c r="S639">
        <f>'Revenue Model'!AA159</f>
        <v>0</v>
      </c>
      <c r="T639">
        <f>'Revenue Model'!AB159</f>
        <v>0</v>
      </c>
      <c r="U639">
        <f>'Revenue Model'!AC159</f>
        <v>0</v>
      </c>
      <c r="V639">
        <f>'Revenue Model'!AD159</f>
        <v>0</v>
      </c>
      <c r="W639">
        <f>'Revenue Model'!AE159</f>
        <v>0</v>
      </c>
      <c r="X639">
        <f>'Revenue Model'!AF159</f>
        <v>0</v>
      </c>
      <c r="Y639">
        <f>'Revenue Model'!AG159</f>
        <v>0</v>
      </c>
      <c r="Z639">
        <f>'Revenue Model'!AH159</f>
        <v>0</v>
      </c>
      <c r="AA639">
        <f>'Revenue Model'!AI159</f>
        <v>0</v>
      </c>
      <c r="AB639">
        <f>'Revenue Model'!AJ159</f>
        <v>0</v>
      </c>
      <c r="AC639">
        <f>'Revenue Model'!AK159</f>
        <v>0</v>
      </c>
      <c r="AD639">
        <f>'Revenue Model'!AL159</f>
        <v>0</v>
      </c>
      <c r="AE639">
        <f>'Revenue Model'!AM159</f>
        <v>0</v>
      </c>
      <c r="AF639">
        <f>'Revenue Model'!AN159</f>
        <v>0</v>
      </c>
      <c r="AG639">
        <f>'Revenue Model'!AO159</f>
        <v>0</v>
      </c>
      <c r="AH639">
        <f>'Revenue Model'!AP159</f>
        <v>0</v>
      </c>
      <c r="AI639">
        <f>'Revenue Model'!AQ159</f>
        <v>0</v>
      </c>
      <c r="AJ639">
        <f>'Revenue Model'!AR159</f>
        <v>0</v>
      </c>
      <c r="AK639">
        <f>'Revenue Model'!AS159</f>
        <v>0</v>
      </c>
      <c r="AL639">
        <f>'Revenue Model'!AT159</f>
        <v>0</v>
      </c>
      <c r="AM639">
        <f>'Revenue Model'!AU159</f>
        <v>0</v>
      </c>
    </row>
    <row r="640" spans="1:39">
      <c r="A640" t="str">
        <f>'Bull DCF'!B2</f>
        <v>Snap DCF Analysis</v>
      </c>
      <c r="B640">
        <f>'Bull DCF'!C2</f>
        <v>0</v>
      </c>
      <c r="C640">
        <f>'Bull DCF'!D2</f>
        <v>0</v>
      </c>
      <c r="D640">
        <f>'Bull DCF'!E2</f>
        <v>0</v>
      </c>
      <c r="E640">
        <f>'Bull DCF'!F2</f>
        <v>2014</v>
      </c>
      <c r="F640">
        <f>'Bull DCF'!G2</f>
        <v>2015</v>
      </c>
      <c r="G640">
        <f>'Bull DCF'!H2</f>
        <v>2016</v>
      </c>
      <c r="H640">
        <f>'Bull DCF'!I2</f>
        <v>2017</v>
      </c>
      <c r="I640">
        <f>'Bull DCF'!J2</f>
        <v>2018</v>
      </c>
      <c r="J640">
        <f>'Bull DCF'!K2</f>
        <v>2019</v>
      </c>
      <c r="K640">
        <f>'Bull DCF'!L2</f>
        <v>2020</v>
      </c>
      <c r="L640">
        <f>'Bull DCF'!M2</f>
        <v>2021</v>
      </c>
      <c r="M640">
        <f>'Bull DCF'!N2</f>
        <v>2022</v>
      </c>
      <c r="N640">
        <f>'Bull DCF'!O2</f>
        <v>2023</v>
      </c>
      <c r="O640">
        <f>'Bull DCF'!P2</f>
        <v>2024</v>
      </c>
      <c r="P640">
        <f>'Bull DCF'!Q2</f>
        <v>2025</v>
      </c>
      <c r="Q640" t="str">
        <f>'Bull DCF'!R2</f>
        <v>Terminal Year</v>
      </c>
      <c r="R640">
        <f>'Bull DCF'!S2</f>
        <v>0</v>
      </c>
      <c r="S640" t="str">
        <f>'Bull DCF'!T2</f>
        <v>'16-'25 CAGR</v>
      </c>
      <c r="T640">
        <f>'Bull DCF'!U2</f>
        <v>0</v>
      </c>
      <c r="U640">
        <f>'Bull DCF'!V2</f>
        <v>0</v>
      </c>
      <c r="V640">
        <f>'Bull DCF'!W2</f>
        <v>0</v>
      </c>
      <c r="W640">
        <f>'Bull DCF'!X2</f>
        <v>0</v>
      </c>
      <c r="X640">
        <f>'Bull DCF'!Y2</f>
        <v>0</v>
      </c>
      <c r="Y640">
        <f>'Bull DCF'!Z2</f>
        <v>0</v>
      </c>
      <c r="Z640">
        <f>'Bull DCF'!AA2</f>
        <v>0</v>
      </c>
      <c r="AA640">
        <f>'Bull DCF'!AB2</f>
        <v>0</v>
      </c>
      <c r="AB640">
        <f>'Bull DCF'!AC2</f>
        <v>0</v>
      </c>
      <c r="AC640">
        <f>'Bull DCF'!AD2</f>
        <v>0</v>
      </c>
    </row>
    <row r="641" spans="1:29">
      <c r="A641" t="str">
        <f>'Bull DCF'!B3</f>
        <v>Discounted Cash Flow Analysis</v>
      </c>
      <c r="B641">
        <f>'Bull DCF'!C3</f>
        <v>0</v>
      </c>
      <c r="C641">
        <f>'Bull DCF'!D3</f>
        <v>0</v>
      </c>
      <c r="D641">
        <f>'Bull DCF'!E3</f>
        <v>0</v>
      </c>
      <c r="E641">
        <f>'Bull DCF'!F3</f>
        <v>0</v>
      </c>
      <c r="F641">
        <f>'Bull DCF'!G3</f>
        <v>0</v>
      </c>
      <c r="G641">
        <f>'Bull DCF'!H3</f>
        <v>0</v>
      </c>
      <c r="H641">
        <f>'Bull DCF'!I3</f>
        <v>437.25300300000004</v>
      </c>
      <c r="I641">
        <f>'Bull DCF'!J3</f>
        <v>532.91382931821431</v>
      </c>
      <c r="J641">
        <f>'Bull DCF'!K3</f>
        <v>744.23078582658127</v>
      </c>
      <c r="K641">
        <f>'Bull DCF'!L3</f>
        <v>986.87971706143799</v>
      </c>
      <c r="L641">
        <f>'Bull DCF'!M3</f>
        <v>1245.0711735034015</v>
      </c>
      <c r="M641">
        <f>'Bull DCF'!N3</f>
        <v>1493.9728733907805</v>
      </c>
      <c r="N641">
        <f>'Bull DCF'!O3</f>
        <v>1655.0351593177174</v>
      </c>
      <c r="O641">
        <f>'Bull DCF'!P3</f>
        <v>1762.0469199582521</v>
      </c>
      <c r="P641">
        <f>'Bull DCF'!Q3</f>
        <v>1882.4006668683087</v>
      </c>
      <c r="Q641">
        <f>'Bull DCF'!R3</f>
        <v>0</v>
      </c>
      <c r="R641">
        <f>'Bull DCF'!S3</f>
        <v>0</v>
      </c>
      <c r="S641">
        <f>'Bull DCF'!T3</f>
        <v>0</v>
      </c>
      <c r="T641">
        <f>'Bull DCF'!U3</f>
        <v>0</v>
      </c>
      <c r="U641">
        <f>'Bull DCF'!V3</f>
        <v>0</v>
      </c>
      <c r="V641">
        <f>'Bull DCF'!W3</f>
        <v>0</v>
      </c>
      <c r="W641">
        <f>'Bull DCF'!X3</f>
        <v>0</v>
      </c>
      <c r="X641">
        <f>'Bull DCF'!Y3</f>
        <v>0</v>
      </c>
      <c r="Y641">
        <f>'Bull DCF'!Z3</f>
        <v>0</v>
      </c>
      <c r="Z641">
        <f>'Bull DCF'!AA3</f>
        <v>0</v>
      </c>
      <c r="AA641">
        <f>'Bull DCF'!AB3</f>
        <v>0</v>
      </c>
      <c r="AB641">
        <f>'Bull DCF'!AC3</f>
        <v>0</v>
      </c>
      <c r="AC641">
        <f>'Bull DCF'!AD3</f>
        <v>0</v>
      </c>
    </row>
    <row r="642" spans="1:29">
      <c r="A642" t="str">
        <f>'Bull DCF'!B4</f>
        <v>Net revenue</v>
      </c>
      <c r="B642">
        <f>'Bull DCF'!C4</f>
        <v>0</v>
      </c>
      <c r="C642">
        <f>'Bull DCF'!D4</f>
        <v>0</v>
      </c>
      <c r="D642">
        <f>'Bull DCF'!E4</f>
        <v>0</v>
      </c>
      <c r="E642">
        <f>'Bull DCF'!F4</f>
        <v>0</v>
      </c>
      <c r="F642">
        <f>'Bull DCF'!G4</f>
        <v>58.663000000000004</v>
      </c>
      <c r="G642">
        <f>'Bull DCF'!H4</f>
        <v>404.48199999999997</v>
      </c>
      <c r="H642">
        <f>'Bull DCF'!I4</f>
        <v>841.73500300000001</v>
      </c>
      <c r="I642">
        <f>'Bull DCF'!J4</f>
        <v>1374.6488323182143</v>
      </c>
      <c r="J642">
        <f>'Bull DCF'!K4</f>
        <v>2118.8796181447956</v>
      </c>
      <c r="K642">
        <f>'Bull DCF'!L4</f>
        <v>3105.7593352062336</v>
      </c>
      <c r="L642">
        <f>'Bull DCF'!M4</f>
        <v>4350.8305087096351</v>
      </c>
      <c r="M642">
        <f>'Bull DCF'!N4</f>
        <v>5844.8033821004155</v>
      </c>
      <c r="N642">
        <f>'Bull DCF'!O4</f>
        <v>7499.838541418133</v>
      </c>
      <c r="O642">
        <f>'Bull DCF'!P4</f>
        <v>9261.8854613763851</v>
      </c>
      <c r="P642">
        <f>'Bull DCF'!Q4</f>
        <v>11144.286128244694</v>
      </c>
      <c r="Q642">
        <f>'Bull DCF'!R4</f>
        <v>11534.336142733257</v>
      </c>
      <c r="R642">
        <f>'Bull DCF'!S4</f>
        <v>0</v>
      </c>
      <c r="S642">
        <f>'Bull DCF'!T4</f>
        <v>0.44549637216536153</v>
      </c>
      <c r="T642">
        <f>'Bull DCF'!U4</f>
        <v>0</v>
      </c>
      <c r="U642">
        <f>'Bull DCF'!V4</f>
        <v>0</v>
      </c>
      <c r="V642">
        <f>'Bull DCF'!W4</f>
        <v>0</v>
      </c>
      <c r="W642">
        <f>'Bull DCF'!X4</f>
        <v>0</v>
      </c>
      <c r="X642">
        <f>'Bull DCF'!Y4</f>
        <v>0</v>
      </c>
      <c r="Y642">
        <f>'Bull DCF'!Z4</f>
        <v>0</v>
      </c>
      <c r="Z642">
        <f>'Bull DCF'!AA4</f>
        <v>0</v>
      </c>
      <c r="AA642">
        <f>'Bull DCF'!AB4</f>
        <v>0</v>
      </c>
      <c r="AB642">
        <f>'Bull DCF'!AC4</f>
        <v>0</v>
      </c>
      <c r="AC642">
        <f>'Bull DCF'!AD4</f>
        <v>0</v>
      </c>
    </row>
    <row r="643" spans="1:29">
      <c r="A643" t="str">
        <f>'Bull DCF'!B5</f>
        <v>% change Y/Y</v>
      </c>
      <c r="B643">
        <f>'Bull DCF'!C5</f>
        <v>0</v>
      </c>
      <c r="C643">
        <f>'Bull DCF'!D5</f>
        <v>0</v>
      </c>
      <c r="D643">
        <f>'Bull DCF'!E5</f>
        <v>0</v>
      </c>
      <c r="E643">
        <f>'Bull DCF'!F5</f>
        <v>0</v>
      </c>
      <c r="F643">
        <f>'Bull DCF'!G5</f>
        <v>0</v>
      </c>
      <c r="G643">
        <f>'Bull DCF'!H5</f>
        <v>0</v>
      </c>
      <c r="H643">
        <f>'Bull DCF'!I5</f>
        <v>1.081019681963598</v>
      </c>
      <c r="I643">
        <f>'Bull DCF'!J5</f>
        <v>0.63311354217048577</v>
      </c>
      <c r="J643">
        <f>'Bull DCF'!K5</f>
        <v>0.54139702324666217</v>
      </c>
      <c r="K643">
        <f>'Bull DCF'!L5</f>
        <v>0.46575544387250745</v>
      </c>
      <c r="L643">
        <f>'Bull DCF'!M5</f>
        <v>0.40089106692509524</v>
      </c>
      <c r="M643">
        <f>'Bull DCF'!N5</f>
        <v>0.34337648189238756</v>
      </c>
      <c r="N643">
        <f>'Bull DCF'!O5</f>
        <v>0.28316353025428154</v>
      </c>
      <c r="O643">
        <f>'Bull DCF'!P5</f>
        <v>0.23494464717170685</v>
      </c>
      <c r="P643">
        <f>'Bull DCF'!Q5</f>
        <v>0.20324162663404058</v>
      </c>
      <c r="Q643">
        <f>'Bull DCF'!R5</f>
        <v>3.499999999999992E-2</v>
      </c>
      <c r="R643">
        <f>'Bull DCF'!S5</f>
        <v>0</v>
      </c>
      <c r="S643">
        <f>'Bull DCF'!T5</f>
        <v>0</v>
      </c>
      <c r="T643">
        <f>'Bull DCF'!U5</f>
        <v>0</v>
      </c>
      <c r="U643">
        <f>'Bull DCF'!V5</f>
        <v>0</v>
      </c>
      <c r="V643">
        <f>'Bull DCF'!W5</f>
        <v>0</v>
      </c>
      <c r="W643">
        <f>'Bull DCF'!X5</f>
        <v>0</v>
      </c>
      <c r="X643">
        <f>'Bull DCF'!Y5</f>
        <v>0</v>
      </c>
      <c r="Y643">
        <f>'Bull DCF'!Z5</f>
        <v>0</v>
      </c>
      <c r="Z643">
        <f>'Bull DCF'!AA5</f>
        <v>0</v>
      </c>
      <c r="AA643">
        <f>'Bull DCF'!AB5</f>
        <v>0</v>
      </c>
      <c r="AB643">
        <f>'Bull DCF'!AC5</f>
        <v>0</v>
      </c>
      <c r="AC643">
        <f>'Bull DCF'!AD5</f>
        <v>0</v>
      </c>
    </row>
    <row r="644" spans="1:29">
      <c r="A644">
        <f>'Bull DCF'!B6</f>
        <v>0</v>
      </c>
      <c r="B644">
        <f>'Bull DCF'!C6</f>
        <v>0</v>
      </c>
      <c r="C644">
        <f>'Bull DCF'!D6</f>
        <v>0</v>
      </c>
      <c r="D644">
        <f>'Bull DCF'!E6</f>
        <v>0</v>
      </c>
      <c r="E644">
        <f>'Bull DCF'!F6</f>
        <v>0</v>
      </c>
      <c r="F644">
        <f>'Bull DCF'!G6</f>
        <v>0</v>
      </c>
      <c r="G644">
        <f>'Bull DCF'!H6</f>
        <v>0</v>
      </c>
      <c r="H644">
        <f>'Bull DCF'!I6</f>
        <v>0</v>
      </c>
      <c r="I644">
        <f>'Bull DCF'!J6</f>
        <v>0</v>
      </c>
      <c r="J644">
        <f>'Bull DCF'!K6</f>
        <v>0</v>
      </c>
      <c r="K644">
        <f>'Bull DCF'!L6</f>
        <v>0</v>
      </c>
      <c r="L644">
        <f>'Bull DCF'!M6</f>
        <v>0</v>
      </c>
      <c r="M644">
        <f>'Bull DCF'!N6</f>
        <v>0</v>
      </c>
      <c r="N644">
        <f>'Bull DCF'!O6</f>
        <v>0</v>
      </c>
      <c r="O644">
        <f>'Bull DCF'!P6</f>
        <v>0</v>
      </c>
      <c r="P644">
        <f>'Bull DCF'!Q6</f>
        <v>0</v>
      </c>
      <c r="Q644">
        <f>'Bull DCF'!R6</f>
        <v>0</v>
      </c>
      <c r="R644">
        <f>'Bull DCF'!S6</f>
        <v>0</v>
      </c>
      <c r="S644">
        <f>'Bull DCF'!T6</f>
        <v>0</v>
      </c>
      <c r="T644">
        <f>'Bull DCF'!U6</f>
        <v>0</v>
      </c>
      <c r="U644">
        <f>'Bull DCF'!V6</f>
        <v>0</v>
      </c>
      <c r="V644">
        <f>'Bull DCF'!W6</f>
        <v>0</v>
      </c>
      <c r="W644">
        <f>'Bull DCF'!X6</f>
        <v>0</v>
      </c>
      <c r="X644">
        <f>'Bull DCF'!Y6</f>
        <v>0</v>
      </c>
      <c r="Y644">
        <f>'Bull DCF'!Z6</f>
        <v>0</v>
      </c>
      <c r="Z644">
        <f>'Bull DCF'!AA6</f>
        <v>0</v>
      </c>
      <c r="AA644">
        <f>'Bull DCF'!AB6</f>
        <v>0</v>
      </c>
      <c r="AB644">
        <f>'Bull DCF'!AC6</f>
        <v>0</v>
      </c>
      <c r="AC644">
        <f>'Bull DCF'!AD6</f>
        <v>0</v>
      </c>
    </row>
    <row r="645" spans="1:29">
      <c r="A645" t="str">
        <f>'Bull DCF'!B7</f>
        <v>Adjusted EBITDA</v>
      </c>
      <c r="B645">
        <f>'Bull DCF'!C7</f>
        <v>0</v>
      </c>
      <c r="C645">
        <f>'Bull DCF'!D7</f>
        <v>0</v>
      </c>
      <c r="D645">
        <f>'Bull DCF'!E7</f>
        <v>0</v>
      </c>
      <c r="E645">
        <f>'Bull DCF'!F7</f>
        <v>0</v>
      </c>
      <c r="F645">
        <f>'Bull DCF'!G7</f>
        <v>-292.89799999999991</v>
      </c>
      <c r="G645">
        <f>'Bull DCF'!H7</f>
        <v>-459.428</v>
      </c>
      <c r="H645">
        <f>'Bull DCF'!I7</f>
        <v>-692.62089761994434</v>
      </c>
      <c r="I645">
        <f>'Bull DCF'!J7</f>
        <v>-707.7016941167567</v>
      </c>
      <c r="J645">
        <f>'Bull DCF'!K7</f>
        <v>-351.78235088303893</v>
      </c>
      <c r="K645">
        <f>'Bull DCF'!L7</f>
        <v>-14.790836551889987</v>
      </c>
      <c r="L645">
        <f>'Bull DCF'!M7</f>
        <v>492.55655573859315</v>
      </c>
      <c r="M645">
        <f>'Bull DCF'!N7</f>
        <v>1171.7209068470472</v>
      </c>
      <c r="N645">
        <f>'Bull DCF'!O7</f>
        <v>1940.101856687844</v>
      </c>
      <c r="O645">
        <f>'Bull DCF'!P7</f>
        <v>2742.6553281846368</v>
      </c>
      <c r="P645">
        <f>'Bull DCF'!Q7</f>
        <v>3583.1637704087839</v>
      </c>
      <c r="Q645">
        <f>'Bull DCF'!R7</f>
        <v>3708.574502373091</v>
      </c>
      <c r="R645">
        <f>'Bull DCF'!S7</f>
        <v>0</v>
      </c>
      <c r="S645">
        <f>'Bull DCF'!T7</f>
        <v>0</v>
      </c>
      <c r="T645">
        <f>'Bull DCF'!U7</f>
        <v>0</v>
      </c>
      <c r="U645">
        <f>'Bull DCF'!V7</f>
        <v>0</v>
      </c>
      <c r="V645">
        <f>'Bull DCF'!W7</f>
        <v>0</v>
      </c>
      <c r="W645">
        <f>'Bull DCF'!X7</f>
        <v>0</v>
      </c>
      <c r="X645">
        <f>'Bull DCF'!Y7</f>
        <v>0</v>
      </c>
      <c r="Y645">
        <f>'Bull DCF'!Z7</f>
        <v>0</v>
      </c>
      <c r="Z645">
        <f>'Bull DCF'!AA7</f>
        <v>0</v>
      </c>
      <c r="AA645">
        <f>'Bull DCF'!AB7</f>
        <v>0</v>
      </c>
      <c r="AB645">
        <f>'Bull DCF'!AC7</f>
        <v>0</v>
      </c>
      <c r="AC645">
        <f>'Bull DCF'!AD7</f>
        <v>0</v>
      </c>
    </row>
    <row r="646" spans="1:29">
      <c r="A646" t="str">
        <f>'Bull DCF'!B8</f>
        <v>(-) Cash taxes</v>
      </c>
      <c r="B646">
        <f>'Bull DCF'!C8</f>
        <v>0</v>
      </c>
      <c r="C646">
        <f>'Bull DCF'!D8</f>
        <v>0</v>
      </c>
      <c r="D646">
        <f>'Bull DCF'!E8</f>
        <v>0</v>
      </c>
      <c r="E646">
        <f>'Bull DCF'!F8</f>
        <v>0</v>
      </c>
      <c r="F646">
        <f>'Bull DCF'!G8</f>
        <v>0</v>
      </c>
      <c r="G646">
        <f>'Bull DCF'!H8</f>
        <v>0</v>
      </c>
      <c r="H646">
        <f>'Bull DCF'!I8</f>
        <v>0</v>
      </c>
      <c r="I646">
        <f>'Bull DCF'!J8</f>
        <v>0</v>
      </c>
      <c r="J646">
        <f>'Bull DCF'!K8</f>
        <v>0</v>
      </c>
      <c r="K646">
        <f>'Bull DCF'!L8</f>
        <v>0</v>
      </c>
      <c r="L646">
        <f>'Bull DCF'!M8</f>
        <v>0</v>
      </c>
      <c r="M646">
        <f>'Bull DCF'!N8</f>
        <v>0</v>
      </c>
      <c r="N646">
        <f>'Bull DCF'!O8</f>
        <v>0</v>
      </c>
      <c r="O646">
        <f>'Bull DCF'!P8</f>
        <v>0</v>
      </c>
      <c r="P646">
        <f>'Bull DCF'!Q8</f>
        <v>0</v>
      </c>
      <c r="Q646">
        <f>'Bull DCF'!R8</f>
        <v>0</v>
      </c>
      <c r="R646">
        <f>'Bull DCF'!S8</f>
        <v>0</v>
      </c>
      <c r="S646">
        <f>'Bull DCF'!T8</f>
        <v>0</v>
      </c>
      <c r="T646">
        <f>'Bull DCF'!U8</f>
        <v>0</v>
      </c>
      <c r="U646">
        <f>'Bull DCF'!V8</f>
        <v>0</v>
      </c>
      <c r="V646">
        <f>'Bull DCF'!W8</f>
        <v>0</v>
      </c>
      <c r="W646">
        <f>'Bull DCF'!X8</f>
        <v>0</v>
      </c>
      <c r="X646">
        <f>'Bull DCF'!Y8</f>
        <v>0</v>
      </c>
      <c r="Y646">
        <f>'Bull DCF'!Z8</f>
        <v>0</v>
      </c>
      <c r="Z646">
        <f>'Bull DCF'!AA8</f>
        <v>0</v>
      </c>
      <c r="AA646">
        <f>'Bull DCF'!AB8</f>
        <v>0</v>
      </c>
      <c r="AB646">
        <f>'Bull DCF'!AC8</f>
        <v>0</v>
      </c>
      <c r="AC646">
        <f>'Bull DCF'!AD8</f>
        <v>0</v>
      </c>
    </row>
    <row r="647" spans="1:29">
      <c r="A647" t="str">
        <f>'Bull DCF'!B9</f>
        <v>(+/-) Changes in working capital</v>
      </c>
      <c r="B647">
        <f>'Bull DCF'!C9</f>
        <v>0</v>
      </c>
      <c r="C647">
        <f>'Bull DCF'!D9</f>
        <v>0</v>
      </c>
      <c r="D647">
        <f>'Bull DCF'!E9</f>
        <v>0</v>
      </c>
      <c r="E647">
        <f>'Bull DCF'!F9</f>
        <v>0</v>
      </c>
      <c r="F647">
        <f>'Bull DCF'!G9</f>
        <v>-15.485999999999997</v>
      </c>
      <c r="G647">
        <f>'Bull DCF'!H9</f>
        <v>-150.49600000000001</v>
      </c>
      <c r="H647">
        <f>'Bull DCF'!I9</f>
        <v>10.642912832948696</v>
      </c>
      <c r="I647">
        <f>'Bull DCF'!J9</f>
        <v>-186.52198726777215</v>
      </c>
      <c r="J647">
        <f>'Bull DCF'!K9</f>
        <v>425.17250313667904</v>
      </c>
      <c r="K647">
        <f>'Bull DCF'!L9</f>
        <v>628.98555680309732</v>
      </c>
      <c r="L647">
        <f>'Bull DCF'!M9</f>
        <v>13.203545505397983</v>
      </c>
      <c r="M647">
        <f>'Bull DCF'!N9</f>
        <v>-131.02927407975926</v>
      </c>
      <c r="N647">
        <f>'Bull DCF'!O9</f>
        <v>-245.66906545409188</v>
      </c>
      <c r="O647">
        <f>'Bull DCF'!P9</f>
        <v>-240.99247279660949</v>
      </c>
      <c r="P647">
        <f>'Bull DCF'!Q9</f>
        <v>-177.94237987958195</v>
      </c>
      <c r="Q647">
        <f>'Bull DCF'!R9</f>
        <v>0</v>
      </c>
      <c r="R647">
        <f>'Bull DCF'!S9</f>
        <v>0</v>
      </c>
      <c r="S647">
        <f>'Bull DCF'!T9</f>
        <v>0</v>
      </c>
      <c r="T647">
        <f>'Bull DCF'!U9</f>
        <v>0</v>
      </c>
      <c r="U647">
        <f>'Bull DCF'!V9</f>
        <v>0</v>
      </c>
      <c r="V647">
        <f>'Bull DCF'!W9</f>
        <v>0</v>
      </c>
      <c r="W647">
        <f>'Bull DCF'!X9</f>
        <v>0</v>
      </c>
      <c r="X647">
        <f>'Bull DCF'!Y9</f>
        <v>0</v>
      </c>
      <c r="Y647">
        <f>'Bull DCF'!Z9</f>
        <v>0</v>
      </c>
      <c r="Z647">
        <f>'Bull DCF'!AA9</f>
        <v>0</v>
      </c>
      <c r="AA647">
        <f>'Bull DCF'!AB9</f>
        <v>0</v>
      </c>
      <c r="AB647">
        <f>'Bull DCF'!AC9</f>
        <v>0</v>
      </c>
      <c r="AC647">
        <f>'Bull DCF'!AD9</f>
        <v>0</v>
      </c>
    </row>
    <row r="648" spans="1:29">
      <c r="A648" t="str">
        <f>'Bull DCF'!B10</f>
        <v>(-) Capex</v>
      </c>
      <c r="B648">
        <f>'Bull DCF'!C10</f>
        <v>0</v>
      </c>
      <c r="C648">
        <f>'Bull DCF'!D10</f>
        <v>0</v>
      </c>
      <c r="D648">
        <f>'Bull DCF'!E10</f>
        <v>0</v>
      </c>
      <c r="E648">
        <f>'Bull DCF'!F10</f>
        <v>0</v>
      </c>
      <c r="F648">
        <f>'Bull DCF'!G10</f>
        <v>28.305</v>
      </c>
      <c r="G648">
        <f>'Bull DCF'!H10</f>
        <v>67.013000000000005</v>
      </c>
      <c r="H648">
        <f>'Bull DCF'!I10</f>
        <v>86.237766193490756</v>
      </c>
      <c r="I648">
        <f>'Bull DCF'!J10</f>
        <v>103.14368138790999</v>
      </c>
      <c r="J648">
        <f>'Bull DCF'!K10</f>
        <v>119.98448346055322</v>
      </c>
      <c r="K648">
        <f>'Bull DCF'!L10</f>
        <v>136.7678414969304</v>
      </c>
      <c r="L648">
        <f>'Bull DCF'!M10</f>
        <v>153.49495213675127</v>
      </c>
      <c r="M648">
        <f>'Bull DCF'!N10</f>
        <v>171.33984614470197</v>
      </c>
      <c r="N648">
        <f>'Bull DCF'!O10</f>
        <v>188.01773477444252</v>
      </c>
      <c r="O648">
        <f>'Bull DCF'!P10</f>
        <v>204.62864008210229</v>
      </c>
      <c r="P648">
        <f>'Bull DCF'!Q10</f>
        <v>221.06707547083684</v>
      </c>
      <c r="Q648">
        <f>'Bull DCF'!R10</f>
        <v>0</v>
      </c>
      <c r="R648">
        <f>'Bull DCF'!S10</f>
        <v>0</v>
      </c>
      <c r="S648">
        <f>'Bull DCF'!T10</f>
        <v>0</v>
      </c>
      <c r="T648">
        <f>'Bull DCF'!U10</f>
        <v>0</v>
      </c>
      <c r="U648">
        <f>'Bull DCF'!V10</f>
        <v>0</v>
      </c>
      <c r="V648">
        <f>'Bull DCF'!W10</f>
        <v>0</v>
      </c>
      <c r="W648">
        <f>'Bull DCF'!X10</f>
        <v>0</v>
      </c>
      <c r="X648">
        <f>'Bull DCF'!Y10</f>
        <v>0</v>
      </c>
      <c r="Y648">
        <f>'Bull DCF'!Z10</f>
        <v>0</v>
      </c>
      <c r="Z648">
        <f>'Bull DCF'!AA10</f>
        <v>0</v>
      </c>
      <c r="AA648">
        <f>'Bull DCF'!AB10</f>
        <v>0</v>
      </c>
      <c r="AB648">
        <f>'Bull DCF'!AC10</f>
        <v>0</v>
      </c>
      <c r="AC648">
        <f>'Bull DCF'!AD10</f>
        <v>0</v>
      </c>
    </row>
    <row r="649" spans="1:29">
      <c r="A649" t="str">
        <f>'Bull DCF'!B11</f>
        <v>(-) Stock-based compensation</v>
      </c>
      <c r="B649">
        <f>'Bull DCF'!C11</f>
        <v>0</v>
      </c>
      <c r="C649">
        <f>'Bull DCF'!D11</f>
        <v>0</v>
      </c>
      <c r="D649">
        <f>'Bull DCF'!E11</f>
        <v>0</v>
      </c>
      <c r="E649">
        <f>'Bull DCF'!F11</f>
        <v>0</v>
      </c>
      <c r="F649">
        <f>'Bull DCF'!G11</f>
        <v>73.524000000000001</v>
      </c>
      <c r="G649">
        <f>'Bull DCF'!H11</f>
        <v>31.842000000000002</v>
      </c>
      <c r="H649">
        <f>'Bull DCF'!I11</f>
        <v>75</v>
      </c>
      <c r="I649">
        <f>'Bull DCF'!J11</f>
        <v>386.3255286560709</v>
      </c>
      <c r="J649">
        <f>'Bull DCF'!K11</f>
        <v>446.50693732069783</v>
      </c>
      <c r="K649">
        <f>'Bull DCF'!L11</f>
        <v>496.27865217153942</v>
      </c>
      <c r="L649">
        <f>'Bull DCF'!M11</f>
        <v>552.34357150349604</v>
      </c>
      <c r="M649">
        <f>'Bull DCF'!N11</f>
        <v>598.44819605609518</v>
      </c>
      <c r="N649">
        <f>'Bull DCF'!O11</f>
        <v>649.37257580304731</v>
      </c>
      <c r="O649">
        <f>'Bull DCF'!P11</f>
        <v>705.55106835410072</v>
      </c>
      <c r="P649">
        <f>'Bull DCF'!Q11</f>
        <v>767.29267117718598</v>
      </c>
      <c r="Q649">
        <f>'Bull DCF'!R11</f>
        <v>0</v>
      </c>
      <c r="R649">
        <f>'Bull DCF'!S11</f>
        <v>0</v>
      </c>
      <c r="S649">
        <f>'Bull DCF'!T11</f>
        <v>0</v>
      </c>
      <c r="T649">
        <f>'Bull DCF'!U11</f>
        <v>0</v>
      </c>
      <c r="U649">
        <f>'Bull DCF'!V11</f>
        <v>0</v>
      </c>
      <c r="V649">
        <f>'Bull DCF'!W11</f>
        <v>0</v>
      </c>
      <c r="W649">
        <f>'Bull DCF'!X11</f>
        <v>0</v>
      </c>
      <c r="X649">
        <f>'Bull DCF'!Y11</f>
        <v>0</v>
      </c>
      <c r="Y649">
        <f>'Bull DCF'!Z11</f>
        <v>0</v>
      </c>
      <c r="Z649">
        <f>'Bull DCF'!AA11</f>
        <v>0</v>
      </c>
      <c r="AA649">
        <f>'Bull DCF'!AB11</f>
        <v>0</v>
      </c>
      <c r="AB649">
        <f>'Bull DCF'!AC11</f>
        <v>0</v>
      </c>
      <c r="AC649">
        <f>'Bull DCF'!AD11</f>
        <v>0</v>
      </c>
    </row>
    <row r="650" spans="1:29">
      <c r="A650" t="str">
        <f>'Bull DCF'!B12</f>
        <v>Free cash flow (for valuation)</v>
      </c>
      <c r="B650">
        <f>'Bull DCF'!C12</f>
        <v>0</v>
      </c>
      <c r="C650">
        <f>'Bull DCF'!D12</f>
        <v>0</v>
      </c>
      <c r="D650">
        <f>'Bull DCF'!E12</f>
        <v>0</v>
      </c>
      <c r="E650">
        <f>'Bull DCF'!F12</f>
        <v>0</v>
      </c>
      <c r="F650">
        <f>'Bull DCF'!G12</f>
        <v>-410.21299999999991</v>
      </c>
      <c r="G650">
        <f>'Bull DCF'!H12</f>
        <v>-708.779</v>
      </c>
      <c r="H650">
        <f>'Bull DCF'!I12</f>
        <v>-843.2157509804864</v>
      </c>
      <c r="I650">
        <f>'Bull DCF'!J12</f>
        <v>-1383.6928914285097</v>
      </c>
      <c r="J650">
        <f>'Bull DCF'!K12</f>
        <v>-493.10126852761096</v>
      </c>
      <c r="K650">
        <f>'Bull DCF'!L12</f>
        <v>-18.851773417262521</v>
      </c>
      <c r="L650">
        <f>'Bull DCF'!M12</f>
        <v>-200.07842239625617</v>
      </c>
      <c r="M650">
        <f>'Bull DCF'!N12</f>
        <v>270.90359056649078</v>
      </c>
      <c r="N650">
        <f>'Bull DCF'!O12</f>
        <v>857.04248065626223</v>
      </c>
      <c r="O650">
        <f>'Bull DCF'!P12</f>
        <v>1591.4831469518244</v>
      </c>
      <c r="P650">
        <f>'Bull DCF'!Q12</f>
        <v>2416.8616438811791</v>
      </c>
      <c r="Q650">
        <f>'Bull DCF'!R12</f>
        <v>2225.1447014238547</v>
      </c>
      <c r="R650">
        <f>'Bull DCF'!S12</f>
        <v>0</v>
      </c>
      <c r="S650">
        <f>'Bull DCF'!T12</f>
        <v>0</v>
      </c>
      <c r="T650">
        <f>'Bull DCF'!U12</f>
        <v>0</v>
      </c>
      <c r="U650">
        <f>'Bull DCF'!V12</f>
        <v>0</v>
      </c>
      <c r="V650">
        <f>'Bull DCF'!W12</f>
        <v>0</v>
      </c>
      <c r="W650">
        <f>'Bull DCF'!X12</f>
        <v>0</v>
      </c>
      <c r="X650">
        <f>'Bull DCF'!Y12</f>
        <v>0</v>
      </c>
      <c r="Y650">
        <f>'Bull DCF'!Z12</f>
        <v>0</v>
      </c>
      <c r="Z650">
        <f>'Bull DCF'!AA12</f>
        <v>0</v>
      </c>
      <c r="AA650">
        <f>'Bull DCF'!AB12</f>
        <v>0</v>
      </c>
      <c r="AB650">
        <f>'Bull DCF'!AC12</f>
        <v>0</v>
      </c>
      <c r="AC650">
        <f>'Bull DCF'!AD12</f>
        <v>0</v>
      </c>
    </row>
    <row r="651" spans="1:29">
      <c r="A651" t="str">
        <f>'Bull DCF'!B13</f>
        <v>% of revenue</v>
      </c>
      <c r="B651">
        <f>'Bull DCF'!C13</f>
        <v>0</v>
      </c>
      <c r="C651">
        <f>'Bull DCF'!D13</f>
        <v>0</v>
      </c>
      <c r="D651">
        <f>'Bull DCF'!E13</f>
        <v>0</v>
      </c>
      <c r="E651">
        <f>'Bull DCF'!F13</f>
        <v>0</v>
      </c>
      <c r="F651">
        <f>'Bull DCF'!G13</f>
        <v>0</v>
      </c>
      <c r="G651">
        <f>'Bull DCF'!H13</f>
        <v>0</v>
      </c>
      <c r="H651">
        <f>'Bull DCF'!I13</f>
        <v>0</v>
      </c>
      <c r="I651">
        <f>'Bull DCF'!J13</f>
        <v>0</v>
      </c>
      <c r="J651">
        <f>'Bull DCF'!K13</f>
        <v>0</v>
      </c>
      <c r="K651">
        <f>'Bull DCF'!L13</f>
        <v>0</v>
      </c>
      <c r="L651">
        <f>'Bull DCF'!M13</f>
        <v>0</v>
      </c>
      <c r="M651">
        <f>'Bull DCF'!N13</f>
        <v>0</v>
      </c>
      <c r="N651">
        <f>'Bull DCF'!O13</f>
        <v>0</v>
      </c>
      <c r="O651">
        <f>'Bull DCF'!P13</f>
        <v>0</v>
      </c>
      <c r="P651">
        <f>'Bull DCF'!Q13</f>
        <v>0</v>
      </c>
      <c r="Q651">
        <f>'Bull DCF'!R13</f>
        <v>0</v>
      </c>
      <c r="R651">
        <f>'Bull DCF'!S13</f>
        <v>0</v>
      </c>
      <c r="S651">
        <f>'Bull DCF'!T13</f>
        <v>0</v>
      </c>
      <c r="T651">
        <f>'Bull DCF'!U13</f>
        <v>0</v>
      </c>
      <c r="U651">
        <f>'Bull DCF'!V13</f>
        <v>0</v>
      </c>
      <c r="V651">
        <f>'Bull DCF'!W13</f>
        <v>0</v>
      </c>
      <c r="W651">
        <f>'Bull DCF'!X13</f>
        <v>0</v>
      </c>
      <c r="X651">
        <f>'Bull DCF'!Y13</f>
        <v>0</v>
      </c>
      <c r="Y651">
        <f>'Bull DCF'!Z13</f>
        <v>0</v>
      </c>
      <c r="Z651">
        <f>'Bull DCF'!AA13</f>
        <v>0</v>
      </c>
      <c r="AA651">
        <f>'Bull DCF'!AB13</f>
        <v>0</v>
      </c>
      <c r="AB651">
        <f>'Bull DCF'!AC13</f>
        <v>0</v>
      </c>
      <c r="AC651">
        <f>'Bull DCF'!AD13</f>
        <v>0</v>
      </c>
    </row>
    <row r="652" spans="1:29">
      <c r="A652">
        <f>'Bull DCF'!B14</f>
        <v>0</v>
      </c>
      <c r="B652">
        <f>'Bull DCF'!C14</f>
        <v>0</v>
      </c>
      <c r="C652">
        <f>'Bull DCF'!D14</f>
        <v>0</v>
      </c>
      <c r="D652">
        <f>'Bull DCF'!E14</f>
        <v>0</v>
      </c>
      <c r="E652">
        <f>'Bull DCF'!F14</f>
        <v>0</v>
      </c>
      <c r="F652">
        <f>'Bull DCF'!G14</f>
        <v>0</v>
      </c>
      <c r="G652">
        <f>'Bull DCF'!H14</f>
        <v>0</v>
      </c>
      <c r="H652">
        <f>'Bull DCF'!I14</f>
        <v>0</v>
      </c>
      <c r="I652">
        <f>'Bull DCF'!J14</f>
        <v>0</v>
      </c>
      <c r="J652">
        <f>'Bull DCF'!K14</f>
        <v>0</v>
      </c>
      <c r="K652">
        <f>'Bull DCF'!L14</f>
        <v>0</v>
      </c>
      <c r="L652">
        <f>'Bull DCF'!M14</f>
        <v>0</v>
      </c>
      <c r="M652">
        <f>'Bull DCF'!N14</f>
        <v>0</v>
      </c>
      <c r="N652">
        <f>'Bull DCF'!O14</f>
        <v>0</v>
      </c>
      <c r="O652">
        <f>'Bull DCF'!P14</f>
        <v>0</v>
      </c>
      <c r="P652">
        <f>'Bull DCF'!Q14</f>
        <v>0</v>
      </c>
      <c r="Q652">
        <f>'Bull DCF'!R14</f>
        <v>0</v>
      </c>
      <c r="R652">
        <f>'Bull DCF'!S14</f>
        <v>0</v>
      </c>
      <c r="S652">
        <f>'Bull DCF'!T14</f>
        <v>0</v>
      </c>
      <c r="T652">
        <f>'Bull DCF'!U14</f>
        <v>0</v>
      </c>
      <c r="U652">
        <f>'Bull DCF'!V14</f>
        <v>0</v>
      </c>
      <c r="V652">
        <f>'Bull DCF'!W14</f>
        <v>0</v>
      </c>
      <c r="W652">
        <f>'Bull DCF'!X14</f>
        <v>0</v>
      </c>
      <c r="X652">
        <f>'Bull DCF'!Y14</f>
        <v>0</v>
      </c>
      <c r="Y652">
        <f>'Bull DCF'!Z14</f>
        <v>0</v>
      </c>
      <c r="Z652">
        <f>'Bull DCF'!AA14</f>
        <v>0</v>
      </c>
      <c r="AA652">
        <f>'Bull DCF'!AB14</f>
        <v>0</v>
      </c>
      <c r="AB652">
        <f>'Bull DCF'!AC14</f>
        <v>0</v>
      </c>
      <c r="AC652">
        <f>'Bull DCF'!AD14</f>
        <v>0</v>
      </c>
    </row>
    <row r="653" spans="1:29">
      <c r="A653" t="str">
        <f>'Bull DCF'!B15</f>
        <v>EBITDA Margin</v>
      </c>
      <c r="B653">
        <f>'Bull DCF'!C15</f>
        <v>0</v>
      </c>
      <c r="C653">
        <f>'Bull DCF'!D15</f>
        <v>0</v>
      </c>
      <c r="D653">
        <f>'Bull DCF'!E15</f>
        <v>0</v>
      </c>
      <c r="E653">
        <f>'Bull DCF'!F15</f>
        <v>0</v>
      </c>
      <c r="F653">
        <f>'Bull DCF'!G15</f>
        <v>-4.9928916011796174</v>
      </c>
      <c r="G653">
        <f>'Bull DCF'!H15</f>
        <v>-1.1358428805237317</v>
      </c>
      <c r="H653">
        <f>'Bull DCF'!I15</f>
        <v>-0.8228491094600997</v>
      </c>
      <c r="I653">
        <f>'Bull DCF'!J15</f>
        <v>-0.51482362438942697</v>
      </c>
      <c r="J653">
        <f>'Bull DCF'!K15</f>
        <v>-0.16602281123976509</v>
      </c>
      <c r="K653">
        <f>'Bull DCF'!L15</f>
        <v>-4.7623897911934707E-3</v>
      </c>
      <c r="L653">
        <f>'Bull DCF'!M15</f>
        <v>0.11320977793839068</v>
      </c>
      <c r="M653">
        <f>'Bull DCF'!N15</f>
        <v>0.20047225376912031</v>
      </c>
      <c r="N653">
        <f>'Bull DCF'!O15</f>
        <v>0.25868581649772332</v>
      </c>
      <c r="O653">
        <f>'Bull DCF'!P15</f>
        <v>0.29612278618883481</v>
      </c>
      <c r="P653">
        <f>'Bull DCF'!Q15</f>
        <v>0.32152474632963846</v>
      </c>
      <c r="Q653">
        <f>'Bull DCF'!R15</f>
        <v>0.32152474632963846</v>
      </c>
      <c r="R653">
        <f>'Bull DCF'!S15</f>
        <v>0</v>
      </c>
      <c r="S653">
        <f>'Bull DCF'!T15</f>
        <v>0</v>
      </c>
      <c r="T653">
        <f>'Bull DCF'!U15</f>
        <v>0</v>
      </c>
      <c r="U653">
        <f>'Bull DCF'!V15</f>
        <v>0</v>
      </c>
      <c r="V653">
        <f>'Bull DCF'!W15</f>
        <v>0</v>
      </c>
      <c r="W653">
        <f>'Bull DCF'!X15</f>
        <v>0</v>
      </c>
      <c r="X653">
        <f>'Bull DCF'!Y15</f>
        <v>0</v>
      </c>
      <c r="Y653">
        <f>'Bull DCF'!Z15</f>
        <v>0</v>
      </c>
      <c r="Z653">
        <f>'Bull DCF'!AA15</f>
        <v>0</v>
      </c>
      <c r="AA653">
        <f>'Bull DCF'!AB15</f>
        <v>0</v>
      </c>
      <c r="AB653">
        <f>'Bull DCF'!AC15</f>
        <v>0</v>
      </c>
      <c r="AC653">
        <f>'Bull DCF'!AD15</f>
        <v>0</v>
      </c>
    </row>
    <row r="654" spans="1:29">
      <c r="A654" t="str">
        <f>'Bull DCF'!B16</f>
        <v>Incremental EBITDA Margin</v>
      </c>
      <c r="B654">
        <f>'Bull DCF'!C16</f>
        <v>0</v>
      </c>
      <c r="C654">
        <f>'Bull DCF'!D16</f>
        <v>0</v>
      </c>
      <c r="D654">
        <f>'Bull DCF'!E16</f>
        <v>0</v>
      </c>
      <c r="E654">
        <f>'Bull DCF'!F16</f>
        <v>0</v>
      </c>
      <c r="F654">
        <f>'Bull DCF'!G16</f>
        <v>0</v>
      </c>
      <c r="G654">
        <f>'Bull DCF'!H16</f>
        <v>-0.48155248844048509</v>
      </c>
      <c r="H654">
        <f>'Bull DCF'!I16</f>
        <v>-0.53331342728352704</v>
      </c>
      <c r="I654">
        <f>'Bull DCF'!J16</f>
        <v>-2.8298752381986481E-2</v>
      </c>
      <c r="J654">
        <f>'Bull DCF'!K16</f>
        <v>0.47823786654890299</v>
      </c>
      <c r="K654">
        <f>'Bull DCF'!L16</f>
        <v>0.34147171991191061</v>
      </c>
      <c r="L654">
        <f>'Bull DCF'!M16</f>
        <v>0.40748465074723461</v>
      </c>
      <c r="M654">
        <f>'Bull DCF'!N16</f>
        <v>0.45460286676222944</v>
      </c>
      <c r="N654">
        <f>'Bull DCF'!O16</f>
        <v>0.46426865647830662</v>
      </c>
      <c r="O654">
        <f>'Bull DCF'!P16</f>
        <v>0.45546657265846674</v>
      </c>
      <c r="P654">
        <f>'Bull DCF'!Q16</f>
        <v>0.44650878902549201</v>
      </c>
      <c r="Q654">
        <f>'Bull DCF'!R16</f>
        <v>0</v>
      </c>
      <c r="R654">
        <f>'Bull DCF'!S16</f>
        <v>0</v>
      </c>
      <c r="S654">
        <f>'Bull DCF'!T16</f>
        <v>0</v>
      </c>
      <c r="T654">
        <f>'Bull DCF'!U16</f>
        <v>0</v>
      </c>
      <c r="U654">
        <f>'Bull DCF'!V16</f>
        <v>0</v>
      </c>
      <c r="V654">
        <f>'Bull DCF'!W16</f>
        <v>0</v>
      </c>
      <c r="W654">
        <f>'Bull DCF'!X16</f>
        <v>0</v>
      </c>
      <c r="X654">
        <f>'Bull DCF'!Y16</f>
        <v>0</v>
      </c>
      <c r="Y654">
        <f>'Bull DCF'!Z16</f>
        <v>0</v>
      </c>
      <c r="Z654">
        <f>'Bull DCF'!AA16</f>
        <v>0</v>
      </c>
      <c r="AA654">
        <f>'Bull DCF'!AB16</f>
        <v>0</v>
      </c>
      <c r="AB654">
        <f>'Bull DCF'!AC16</f>
        <v>0</v>
      </c>
      <c r="AC654">
        <f>'Bull DCF'!AD16</f>
        <v>0</v>
      </c>
    </row>
    <row r="655" spans="1:29">
      <c r="A655" t="str">
        <f>'Bull DCF'!B17</f>
        <v>UFCF / EBITDA</v>
      </c>
      <c r="B655">
        <f>'Bull DCF'!C17</f>
        <v>0</v>
      </c>
      <c r="C655">
        <f>'Bull DCF'!D17</f>
        <v>0</v>
      </c>
      <c r="D655">
        <f>'Bull DCF'!E17</f>
        <v>0</v>
      </c>
      <c r="E655">
        <f>'Bull DCF'!F17</f>
        <v>0</v>
      </c>
      <c r="F655">
        <f>'Bull DCF'!G17</f>
        <v>1.4005319257898656</v>
      </c>
      <c r="G655">
        <f>'Bull DCF'!H17</f>
        <v>1.5427422795301984</v>
      </c>
      <c r="H655">
        <f>'Bull DCF'!I17</f>
        <v>1.2174275334140678</v>
      </c>
      <c r="I655">
        <f>'Bull DCF'!J17</f>
        <v>1.9551922836011015</v>
      </c>
      <c r="J655">
        <f>'Bull DCF'!K17</f>
        <v>1.4017225915110163</v>
      </c>
      <c r="K655">
        <f>'Bull DCF'!L17</f>
        <v>1.274557618909907</v>
      </c>
      <c r="L655">
        <f>'Bull DCF'!M17</f>
        <v>-0.40620395783025709</v>
      </c>
      <c r="M655">
        <f>'Bull DCF'!N17</f>
        <v>0.23120146528362123</v>
      </c>
      <c r="N655">
        <f>'Bull DCF'!O17</f>
        <v>0.44175128109995798</v>
      </c>
      <c r="O655">
        <f>'Bull DCF'!P17</f>
        <v>0.58027092598807406</v>
      </c>
      <c r="P655">
        <f>'Bull DCF'!Q17</f>
        <v>0.6745049343936218</v>
      </c>
      <c r="Q655">
        <f>'Bull DCF'!R17</f>
        <v>0.6</v>
      </c>
      <c r="R655">
        <f>'Bull DCF'!S17</f>
        <v>0</v>
      </c>
      <c r="S655">
        <f>'Bull DCF'!T17</f>
        <v>0</v>
      </c>
      <c r="T655">
        <f>'Bull DCF'!U17</f>
        <v>0</v>
      </c>
      <c r="U655">
        <f>'Bull DCF'!V17</f>
        <v>0</v>
      </c>
      <c r="V655">
        <f>'Bull DCF'!W17</f>
        <v>0</v>
      </c>
      <c r="W655">
        <f>'Bull DCF'!X17</f>
        <v>0</v>
      </c>
      <c r="X655">
        <f>'Bull DCF'!Y17</f>
        <v>0</v>
      </c>
      <c r="Y655">
        <f>'Bull DCF'!Z17</f>
        <v>0</v>
      </c>
      <c r="Z655">
        <f>'Bull DCF'!AA17</f>
        <v>0</v>
      </c>
      <c r="AA655">
        <f>'Bull DCF'!AB17</f>
        <v>0</v>
      </c>
      <c r="AB655">
        <f>'Bull DCF'!AC17</f>
        <v>0</v>
      </c>
      <c r="AC655">
        <f>'Bull DCF'!AD17</f>
        <v>0</v>
      </c>
    </row>
    <row r="656" spans="1:29">
      <c r="A656">
        <f>'Bull DCF'!B18</f>
        <v>0</v>
      </c>
      <c r="B656">
        <f>'Bull DCF'!C18</f>
        <v>0</v>
      </c>
      <c r="C656">
        <f>'Bull DCF'!D18</f>
        <v>0</v>
      </c>
      <c r="D656">
        <f>'Bull DCF'!E18</f>
        <v>0</v>
      </c>
      <c r="E656">
        <f>'Bull DCF'!F18</f>
        <v>0</v>
      </c>
      <c r="F656">
        <f>'Bull DCF'!G18</f>
        <v>0</v>
      </c>
      <c r="G656">
        <f>'Bull DCF'!H18</f>
        <v>0</v>
      </c>
      <c r="H656">
        <f>'Bull DCF'!I18</f>
        <v>0</v>
      </c>
      <c r="I656">
        <f>'Bull DCF'!J18</f>
        <v>0</v>
      </c>
      <c r="J656">
        <f>'Bull DCF'!K18</f>
        <v>0</v>
      </c>
      <c r="K656">
        <f>'Bull DCF'!L18</f>
        <v>0</v>
      </c>
      <c r="L656">
        <f>'Bull DCF'!M18</f>
        <v>0</v>
      </c>
      <c r="M656">
        <f>'Bull DCF'!N18</f>
        <v>0</v>
      </c>
      <c r="N656">
        <f>'Bull DCF'!O18</f>
        <v>0</v>
      </c>
      <c r="O656">
        <f>'Bull DCF'!P18</f>
        <v>0</v>
      </c>
      <c r="P656">
        <f>'Bull DCF'!Q18</f>
        <v>0</v>
      </c>
      <c r="Q656">
        <f>'Bull DCF'!R18</f>
        <v>0</v>
      </c>
      <c r="R656">
        <f>'Bull DCF'!S18</f>
        <v>0</v>
      </c>
      <c r="S656">
        <f>'Bull DCF'!T18</f>
        <v>0</v>
      </c>
      <c r="T656">
        <f>'Bull DCF'!U18</f>
        <v>0</v>
      </c>
      <c r="U656">
        <f>'Bull DCF'!V18</f>
        <v>0</v>
      </c>
      <c r="V656">
        <f>'Bull DCF'!W18</f>
        <v>0</v>
      </c>
      <c r="W656">
        <f>'Bull DCF'!X18</f>
        <v>0</v>
      </c>
      <c r="X656">
        <f>'Bull DCF'!Y18</f>
        <v>0</v>
      </c>
      <c r="Y656">
        <f>'Bull DCF'!Z18</f>
        <v>0</v>
      </c>
      <c r="Z656">
        <f>'Bull DCF'!AA18</f>
        <v>0</v>
      </c>
      <c r="AA656">
        <f>'Bull DCF'!AB18</f>
        <v>0</v>
      </c>
      <c r="AB656">
        <f>'Bull DCF'!AC18</f>
        <v>0</v>
      </c>
      <c r="AC656">
        <f>'Bull DCF'!AD18</f>
        <v>0</v>
      </c>
    </row>
    <row r="657" spans="1:29">
      <c r="A657" t="str">
        <f>'Bull DCF'!B19</f>
        <v>NPV Calculation</v>
      </c>
      <c r="B657">
        <f>'Bull DCF'!C19</f>
        <v>0</v>
      </c>
      <c r="C657">
        <f>'Bull DCF'!D19</f>
        <v>0</v>
      </c>
      <c r="D657">
        <f>'Bull DCF'!E19</f>
        <v>0</v>
      </c>
      <c r="E657">
        <f>'Bull DCF'!F19</f>
        <v>0</v>
      </c>
      <c r="F657">
        <f>'Bull DCF'!G19</f>
        <v>0</v>
      </c>
      <c r="G657">
        <f>'Bull DCF'!H19</f>
        <v>0</v>
      </c>
      <c r="H657">
        <f>'Bull DCF'!I19</f>
        <v>2017</v>
      </c>
      <c r="I657">
        <f>'Bull DCF'!J19</f>
        <v>2018</v>
      </c>
      <c r="J657">
        <f>'Bull DCF'!K19</f>
        <v>2019</v>
      </c>
      <c r="K657">
        <f>'Bull DCF'!L19</f>
        <v>2020</v>
      </c>
      <c r="L657">
        <f>'Bull DCF'!M19</f>
        <v>2021</v>
      </c>
      <c r="M657">
        <f>'Bull DCF'!N19</f>
        <v>2022</v>
      </c>
      <c r="N657">
        <f>'Bull DCF'!O19</f>
        <v>2023</v>
      </c>
      <c r="O657">
        <f>'Bull DCF'!P19</f>
        <v>2024</v>
      </c>
      <c r="P657">
        <f>'Bull DCF'!Q19</f>
        <v>2025</v>
      </c>
      <c r="Q657">
        <f>'Bull DCF'!R19</f>
        <v>0</v>
      </c>
      <c r="R657">
        <f>'Bull DCF'!S19</f>
        <v>0</v>
      </c>
      <c r="S657">
        <f>'Bull DCF'!T19</f>
        <v>0</v>
      </c>
      <c r="T657">
        <f>'Bull DCF'!U19</f>
        <v>0</v>
      </c>
      <c r="U657">
        <f>'Bull DCF'!V19</f>
        <v>0</v>
      </c>
      <c r="V657">
        <f>'Bull DCF'!W19</f>
        <v>0</v>
      </c>
      <c r="W657">
        <f>'Bull DCF'!X19</f>
        <v>0</v>
      </c>
      <c r="X657">
        <f>'Bull DCF'!Y19</f>
        <v>0</v>
      </c>
      <c r="Y657">
        <f>'Bull DCF'!Z19</f>
        <v>0</v>
      </c>
      <c r="Z657">
        <f>'Bull DCF'!AA19</f>
        <v>0</v>
      </c>
      <c r="AA657">
        <f>'Bull DCF'!AB19</f>
        <v>0</v>
      </c>
      <c r="AB657">
        <f>'Bull DCF'!AC19</f>
        <v>0</v>
      </c>
      <c r="AC657">
        <f>'Bull DCF'!AD19</f>
        <v>0</v>
      </c>
    </row>
    <row r="658" spans="1:29">
      <c r="A658" t="str">
        <f>'Bull DCF'!B21</f>
        <v>Year for 1-year forward value</v>
      </c>
      <c r="B658">
        <f>'Bull DCF'!C21</f>
        <v>0</v>
      </c>
      <c r="C658">
        <f>'Bull DCF'!D21</f>
        <v>0</v>
      </c>
      <c r="D658">
        <f>'Bull DCF'!E21</f>
        <v>0</v>
      </c>
      <c r="E658">
        <f>'Bull DCF'!F21</f>
        <v>0</v>
      </c>
      <c r="F658">
        <f>'Bull DCF'!G21</f>
        <v>0</v>
      </c>
      <c r="G658">
        <f>'Bull DCF'!H21</f>
        <v>0</v>
      </c>
      <c r="H658">
        <f>'Bull DCF'!I21</f>
        <v>1</v>
      </c>
      <c r="I658">
        <f>'Bull DCF'!J21</f>
        <v>2</v>
      </c>
      <c r="J658">
        <f>'Bull DCF'!K21</f>
        <v>3</v>
      </c>
      <c r="K658">
        <f>'Bull DCF'!L21</f>
        <v>4</v>
      </c>
      <c r="L658">
        <f>'Bull DCF'!M21</f>
        <v>5</v>
      </c>
      <c r="M658">
        <f>'Bull DCF'!N21</f>
        <v>6</v>
      </c>
      <c r="N658">
        <f>'Bull DCF'!O21</f>
        <v>7</v>
      </c>
      <c r="O658">
        <f>'Bull DCF'!P21</f>
        <v>8</v>
      </c>
      <c r="P658">
        <f>'Bull DCF'!Q21</f>
        <v>9</v>
      </c>
      <c r="Q658">
        <f>'Bull DCF'!R21</f>
        <v>0</v>
      </c>
      <c r="R658">
        <f>'Bull DCF'!S21</f>
        <v>0</v>
      </c>
      <c r="S658">
        <f>'Bull DCF'!T21</f>
        <v>0</v>
      </c>
      <c r="T658">
        <f>'Bull DCF'!U21</f>
        <v>0</v>
      </c>
      <c r="U658">
        <f>'Bull DCF'!V21</f>
        <v>0</v>
      </c>
      <c r="V658">
        <f>'Bull DCF'!W21</f>
        <v>0</v>
      </c>
      <c r="W658">
        <f>'Bull DCF'!X21</f>
        <v>0</v>
      </c>
      <c r="X658">
        <f>'Bull DCF'!Y21</f>
        <v>0</v>
      </c>
      <c r="Y658">
        <f>'Bull DCF'!Z21</f>
        <v>0</v>
      </c>
      <c r="Z658">
        <f>'Bull DCF'!AA21</f>
        <v>0</v>
      </c>
      <c r="AA658">
        <f>'Bull DCF'!AB21</f>
        <v>0</v>
      </c>
      <c r="AB658">
        <f>'Bull DCF'!AC21</f>
        <v>0</v>
      </c>
      <c r="AC658">
        <f>'Bull DCF'!AD21</f>
        <v>0</v>
      </c>
    </row>
    <row r="659" spans="1:29">
      <c r="A659" t="str">
        <f>'Bull DCF'!B22</f>
        <v>Discounted cash flows</v>
      </c>
      <c r="B659">
        <f>'Bull DCF'!C22</f>
        <v>0</v>
      </c>
      <c r="C659">
        <f>'Bull DCF'!D22</f>
        <v>0</v>
      </c>
      <c r="D659">
        <f>'Bull DCF'!E22</f>
        <v>0</v>
      </c>
      <c r="E659">
        <f>'Bull DCF'!F22</f>
        <v>0</v>
      </c>
      <c r="F659">
        <f>'Bull DCF'!G22</f>
        <v>0</v>
      </c>
      <c r="G659">
        <f>'Bull DCF'!H22</f>
        <v>0</v>
      </c>
      <c r="H659">
        <f>'Bull DCF'!I22</f>
        <v>-779.11972471509466</v>
      </c>
      <c r="I659">
        <f>'Bull DCF'!J22</f>
        <v>-1181.3285166389933</v>
      </c>
      <c r="J659">
        <f>'Bull DCF'!K22</f>
        <v>-388.98476016764897</v>
      </c>
      <c r="K659">
        <f>'Bull DCF'!L22</f>
        <v>-13.740867983127892</v>
      </c>
      <c r="L659">
        <f>'Bull DCF'!M22</f>
        <v>-134.74966655063579</v>
      </c>
      <c r="M659">
        <f>'Bull DCF'!N22</f>
        <v>168.58063873215349</v>
      </c>
      <c r="N659">
        <f>'Bull DCF'!O22</f>
        <v>492.78873527548865</v>
      </c>
      <c r="O659">
        <f>'Bull DCF'!P22</f>
        <v>845.52403162580958</v>
      </c>
      <c r="P659">
        <f>'Bull DCF'!Q22</f>
        <v>1186.4274603662664</v>
      </c>
      <c r="Q659">
        <f>'Bull DCF'!R22</f>
        <v>0</v>
      </c>
      <c r="R659">
        <f>'Bull DCF'!S22</f>
        <v>0</v>
      </c>
      <c r="S659">
        <f>'Bull DCF'!T22</f>
        <v>0</v>
      </c>
      <c r="T659">
        <f>'Bull DCF'!U22</f>
        <v>0</v>
      </c>
      <c r="U659">
        <f>'Bull DCF'!V22</f>
        <v>0</v>
      </c>
      <c r="V659">
        <f>'Bull DCF'!W22</f>
        <v>0</v>
      </c>
      <c r="W659">
        <f>'Bull DCF'!X22</f>
        <v>0</v>
      </c>
      <c r="X659">
        <f>'Bull DCF'!Y22</f>
        <v>0</v>
      </c>
      <c r="Y659">
        <f>'Bull DCF'!Z22</f>
        <v>0</v>
      </c>
      <c r="Z659">
        <f>'Bull DCF'!AA22</f>
        <v>0</v>
      </c>
      <c r="AA659">
        <f>'Bull DCF'!AB22</f>
        <v>0</v>
      </c>
      <c r="AB659">
        <f>'Bull DCF'!AC22</f>
        <v>0</v>
      </c>
      <c r="AC659">
        <f>'Bull DCF'!AD22</f>
        <v>0</v>
      </c>
    </row>
    <row r="660" spans="1:29">
      <c r="A660">
        <f>'Bull DCF'!B23</f>
        <v>0</v>
      </c>
      <c r="B660">
        <f>'Bull DCF'!C23</f>
        <v>0</v>
      </c>
      <c r="C660">
        <f>'Bull DCF'!D23</f>
        <v>0</v>
      </c>
      <c r="D660">
        <f>'Bull DCF'!E23</f>
        <v>0</v>
      </c>
      <c r="E660">
        <f>'Bull DCF'!F23</f>
        <v>0</v>
      </c>
      <c r="F660">
        <f>'Bull DCF'!G23</f>
        <v>0</v>
      </c>
      <c r="G660">
        <f>'Bull DCF'!H23</f>
        <v>0</v>
      </c>
      <c r="H660">
        <f>'Bull DCF'!I23</f>
        <v>0</v>
      </c>
      <c r="I660">
        <f>'Bull DCF'!J23</f>
        <v>0</v>
      </c>
      <c r="J660">
        <f>'Bull DCF'!K23</f>
        <v>0</v>
      </c>
      <c r="K660">
        <f>'Bull DCF'!L23</f>
        <v>0</v>
      </c>
      <c r="L660">
        <f>'Bull DCF'!M23</f>
        <v>0</v>
      </c>
      <c r="M660">
        <f>'Bull DCF'!N23</f>
        <v>0</v>
      </c>
      <c r="N660">
        <f>'Bull DCF'!O23</f>
        <v>0</v>
      </c>
      <c r="O660">
        <f>'Bull DCF'!P23</f>
        <v>0</v>
      </c>
      <c r="P660">
        <f>'Bull DCF'!Q23</f>
        <v>0</v>
      </c>
      <c r="Q660">
        <f>'Bull DCF'!R23</f>
        <v>0</v>
      </c>
      <c r="R660">
        <f>'Bull DCF'!S23</f>
        <v>0</v>
      </c>
      <c r="S660">
        <f>'Bull DCF'!T23</f>
        <v>0</v>
      </c>
      <c r="T660">
        <f>'Bull DCF'!U23</f>
        <v>0</v>
      </c>
      <c r="U660">
        <f>'Bull DCF'!V23</f>
        <v>0</v>
      </c>
      <c r="V660">
        <f>'Bull DCF'!W23</f>
        <v>0</v>
      </c>
      <c r="W660">
        <f>'Bull DCF'!X23</f>
        <v>0</v>
      </c>
      <c r="X660">
        <f>'Bull DCF'!Y23</f>
        <v>0</v>
      </c>
      <c r="Y660">
        <f>'Bull DCF'!Z23</f>
        <v>0</v>
      </c>
      <c r="Z660">
        <f>'Bull DCF'!AA23</f>
        <v>0</v>
      </c>
      <c r="AA660">
        <f>'Bull DCF'!AB23</f>
        <v>0</v>
      </c>
      <c r="AB660">
        <f>'Bull DCF'!AC23</f>
        <v>0</v>
      </c>
      <c r="AC660">
        <f>'Bull DCF'!AD23</f>
        <v>0</v>
      </c>
    </row>
    <row r="661" spans="1:29">
      <c r="A661" t="str">
        <f>'Bull DCF'!B24</f>
        <v>12 Months FV</v>
      </c>
      <c r="B661">
        <f>'Bull DCF'!C24</f>
        <v>0</v>
      </c>
      <c r="C661">
        <f>'Bull DCF'!D24</f>
        <v>0</v>
      </c>
      <c r="D661">
        <f>'Bull DCF'!E24</f>
        <v>0</v>
      </c>
      <c r="E661">
        <f>'Bull DCF'!F24</f>
        <v>0</v>
      </c>
      <c r="F661">
        <f>'Bull DCF'!G24</f>
        <v>0</v>
      </c>
      <c r="G661">
        <f>'Bull DCF'!H24</f>
        <v>0</v>
      </c>
      <c r="H661">
        <f>'Bull DCF'!I24</f>
        <v>0</v>
      </c>
      <c r="I661">
        <f>'Bull DCF'!J24</f>
        <v>0</v>
      </c>
      <c r="J661">
        <f>'Bull DCF'!K24</f>
        <v>0</v>
      </c>
      <c r="K661">
        <f>'Bull DCF'!L24</f>
        <v>0</v>
      </c>
      <c r="L661">
        <f>'Bull DCF'!M24</f>
        <v>0</v>
      </c>
      <c r="M661">
        <f>'Bull DCF'!N24</f>
        <v>0</v>
      </c>
      <c r="N661">
        <f>'Bull DCF'!O24</f>
        <v>0</v>
      </c>
      <c r="O661">
        <f>'Bull DCF'!P24</f>
        <v>0</v>
      </c>
      <c r="P661">
        <f>'Bull DCF'!Q24</f>
        <v>0</v>
      </c>
      <c r="Q661">
        <f>'Bull DCF'!R24</f>
        <v>0</v>
      </c>
      <c r="R661">
        <f>'Bull DCF'!S24</f>
        <v>0</v>
      </c>
      <c r="S661">
        <f>'Bull DCF'!T24</f>
        <v>0</v>
      </c>
      <c r="T661">
        <f>'Bull DCF'!U24</f>
        <v>0</v>
      </c>
      <c r="U661">
        <f>'Bull DCF'!V24</f>
        <v>0</v>
      </c>
      <c r="V661">
        <f>'Bull DCF'!W24</f>
        <v>0</v>
      </c>
      <c r="W661">
        <f>'Bull DCF'!X24</f>
        <v>0</v>
      </c>
      <c r="X661">
        <f>'Bull DCF'!Y24</f>
        <v>0</v>
      </c>
      <c r="Y661">
        <f>'Bull DCF'!Z24</f>
        <v>0</v>
      </c>
      <c r="Z661">
        <f>'Bull DCF'!AA24</f>
        <v>0</v>
      </c>
      <c r="AA661">
        <f>'Bull DCF'!AB24</f>
        <v>0</v>
      </c>
      <c r="AB661">
        <f>'Bull DCF'!AC24</f>
        <v>0</v>
      </c>
      <c r="AC661">
        <f>'Bull DCF'!AD24</f>
        <v>0</v>
      </c>
    </row>
    <row r="662" spans="1:29">
      <c r="A662" t="str">
        <f>'Bull DCF'!B25</f>
        <v>Year for 1-year forward value</v>
      </c>
      <c r="B662">
        <f>'Bull DCF'!C25</f>
        <v>0</v>
      </c>
      <c r="C662">
        <f>'Bull DCF'!D25</f>
        <v>0</v>
      </c>
      <c r="D662">
        <f>'Bull DCF'!E25</f>
        <v>0</v>
      </c>
      <c r="E662">
        <f>'Bull DCF'!F25</f>
        <v>0</v>
      </c>
      <c r="F662">
        <f>'Bull DCF'!G25</f>
        <v>0</v>
      </c>
      <c r="G662">
        <f>'Bull DCF'!H25</f>
        <v>0</v>
      </c>
      <c r="H662">
        <f>'Bull DCF'!I25</f>
        <v>0</v>
      </c>
      <c r="I662">
        <f>'Bull DCF'!J25</f>
        <v>0</v>
      </c>
      <c r="J662">
        <f>'Bull DCF'!K25</f>
        <v>1</v>
      </c>
      <c r="K662">
        <f>'Bull DCF'!L25</f>
        <v>2</v>
      </c>
      <c r="L662">
        <f>'Bull DCF'!M25</f>
        <v>3</v>
      </c>
      <c r="M662">
        <f>'Bull DCF'!N25</f>
        <v>4</v>
      </c>
      <c r="N662">
        <f>'Bull DCF'!O25</f>
        <v>5</v>
      </c>
      <c r="O662">
        <f>'Bull DCF'!P25</f>
        <v>6</v>
      </c>
      <c r="P662">
        <f>'Bull DCF'!Q25</f>
        <v>7</v>
      </c>
      <c r="Q662">
        <f>'Bull DCF'!R25</f>
        <v>0</v>
      </c>
      <c r="R662">
        <f>'Bull DCF'!S25</f>
        <v>0</v>
      </c>
      <c r="S662">
        <f>'Bull DCF'!T25</f>
        <v>0</v>
      </c>
      <c r="T662">
        <f>'Bull DCF'!U25</f>
        <v>0</v>
      </c>
      <c r="U662">
        <f>'Bull DCF'!V25</f>
        <v>0</v>
      </c>
      <c r="V662">
        <f>'Bull DCF'!W25</f>
        <v>0</v>
      </c>
      <c r="W662">
        <f>'Bull DCF'!X25</f>
        <v>0</v>
      </c>
      <c r="X662">
        <f>'Bull DCF'!Y25</f>
        <v>0</v>
      </c>
      <c r="Y662">
        <f>'Bull DCF'!Z25</f>
        <v>0</v>
      </c>
      <c r="Z662">
        <f>'Bull DCF'!AA25</f>
        <v>0</v>
      </c>
      <c r="AA662">
        <f>'Bull DCF'!AB25</f>
        <v>0</v>
      </c>
      <c r="AB662">
        <f>'Bull DCF'!AC25</f>
        <v>0</v>
      </c>
      <c r="AC662">
        <f>'Bull DCF'!AD25</f>
        <v>0</v>
      </c>
    </row>
    <row r="663" spans="1:29">
      <c r="A663" t="str">
        <f>'Bull DCF'!B26</f>
        <v>Discounted cash flows</v>
      </c>
      <c r="B663">
        <f>'Bull DCF'!C26</f>
        <v>0</v>
      </c>
      <c r="C663">
        <f>'Bull DCF'!D26</f>
        <v>0</v>
      </c>
      <c r="D663">
        <f>'Bull DCF'!E26</f>
        <v>0</v>
      </c>
      <c r="E663">
        <f>'Bull DCF'!F26</f>
        <v>0</v>
      </c>
      <c r="F663">
        <f>'Bull DCF'!G26</f>
        <v>0</v>
      </c>
      <c r="G663">
        <f>'Bull DCF'!H26</f>
        <v>0</v>
      </c>
      <c r="H663">
        <f>'Bull DCF'!I26</f>
        <v>0</v>
      </c>
      <c r="I663">
        <f>'Bull DCF'!J26</f>
        <v>0</v>
      </c>
      <c r="J663">
        <f>'Bull DCF'!K26</f>
        <v>-455.61877152456913</v>
      </c>
      <c r="K663">
        <f>'Bull DCF'!L26</f>
        <v>-16.094711236131079</v>
      </c>
      <c r="L663">
        <f>'Bull DCF'!M26</f>
        <v>-157.83260380351541</v>
      </c>
      <c r="M663">
        <f>'Bull DCF'!N26</f>
        <v>197.45890170315977</v>
      </c>
      <c r="N663">
        <f>'Bull DCF'!O26</f>
        <v>577.20461359616365</v>
      </c>
      <c r="O663">
        <f>'Bull DCF'!P26</f>
        <v>990.3643022359505</v>
      </c>
      <c r="P663">
        <f>'Bull DCF'!Q26</f>
        <v>1389.6652963013687</v>
      </c>
      <c r="Q663">
        <f>'Bull DCF'!R26</f>
        <v>0</v>
      </c>
      <c r="R663">
        <f>'Bull DCF'!S26</f>
        <v>0</v>
      </c>
      <c r="S663">
        <f>'Bull DCF'!T26</f>
        <v>0</v>
      </c>
      <c r="T663">
        <f>'Bull DCF'!U26</f>
        <v>0</v>
      </c>
      <c r="U663">
        <f>'Bull DCF'!V26</f>
        <v>0</v>
      </c>
      <c r="V663">
        <f>'Bull DCF'!W26</f>
        <v>0</v>
      </c>
      <c r="W663">
        <f>'Bull DCF'!X26</f>
        <v>0</v>
      </c>
      <c r="X663">
        <f>'Bull DCF'!Y26</f>
        <v>0</v>
      </c>
      <c r="Y663">
        <f>'Bull DCF'!Z26</f>
        <v>0</v>
      </c>
      <c r="Z663">
        <f>'Bull DCF'!AA26</f>
        <v>0</v>
      </c>
      <c r="AA663">
        <f>'Bull DCF'!AB26</f>
        <v>0</v>
      </c>
      <c r="AB663">
        <f>'Bull DCF'!AC26</f>
        <v>0</v>
      </c>
      <c r="AC663">
        <f>'Bull DCF'!AD26</f>
        <v>0</v>
      </c>
    </row>
    <row r="664" spans="1:29">
      <c r="A664">
        <f>'Bull DCF'!B27</f>
        <v>0</v>
      </c>
      <c r="B664">
        <f>'Bull DCF'!C27</f>
        <v>0</v>
      </c>
      <c r="C664">
        <f>'Bull DCF'!D27</f>
        <v>0</v>
      </c>
      <c r="D664">
        <f>'Bull DCF'!E27</f>
        <v>0</v>
      </c>
      <c r="E664">
        <f>'Bull DCF'!F27</f>
        <v>0</v>
      </c>
      <c r="F664">
        <f>'Bull DCF'!G27</f>
        <v>0</v>
      </c>
      <c r="G664">
        <f>'Bull DCF'!H27</f>
        <v>0</v>
      </c>
      <c r="H664">
        <f>'Bull DCF'!I27</f>
        <v>0</v>
      </c>
      <c r="I664">
        <f>'Bull DCF'!J27</f>
        <v>0</v>
      </c>
      <c r="J664">
        <f>'Bull DCF'!K27</f>
        <v>0</v>
      </c>
      <c r="K664">
        <f>'Bull DCF'!L27</f>
        <v>0</v>
      </c>
      <c r="L664">
        <f>'Bull DCF'!M27</f>
        <v>0</v>
      </c>
      <c r="M664">
        <f>'Bull DCF'!N27</f>
        <v>0</v>
      </c>
      <c r="N664">
        <f>'Bull DCF'!O27</f>
        <v>0</v>
      </c>
      <c r="O664">
        <f>'Bull DCF'!P27</f>
        <v>0</v>
      </c>
      <c r="P664">
        <f>'Bull DCF'!Q27</f>
        <v>0</v>
      </c>
      <c r="Q664">
        <f>'Bull DCF'!R27</f>
        <v>0</v>
      </c>
      <c r="R664">
        <f>'Bull DCF'!S27</f>
        <v>0</v>
      </c>
      <c r="S664">
        <f>'Bull DCF'!T27</f>
        <v>0</v>
      </c>
      <c r="T664">
        <f>'Bull DCF'!U27</f>
        <v>0</v>
      </c>
      <c r="U664">
        <f>'Bull DCF'!V27</f>
        <v>0</v>
      </c>
      <c r="V664">
        <f>'Bull DCF'!W27</f>
        <v>0</v>
      </c>
      <c r="W664">
        <f>'Bull DCF'!X27</f>
        <v>0</v>
      </c>
      <c r="X664">
        <f>'Bull DCF'!Y27</f>
        <v>0</v>
      </c>
      <c r="Y664">
        <f>'Bull DCF'!Z27</f>
        <v>0</v>
      </c>
      <c r="Z664">
        <f>'Bull DCF'!AA27</f>
        <v>0</v>
      </c>
      <c r="AA664">
        <f>'Bull DCF'!AB27</f>
        <v>0</v>
      </c>
      <c r="AB664">
        <f>'Bull DCF'!AC27</f>
        <v>0</v>
      </c>
      <c r="AC664">
        <f>'Bull DCF'!AD27</f>
        <v>0</v>
      </c>
    </row>
    <row r="670" spans="1:29">
      <c r="A670">
        <f>'Bull DCF'!B28</f>
        <v>0</v>
      </c>
      <c r="B670">
        <f>'Bull DCF'!C28</f>
        <v>0</v>
      </c>
      <c r="C670">
        <f>'Bull DCF'!D28</f>
        <v>0</v>
      </c>
      <c r="D670">
        <f>'Bull DCF'!E28</f>
        <v>0</v>
      </c>
      <c r="E670">
        <f>'Bull DCF'!F28</f>
        <v>0</v>
      </c>
      <c r="F670">
        <f>'Bull DCF'!G28</f>
        <v>0</v>
      </c>
      <c r="G670">
        <f>'Bull DCF'!H28</f>
        <v>0</v>
      </c>
      <c r="H670">
        <f>'Bull DCF'!I28</f>
        <v>0</v>
      </c>
      <c r="I670">
        <f>'Bull DCF'!J28</f>
        <v>0</v>
      </c>
      <c r="J670">
        <f>'Bull DCF'!K28</f>
        <v>0</v>
      </c>
      <c r="K670">
        <f>'Bull DCF'!L28</f>
        <v>0</v>
      </c>
      <c r="L670">
        <f>'Bull DCF'!M28</f>
        <v>0</v>
      </c>
      <c r="M670">
        <f>'Bull DCF'!N28</f>
        <v>0</v>
      </c>
      <c r="N670">
        <f>'Bull DCF'!O28</f>
        <v>0</v>
      </c>
      <c r="O670">
        <f>'Bull DCF'!P28</f>
        <v>0</v>
      </c>
      <c r="P670">
        <f>'Bull DCF'!Q28</f>
        <v>0</v>
      </c>
      <c r="Q670">
        <f>'Bull DCF'!R28</f>
        <v>0</v>
      </c>
      <c r="R670">
        <f>'Bull DCF'!S28</f>
        <v>0</v>
      </c>
      <c r="S670">
        <f>'Bull DCF'!T28</f>
        <v>0</v>
      </c>
      <c r="T670">
        <f>'Bull DCF'!U28</f>
        <v>0</v>
      </c>
      <c r="U670">
        <f>'Bull DCF'!V28</f>
        <v>0</v>
      </c>
      <c r="V670">
        <f>'Bull DCF'!W28</f>
        <v>0</v>
      </c>
      <c r="W670">
        <f>'Bull DCF'!X28</f>
        <v>0</v>
      </c>
      <c r="X670">
        <f>'Bull DCF'!Y28</f>
        <v>0</v>
      </c>
      <c r="Y670">
        <f>'Bull DCF'!Z28</f>
        <v>0</v>
      </c>
      <c r="Z670">
        <f>'Bull DCF'!AA28</f>
        <v>0</v>
      </c>
      <c r="AA670">
        <f>'Bull DCF'!AB28</f>
        <v>0</v>
      </c>
      <c r="AB670">
        <f>'Bull DCF'!AC28</f>
        <v>0</v>
      </c>
      <c r="AC670">
        <f>'Bull DCF'!AD28</f>
        <v>0</v>
      </c>
    </row>
    <row r="672" spans="1:29">
      <c r="A672" t="str">
        <f>'Bull DCF'!B29</f>
        <v>Fair value (Present)</v>
      </c>
      <c r="B672">
        <f>'Bull DCF'!C29</f>
        <v>0</v>
      </c>
      <c r="C672">
        <f>'Bull DCF'!D29</f>
        <v>0</v>
      </c>
      <c r="D672">
        <f>'Bull DCF'!E29</f>
        <v>0</v>
      </c>
      <c r="E672">
        <f>'Bull DCF'!F29</f>
        <v>0</v>
      </c>
      <c r="F672">
        <f>'Bull DCF'!G29</f>
        <v>0</v>
      </c>
      <c r="G672">
        <f>'Bull DCF'!H29</f>
        <v>0</v>
      </c>
      <c r="H672">
        <f>'Bull DCF'!I29</f>
        <v>0</v>
      </c>
      <c r="I672">
        <f>'Bull DCF'!J29</f>
        <v>0</v>
      </c>
      <c r="J672">
        <f>'Bull DCF'!K29</f>
        <v>0</v>
      </c>
      <c r="K672">
        <f>'Bull DCF'!L29</f>
        <v>0</v>
      </c>
      <c r="L672">
        <f>'Bull DCF'!M29</f>
        <v>0</v>
      </c>
      <c r="M672">
        <f>'Bull DCF'!N29</f>
        <v>0</v>
      </c>
      <c r="N672">
        <f>'Bull DCF'!O29</f>
        <v>0</v>
      </c>
      <c r="O672">
        <f>'Bull DCF'!P29</f>
        <v>0</v>
      </c>
      <c r="P672">
        <f>'Bull DCF'!Q29</f>
        <v>0</v>
      </c>
      <c r="Q672">
        <f>'Bull DCF'!R29</f>
        <v>0</v>
      </c>
      <c r="R672">
        <f>'Bull DCF'!S29</f>
        <v>0</v>
      </c>
      <c r="S672">
        <f>'Bull DCF'!T29</f>
        <v>0</v>
      </c>
      <c r="T672">
        <f>'Bull DCF'!U29</f>
        <v>0</v>
      </c>
      <c r="U672">
        <f>'Bull DCF'!V29</f>
        <v>0</v>
      </c>
      <c r="V672">
        <f>'Bull DCF'!W29</f>
        <v>0</v>
      </c>
      <c r="W672">
        <f>'Bull DCF'!X29</f>
        <v>0</v>
      </c>
      <c r="X672">
        <f>'Bull DCF'!Y29</f>
        <v>0</v>
      </c>
      <c r="Y672">
        <f>'Bull DCF'!Z29</f>
        <v>0</v>
      </c>
      <c r="Z672">
        <f>'Bull DCF'!AA29</f>
        <v>0</v>
      </c>
      <c r="AA672">
        <f>'Bull DCF'!AB29</f>
        <v>0</v>
      </c>
      <c r="AB672">
        <f>'Bull DCF'!AC29</f>
        <v>0</v>
      </c>
      <c r="AC672">
        <f>'Bull DCF'!AD29</f>
        <v>0</v>
      </c>
    </row>
    <row r="673" spans="1:29">
      <c r="A673" t="str">
        <f>'Bull DCF'!B30</f>
        <v>PV of FCF</v>
      </c>
      <c r="B673">
        <f>'Bull DCF'!C30</f>
        <v>0</v>
      </c>
      <c r="C673">
        <f>'Bull DCF'!D30</f>
        <v>0</v>
      </c>
      <c r="D673">
        <f>'Bull DCF'!E30</f>
        <v>195.39732994421752</v>
      </c>
      <c r="E673">
        <f>'Bull DCF'!F30</f>
        <v>0</v>
      </c>
      <c r="F673">
        <f>'Bull DCF'!G30</f>
        <v>0</v>
      </c>
      <c r="G673">
        <f>'Bull DCF'!H30</f>
        <v>0</v>
      </c>
      <c r="H673">
        <f>'Bull DCF'!I30</f>
        <v>0</v>
      </c>
      <c r="I673">
        <f>'Bull DCF'!J30</f>
        <v>0</v>
      </c>
      <c r="J673">
        <f>'Bull DCF'!K30</f>
        <v>0</v>
      </c>
      <c r="K673">
        <f>'Bull DCF'!L30</f>
        <v>0</v>
      </c>
      <c r="L673">
        <f>'Bull DCF'!M30</f>
        <v>0</v>
      </c>
      <c r="M673">
        <f>'Bull DCF'!N30</f>
        <v>0</v>
      </c>
      <c r="N673">
        <f>'Bull DCF'!O30</f>
        <v>0</v>
      </c>
      <c r="O673">
        <f>'Bull DCF'!P30</f>
        <v>0</v>
      </c>
      <c r="P673">
        <f>'Bull DCF'!Q30</f>
        <v>0</v>
      </c>
      <c r="Q673">
        <f>'Bull DCF'!R30</f>
        <v>0</v>
      </c>
      <c r="R673">
        <f>'Bull DCF'!S30</f>
        <v>0</v>
      </c>
      <c r="S673">
        <f>'Bull DCF'!T30</f>
        <v>0</v>
      </c>
      <c r="T673">
        <f>'Bull DCF'!U30</f>
        <v>0</v>
      </c>
      <c r="U673">
        <f>'Bull DCF'!V30</f>
        <v>0</v>
      </c>
      <c r="V673">
        <f>'Bull DCF'!W30</f>
        <v>0</v>
      </c>
      <c r="W673">
        <f>'Bull DCF'!X30</f>
        <v>0</v>
      </c>
      <c r="X673">
        <f>'Bull DCF'!Y30</f>
        <v>0</v>
      </c>
      <c r="Y673">
        <f>'Bull DCF'!Z30</f>
        <v>0</v>
      </c>
      <c r="Z673">
        <f>'Bull DCF'!AA30</f>
        <v>0</v>
      </c>
      <c r="AA673">
        <f>'Bull DCF'!AB30</f>
        <v>0</v>
      </c>
      <c r="AB673">
        <f>'Bull DCF'!AC30</f>
        <v>0</v>
      </c>
      <c r="AC673">
        <f>'Bull DCF'!AD30</f>
        <v>0</v>
      </c>
    </row>
    <row r="674" spans="1:29">
      <c r="A674" t="str">
        <f>'Bull DCF'!B31</f>
        <v>NPV of terminal value</v>
      </c>
      <c r="B674">
        <f>'Bull DCF'!C31</f>
        <v>0</v>
      </c>
      <c r="C674">
        <f>'Bull DCF'!D31</f>
        <v>0</v>
      </c>
      <c r="D674">
        <f>'Bull DCF'!E31</f>
        <v>23109.335190749422</v>
      </c>
      <c r="E674">
        <f>'Bull DCF'!F31</f>
        <v>0</v>
      </c>
      <c r="F674">
        <f>'Bull DCF'!G31</f>
        <v>0</v>
      </c>
      <c r="G674">
        <f>'Bull DCF'!H31</f>
        <v>0</v>
      </c>
      <c r="H674">
        <f>'Bull DCF'!I31</f>
        <v>0</v>
      </c>
      <c r="I674">
        <f>'Bull DCF'!J31</f>
        <v>0</v>
      </c>
      <c r="J674">
        <f>'Bull DCF'!K31</f>
        <v>0</v>
      </c>
      <c r="K674">
        <f>'Bull DCF'!L31</f>
        <v>0</v>
      </c>
      <c r="L674">
        <f>'Bull DCF'!M31</f>
        <v>0</v>
      </c>
      <c r="M674">
        <f>'Bull DCF'!N31</f>
        <v>0</v>
      </c>
      <c r="N674">
        <f>'Bull DCF'!O31</f>
        <v>0</v>
      </c>
      <c r="O674">
        <f>'Bull DCF'!P31</f>
        <v>0</v>
      </c>
      <c r="P674">
        <f>'Bull DCF'!Q31</f>
        <v>0</v>
      </c>
      <c r="Q674">
        <f>'Bull DCF'!R31</f>
        <v>0</v>
      </c>
      <c r="R674">
        <f>'Bull DCF'!S31</f>
        <v>0</v>
      </c>
      <c r="S674">
        <f>'Bull DCF'!T31</f>
        <v>0</v>
      </c>
      <c r="T674">
        <f>'Bull DCF'!U31</f>
        <v>0</v>
      </c>
      <c r="U674">
        <f>'Bull DCF'!V31</f>
        <v>0</v>
      </c>
      <c r="V674">
        <f>'Bull DCF'!W31</f>
        <v>0</v>
      </c>
      <c r="W674">
        <f>'Bull DCF'!X31</f>
        <v>0</v>
      </c>
      <c r="X674">
        <f>'Bull DCF'!Y31</f>
        <v>0</v>
      </c>
      <c r="Y674">
        <f>'Bull DCF'!Z31</f>
        <v>0</v>
      </c>
      <c r="Z674">
        <f>'Bull DCF'!AA31</f>
        <v>0</v>
      </c>
      <c r="AA674">
        <f>'Bull DCF'!AB31</f>
        <v>0</v>
      </c>
      <c r="AB674">
        <f>'Bull DCF'!AC31</f>
        <v>0</v>
      </c>
      <c r="AC674">
        <f>'Bull DCF'!AD31</f>
        <v>0</v>
      </c>
    </row>
    <row r="675" spans="1:29">
      <c r="A675" t="str">
        <f>'Bull DCF'!B32</f>
        <v>Enterprise value</v>
      </c>
      <c r="B675">
        <f>'Bull DCF'!C32</f>
        <v>0</v>
      </c>
      <c r="C675">
        <f>'Bull DCF'!D32</f>
        <v>0</v>
      </c>
      <c r="D675">
        <f>'Bull DCF'!E32</f>
        <v>23304.73252069364</v>
      </c>
      <c r="E675">
        <f>'Bull DCF'!F32</f>
        <v>0</v>
      </c>
      <c r="F675">
        <f>'Bull DCF'!G32</f>
        <v>0</v>
      </c>
      <c r="G675">
        <f>'Bull DCF'!H32</f>
        <v>0</v>
      </c>
      <c r="H675">
        <f>'Bull DCF'!I32</f>
        <v>0</v>
      </c>
      <c r="I675">
        <f>'Bull DCF'!J32</f>
        <v>0</v>
      </c>
      <c r="J675">
        <f>'Bull DCF'!K32</f>
        <v>0</v>
      </c>
      <c r="K675">
        <f>'Bull DCF'!L32</f>
        <v>0</v>
      </c>
      <c r="L675">
        <f>'Bull DCF'!M32</f>
        <v>0</v>
      </c>
      <c r="M675">
        <f>'Bull DCF'!N32</f>
        <v>0</v>
      </c>
      <c r="N675">
        <f>'Bull DCF'!O32</f>
        <v>0</v>
      </c>
      <c r="O675">
        <f>'Bull DCF'!P32</f>
        <v>0</v>
      </c>
      <c r="P675">
        <f>'Bull DCF'!Q32</f>
        <v>0</v>
      </c>
      <c r="Q675">
        <f>'Bull DCF'!R32</f>
        <v>0</v>
      </c>
      <c r="R675">
        <f>'Bull DCF'!S32</f>
        <v>0</v>
      </c>
      <c r="S675">
        <f>'Bull DCF'!T32</f>
        <v>0</v>
      </c>
      <c r="T675">
        <f>'Bull DCF'!U32</f>
        <v>0</v>
      </c>
      <c r="U675">
        <f>'Bull DCF'!V32</f>
        <v>0</v>
      </c>
      <c r="V675">
        <f>'Bull DCF'!W32</f>
        <v>0</v>
      </c>
      <c r="W675">
        <f>'Bull DCF'!X32</f>
        <v>0</v>
      </c>
      <c r="X675">
        <f>'Bull DCF'!Y32</f>
        <v>0</v>
      </c>
      <c r="Y675">
        <f>'Bull DCF'!Z32</f>
        <v>0</v>
      </c>
      <c r="Z675">
        <f>'Bull DCF'!AA32</f>
        <v>0</v>
      </c>
      <c r="AA675">
        <f>'Bull DCF'!AB32</f>
        <v>0</v>
      </c>
      <c r="AB675">
        <f>'Bull DCF'!AC32</f>
        <v>0</v>
      </c>
      <c r="AC675">
        <f>'Bull DCF'!AD32</f>
        <v>0</v>
      </c>
    </row>
    <row r="676" spans="1:29">
      <c r="A676" t="str">
        <f>'Bull DCF'!B33</f>
        <v>(-) Debt</v>
      </c>
      <c r="B676">
        <f>'Bull DCF'!C33</f>
        <v>0</v>
      </c>
      <c r="C676">
        <f>'Bull DCF'!D33</f>
        <v>0</v>
      </c>
      <c r="D676">
        <f>'Bull DCF'!E33</f>
        <v>0</v>
      </c>
      <c r="E676">
        <f>'Bull DCF'!F33</f>
        <v>0</v>
      </c>
      <c r="F676">
        <f>'Bull DCF'!G33</f>
        <v>0</v>
      </c>
      <c r="G676">
        <f>'Bull DCF'!H33</f>
        <v>0</v>
      </c>
      <c r="H676">
        <f>'Bull DCF'!I33</f>
        <v>0</v>
      </c>
      <c r="I676">
        <f>'Bull DCF'!J33</f>
        <v>0</v>
      </c>
      <c r="J676">
        <f>'Bull DCF'!K33</f>
        <v>0</v>
      </c>
      <c r="K676">
        <f>'Bull DCF'!L33</f>
        <v>0</v>
      </c>
      <c r="L676">
        <f>'Bull DCF'!M33</f>
        <v>0</v>
      </c>
      <c r="M676">
        <f>'Bull DCF'!N33</f>
        <v>0</v>
      </c>
      <c r="N676">
        <f>'Bull DCF'!O33</f>
        <v>0</v>
      </c>
      <c r="O676">
        <f>'Bull DCF'!P33</f>
        <v>0</v>
      </c>
      <c r="P676">
        <f>'Bull DCF'!Q33</f>
        <v>0</v>
      </c>
      <c r="Q676">
        <f>'Bull DCF'!R33</f>
        <v>0</v>
      </c>
      <c r="R676">
        <f>'Bull DCF'!S33</f>
        <v>0</v>
      </c>
      <c r="S676">
        <f>'Bull DCF'!T33</f>
        <v>0</v>
      </c>
      <c r="T676">
        <f>'Bull DCF'!U33</f>
        <v>0</v>
      </c>
      <c r="U676">
        <f>'Bull DCF'!V33</f>
        <v>0</v>
      </c>
      <c r="V676">
        <f>'Bull DCF'!W33</f>
        <v>0</v>
      </c>
      <c r="W676">
        <f>'Bull DCF'!X33</f>
        <v>0</v>
      </c>
      <c r="X676">
        <f>'Bull DCF'!Y33</f>
        <v>0</v>
      </c>
      <c r="Y676">
        <f>'Bull DCF'!Z33</f>
        <v>0</v>
      </c>
      <c r="Z676">
        <f>'Bull DCF'!AA33</f>
        <v>0</v>
      </c>
      <c r="AA676">
        <f>'Bull DCF'!AB33</f>
        <v>0</v>
      </c>
      <c r="AB676">
        <f>'Bull DCF'!AC33</f>
        <v>0</v>
      </c>
      <c r="AC676">
        <f>'Bull DCF'!AD33</f>
        <v>0</v>
      </c>
    </row>
    <row r="677" spans="1:29">
      <c r="A677" t="str">
        <f>'Bull DCF'!B34</f>
        <v>(+) Cash</v>
      </c>
      <c r="B677">
        <f>'Bull DCF'!C34</f>
        <v>0</v>
      </c>
      <c r="C677">
        <f>'Bull DCF'!D34</f>
        <v>0</v>
      </c>
      <c r="D677">
        <f>'Bull DCF'!E34</f>
        <v>2043.0390000000002</v>
      </c>
      <c r="E677">
        <f>'Bull DCF'!F34</f>
        <v>0</v>
      </c>
      <c r="F677">
        <f>'Bull DCF'!G34</f>
        <v>0</v>
      </c>
      <c r="G677">
        <f>'Bull DCF'!H34</f>
        <v>0</v>
      </c>
      <c r="H677">
        <f>'Bull DCF'!I34</f>
        <v>0</v>
      </c>
      <c r="I677">
        <f>'Bull DCF'!J34</f>
        <v>0</v>
      </c>
      <c r="J677">
        <f>'Bull DCF'!K34</f>
        <v>0</v>
      </c>
      <c r="K677">
        <f>'Bull DCF'!L34</f>
        <v>0</v>
      </c>
      <c r="L677">
        <f>'Bull DCF'!M34</f>
        <v>0</v>
      </c>
      <c r="M677">
        <f>'Bull DCF'!N34</f>
        <v>0</v>
      </c>
      <c r="N677">
        <f>'Bull DCF'!O34</f>
        <v>0</v>
      </c>
      <c r="O677">
        <f>'Bull DCF'!P34</f>
        <v>0</v>
      </c>
      <c r="P677">
        <f>'Bull DCF'!Q34</f>
        <v>0</v>
      </c>
      <c r="Q677">
        <f>'Bull DCF'!R34</f>
        <v>0</v>
      </c>
      <c r="R677">
        <f>'Bull DCF'!S34</f>
        <v>0</v>
      </c>
      <c r="S677">
        <f>'Bull DCF'!T34</f>
        <v>0</v>
      </c>
      <c r="T677">
        <f>'Bull DCF'!U34</f>
        <v>0</v>
      </c>
      <c r="U677">
        <f>'Bull DCF'!V34</f>
        <v>0</v>
      </c>
      <c r="V677">
        <f>'Bull DCF'!W34</f>
        <v>0</v>
      </c>
      <c r="W677">
        <f>'Bull DCF'!X34</f>
        <v>0</v>
      </c>
      <c r="X677">
        <f>'Bull DCF'!Y34</f>
        <v>0</v>
      </c>
      <c r="Y677">
        <f>'Bull DCF'!Z34</f>
        <v>0</v>
      </c>
      <c r="Z677">
        <f>'Bull DCF'!AA34</f>
        <v>0</v>
      </c>
      <c r="AA677">
        <f>'Bull DCF'!AB34</f>
        <v>0</v>
      </c>
      <c r="AB677">
        <f>'Bull DCF'!AC34</f>
        <v>0</v>
      </c>
      <c r="AC677">
        <f>'Bull DCF'!AD34</f>
        <v>0</v>
      </c>
    </row>
    <row r="678" spans="1:29">
      <c r="A678" t="str">
        <f>'Bull DCF'!B35</f>
        <v>Equity value</v>
      </c>
      <c r="B678">
        <f>'Bull DCF'!C35</f>
        <v>0</v>
      </c>
      <c r="C678">
        <f>'Bull DCF'!D35</f>
        <v>0</v>
      </c>
      <c r="D678">
        <f>'Bull DCF'!E35</f>
        <v>25347.771520693641</v>
      </c>
      <c r="E678">
        <f>'Bull DCF'!F35</f>
        <v>0</v>
      </c>
      <c r="F678">
        <f>'Bull DCF'!G35</f>
        <v>0</v>
      </c>
      <c r="G678">
        <f>'Bull DCF'!H35</f>
        <v>0</v>
      </c>
      <c r="H678">
        <f>'Bull DCF'!I35</f>
        <v>0</v>
      </c>
      <c r="I678">
        <f>'Bull DCF'!J35</f>
        <v>0</v>
      </c>
      <c r="J678">
        <f>'Bull DCF'!K35</f>
        <v>0</v>
      </c>
      <c r="K678">
        <f>'Bull DCF'!L35</f>
        <v>0</v>
      </c>
      <c r="L678">
        <f>'Bull DCF'!M35</f>
        <v>0</v>
      </c>
      <c r="M678">
        <f>'Bull DCF'!N35</f>
        <v>0</v>
      </c>
      <c r="N678">
        <f>'Bull DCF'!O35</f>
        <v>0</v>
      </c>
      <c r="O678">
        <f>'Bull DCF'!P35</f>
        <v>0</v>
      </c>
      <c r="P678">
        <f>'Bull DCF'!Q35</f>
        <v>0</v>
      </c>
      <c r="Q678">
        <f>'Bull DCF'!R35</f>
        <v>0</v>
      </c>
      <c r="R678">
        <f>'Bull DCF'!S35</f>
        <v>0</v>
      </c>
      <c r="S678">
        <f>'Bull DCF'!T35</f>
        <v>0</v>
      </c>
      <c r="T678">
        <f>'Bull DCF'!U35</f>
        <v>0</v>
      </c>
      <c r="U678">
        <f>'Bull DCF'!V35</f>
        <v>0</v>
      </c>
      <c r="V678">
        <f>'Bull DCF'!W35</f>
        <v>0</v>
      </c>
      <c r="W678">
        <f>'Bull DCF'!X35</f>
        <v>0</v>
      </c>
      <c r="X678">
        <f>'Bull DCF'!Y35</f>
        <v>0</v>
      </c>
      <c r="Y678">
        <f>'Bull DCF'!Z35</f>
        <v>0</v>
      </c>
      <c r="Z678">
        <f>'Bull DCF'!AA35</f>
        <v>0</v>
      </c>
      <c r="AA678">
        <f>'Bull DCF'!AB35</f>
        <v>0</v>
      </c>
      <c r="AB678">
        <f>'Bull DCF'!AC35</f>
        <v>0</v>
      </c>
      <c r="AC678">
        <f>'Bull DCF'!AD35</f>
        <v>0</v>
      </c>
    </row>
    <row r="679" spans="1:29">
      <c r="A679" t="str">
        <f>'Bull DCF'!B36</f>
        <v>Fully Diluted Shares (for valuation)</v>
      </c>
      <c r="B679">
        <f>'Bull DCF'!C36</f>
        <v>0</v>
      </c>
      <c r="C679">
        <f>'Bull DCF'!D36</f>
        <v>0</v>
      </c>
      <c r="D679">
        <f>'Bull DCF'!E36</f>
        <v>1404.1021930973332</v>
      </c>
      <c r="E679">
        <f>'Bull DCF'!F36</f>
        <v>0</v>
      </c>
      <c r="F679">
        <f>'Bull DCF'!G36</f>
        <v>0</v>
      </c>
      <c r="G679">
        <f>'Bull DCF'!H36</f>
        <v>0</v>
      </c>
      <c r="H679">
        <f>'Bull DCF'!I36</f>
        <v>0</v>
      </c>
      <c r="I679">
        <f>'Bull DCF'!J36</f>
        <v>0</v>
      </c>
      <c r="J679">
        <f>'Bull DCF'!K36</f>
        <v>0</v>
      </c>
      <c r="K679">
        <f>'Bull DCF'!L36</f>
        <v>0</v>
      </c>
      <c r="L679">
        <f>'Bull DCF'!M36</f>
        <v>0</v>
      </c>
      <c r="M679">
        <f>'Bull DCF'!N36</f>
        <v>0</v>
      </c>
      <c r="N679">
        <f>'Bull DCF'!O36</f>
        <v>0</v>
      </c>
      <c r="O679">
        <f>'Bull DCF'!P36</f>
        <v>0</v>
      </c>
      <c r="P679">
        <f>'Bull DCF'!Q36</f>
        <v>0</v>
      </c>
      <c r="Q679">
        <f>'Bull DCF'!R36</f>
        <v>0</v>
      </c>
      <c r="R679">
        <f>'Bull DCF'!S36</f>
        <v>0</v>
      </c>
      <c r="S679">
        <f>'Bull DCF'!T36</f>
        <v>0</v>
      </c>
      <c r="T679">
        <f>'Bull DCF'!U36</f>
        <v>0</v>
      </c>
      <c r="U679">
        <f>'Bull DCF'!V36</f>
        <v>0</v>
      </c>
      <c r="V679">
        <f>'Bull DCF'!W36</f>
        <v>0</v>
      </c>
      <c r="W679">
        <f>'Bull DCF'!X36</f>
        <v>0</v>
      </c>
      <c r="X679">
        <f>'Bull DCF'!Y36</f>
        <v>0</v>
      </c>
      <c r="Y679">
        <f>'Bull DCF'!Z36</f>
        <v>0</v>
      </c>
      <c r="Z679">
        <f>'Bull DCF'!AA36</f>
        <v>0</v>
      </c>
      <c r="AA679">
        <f>'Bull DCF'!AB36</f>
        <v>0</v>
      </c>
      <c r="AB679">
        <f>'Bull DCF'!AC36</f>
        <v>0</v>
      </c>
      <c r="AC679">
        <f>'Bull DCF'!AD36</f>
        <v>0</v>
      </c>
    </row>
    <row r="680" spans="1:29">
      <c r="A680" t="str">
        <f>'Bull DCF'!B37</f>
        <v>Equity value per share</v>
      </c>
      <c r="B680">
        <f>'Bull DCF'!C37</f>
        <v>0</v>
      </c>
      <c r="C680">
        <f>'Bull DCF'!D37</f>
        <v>0</v>
      </c>
      <c r="D680">
        <f>'Bull DCF'!E37</f>
        <v>18.05265431911231</v>
      </c>
      <c r="E680">
        <f>'Bull DCF'!F37</f>
        <v>0</v>
      </c>
      <c r="F680">
        <f>'Bull DCF'!G37</f>
        <v>0</v>
      </c>
      <c r="G680">
        <f>'Bull DCF'!H37</f>
        <v>0</v>
      </c>
      <c r="H680">
        <f>'Bull DCF'!I37</f>
        <v>0</v>
      </c>
      <c r="I680">
        <f>'Bull DCF'!J37</f>
        <v>0</v>
      </c>
      <c r="J680">
        <f>'Bull DCF'!K37</f>
        <v>0</v>
      </c>
      <c r="K680">
        <f>'Bull DCF'!L37</f>
        <v>0</v>
      </c>
      <c r="L680">
        <f>'Bull DCF'!M37</f>
        <v>0</v>
      </c>
      <c r="M680">
        <f>'Bull DCF'!N37</f>
        <v>0</v>
      </c>
      <c r="N680">
        <f>'Bull DCF'!O37</f>
        <v>0</v>
      </c>
      <c r="O680">
        <f>'Bull DCF'!P37</f>
        <v>0</v>
      </c>
      <c r="P680">
        <f>'Bull DCF'!Q37</f>
        <v>0</v>
      </c>
      <c r="Q680">
        <f>'Bull DCF'!R37</f>
        <v>0</v>
      </c>
      <c r="R680">
        <f>'Bull DCF'!S37</f>
        <v>0</v>
      </c>
      <c r="S680">
        <f>'Bull DCF'!T37</f>
        <v>0</v>
      </c>
      <c r="T680">
        <f>'Bull DCF'!U37</f>
        <v>0</v>
      </c>
      <c r="U680">
        <f>'Bull DCF'!V37</f>
        <v>0</v>
      </c>
      <c r="V680">
        <f>'Bull DCF'!W37</f>
        <v>0</v>
      </c>
      <c r="W680">
        <f>'Bull DCF'!X37</f>
        <v>0</v>
      </c>
      <c r="X680">
        <f>'Bull DCF'!Y37</f>
        <v>0</v>
      </c>
      <c r="Y680">
        <f>'Bull DCF'!Z37</f>
        <v>0</v>
      </c>
      <c r="Z680">
        <f>'Bull DCF'!AA37</f>
        <v>0</v>
      </c>
      <c r="AA680">
        <f>'Bull DCF'!AB37</f>
        <v>0</v>
      </c>
      <c r="AB680">
        <f>'Bull DCF'!AC37</f>
        <v>0</v>
      </c>
      <c r="AC680">
        <f>'Bull DCF'!AD37</f>
        <v>0</v>
      </c>
    </row>
    <row r="681" spans="1:29">
      <c r="A681">
        <f>'Bull DCF'!B38</f>
        <v>0</v>
      </c>
      <c r="B681">
        <f>'Bull DCF'!C38</f>
        <v>0</v>
      </c>
      <c r="C681">
        <f>'Bull DCF'!D38</f>
        <v>0</v>
      </c>
      <c r="D681">
        <f>'Bull DCF'!E38</f>
        <v>0</v>
      </c>
      <c r="E681">
        <f>'Bull DCF'!F38</f>
        <v>0</v>
      </c>
      <c r="F681">
        <f>'Bull DCF'!G38</f>
        <v>0</v>
      </c>
      <c r="G681">
        <f>'Bull DCF'!H38</f>
        <v>0</v>
      </c>
      <c r="H681">
        <f>'Bull DCF'!I38</f>
        <v>0</v>
      </c>
      <c r="I681">
        <f>'Bull DCF'!J38</f>
        <v>0</v>
      </c>
      <c r="J681">
        <f>'Bull DCF'!K38</f>
        <v>0</v>
      </c>
      <c r="K681">
        <f>'Bull DCF'!L38</f>
        <v>0</v>
      </c>
      <c r="L681">
        <f>'Bull DCF'!M38</f>
        <v>0</v>
      </c>
      <c r="M681">
        <f>'Bull DCF'!N38</f>
        <v>0</v>
      </c>
      <c r="N681">
        <f>'Bull DCF'!O38</f>
        <v>0</v>
      </c>
      <c r="O681">
        <f>'Bull DCF'!P38</f>
        <v>0</v>
      </c>
      <c r="P681">
        <f>'Bull DCF'!Q38</f>
        <v>0</v>
      </c>
      <c r="Q681">
        <f>'Bull DCF'!R38</f>
        <v>0</v>
      </c>
      <c r="R681">
        <f>'Bull DCF'!S38</f>
        <v>0</v>
      </c>
      <c r="S681">
        <f>'Bull DCF'!T38</f>
        <v>0</v>
      </c>
      <c r="T681">
        <f>'Bull DCF'!U38</f>
        <v>0</v>
      </c>
      <c r="U681">
        <f>'Bull DCF'!V38</f>
        <v>0</v>
      </c>
      <c r="V681">
        <f>'Bull DCF'!W38</f>
        <v>0</v>
      </c>
      <c r="W681">
        <f>'Bull DCF'!X38</f>
        <v>0</v>
      </c>
      <c r="X681">
        <f>'Bull DCF'!Y38</f>
        <v>0</v>
      </c>
      <c r="Y681">
        <f>'Bull DCF'!Z38</f>
        <v>0</v>
      </c>
      <c r="Z681">
        <f>'Bull DCF'!AA38</f>
        <v>0</v>
      </c>
      <c r="AA681">
        <f>'Bull DCF'!AB38</f>
        <v>0</v>
      </c>
      <c r="AB681">
        <f>'Bull DCF'!AC38</f>
        <v>0</v>
      </c>
      <c r="AC681">
        <f>'Bull DCF'!AD38</f>
        <v>0</v>
      </c>
    </row>
    <row r="682" spans="1:29">
      <c r="A682" t="str">
        <f>'Bull DCF'!B39</f>
        <v>Fair value 12 months FV</v>
      </c>
      <c r="B682">
        <f>'Bull DCF'!C39</f>
        <v>0</v>
      </c>
      <c r="C682">
        <f>'Bull DCF'!D39</f>
        <v>0</v>
      </c>
      <c r="D682">
        <f>'Bull DCF'!E39</f>
        <v>0</v>
      </c>
      <c r="E682">
        <f>'Bull DCF'!F39</f>
        <v>0</v>
      </c>
      <c r="F682">
        <f>'Bull DCF'!G39</f>
        <v>0</v>
      </c>
      <c r="G682">
        <f>'Bull DCF'!H39</f>
        <v>0</v>
      </c>
      <c r="H682">
        <f>'Bull DCF'!I39</f>
        <v>0</v>
      </c>
      <c r="I682">
        <f>'Bull DCF'!J39</f>
        <v>0</v>
      </c>
      <c r="J682">
        <f>'Bull DCF'!K39</f>
        <v>0</v>
      </c>
      <c r="K682">
        <f>'Bull DCF'!L39</f>
        <v>0</v>
      </c>
      <c r="L682">
        <f>'Bull DCF'!M39</f>
        <v>0</v>
      </c>
      <c r="M682">
        <f>'Bull DCF'!N39</f>
        <v>0</v>
      </c>
      <c r="N682">
        <f>'Bull DCF'!O39</f>
        <v>0</v>
      </c>
      <c r="O682">
        <f>'Bull DCF'!P39</f>
        <v>0</v>
      </c>
      <c r="P682">
        <f>'Bull DCF'!Q39</f>
        <v>0</v>
      </c>
      <c r="Q682">
        <f>'Bull DCF'!R39</f>
        <v>0</v>
      </c>
      <c r="R682">
        <f>'Bull DCF'!S39</f>
        <v>0</v>
      </c>
      <c r="S682">
        <f>'Bull DCF'!T39</f>
        <v>0</v>
      </c>
      <c r="T682">
        <f>'Bull DCF'!U39</f>
        <v>0</v>
      </c>
      <c r="U682">
        <f>'Bull DCF'!V39</f>
        <v>0</v>
      </c>
      <c r="V682">
        <f>'Bull DCF'!W39</f>
        <v>0</v>
      </c>
      <c r="W682">
        <f>'Bull DCF'!X39</f>
        <v>0</v>
      </c>
      <c r="X682">
        <f>'Bull DCF'!Y39</f>
        <v>0</v>
      </c>
      <c r="Y682">
        <f>'Bull DCF'!Z39</f>
        <v>0</v>
      </c>
      <c r="Z682">
        <f>'Bull DCF'!AA39</f>
        <v>0</v>
      </c>
      <c r="AA682">
        <f>'Bull DCF'!AB39</f>
        <v>0</v>
      </c>
      <c r="AB682">
        <f>'Bull DCF'!AC39</f>
        <v>0</v>
      </c>
      <c r="AC682">
        <f>'Bull DCF'!AD39</f>
        <v>0</v>
      </c>
    </row>
    <row r="683" spans="1:29">
      <c r="A683" t="str">
        <f>'Bull DCF'!B40</f>
        <v>PV of FCF</v>
      </c>
      <c r="B683">
        <f>'Bull DCF'!C40</f>
        <v>0</v>
      </c>
      <c r="C683">
        <f>'Bull DCF'!D40</f>
        <v>0</v>
      </c>
      <c r="D683">
        <f>'Bull DCF'!E40</f>
        <v>2525.1470272724273</v>
      </c>
      <c r="E683">
        <f>'Bull DCF'!F40</f>
        <v>0</v>
      </c>
      <c r="F683">
        <f>'Bull DCF'!G40</f>
        <v>0</v>
      </c>
      <c r="G683">
        <f>'Bull DCF'!H40</f>
        <v>0</v>
      </c>
      <c r="H683">
        <f>'Bull DCF'!I40</f>
        <v>0</v>
      </c>
      <c r="I683">
        <f>'Bull DCF'!J40</f>
        <v>0</v>
      </c>
      <c r="J683">
        <f>'Bull DCF'!K40</f>
        <v>0</v>
      </c>
      <c r="K683">
        <f>'Bull DCF'!L40</f>
        <v>0</v>
      </c>
      <c r="L683">
        <f>'Bull DCF'!M40</f>
        <v>0</v>
      </c>
      <c r="M683">
        <f>'Bull DCF'!N40</f>
        <v>0</v>
      </c>
      <c r="N683">
        <f>'Bull DCF'!O40</f>
        <v>0</v>
      </c>
      <c r="O683">
        <f>'Bull DCF'!P40</f>
        <v>0</v>
      </c>
      <c r="P683">
        <f>'Bull DCF'!Q40</f>
        <v>0</v>
      </c>
      <c r="Q683">
        <f>'Bull DCF'!R40</f>
        <v>0</v>
      </c>
      <c r="R683">
        <f>'Bull DCF'!S40</f>
        <v>0</v>
      </c>
      <c r="S683">
        <f>'Bull DCF'!T40</f>
        <v>0</v>
      </c>
      <c r="T683">
        <f>'Bull DCF'!U40</f>
        <v>0</v>
      </c>
      <c r="U683">
        <f>'Bull DCF'!V40</f>
        <v>0</v>
      </c>
      <c r="V683">
        <f>'Bull DCF'!W40</f>
        <v>0</v>
      </c>
      <c r="W683">
        <f>'Bull DCF'!X40</f>
        <v>0</v>
      </c>
      <c r="X683">
        <f>'Bull DCF'!Y40</f>
        <v>0</v>
      </c>
      <c r="Y683">
        <f>'Bull DCF'!Z40</f>
        <v>0</v>
      </c>
      <c r="Z683">
        <f>'Bull DCF'!AA40</f>
        <v>0</v>
      </c>
      <c r="AA683">
        <f>'Bull DCF'!AB40</f>
        <v>0</v>
      </c>
      <c r="AB683">
        <f>'Bull DCF'!AC40</f>
        <v>0</v>
      </c>
      <c r="AC683">
        <f>'Bull DCF'!AD40</f>
        <v>0</v>
      </c>
    </row>
    <row r="684" spans="1:29">
      <c r="A684" t="str">
        <f>'Bull DCF'!B41</f>
        <v>NPV of terminal value</v>
      </c>
      <c r="B684">
        <f>'Bull DCF'!C41</f>
        <v>0</v>
      </c>
      <c r="C684">
        <f>'Bull DCF'!D41</f>
        <v>0</v>
      </c>
      <c r="D684">
        <f>'Bull DCF'!E41</f>
        <v>27068.019080801059</v>
      </c>
      <c r="E684">
        <f>'Bull DCF'!F41</f>
        <v>0</v>
      </c>
      <c r="F684">
        <f>'Bull DCF'!G41</f>
        <v>0</v>
      </c>
      <c r="G684">
        <f>'Bull DCF'!H41</f>
        <v>0</v>
      </c>
      <c r="H684">
        <f>'Bull DCF'!I41</f>
        <v>0</v>
      </c>
      <c r="I684">
        <f>'Bull DCF'!J41</f>
        <v>0</v>
      </c>
      <c r="J684">
        <f>'Bull DCF'!K41</f>
        <v>0</v>
      </c>
      <c r="K684">
        <f>'Bull DCF'!L41</f>
        <v>0</v>
      </c>
      <c r="L684">
        <f>'Bull DCF'!M41</f>
        <v>0</v>
      </c>
      <c r="M684">
        <f>'Bull DCF'!N41</f>
        <v>0</v>
      </c>
      <c r="N684">
        <f>'Bull DCF'!O41</f>
        <v>0</v>
      </c>
      <c r="O684">
        <f>'Bull DCF'!P41</f>
        <v>0</v>
      </c>
      <c r="P684">
        <f>'Bull DCF'!Q41</f>
        <v>0</v>
      </c>
      <c r="Q684">
        <f>'Bull DCF'!R41</f>
        <v>0</v>
      </c>
      <c r="R684">
        <f>'Bull DCF'!S41</f>
        <v>0</v>
      </c>
      <c r="S684">
        <f>'Bull DCF'!T41</f>
        <v>0</v>
      </c>
      <c r="T684">
        <f>'Bull DCF'!U41</f>
        <v>0</v>
      </c>
      <c r="U684">
        <f>'Bull DCF'!V41</f>
        <v>0</v>
      </c>
      <c r="V684">
        <f>'Bull DCF'!W41</f>
        <v>0</v>
      </c>
      <c r="W684">
        <f>'Bull DCF'!X41</f>
        <v>0</v>
      </c>
      <c r="X684">
        <f>'Bull DCF'!Y41</f>
        <v>0</v>
      </c>
      <c r="Y684">
        <f>'Bull DCF'!Z41</f>
        <v>0</v>
      </c>
      <c r="Z684">
        <f>'Bull DCF'!AA41</f>
        <v>0</v>
      </c>
      <c r="AA684">
        <f>'Bull DCF'!AB41</f>
        <v>0</v>
      </c>
      <c r="AB684">
        <f>'Bull DCF'!AC41</f>
        <v>0</v>
      </c>
      <c r="AC684">
        <f>'Bull DCF'!AD41</f>
        <v>0</v>
      </c>
    </row>
    <row r="685" spans="1:29">
      <c r="A685" t="str">
        <f>'Bull DCF'!B42</f>
        <v>Enterprise value</v>
      </c>
      <c r="B685">
        <f>'Bull DCF'!C42</f>
        <v>0</v>
      </c>
      <c r="C685">
        <f>'Bull DCF'!D42</f>
        <v>0</v>
      </c>
      <c r="D685">
        <f>'Bull DCF'!E42</f>
        <v>29593.166108073485</v>
      </c>
      <c r="E685">
        <f>'Bull DCF'!F42</f>
        <v>0</v>
      </c>
      <c r="F685">
        <f>'Bull DCF'!G42</f>
        <v>0</v>
      </c>
      <c r="G685">
        <f>'Bull DCF'!H42</f>
        <v>0</v>
      </c>
      <c r="H685">
        <f>'Bull DCF'!I42</f>
        <v>0</v>
      </c>
      <c r="I685">
        <f>'Bull DCF'!J42</f>
        <v>0</v>
      </c>
      <c r="J685">
        <f>'Bull DCF'!K42</f>
        <v>0</v>
      </c>
      <c r="K685">
        <f>'Bull DCF'!L42</f>
        <v>0</v>
      </c>
      <c r="L685">
        <f>'Bull DCF'!M42</f>
        <v>0</v>
      </c>
      <c r="M685">
        <f>'Bull DCF'!N42</f>
        <v>0</v>
      </c>
      <c r="N685">
        <f>'Bull DCF'!O42</f>
        <v>0</v>
      </c>
      <c r="O685">
        <f>'Bull DCF'!P42</f>
        <v>0</v>
      </c>
      <c r="P685">
        <f>'Bull DCF'!Q42</f>
        <v>0</v>
      </c>
      <c r="Q685">
        <f>'Bull DCF'!R42</f>
        <v>0</v>
      </c>
      <c r="R685">
        <f>'Bull DCF'!S42</f>
        <v>0</v>
      </c>
      <c r="S685">
        <f>'Bull DCF'!T42</f>
        <v>0</v>
      </c>
      <c r="T685">
        <f>'Bull DCF'!U42</f>
        <v>0</v>
      </c>
      <c r="U685">
        <f>'Bull DCF'!V42</f>
        <v>0</v>
      </c>
      <c r="V685">
        <f>'Bull DCF'!W42</f>
        <v>0</v>
      </c>
      <c r="W685">
        <f>'Bull DCF'!X42</f>
        <v>0</v>
      </c>
      <c r="X685">
        <f>'Bull DCF'!Y42</f>
        <v>0</v>
      </c>
      <c r="Y685">
        <f>'Bull DCF'!Z42</f>
        <v>0</v>
      </c>
      <c r="Z685">
        <f>'Bull DCF'!AA42</f>
        <v>0</v>
      </c>
      <c r="AA685">
        <f>'Bull DCF'!AB42</f>
        <v>0</v>
      </c>
      <c r="AB685">
        <f>'Bull DCF'!AC42</f>
        <v>0</v>
      </c>
      <c r="AC685">
        <f>'Bull DCF'!AD42</f>
        <v>0</v>
      </c>
    </row>
    <row r="686" spans="1:29">
      <c r="A686" t="str">
        <f>'Bull DCF'!B43</f>
        <v>(-) Debt</v>
      </c>
      <c r="B686">
        <f>'Bull DCF'!C43</f>
        <v>0</v>
      </c>
      <c r="C686">
        <f>'Bull DCF'!D43</f>
        <v>0</v>
      </c>
      <c r="D686">
        <f>'Bull DCF'!E43</f>
        <v>0</v>
      </c>
      <c r="E686">
        <f>'Bull DCF'!F43</f>
        <v>0</v>
      </c>
      <c r="F686">
        <f>'Bull DCF'!G43</f>
        <v>0</v>
      </c>
      <c r="G686">
        <f>'Bull DCF'!H43</f>
        <v>0</v>
      </c>
      <c r="H686">
        <f>'Bull DCF'!I43</f>
        <v>0</v>
      </c>
      <c r="I686">
        <f>'Bull DCF'!J43</f>
        <v>0</v>
      </c>
      <c r="J686">
        <f>'Bull DCF'!K43</f>
        <v>0</v>
      </c>
      <c r="K686">
        <f>'Bull DCF'!L43</f>
        <v>0</v>
      </c>
      <c r="L686">
        <f>'Bull DCF'!M43</f>
        <v>0</v>
      </c>
      <c r="M686">
        <f>'Bull DCF'!N43</f>
        <v>0</v>
      </c>
      <c r="N686">
        <f>'Bull DCF'!O43</f>
        <v>0</v>
      </c>
      <c r="O686">
        <f>'Bull DCF'!P43</f>
        <v>0</v>
      </c>
      <c r="P686">
        <f>'Bull DCF'!Q43</f>
        <v>0</v>
      </c>
      <c r="Q686">
        <f>'Bull DCF'!R43</f>
        <v>0</v>
      </c>
      <c r="R686">
        <f>'Bull DCF'!S43</f>
        <v>0</v>
      </c>
      <c r="S686">
        <f>'Bull DCF'!T43</f>
        <v>0</v>
      </c>
      <c r="T686">
        <f>'Bull DCF'!U43</f>
        <v>0</v>
      </c>
      <c r="U686">
        <f>'Bull DCF'!V43</f>
        <v>0</v>
      </c>
      <c r="V686">
        <f>'Bull DCF'!W43</f>
        <v>0</v>
      </c>
      <c r="W686">
        <f>'Bull DCF'!X43</f>
        <v>0</v>
      </c>
      <c r="X686">
        <f>'Bull DCF'!Y43</f>
        <v>0</v>
      </c>
      <c r="Y686">
        <f>'Bull DCF'!Z43</f>
        <v>0</v>
      </c>
      <c r="Z686">
        <f>'Bull DCF'!AA43</f>
        <v>0</v>
      </c>
      <c r="AA686">
        <f>'Bull DCF'!AB43</f>
        <v>0</v>
      </c>
      <c r="AB686">
        <f>'Bull DCF'!AC43</f>
        <v>0</v>
      </c>
      <c r="AC686">
        <f>'Bull DCF'!AD43</f>
        <v>0</v>
      </c>
    </row>
    <row r="687" spans="1:29">
      <c r="A687" t="str">
        <f>'Bull DCF'!B44</f>
        <v>(+) Cash</v>
      </c>
      <c r="B687">
        <f>'Bull DCF'!C44</f>
        <v>0</v>
      </c>
      <c r="C687">
        <f>'Bull DCF'!D44</f>
        <v>0</v>
      </c>
      <c r="D687">
        <f>'Bull DCF'!E44</f>
        <v>954.24216610161716</v>
      </c>
      <c r="E687">
        <f>'Bull DCF'!F44</f>
        <v>0</v>
      </c>
      <c r="F687">
        <f>'Bull DCF'!G44</f>
        <v>0</v>
      </c>
      <c r="G687">
        <f>'Bull DCF'!H44</f>
        <v>0</v>
      </c>
      <c r="H687">
        <f>'Bull DCF'!I44</f>
        <v>0</v>
      </c>
      <c r="I687">
        <f>'Bull DCF'!J44</f>
        <v>0</v>
      </c>
      <c r="J687">
        <f>'Bull DCF'!K44</f>
        <v>0</v>
      </c>
      <c r="K687">
        <f>'Bull DCF'!L44</f>
        <v>0</v>
      </c>
      <c r="L687">
        <f>'Bull DCF'!M44</f>
        <v>0</v>
      </c>
      <c r="M687">
        <f>'Bull DCF'!N44</f>
        <v>0</v>
      </c>
      <c r="N687">
        <f>'Bull DCF'!O44</f>
        <v>0</v>
      </c>
      <c r="O687">
        <f>'Bull DCF'!P44</f>
        <v>0</v>
      </c>
      <c r="P687">
        <f>'Bull DCF'!Q44</f>
        <v>0</v>
      </c>
      <c r="Q687">
        <f>'Bull DCF'!R44</f>
        <v>0</v>
      </c>
      <c r="R687">
        <f>'Bull DCF'!S44</f>
        <v>0</v>
      </c>
      <c r="S687">
        <f>'Bull DCF'!T44</f>
        <v>0</v>
      </c>
      <c r="T687">
        <f>'Bull DCF'!U44</f>
        <v>0</v>
      </c>
      <c r="U687">
        <f>'Bull DCF'!V44</f>
        <v>0</v>
      </c>
      <c r="V687">
        <f>'Bull DCF'!W44</f>
        <v>0</v>
      </c>
      <c r="W687">
        <f>'Bull DCF'!X44</f>
        <v>0</v>
      </c>
      <c r="X687">
        <f>'Bull DCF'!Y44</f>
        <v>0</v>
      </c>
      <c r="Y687">
        <f>'Bull DCF'!Z44</f>
        <v>0</v>
      </c>
      <c r="Z687">
        <f>'Bull DCF'!AA44</f>
        <v>0</v>
      </c>
      <c r="AA687">
        <f>'Bull DCF'!AB44</f>
        <v>0</v>
      </c>
      <c r="AB687">
        <f>'Bull DCF'!AC44</f>
        <v>0</v>
      </c>
      <c r="AC687">
        <f>'Bull DCF'!AD44</f>
        <v>0</v>
      </c>
    </row>
    <row r="688" spans="1:29">
      <c r="A688" t="str">
        <f>'Bull DCF'!B45</f>
        <v>Equity value</v>
      </c>
      <c r="B688">
        <f>'Bull DCF'!C45</f>
        <v>0</v>
      </c>
      <c r="C688">
        <f>'Bull DCF'!D45</f>
        <v>0</v>
      </c>
      <c r="D688">
        <f>'Bull DCF'!E45</f>
        <v>30547.408274175101</v>
      </c>
      <c r="E688">
        <f>'Bull DCF'!F45</f>
        <v>0</v>
      </c>
      <c r="F688">
        <f>'Bull DCF'!G45</f>
        <v>0</v>
      </c>
      <c r="G688">
        <f>'Bull DCF'!H45</f>
        <v>0</v>
      </c>
      <c r="H688">
        <f>'Bull DCF'!I45</f>
        <v>0</v>
      </c>
      <c r="I688">
        <f>'Bull DCF'!J45</f>
        <v>0</v>
      </c>
      <c r="J688">
        <f>'Bull DCF'!K45</f>
        <v>0</v>
      </c>
      <c r="K688">
        <f>'Bull DCF'!L45</f>
        <v>0</v>
      </c>
      <c r="L688">
        <f>'Bull DCF'!M45</f>
        <v>0</v>
      </c>
      <c r="M688">
        <f>'Bull DCF'!N45</f>
        <v>0</v>
      </c>
      <c r="N688">
        <f>'Bull DCF'!O45</f>
        <v>0</v>
      </c>
      <c r="O688">
        <f>'Bull DCF'!P45</f>
        <v>0</v>
      </c>
      <c r="P688">
        <f>'Bull DCF'!Q45</f>
        <v>0</v>
      </c>
      <c r="Q688">
        <f>'Bull DCF'!R45</f>
        <v>0</v>
      </c>
      <c r="R688">
        <f>'Bull DCF'!S45</f>
        <v>0</v>
      </c>
      <c r="S688">
        <f>'Bull DCF'!T45</f>
        <v>0</v>
      </c>
      <c r="T688">
        <f>'Bull DCF'!U45</f>
        <v>0</v>
      </c>
      <c r="U688">
        <f>'Bull DCF'!V45</f>
        <v>0</v>
      </c>
      <c r="V688">
        <f>'Bull DCF'!W45</f>
        <v>0</v>
      </c>
      <c r="W688">
        <f>'Bull DCF'!X45</f>
        <v>0</v>
      </c>
      <c r="X688">
        <f>'Bull DCF'!Y45</f>
        <v>0</v>
      </c>
      <c r="Y688">
        <f>'Bull DCF'!Z45</f>
        <v>0</v>
      </c>
      <c r="Z688">
        <f>'Bull DCF'!AA45</f>
        <v>0</v>
      </c>
      <c r="AA688">
        <f>'Bull DCF'!AB45</f>
        <v>0</v>
      </c>
      <c r="AB688">
        <f>'Bull DCF'!AC45</f>
        <v>0</v>
      </c>
      <c r="AC688">
        <f>'Bull DCF'!AD45</f>
        <v>0</v>
      </c>
    </row>
    <row r="689" spans="1:29">
      <c r="A689" t="str">
        <f>'Bull DCF'!B46</f>
        <v>Fully Diluted Shares (for valuation)</v>
      </c>
      <c r="B689">
        <f>'Bull DCF'!C46</f>
        <v>0</v>
      </c>
      <c r="C689">
        <f>'Bull DCF'!D46</f>
        <v>0</v>
      </c>
      <c r="D689">
        <f>'Bull DCF'!E46</f>
        <v>1460</v>
      </c>
      <c r="E689">
        <f>'Bull DCF'!F46</f>
        <v>0</v>
      </c>
      <c r="F689">
        <f>'Bull DCF'!G46</f>
        <v>0</v>
      </c>
      <c r="G689">
        <f>'Bull DCF'!H46</f>
        <v>0</v>
      </c>
      <c r="H689">
        <f>'Bull DCF'!I46</f>
        <v>0</v>
      </c>
      <c r="I689">
        <f>'Bull DCF'!J46</f>
        <v>0</v>
      </c>
      <c r="J689">
        <f>'Bull DCF'!K46</f>
        <v>0</v>
      </c>
      <c r="K689">
        <f>'Bull DCF'!L46</f>
        <v>0</v>
      </c>
      <c r="L689">
        <f>'Bull DCF'!M46</f>
        <v>0</v>
      </c>
      <c r="M689">
        <f>'Bull DCF'!N46</f>
        <v>0</v>
      </c>
      <c r="N689">
        <f>'Bull DCF'!O46</f>
        <v>0</v>
      </c>
      <c r="O689">
        <f>'Bull DCF'!P46</f>
        <v>0</v>
      </c>
      <c r="P689">
        <f>'Bull DCF'!Q46</f>
        <v>0</v>
      </c>
      <c r="Q689">
        <f>'Bull DCF'!R46</f>
        <v>0</v>
      </c>
      <c r="R689">
        <f>'Bull DCF'!S46</f>
        <v>0</v>
      </c>
      <c r="S689">
        <f>'Bull DCF'!T46</f>
        <v>0</v>
      </c>
      <c r="T689">
        <f>'Bull DCF'!U46</f>
        <v>0</v>
      </c>
      <c r="U689">
        <f>'Bull DCF'!V46</f>
        <v>0</v>
      </c>
      <c r="V689">
        <f>'Bull DCF'!W46</f>
        <v>0</v>
      </c>
      <c r="W689">
        <f>'Bull DCF'!X46</f>
        <v>0</v>
      </c>
      <c r="X689">
        <f>'Bull DCF'!Y46</f>
        <v>0</v>
      </c>
      <c r="Y689">
        <f>'Bull DCF'!Z46</f>
        <v>0</v>
      </c>
      <c r="Z689">
        <f>'Bull DCF'!AA46</f>
        <v>0</v>
      </c>
      <c r="AA689">
        <f>'Bull DCF'!AB46</f>
        <v>0</v>
      </c>
      <c r="AB689">
        <f>'Bull DCF'!AC46</f>
        <v>0</v>
      </c>
      <c r="AC689">
        <f>'Bull DCF'!AD46</f>
        <v>0</v>
      </c>
    </row>
    <row r="690" spans="1:29">
      <c r="A690" t="str">
        <f>'Bull DCF'!B47</f>
        <v>Equity value per share</v>
      </c>
      <c r="B690">
        <f>'Bull DCF'!C47</f>
        <v>0</v>
      </c>
      <c r="C690">
        <f>'Bull DCF'!D47</f>
        <v>0</v>
      </c>
      <c r="D690">
        <f>'Bull DCF'!E47</f>
        <v>20.922882379571988</v>
      </c>
      <c r="E690">
        <f>'Bull DCF'!F47</f>
        <v>0</v>
      </c>
      <c r="F690">
        <f>'Bull DCF'!G47</f>
        <v>0</v>
      </c>
      <c r="G690">
        <f>'Bull DCF'!H47</f>
        <v>0</v>
      </c>
      <c r="H690">
        <f>'Bull DCF'!I47</f>
        <v>0</v>
      </c>
      <c r="I690">
        <f>'Bull DCF'!J47</f>
        <v>0</v>
      </c>
      <c r="J690">
        <f>'Bull DCF'!K47</f>
        <v>0</v>
      </c>
      <c r="K690">
        <f>'Bull DCF'!L47</f>
        <v>0</v>
      </c>
      <c r="L690">
        <f>'Bull DCF'!M47</f>
        <v>0</v>
      </c>
      <c r="M690">
        <f>'Bull DCF'!N47</f>
        <v>0</v>
      </c>
      <c r="N690">
        <f>'Bull DCF'!O47</f>
        <v>0</v>
      </c>
      <c r="O690">
        <f>'Bull DCF'!P47</f>
        <v>0</v>
      </c>
      <c r="P690">
        <f>'Bull DCF'!Q47</f>
        <v>0</v>
      </c>
      <c r="Q690">
        <f>'Bull DCF'!R47</f>
        <v>0</v>
      </c>
      <c r="R690">
        <f>'Bull DCF'!S47</f>
        <v>0</v>
      </c>
      <c r="S690">
        <f>'Bull DCF'!T47</f>
        <v>0</v>
      </c>
      <c r="T690">
        <f>'Bull DCF'!U47</f>
        <v>0</v>
      </c>
      <c r="U690">
        <f>'Bull DCF'!V47</f>
        <v>0</v>
      </c>
      <c r="V690">
        <f>'Bull DCF'!W47</f>
        <v>0</v>
      </c>
      <c r="W690">
        <f>'Bull DCF'!X47</f>
        <v>0</v>
      </c>
      <c r="X690">
        <f>'Bull DCF'!Y47</f>
        <v>0</v>
      </c>
      <c r="Y690">
        <f>'Bull DCF'!Z47</f>
        <v>0</v>
      </c>
      <c r="Z690">
        <f>'Bull DCF'!AA47</f>
        <v>0</v>
      </c>
      <c r="AA690">
        <f>'Bull DCF'!AB47</f>
        <v>0</v>
      </c>
      <c r="AB690">
        <f>'Bull DCF'!AC47</f>
        <v>0</v>
      </c>
      <c r="AC690">
        <f>'Bull DCF'!AD47</f>
        <v>0</v>
      </c>
    </row>
    <row r="691" spans="1:29">
      <c r="A691">
        <f>'Bull DCF'!B48</f>
        <v>0</v>
      </c>
      <c r="B691">
        <f>'Bull DCF'!C48</f>
        <v>0</v>
      </c>
      <c r="C691">
        <f>'Bull DCF'!D48</f>
        <v>0</v>
      </c>
      <c r="D691">
        <f>'Bull DCF'!E48</f>
        <v>0</v>
      </c>
      <c r="E691">
        <f>'Bull DCF'!F48</f>
        <v>0</v>
      </c>
      <c r="F691">
        <f>'Bull DCF'!G48</f>
        <v>0</v>
      </c>
      <c r="G691">
        <f>'Bull DCF'!H48</f>
        <v>0</v>
      </c>
      <c r="H691">
        <f>'Bull DCF'!I48</f>
        <v>0</v>
      </c>
      <c r="I691">
        <f>'Bull DCF'!J48</f>
        <v>0</v>
      </c>
      <c r="J691">
        <f>'Bull DCF'!K48</f>
        <v>0</v>
      </c>
      <c r="K691">
        <f>'Bull DCF'!L48</f>
        <v>0</v>
      </c>
      <c r="L691">
        <f>'Bull DCF'!M48</f>
        <v>0</v>
      </c>
      <c r="M691">
        <f>'Bull DCF'!N48</f>
        <v>0</v>
      </c>
      <c r="N691">
        <f>'Bull DCF'!O48</f>
        <v>0</v>
      </c>
      <c r="O691">
        <f>'Bull DCF'!P48</f>
        <v>0</v>
      </c>
      <c r="P691">
        <f>'Bull DCF'!Q48</f>
        <v>0</v>
      </c>
      <c r="Q691">
        <f>'Bull DCF'!R48</f>
        <v>0</v>
      </c>
      <c r="R691">
        <f>'Bull DCF'!S48</f>
        <v>0</v>
      </c>
      <c r="S691">
        <f>'Bull DCF'!T48</f>
        <v>0</v>
      </c>
      <c r="T691">
        <f>'Bull DCF'!U48</f>
        <v>0</v>
      </c>
      <c r="U691">
        <f>'Bull DCF'!V48</f>
        <v>0</v>
      </c>
      <c r="V691">
        <f>'Bull DCF'!W48</f>
        <v>0</v>
      </c>
      <c r="W691">
        <f>'Bull DCF'!X48</f>
        <v>0</v>
      </c>
      <c r="X691">
        <f>'Bull DCF'!Y48</f>
        <v>0</v>
      </c>
      <c r="Y691">
        <f>'Bull DCF'!Z48</f>
        <v>0</v>
      </c>
      <c r="Z691">
        <f>'Bull DCF'!AA48</f>
        <v>0</v>
      </c>
      <c r="AA691">
        <f>'Bull DCF'!AB48</f>
        <v>0</v>
      </c>
      <c r="AB691">
        <f>'Bull DCF'!AC48</f>
        <v>0</v>
      </c>
      <c r="AC691">
        <f>'Bull DCF'!AD48</f>
        <v>0</v>
      </c>
    </row>
    <row r="692" spans="1:29">
      <c r="A692" t="str">
        <f>'Bull DCF'!B49</f>
        <v>DCF Valuation Assumptions</v>
      </c>
      <c r="B692">
        <f>'Bull DCF'!C49</f>
        <v>0</v>
      </c>
      <c r="C692">
        <f>'Bull DCF'!D49</f>
        <v>0</v>
      </c>
      <c r="D692">
        <f>'Bull DCF'!E49</f>
        <v>0</v>
      </c>
      <c r="E692">
        <f>'Bull DCF'!F49</f>
        <v>0</v>
      </c>
      <c r="F692">
        <f>'Bull DCF'!G49</f>
        <v>0</v>
      </c>
      <c r="G692">
        <f>'Bull DCF'!H49</f>
        <v>0</v>
      </c>
      <c r="H692">
        <f>'Bull DCF'!I49</f>
        <v>0</v>
      </c>
      <c r="I692">
        <f>'Bull DCF'!J49</f>
        <v>0</v>
      </c>
      <c r="J692">
        <f>'Bull DCF'!K49</f>
        <v>0</v>
      </c>
      <c r="K692">
        <f>'Bull DCF'!L49</f>
        <v>0</v>
      </c>
      <c r="L692">
        <f>'Bull DCF'!M49</f>
        <v>0</v>
      </c>
      <c r="M692">
        <f>'Bull DCF'!N49</f>
        <v>0</v>
      </c>
      <c r="N692">
        <f>'Bull DCF'!O49</f>
        <v>0</v>
      </c>
      <c r="O692">
        <f>'Bull DCF'!P49</f>
        <v>0</v>
      </c>
      <c r="P692">
        <f>'Bull DCF'!Q49</f>
        <v>0</v>
      </c>
      <c r="Q692">
        <f>'Bull DCF'!R49</f>
        <v>0</v>
      </c>
      <c r="R692">
        <f>'Bull DCF'!S49</f>
        <v>0</v>
      </c>
      <c r="S692">
        <f>'Bull DCF'!T49</f>
        <v>0</v>
      </c>
      <c r="T692">
        <f>'Bull DCF'!U49</f>
        <v>0</v>
      </c>
      <c r="U692">
        <f>'Bull DCF'!V49</f>
        <v>0</v>
      </c>
      <c r="V692">
        <f>'Bull DCF'!W49</f>
        <v>0</v>
      </c>
      <c r="W692">
        <f>'Bull DCF'!X49</f>
        <v>0</v>
      </c>
      <c r="X692">
        <f>'Bull DCF'!Y49</f>
        <v>0</v>
      </c>
      <c r="Y692">
        <f>'Bull DCF'!Z49</f>
        <v>0</v>
      </c>
      <c r="Z692">
        <f>'Bull DCF'!AA49</f>
        <v>0</v>
      </c>
      <c r="AA692">
        <f>'Bull DCF'!AB49</f>
        <v>0</v>
      </c>
      <c r="AB692">
        <f>'Bull DCF'!AC49</f>
        <v>0</v>
      </c>
      <c r="AC692">
        <f>'Bull DCF'!AD49</f>
        <v>0</v>
      </c>
    </row>
    <row r="694" spans="1:29">
      <c r="A694" t="str">
        <f>'Bull DCF'!B50</f>
        <v>Cost of Equity</v>
      </c>
      <c r="B694">
        <f>'Bull DCF'!C50</f>
        <v>0</v>
      </c>
      <c r="C694">
        <f>'Bull DCF'!D50</f>
        <v>0</v>
      </c>
      <c r="D694">
        <f>'Bull DCF'!E50</f>
        <v>8.3548199999999989E-2</v>
      </c>
      <c r="E694">
        <f>'Bull DCF'!F50</f>
        <v>0</v>
      </c>
      <c r="F694">
        <f>'Bull DCF'!G50</f>
        <v>0</v>
      </c>
      <c r="G694">
        <f>'Bull DCF'!H50</f>
        <v>0</v>
      </c>
      <c r="H694">
        <f>'Bull DCF'!I50</f>
        <v>0</v>
      </c>
      <c r="I694">
        <f>'Bull DCF'!J50</f>
        <v>0</v>
      </c>
      <c r="J694">
        <f>'Bull DCF'!K50</f>
        <v>0</v>
      </c>
      <c r="K694">
        <f>'Bull DCF'!L50</f>
        <v>0</v>
      </c>
      <c r="L694">
        <f>'Bull DCF'!M50</f>
        <v>0</v>
      </c>
      <c r="M694">
        <f>'Bull DCF'!N50</f>
        <v>0</v>
      </c>
      <c r="N694">
        <f>'Bull DCF'!O50</f>
        <v>0</v>
      </c>
      <c r="O694">
        <f>'Bull DCF'!P50</f>
        <v>0</v>
      </c>
      <c r="P694">
        <f>'Bull DCF'!Q50</f>
        <v>0</v>
      </c>
      <c r="Q694">
        <f>'Bull DCF'!R50</f>
        <v>0</v>
      </c>
      <c r="R694">
        <f>'Bull DCF'!S50</f>
        <v>0</v>
      </c>
      <c r="S694">
        <f>'Bull DCF'!T50</f>
        <v>0</v>
      </c>
      <c r="T694">
        <f>'Bull DCF'!U50</f>
        <v>0</v>
      </c>
      <c r="U694">
        <f>'Bull DCF'!V50</f>
        <v>0</v>
      </c>
      <c r="V694">
        <f>'Bull DCF'!W50</f>
        <v>0</v>
      </c>
      <c r="W694">
        <f>'Bull DCF'!X50</f>
        <v>0</v>
      </c>
      <c r="X694">
        <f>'Bull DCF'!Y50</f>
        <v>0</v>
      </c>
      <c r="Y694">
        <f>'Bull DCF'!Z50</f>
        <v>0</v>
      </c>
      <c r="Z694">
        <f>'Bull DCF'!AA50</f>
        <v>0</v>
      </c>
      <c r="AA694">
        <f>'Bull DCF'!AB50</f>
        <v>0</v>
      </c>
      <c r="AB694">
        <f>'Bull DCF'!AC50</f>
        <v>0</v>
      </c>
      <c r="AC694">
        <f>'Bull DCF'!AD50</f>
        <v>0</v>
      </c>
    </row>
    <row r="695" spans="1:29">
      <c r="A695" t="str">
        <f>'Bull DCF'!B51</f>
        <v>Cost of Debt</v>
      </c>
      <c r="B695">
        <f>'Bull DCF'!C51</f>
        <v>0</v>
      </c>
      <c r="C695">
        <f>'Bull DCF'!D51</f>
        <v>0</v>
      </c>
      <c r="D695">
        <f>'Bull DCF'!E51</f>
        <v>0.03</v>
      </c>
      <c r="E695">
        <f>'Bull DCF'!F51</f>
        <v>0</v>
      </c>
      <c r="F695">
        <f>'Bull DCF'!G51</f>
        <v>0</v>
      </c>
      <c r="G695">
        <f>'Bull DCF'!H51</f>
        <v>0</v>
      </c>
      <c r="H695">
        <f>'Bull DCF'!I51</f>
        <v>0</v>
      </c>
      <c r="I695">
        <f>'Bull DCF'!J51</f>
        <v>0</v>
      </c>
      <c r="J695">
        <f>'Bull DCF'!K51</f>
        <v>0</v>
      </c>
      <c r="K695">
        <f>'Bull DCF'!L51</f>
        <v>0</v>
      </c>
      <c r="L695">
        <f>'Bull DCF'!M51</f>
        <v>0</v>
      </c>
      <c r="M695">
        <f>'Bull DCF'!N51</f>
        <v>0</v>
      </c>
      <c r="N695">
        <f>'Bull DCF'!O51</f>
        <v>0</v>
      </c>
      <c r="O695">
        <f>'Bull DCF'!P51</f>
        <v>0</v>
      </c>
      <c r="P695">
        <f>'Bull DCF'!Q51</f>
        <v>0</v>
      </c>
      <c r="Q695">
        <f>'Bull DCF'!R51</f>
        <v>0</v>
      </c>
      <c r="R695">
        <f>'Bull DCF'!S51</f>
        <v>0</v>
      </c>
      <c r="S695">
        <f>'Bull DCF'!T51</f>
        <v>0</v>
      </c>
      <c r="T695">
        <f>'Bull DCF'!U51</f>
        <v>0</v>
      </c>
      <c r="U695">
        <f>'Bull DCF'!V51</f>
        <v>0</v>
      </c>
      <c r="V695">
        <f>'Bull DCF'!W51</f>
        <v>0</v>
      </c>
      <c r="W695">
        <f>'Bull DCF'!X51</f>
        <v>0</v>
      </c>
      <c r="X695">
        <f>'Bull DCF'!Y51</f>
        <v>0</v>
      </c>
      <c r="Y695">
        <f>'Bull DCF'!Z51</f>
        <v>0</v>
      </c>
      <c r="Z695">
        <f>'Bull DCF'!AA51</f>
        <v>0</v>
      </c>
      <c r="AA695">
        <f>'Bull DCF'!AB51</f>
        <v>0</v>
      </c>
      <c r="AB695">
        <f>'Bull DCF'!AC51</f>
        <v>0</v>
      </c>
      <c r="AC695">
        <f>'Bull DCF'!AD51</f>
        <v>0</v>
      </c>
    </row>
    <row r="696" spans="1:29">
      <c r="A696" t="str">
        <f>'Bull DCF'!B52</f>
        <v>Marginal Tax-Rate</v>
      </c>
      <c r="B696">
        <f>'Bull DCF'!C52</f>
        <v>0</v>
      </c>
      <c r="C696">
        <f>'Bull DCF'!D52</f>
        <v>0</v>
      </c>
      <c r="D696">
        <f>'Bull DCF'!E52</f>
        <v>0.35</v>
      </c>
      <c r="E696">
        <f>'Bull DCF'!F52</f>
        <v>0</v>
      </c>
      <c r="F696">
        <f>'Bull DCF'!G52</f>
        <v>0</v>
      </c>
      <c r="G696">
        <f>'Bull DCF'!H52</f>
        <v>0</v>
      </c>
      <c r="H696">
        <f>'Bull DCF'!I52</f>
        <v>0</v>
      </c>
      <c r="I696">
        <f>'Bull DCF'!J52</f>
        <v>0</v>
      </c>
      <c r="J696">
        <f>'Bull DCF'!K52</f>
        <v>0</v>
      </c>
      <c r="K696">
        <f>'Bull DCF'!L52</f>
        <v>0</v>
      </c>
      <c r="L696">
        <f>'Bull DCF'!M52</f>
        <v>0</v>
      </c>
      <c r="M696">
        <f>'Bull DCF'!N52</f>
        <v>0</v>
      </c>
      <c r="N696">
        <f>'Bull DCF'!O52</f>
        <v>0</v>
      </c>
      <c r="O696">
        <f>'Bull DCF'!P52</f>
        <v>0</v>
      </c>
      <c r="P696">
        <f>'Bull DCF'!Q52</f>
        <v>0</v>
      </c>
      <c r="Q696">
        <f>'Bull DCF'!R52</f>
        <v>0</v>
      </c>
      <c r="R696">
        <f>'Bull DCF'!S52</f>
        <v>0</v>
      </c>
      <c r="S696">
        <f>'Bull DCF'!T52</f>
        <v>0</v>
      </c>
      <c r="T696">
        <f>'Bull DCF'!U52</f>
        <v>0</v>
      </c>
      <c r="U696">
        <f>'Bull DCF'!V52</f>
        <v>0</v>
      </c>
      <c r="V696">
        <f>'Bull DCF'!W52</f>
        <v>0</v>
      </c>
      <c r="W696">
        <f>'Bull DCF'!X52</f>
        <v>0</v>
      </c>
      <c r="X696">
        <f>'Bull DCF'!Y52</f>
        <v>0</v>
      </c>
      <c r="Y696">
        <f>'Bull DCF'!Z52</f>
        <v>0</v>
      </c>
      <c r="Z696">
        <f>'Bull DCF'!AA52</f>
        <v>0</v>
      </c>
      <c r="AA696">
        <f>'Bull DCF'!AB52</f>
        <v>0</v>
      </c>
      <c r="AB696">
        <f>'Bull DCF'!AC52</f>
        <v>0</v>
      </c>
      <c r="AC696">
        <f>'Bull DCF'!AD52</f>
        <v>0</v>
      </c>
    </row>
    <row r="697" spans="1:29">
      <c r="A697" t="str">
        <f>'Bull DCF'!B53</f>
        <v>Long-Term Debt / Total Cap.</v>
      </c>
      <c r="B697">
        <f>'Bull DCF'!C53</f>
        <v>0</v>
      </c>
      <c r="C697">
        <f>'Bull DCF'!D53</f>
        <v>0</v>
      </c>
      <c r="D697">
        <f>'Bull DCF'!E53</f>
        <v>0.02</v>
      </c>
      <c r="E697">
        <f>'Bull DCF'!F53</f>
        <v>0</v>
      </c>
      <c r="F697">
        <f>'Bull DCF'!G53</f>
        <v>0</v>
      </c>
      <c r="G697">
        <f>'Bull DCF'!H53</f>
        <v>0</v>
      </c>
      <c r="H697">
        <f>'Bull DCF'!I53</f>
        <v>0</v>
      </c>
      <c r="I697">
        <f>'Bull DCF'!J53</f>
        <v>0</v>
      </c>
      <c r="J697">
        <f>'Bull DCF'!K53</f>
        <v>0</v>
      </c>
      <c r="K697">
        <f>'Bull DCF'!L53</f>
        <v>0</v>
      </c>
      <c r="L697">
        <f>'Bull DCF'!M53</f>
        <v>0</v>
      </c>
      <c r="M697">
        <f>'Bull DCF'!N53</f>
        <v>0</v>
      </c>
      <c r="N697">
        <f>'Bull DCF'!O53</f>
        <v>0</v>
      </c>
      <c r="O697">
        <f>'Bull DCF'!P53</f>
        <v>0</v>
      </c>
      <c r="P697">
        <f>'Bull DCF'!Q53</f>
        <v>0</v>
      </c>
      <c r="Q697">
        <f>'Bull DCF'!R53</f>
        <v>0</v>
      </c>
      <c r="R697">
        <f>'Bull DCF'!S53</f>
        <v>0</v>
      </c>
      <c r="S697">
        <f>'Bull DCF'!T53</f>
        <v>0</v>
      </c>
      <c r="T697">
        <f>'Bull DCF'!U53</f>
        <v>0</v>
      </c>
      <c r="U697">
        <f>'Bull DCF'!V53</f>
        <v>0</v>
      </c>
      <c r="V697">
        <f>'Bull DCF'!W53</f>
        <v>0</v>
      </c>
      <c r="W697">
        <f>'Bull DCF'!X53</f>
        <v>0</v>
      </c>
      <c r="X697">
        <f>'Bull DCF'!Y53</f>
        <v>0</v>
      </c>
      <c r="Y697">
        <f>'Bull DCF'!Z53</f>
        <v>0</v>
      </c>
      <c r="Z697">
        <f>'Bull DCF'!AA53</f>
        <v>0</v>
      </c>
      <c r="AA697">
        <f>'Bull DCF'!AB53</f>
        <v>0</v>
      </c>
      <c r="AB697">
        <f>'Bull DCF'!AC53</f>
        <v>0</v>
      </c>
      <c r="AC697">
        <f>'Bull DCF'!AD53</f>
        <v>0</v>
      </c>
    </row>
    <row r="698" spans="1:29">
      <c r="A698" t="str">
        <f>'Bull DCF'!B54</f>
        <v>WACC</v>
      </c>
      <c r="B698">
        <f>'Bull DCF'!C54</f>
        <v>0</v>
      </c>
      <c r="C698">
        <f>'Bull DCF'!D54</f>
        <v>0</v>
      </c>
      <c r="D698">
        <f>'Bull DCF'!E54</f>
        <v>8.2267235999999994E-2</v>
      </c>
      <c r="E698">
        <f>'Bull DCF'!F54</f>
        <v>0</v>
      </c>
      <c r="F698">
        <f>'Bull DCF'!G54</f>
        <v>0</v>
      </c>
      <c r="G698">
        <f>'Bull DCF'!H54</f>
        <v>0</v>
      </c>
      <c r="H698">
        <f>'Bull DCF'!I54</f>
        <v>0</v>
      </c>
      <c r="I698">
        <f>'Bull DCF'!J54</f>
        <v>0</v>
      </c>
      <c r="J698">
        <f>'Bull DCF'!K54</f>
        <v>0</v>
      </c>
      <c r="K698">
        <f>'Bull DCF'!L54</f>
        <v>0</v>
      </c>
      <c r="L698">
        <f>'Bull DCF'!M54</f>
        <v>0</v>
      </c>
      <c r="M698">
        <f>'Bull DCF'!N54</f>
        <v>0</v>
      </c>
      <c r="N698">
        <f>'Bull DCF'!O54</f>
        <v>0</v>
      </c>
      <c r="O698">
        <f>'Bull DCF'!P54</f>
        <v>0</v>
      </c>
      <c r="P698">
        <f>'Bull DCF'!Q54</f>
        <v>0</v>
      </c>
      <c r="Q698">
        <f>'Bull DCF'!R54</f>
        <v>0</v>
      </c>
      <c r="R698">
        <f>'Bull DCF'!S54</f>
        <v>0</v>
      </c>
      <c r="S698">
        <f>'Bull DCF'!T54</f>
        <v>0</v>
      </c>
      <c r="T698">
        <f>'Bull DCF'!U54</f>
        <v>0</v>
      </c>
      <c r="U698">
        <f>'Bull DCF'!V54</f>
        <v>0</v>
      </c>
      <c r="V698">
        <f>'Bull DCF'!W54</f>
        <v>0</v>
      </c>
      <c r="W698">
        <f>'Bull DCF'!X54</f>
        <v>0</v>
      </c>
      <c r="X698">
        <f>'Bull DCF'!Y54</f>
        <v>0</v>
      </c>
      <c r="Y698">
        <f>'Bull DCF'!Z54</f>
        <v>0</v>
      </c>
      <c r="Z698">
        <f>'Bull DCF'!AA54</f>
        <v>0</v>
      </c>
      <c r="AA698">
        <f>'Bull DCF'!AB54</f>
        <v>0</v>
      </c>
      <c r="AB698">
        <f>'Bull DCF'!AC54</f>
        <v>0</v>
      </c>
      <c r="AC698">
        <f>'Bull DCF'!AD54</f>
        <v>0</v>
      </c>
    </row>
    <row r="699" spans="1:29">
      <c r="A699" t="str">
        <f>'Bull DCF'!B55</f>
        <v>Perpetual Growth Rate</v>
      </c>
      <c r="B699">
        <f>'Bull DCF'!C55</f>
        <v>0</v>
      </c>
      <c r="C699">
        <f>'Bull DCF'!D55</f>
        <v>0</v>
      </c>
      <c r="D699">
        <f>'Bull DCF'!E55</f>
        <v>3.5000000000000003E-2</v>
      </c>
      <c r="E699">
        <f>'Bull DCF'!F55</f>
        <v>0</v>
      </c>
      <c r="F699">
        <f>'Bull DCF'!G55</f>
        <v>0</v>
      </c>
      <c r="G699">
        <f>'Bull DCF'!H55</f>
        <v>0</v>
      </c>
      <c r="H699">
        <f>'Bull DCF'!I55</f>
        <v>0</v>
      </c>
      <c r="I699">
        <f>'Bull DCF'!J55</f>
        <v>0</v>
      </c>
      <c r="J699">
        <f>'Bull DCF'!K55</f>
        <v>0</v>
      </c>
      <c r="K699">
        <f>'Bull DCF'!L55</f>
        <v>0</v>
      </c>
      <c r="L699">
        <f>'Bull DCF'!M55</f>
        <v>0</v>
      </c>
      <c r="M699">
        <f>'Bull DCF'!N55</f>
        <v>0</v>
      </c>
      <c r="N699">
        <f>'Bull DCF'!O55</f>
        <v>0</v>
      </c>
      <c r="O699">
        <f>'Bull DCF'!P55</f>
        <v>0</v>
      </c>
      <c r="P699">
        <f>'Bull DCF'!Q55</f>
        <v>0</v>
      </c>
      <c r="Q699">
        <f>'Bull DCF'!R55</f>
        <v>0</v>
      </c>
      <c r="R699">
        <f>'Bull DCF'!S55</f>
        <v>0</v>
      </c>
      <c r="S699">
        <f>'Bull DCF'!T55</f>
        <v>0</v>
      </c>
      <c r="T699">
        <f>'Bull DCF'!U55</f>
        <v>0</v>
      </c>
      <c r="U699">
        <f>'Bull DCF'!V55</f>
        <v>0</v>
      </c>
      <c r="V699">
        <f>'Bull DCF'!W55</f>
        <v>0</v>
      </c>
      <c r="W699">
        <f>'Bull DCF'!X55</f>
        <v>0</v>
      </c>
      <c r="X699">
        <f>'Bull DCF'!Y55</f>
        <v>0</v>
      </c>
      <c r="Y699">
        <f>'Bull DCF'!Z55</f>
        <v>0</v>
      </c>
      <c r="Z699">
        <f>'Bull DCF'!AA55</f>
        <v>0</v>
      </c>
      <c r="AA699">
        <f>'Bull DCF'!AB55</f>
        <v>0</v>
      </c>
      <c r="AB699">
        <f>'Bull DCF'!AC55</f>
        <v>0</v>
      </c>
      <c r="AC699">
        <f>'Bull DCF'!AD55</f>
        <v>0</v>
      </c>
    </row>
    <row r="700" spans="1:29">
      <c r="A700">
        <f>'Bull DCF'!B56</f>
        <v>0</v>
      </c>
      <c r="B700">
        <f>'Bull DCF'!C56</f>
        <v>0</v>
      </c>
      <c r="C700">
        <f>'Bull DCF'!D56</f>
        <v>0</v>
      </c>
      <c r="D700">
        <f>'Bull DCF'!E56</f>
        <v>0</v>
      </c>
      <c r="E700">
        <f>'Bull DCF'!F56</f>
        <v>0</v>
      </c>
      <c r="F700">
        <f>'Bull DCF'!G56</f>
        <v>0</v>
      </c>
      <c r="G700">
        <f>'Bull DCF'!H56</f>
        <v>0</v>
      </c>
      <c r="H700">
        <f>'Bull DCF'!I56</f>
        <v>0</v>
      </c>
      <c r="I700">
        <f>'Bull DCF'!J56</f>
        <v>0</v>
      </c>
      <c r="J700">
        <f>'Bull DCF'!K56</f>
        <v>0</v>
      </c>
      <c r="K700">
        <f>'Bull DCF'!L56</f>
        <v>0</v>
      </c>
      <c r="L700">
        <f>'Bull DCF'!M56</f>
        <v>0</v>
      </c>
      <c r="M700">
        <f>'Bull DCF'!N56</f>
        <v>0</v>
      </c>
      <c r="N700">
        <f>'Bull DCF'!O56</f>
        <v>0</v>
      </c>
      <c r="O700">
        <f>'Bull DCF'!P56</f>
        <v>0</v>
      </c>
      <c r="P700">
        <f>'Bull DCF'!Q56</f>
        <v>0</v>
      </c>
      <c r="Q700">
        <f>'Bull DCF'!R56</f>
        <v>0</v>
      </c>
      <c r="R700">
        <f>'Bull DCF'!S56</f>
        <v>0</v>
      </c>
      <c r="S700">
        <f>'Bull DCF'!T56</f>
        <v>0</v>
      </c>
      <c r="T700">
        <f>'Bull DCF'!U56</f>
        <v>0</v>
      </c>
      <c r="U700">
        <f>'Bull DCF'!V56</f>
        <v>0</v>
      </c>
      <c r="V700">
        <f>'Bull DCF'!W56</f>
        <v>0</v>
      </c>
      <c r="W700">
        <f>'Bull DCF'!X56</f>
        <v>0</v>
      </c>
      <c r="X700">
        <f>'Bull DCF'!Y56</f>
        <v>0</v>
      </c>
      <c r="Y700">
        <f>'Bull DCF'!Z56</f>
        <v>0</v>
      </c>
      <c r="Z700">
        <f>'Bull DCF'!AA56</f>
        <v>0</v>
      </c>
      <c r="AA700">
        <f>'Bull DCF'!AB56</f>
        <v>0</v>
      </c>
      <c r="AB700">
        <f>'Bull DCF'!AC56</f>
        <v>0</v>
      </c>
      <c r="AC700">
        <f>'Bull DCF'!AD56</f>
        <v>0</v>
      </c>
    </row>
    <row r="701" spans="1:29">
      <c r="A701" t="str">
        <f>'Bull DCF'!B57</f>
        <v>Risk-free rate</v>
      </c>
      <c r="B701">
        <f>'Bull DCF'!C57</f>
        <v>0</v>
      </c>
      <c r="C701">
        <f>'Bull DCF'!D57</f>
        <v>0</v>
      </c>
      <c r="D701">
        <f>'Bull DCF'!E57</f>
        <v>2.4899999999999999E-2</v>
      </c>
      <c r="E701">
        <f>'Bull DCF'!F57</f>
        <v>0</v>
      </c>
      <c r="F701">
        <f>'Bull DCF'!G57</f>
        <v>0</v>
      </c>
      <c r="G701">
        <f>'Bull DCF'!H57</f>
        <v>0</v>
      </c>
      <c r="H701">
        <f>'Bull DCF'!I57</f>
        <v>0</v>
      </c>
      <c r="I701">
        <f>'Bull DCF'!J57</f>
        <v>0</v>
      </c>
      <c r="J701">
        <f>'Bull DCF'!K57</f>
        <v>0</v>
      </c>
      <c r="K701">
        <f>'Bull DCF'!L57</f>
        <v>0</v>
      </c>
      <c r="L701">
        <f>'Bull DCF'!M57</f>
        <v>0</v>
      </c>
      <c r="M701">
        <f>'Bull DCF'!N57</f>
        <v>0</v>
      </c>
      <c r="N701">
        <f>'Bull DCF'!O57</f>
        <v>0</v>
      </c>
      <c r="O701">
        <f>'Bull DCF'!P57</f>
        <v>0</v>
      </c>
      <c r="P701">
        <f>'Bull DCF'!Q57</f>
        <v>0</v>
      </c>
      <c r="Q701">
        <f>'Bull DCF'!R57</f>
        <v>0</v>
      </c>
      <c r="R701">
        <f>'Bull DCF'!S57</f>
        <v>0</v>
      </c>
      <c r="S701">
        <f>'Bull DCF'!T57</f>
        <v>0</v>
      </c>
      <c r="T701">
        <f>'Bull DCF'!U57</f>
        <v>0</v>
      </c>
      <c r="U701">
        <f>'Bull DCF'!V57</f>
        <v>0</v>
      </c>
      <c r="V701">
        <f>'Bull DCF'!W57</f>
        <v>0</v>
      </c>
      <c r="W701">
        <f>'Bull DCF'!X57</f>
        <v>0</v>
      </c>
      <c r="X701">
        <f>'Bull DCF'!Y57</f>
        <v>0</v>
      </c>
      <c r="Y701">
        <f>'Bull DCF'!Z57</f>
        <v>0</v>
      </c>
      <c r="Z701">
        <f>'Bull DCF'!AA57</f>
        <v>0</v>
      </c>
      <c r="AA701">
        <f>'Bull DCF'!AB57</f>
        <v>0</v>
      </c>
      <c r="AB701">
        <f>'Bull DCF'!AC57</f>
        <v>0</v>
      </c>
      <c r="AC701">
        <f>'Bull DCF'!AD57</f>
        <v>0</v>
      </c>
    </row>
    <row r="702" spans="1:29">
      <c r="A702" t="str">
        <f>'Bull DCF'!B58</f>
        <v>Market Risk Premium</v>
      </c>
      <c r="B702">
        <f>'Bull DCF'!C58</f>
        <v>0</v>
      </c>
      <c r="C702">
        <f>'Bull DCF'!D58</f>
        <v>0</v>
      </c>
      <c r="D702">
        <f>'Bull DCF'!E58</f>
        <v>4.3799999999999999E-2</v>
      </c>
      <c r="E702">
        <f>'Bull DCF'!F58</f>
        <v>0</v>
      </c>
      <c r="F702">
        <f>'Bull DCF'!G58</f>
        <v>0</v>
      </c>
      <c r="G702">
        <f>'Bull DCF'!H58</f>
        <v>0</v>
      </c>
      <c r="H702">
        <f>'Bull DCF'!I58</f>
        <v>0</v>
      </c>
      <c r="I702">
        <f>'Bull DCF'!J58</f>
        <v>0</v>
      </c>
      <c r="J702">
        <f>'Bull DCF'!K58</f>
        <v>0</v>
      </c>
      <c r="K702">
        <f>'Bull DCF'!L58</f>
        <v>0</v>
      </c>
      <c r="L702">
        <f>'Bull DCF'!M58</f>
        <v>0</v>
      </c>
      <c r="M702">
        <f>'Bull DCF'!N58</f>
        <v>0</v>
      </c>
      <c r="N702">
        <f>'Bull DCF'!O58</f>
        <v>0</v>
      </c>
      <c r="O702">
        <f>'Bull DCF'!P58</f>
        <v>0</v>
      </c>
      <c r="P702">
        <f>'Bull DCF'!Q58</f>
        <v>0</v>
      </c>
      <c r="Q702">
        <f>'Bull DCF'!R58</f>
        <v>0</v>
      </c>
      <c r="R702">
        <f>'Bull DCF'!S58</f>
        <v>0</v>
      </c>
      <c r="S702">
        <f>'Bull DCF'!T58</f>
        <v>0</v>
      </c>
      <c r="T702">
        <f>'Bull DCF'!U58</f>
        <v>0</v>
      </c>
      <c r="U702">
        <f>'Bull DCF'!V58</f>
        <v>0</v>
      </c>
      <c r="V702">
        <f>'Bull DCF'!W58</f>
        <v>0</v>
      </c>
      <c r="W702">
        <f>'Bull DCF'!X58</f>
        <v>0</v>
      </c>
      <c r="X702">
        <f>'Bull DCF'!Y58</f>
        <v>0</v>
      </c>
      <c r="Y702">
        <f>'Bull DCF'!Z58</f>
        <v>0</v>
      </c>
      <c r="Z702">
        <f>'Bull DCF'!AA58</f>
        <v>0</v>
      </c>
      <c r="AA702">
        <f>'Bull DCF'!AB58</f>
        <v>0</v>
      </c>
      <c r="AB702">
        <f>'Bull DCF'!AC58</f>
        <v>0</v>
      </c>
      <c r="AC702">
        <f>'Bull DCF'!AD58</f>
        <v>0</v>
      </c>
    </row>
    <row r="703" spans="1:29">
      <c r="A703" t="str">
        <f>'Bull DCF'!B59</f>
        <v>Equity Beta</v>
      </c>
      <c r="B703">
        <f>'Bull DCF'!C59</f>
        <v>0</v>
      </c>
      <c r="C703">
        <f>'Bull DCF'!D59</f>
        <v>0</v>
      </c>
      <c r="D703">
        <f>'Bull DCF'!E59</f>
        <v>1.339</v>
      </c>
      <c r="E703">
        <f>'Bull DCF'!F59</f>
        <v>0</v>
      </c>
      <c r="F703">
        <f>'Bull DCF'!G59</f>
        <v>0</v>
      </c>
      <c r="G703">
        <f>'Bull DCF'!H59</f>
        <v>0</v>
      </c>
      <c r="H703">
        <f>'Bull DCF'!I59</f>
        <v>0</v>
      </c>
      <c r="I703">
        <f>'Bull DCF'!J59</f>
        <v>0</v>
      </c>
      <c r="J703">
        <f>'Bull DCF'!K59</f>
        <v>0</v>
      </c>
      <c r="K703">
        <f>'Bull DCF'!L59</f>
        <v>0</v>
      </c>
      <c r="L703">
        <f>'Bull DCF'!M59</f>
        <v>0</v>
      </c>
      <c r="M703">
        <f>'Bull DCF'!N59</f>
        <v>0</v>
      </c>
      <c r="N703">
        <f>'Bull DCF'!O59</f>
        <v>0</v>
      </c>
      <c r="O703">
        <f>'Bull DCF'!P59</f>
        <v>0</v>
      </c>
      <c r="P703">
        <f>'Bull DCF'!Q59</f>
        <v>0</v>
      </c>
      <c r="Q703">
        <f>'Bull DCF'!R59</f>
        <v>0</v>
      </c>
      <c r="R703">
        <f>'Bull DCF'!S59</f>
        <v>0</v>
      </c>
      <c r="S703">
        <f>'Bull DCF'!T59</f>
        <v>0</v>
      </c>
      <c r="T703">
        <f>'Bull DCF'!U59</f>
        <v>0</v>
      </c>
      <c r="U703">
        <f>'Bull DCF'!V59</f>
        <v>0</v>
      </c>
      <c r="V703">
        <f>'Bull DCF'!W59</f>
        <v>0</v>
      </c>
      <c r="W703">
        <f>'Bull DCF'!X59</f>
        <v>0</v>
      </c>
      <c r="X703">
        <f>'Bull DCF'!Y59</f>
        <v>0</v>
      </c>
      <c r="Y703">
        <f>'Bull DCF'!Z59</f>
        <v>0</v>
      </c>
      <c r="Z703">
        <f>'Bull DCF'!AA59</f>
        <v>0</v>
      </c>
      <c r="AA703">
        <f>'Bull DCF'!AB59</f>
        <v>0</v>
      </c>
      <c r="AB703">
        <f>'Bull DCF'!AC59</f>
        <v>0</v>
      </c>
      <c r="AC703">
        <f>'Bull DCF'!AD59</f>
        <v>0</v>
      </c>
    </row>
    <row r="704" spans="1:29">
      <c r="A704" t="str">
        <f>'Bull DCF'!B60</f>
        <v>Required Equity Return</v>
      </c>
      <c r="B704">
        <f>'Bull DCF'!C60</f>
        <v>0</v>
      </c>
      <c r="C704">
        <f>'Bull DCF'!D60</f>
        <v>0</v>
      </c>
      <c r="D704">
        <f>'Bull DCF'!E60</f>
        <v>8.3548199999999989E-2</v>
      </c>
      <c r="E704">
        <f>'Bull DCF'!F60</f>
        <v>0</v>
      </c>
      <c r="F704">
        <f>'Bull DCF'!G60</f>
        <v>0</v>
      </c>
      <c r="G704">
        <f>'Bull DCF'!H60</f>
        <v>0</v>
      </c>
      <c r="H704">
        <f>'Bull DCF'!I60</f>
        <v>0</v>
      </c>
      <c r="I704">
        <f>'Bull DCF'!J60</f>
        <v>0</v>
      </c>
      <c r="J704">
        <f>'Bull DCF'!K60</f>
        <v>0</v>
      </c>
      <c r="K704">
        <f>'Bull DCF'!L60</f>
        <v>0</v>
      </c>
      <c r="L704">
        <f>'Bull DCF'!M60</f>
        <v>0</v>
      </c>
      <c r="M704">
        <f>'Bull DCF'!N60</f>
        <v>0</v>
      </c>
      <c r="N704">
        <f>'Bull DCF'!O60</f>
        <v>0</v>
      </c>
      <c r="O704">
        <f>'Bull DCF'!P60</f>
        <v>0</v>
      </c>
      <c r="P704">
        <f>'Bull DCF'!Q60</f>
        <v>0</v>
      </c>
      <c r="Q704">
        <f>'Bull DCF'!R60</f>
        <v>0</v>
      </c>
      <c r="R704">
        <f>'Bull DCF'!S60</f>
        <v>0</v>
      </c>
      <c r="S704">
        <f>'Bull DCF'!T60</f>
        <v>0</v>
      </c>
      <c r="T704">
        <f>'Bull DCF'!U60</f>
        <v>0</v>
      </c>
      <c r="U704">
        <f>'Bull DCF'!V60</f>
        <v>0</v>
      </c>
      <c r="V704">
        <f>'Bull DCF'!W60</f>
        <v>0</v>
      </c>
      <c r="W704">
        <f>'Bull DCF'!X60</f>
        <v>0</v>
      </c>
      <c r="X704">
        <f>'Bull DCF'!Y60</f>
        <v>0</v>
      </c>
      <c r="Y704">
        <f>'Bull DCF'!Z60</f>
        <v>0</v>
      </c>
      <c r="Z704">
        <f>'Bull DCF'!AA60</f>
        <v>0</v>
      </c>
      <c r="AA704">
        <f>'Bull DCF'!AB60</f>
        <v>0</v>
      </c>
      <c r="AB704">
        <f>'Bull DCF'!AC60</f>
        <v>0</v>
      </c>
      <c r="AC704">
        <f>'Bull DCF'!AD60</f>
        <v>0</v>
      </c>
    </row>
    <row r="705" spans="1:29">
      <c r="A705">
        <f>'Bull DCF'!B61</f>
        <v>0</v>
      </c>
      <c r="B705">
        <f>'Bull DCF'!C61</f>
        <v>0</v>
      </c>
      <c r="C705">
        <f>'Bull DCF'!D61</f>
        <v>0</v>
      </c>
      <c r="D705">
        <f>'Bull DCF'!E61</f>
        <v>0</v>
      </c>
      <c r="E705">
        <f>'Bull DCF'!F61</f>
        <v>0</v>
      </c>
      <c r="F705">
        <f>'Bull DCF'!G61</f>
        <v>0</v>
      </c>
      <c r="G705">
        <f>'Bull DCF'!H61</f>
        <v>0</v>
      </c>
      <c r="H705">
        <f>'Bull DCF'!I61</f>
        <v>0</v>
      </c>
      <c r="I705">
        <f>'Bull DCF'!J61</f>
        <v>0</v>
      </c>
      <c r="J705">
        <f>'Bull DCF'!K61</f>
        <v>0</v>
      </c>
      <c r="K705">
        <f>'Bull DCF'!L61</f>
        <v>0</v>
      </c>
      <c r="L705">
        <f>'Bull DCF'!M61</f>
        <v>0</v>
      </c>
      <c r="M705">
        <f>'Bull DCF'!N61</f>
        <v>0</v>
      </c>
      <c r="N705">
        <f>'Bull DCF'!O61</f>
        <v>0</v>
      </c>
      <c r="O705">
        <f>'Bull DCF'!P61</f>
        <v>0</v>
      </c>
      <c r="P705">
        <f>'Bull DCF'!Q61</f>
        <v>0</v>
      </c>
      <c r="Q705">
        <f>'Bull DCF'!R61</f>
        <v>0</v>
      </c>
      <c r="R705">
        <f>'Bull DCF'!S61</f>
        <v>0</v>
      </c>
      <c r="S705">
        <f>'Bull DCF'!T61</f>
        <v>0</v>
      </c>
      <c r="T705">
        <f>'Bull DCF'!U61</f>
        <v>0</v>
      </c>
      <c r="U705">
        <f>'Bull DCF'!V61</f>
        <v>0</v>
      </c>
      <c r="V705">
        <f>'Bull DCF'!W61</f>
        <v>0</v>
      </c>
      <c r="W705">
        <f>'Bull DCF'!X61</f>
        <v>0</v>
      </c>
      <c r="X705">
        <f>'Bull DCF'!Y61</f>
        <v>0</v>
      </c>
      <c r="Y705">
        <f>'Bull DCF'!Z61</f>
        <v>0</v>
      </c>
      <c r="Z705">
        <f>'Bull DCF'!AA61</f>
        <v>0</v>
      </c>
      <c r="AA705">
        <f>'Bull DCF'!AB61</f>
        <v>0</v>
      </c>
      <c r="AB705">
        <f>'Bull DCF'!AC61</f>
        <v>0</v>
      </c>
      <c r="AC705">
        <f>'Bull DCF'!AD61</f>
        <v>0</v>
      </c>
    </row>
    <row r="706" spans="1:29">
      <c r="A706" t="str">
        <f>'Bull DCF'!B68</f>
        <v>Bull Case DCF Assumptions</v>
      </c>
      <c r="B706">
        <f>'Bull DCF'!C68</f>
        <v>0</v>
      </c>
      <c r="C706">
        <f>'Bull DCF'!D68</f>
        <v>0</v>
      </c>
      <c r="D706">
        <f>'Bull DCF'!E68</f>
        <v>0</v>
      </c>
      <c r="E706">
        <f>'Bull DCF'!F68</f>
        <v>0</v>
      </c>
      <c r="F706">
        <f>'Bull DCF'!G68</f>
        <v>0</v>
      </c>
      <c r="G706">
        <f>'Bull DCF'!H68</f>
        <v>0</v>
      </c>
      <c r="H706">
        <f>'Bull DCF'!I68</f>
        <v>0</v>
      </c>
      <c r="I706">
        <f>'Bull DCF'!J68</f>
        <v>0</v>
      </c>
      <c r="J706">
        <f>'Bull DCF'!K68</f>
        <v>0</v>
      </c>
      <c r="K706">
        <f>'Bull DCF'!L68</f>
        <v>0</v>
      </c>
      <c r="L706">
        <f>'Bull DCF'!M68</f>
        <v>0</v>
      </c>
      <c r="M706">
        <f>'Bull DCF'!N68</f>
        <v>0</v>
      </c>
      <c r="N706">
        <f>'Bull DCF'!O68</f>
        <v>0</v>
      </c>
      <c r="O706">
        <f>'Bull DCF'!P68</f>
        <v>0</v>
      </c>
      <c r="P706">
        <f>'Bull DCF'!Q68</f>
        <v>0</v>
      </c>
      <c r="Q706">
        <f>'Bull DCF'!R68</f>
        <v>0</v>
      </c>
      <c r="R706">
        <f>'Bull DCF'!S68</f>
        <v>0</v>
      </c>
      <c r="S706">
        <f>'Bull DCF'!T68</f>
        <v>0</v>
      </c>
      <c r="T706">
        <f>'Bull DCF'!U68</f>
        <v>0</v>
      </c>
      <c r="U706">
        <f>'Bull DCF'!V68</f>
        <v>0</v>
      </c>
      <c r="V706">
        <f>'Bull DCF'!W68</f>
        <v>0</v>
      </c>
      <c r="W706">
        <f>'Bull DCF'!X68</f>
        <v>0</v>
      </c>
      <c r="X706">
        <f>'Bull DCF'!Y68</f>
        <v>0</v>
      </c>
      <c r="Y706">
        <f>'Bull DCF'!Z68</f>
        <v>0</v>
      </c>
      <c r="Z706">
        <f>'Bull DCF'!AA68</f>
        <v>0</v>
      </c>
      <c r="AA706">
        <f>'Bull DCF'!AB68</f>
        <v>0</v>
      </c>
      <c r="AB706">
        <f>'Bull DCF'!AC68</f>
        <v>0</v>
      </c>
      <c r="AC706">
        <f>'Bull DCF'!AD68</f>
        <v>0</v>
      </c>
    </row>
    <row r="708" spans="1:29">
      <c r="A708" t="str">
        <f>'Bull DCF'!B69</f>
        <v>Capex</v>
      </c>
      <c r="B708">
        <f>'Bull DCF'!C69</f>
        <v>0</v>
      </c>
      <c r="C708">
        <f>'Bull DCF'!D69</f>
        <v>0</v>
      </c>
      <c r="D708">
        <f>'Bull DCF'!E69</f>
        <v>0</v>
      </c>
      <c r="E708">
        <f>'Bull DCF'!F69</f>
        <v>0</v>
      </c>
      <c r="F708">
        <f>'Bull DCF'!G69</f>
        <v>0</v>
      </c>
      <c r="G708">
        <f>'Bull DCF'!H69</f>
        <v>66.640999999999991</v>
      </c>
      <c r="H708">
        <f>'Bull DCF'!I69</f>
        <v>86.237766193490756</v>
      </c>
      <c r="I708">
        <f>'Bull DCF'!J69</f>
        <v>103.14368138790999</v>
      </c>
      <c r="J708">
        <f>'Bull DCF'!K69</f>
        <v>119.98448346055322</v>
      </c>
      <c r="K708">
        <f>'Bull DCF'!L69</f>
        <v>136.7678414969304</v>
      </c>
      <c r="L708">
        <f>'Bull DCF'!M69</f>
        <v>153.49495213675127</v>
      </c>
      <c r="M708">
        <f>'Bull DCF'!N69</f>
        <v>171.33984614470197</v>
      </c>
      <c r="N708">
        <f>'Bull DCF'!O69</f>
        <v>188.01773477444252</v>
      </c>
      <c r="O708">
        <f>'Bull DCF'!P69</f>
        <v>204.62864008210229</v>
      </c>
      <c r="P708">
        <f>'Bull DCF'!Q69</f>
        <v>221.06707547083684</v>
      </c>
      <c r="Q708">
        <f>'Bull DCF'!R69</f>
        <v>0</v>
      </c>
      <c r="R708">
        <f>'Bull DCF'!S69</f>
        <v>0</v>
      </c>
      <c r="S708">
        <f>'Bull DCF'!T69</f>
        <v>0</v>
      </c>
      <c r="T708">
        <f>'Bull DCF'!U69</f>
        <v>0</v>
      </c>
      <c r="U708">
        <f>'Bull DCF'!V69</f>
        <v>0</v>
      </c>
      <c r="V708">
        <f>'Bull DCF'!W69</f>
        <v>0</v>
      </c>
      <c r="W708">
        <f>'Bull DCF'!X69</f>
        <v>0</v>
      </c>
      <c r="X708">
        <f>'Bull DCF'!Y69</f>
        <v>0</v>
      </c>
      <c r="Y708">
        <f>'Bull DCF'!Z69</f>
        <v>0</v>
      </c>
      <c r="Z708">
        <f>'Bull DCF'!AA69</f>
        <v>0</v>
      </c>
      <c r="AA708">
        <f>'Bull DCF'!AB69</f>
        <v>0</v>
      </c>
      <c r="AB708">
        <f>'Bull DCF'!AC69</f>
        <v>0</v>
      </c>
      <c r="AC708">
        <f>'Bull DCF'!AD69</f>
        <v>0</v>
      </c>
    </row>
    <row r="709" spans="1:29">
      <c r="A709" t="str">
        <f>'Bull DCF'!B70</f>
        <v xml:space="preserve">% of Revenue </v>
      </c>
      <c r="B709">
        <f>'Bull DCF'!C70</f>
        <v>0</v>
      </c>
      <c r="C709">
        <f>'Bull DCF'!D70</f>
        <v>0</v>
      </c>
      <c r="D709">
        <f>'Bull DCF'!E70</f>
        <v>0</v>
      </c>
      <c r="E709">
        <f>'Bull DCF'!F70</f>
        <v>0</v>
      </c>
      <c r="F709">
        <f>'Bull DCF'!H70</f>
        <v>0.16475640448771514</v>
      </c>
      <c r="G709">
        <f>'Bull DCF'!I70</f>
        <v>0.10245239402678227</v>
      </c>
      <c r="I709">
        <f>'Bull DCF'!J70</f>
        <v>7.5032749428789028E-2</v>
      </c>
      <c r="J709">
        <f>'Bull DCF'!K70</f>
        <v>5.6626380485743089E-2</v>
      </c>
      <c r="K709">
        <f>'Bull DCF'!L70</f>
        <v>4.4036844692555206E-2</v>
      </c>
      <c r="L709">
        <f>'Bull DCF'!M70</f>
        <v>3.5279460284531897E-2</v>
      </c>
      <c r="M709">
        <f>'Bull DCF'!N70</f>
        <v>2.9314903332664115E-2</v>
      </c>
      <c r="N709">
        <f>'Bull DCF'!O70</f>
        <v>2.5069570996243143E-2</v>
      </c>
      <c r="O709">
        <f>'Bull DCF'!P70</f>
        <v>2.2093626717306969E-2</v>
      </c>
      <c r="P709">
        <f>'Bull DCF'!Q70</f>
        <v>1.9836809009287033E-2</v>
      </c>
      <c r="Q709">
        <f>'Bull DCF'!R70</f>
        <v>0</v>
      </c>
      <c r="R709">
        <f>'Bull DCF'!S70</f>
        <v>0</v>
      </c>
      <c r="S709">
        <f>'Bull DCF'!T70</f>
        <v>0</v>
      </c>
      <c r="T709">
        <f>'Bull DCF'!U70</f>
        <v>0</v>
      </c>
      <c r="U709">
        <f>'Bull DCF'!V70</f>
        <v>0</v>
      </c>
      <c r="V709">
        <f>'Bull DCF'!W70</f>
        <v>0</v>
      </c>
      <c r="W709">
        <f>'Bull DCF'!X70</f>
        <v>0</v>
      </c>
      <c r="X709">
        <f>'Bull DCF'!Y70</f>
        <v>0</v>
      </c>
      <c r="Y709">
        <f>'Bull DCF'!Z70</f>
        <v>0</v>
      </c>
      <c r="Z709">
        <f>'Bull DCF'!AA70</f>
        <v>0</v>
      </c>
      <c r="AA709">
        <f>'Bull DCF'!AB70</f>
        <v>0</v>
      </c>
      <c r="AB709">
        <f>'Bull DCF'!AC70</f>
        <v>0</v>
      </c>
      <c r="AC709">
        <f>'Bull DCF'!AD70</f>
        <v>0</v>
      </c>
    </row>
    <row r="710" spans="1:29">
      <c r="A710">
        <f>'Bull DCF'!B71</f>
        <v>0</v>
      </c>
      <c r="B710">
        <f>'Bull DCF'!C71</f>
        <v>0</v>
      </c>
      <c r="C710">
        <f>'Bull DCF'!D71</f>
        <v>0</v>
      </c>
      <c r="D710">
        <f>'Bull DCF'!E71</f>
        <v>0</v>
      </c>
      <c r="E710">
        <f>'Bull DCF'!F71</f>
        <v>0</v>
      </c>
      <c r="F710">
        <f>'Bull DCF'!G71</f>
        <v>0</v>
      </c>
      <c r="G710">
        <f>'Bull DCF'!H71</f>
        <v>0</v>
      </c>
      <c r="H710">
        <f>'Bull DCF'!I71</f>
        <v>0</v>
      </c>
      <c r="I710">
        <f>'Bull DCF'!J71</f>
        <v>0</v>
      </c>
      <c r="J710">
        <f>'Bull DCF'!K71</f>
        <v>0</v>
      </c>
      <c r="K710">
        <f>'Bull DCF'!L71</f>
        <v>0</v>
      </c>
      <c r="L710">
        <f>'Bull DCF'!M71</f>
        <v>0</v>
      </c>
      <c r="M710">
        <f>'Bull DCF'!N71</f>
        <v>0</v>
      </c>
      <c r="N710">
        <f>'Bull DCF'!O71</f>
        <v>0</v>
      </c>
      <c r="O710">
        <f>'Bull DCF'!P71</f>
        <v>0</v>
      </c>
      <c r="P710">
        <f>'Bull DCF'!Q71</f>
        <v>0</v>
      </c>
      <c r="Q710">
        <f>'Bull DCF'!R71</f>
        <v>0</v>
      </c>
      <c r="R710">
        <f>'Bull DCF'!S71</f>
        <v>0</v>
      </c>
      <c r="S710">
        <f>'Bull DCF'!T71</f>
        <v>0</v>
      </c>
      <c r="T710">
        <f>'Bull DCF'!U71</f>
        <v>0</v>
      </c>
      <c r="U710">
        <f>'Bull DCF'!V71</f>
        <v>0</v>
      </c>
      <c r="V710">
        <f>'Bull DCF'!W71</f>
        <v>0</v>
      </c>
      <c r="W710">
        <f>'Bull DCF'!X71</f>
        <v>0</v>
      </c>
      <c r="X710">
        <f>'Bull DCF'!Y71</f>
        <v>0</v>
      </c>
      <c r="Y710">
        <f>'Bull DCF'!Z71</f>
        <v>0</v>
      </c>
      <c r="Z710">
        <f>'Bull DCF'!AA71</f>
        <v>0</v>
      </c>
      <c r="AA710">
        <f>'Bull DCF'!AB71</f>
        <v>0</v>
      </c>
      <c r="AB710">
        <f>'Bull DCF'!AC71</f>
        <v>0</v>
      </c>
      <c r="AC710">
        <f>'Bull DCF'!AD71</f>
        <v>0</v>
      </c>
    </row>
    <row r="711" spans="1:29">
      <c r="A711" t="str">
        <f>'Bull DCF'!B72</f>
        <v xml:space="preserve">SBC </v>
      </c>
      <c r="B711">
        <f>'Bull DCF'!C72</f>
        <v>0</v>
      </c>
      <c r="C711">
        <f>'Bull DCF'!D72</f>
        <v>0</v>
      </c>
      <c r="D711">
        <f>'Bull DCF'!E72</f>
        <v>0</v>
      </c>
      <c r="E711">
        <f>'Bull DCF'!F72</f>
        <v>0</v>
      </c>
      <c r="F711">
        <f>'Bull DCF'!G72</f>
        <v>0</v>
      </c>
      <c r="G711">
        <f>'Bull DCF'!H72</f>
        <v>31.842000000000002</v>
      </c>
      <c r="H711">
        <f>'Bull DCF'!I72</f>
        <v>2718.5793076518612</v>
      </c>
      <c r="I711">
        <f>'Bull DCF'!J72</f>
        <v>386.3255286560709</v>
      </c>
      <c r="J711">
        <f>'Bull DCF'!K72</f>
        <v>446.50693732069783</v>
      </c>
      <c r="K711">
        <f>'Bull DCF'!L72</f>
        <v>496.27865217153942</v>
      </c>
      <c r="L711">
        <f>'Bull DCF'!M72</f>
        <v>552.34357150349604</v>
      </c>
      <c r="M711">
        <f>'Bull DCF'!N72</f>
        <v>598.44819605609518</v>
      </c>
      <c r="N711">
        <f>'Bull DCF'!O72</f>
        <v>649.37257580304731</v>
      </c>
      <c r="O711">
        <f>'Bull DCF'!P72</f>
        <v>705.55106835410072</v>
      </c>
      <c r="P711">
        <f>'Bull DCF'!Q72</f>
        <v>767.29267117718598</v>
      </c>
      <c r="Q711">
        <f>'Bull DCF'!R72</f>
        <v>0</v>
      </c>
      <c r="R711">
        <f>'Bull DCF'!S72</f>
        <v>0</v>
      </c>
      <c r="S711">
        <f>'Bull DCF'!T72</f>
        <v>0</v>
      </c>
      <c r="T711">
        <f>'Bull DCF'!U72</f>
        <v>0</v>
      </c>
      <c r="U711">
        <f>'Bull DCF'!V72</f>
        <v>0</v>
      </c>
      <c r="V711">
        <f>'Bull DCF'!W72</f>
        <v>0</v>
      </c>
      <c r="W711">
        <f>'Bull DCF'!X72</f>
        <v>0</v>
      </c>
      <c r="X711">
        <f>'Bull DCF'!Y72</f>
        <v>0</v>
      </c>
      <c r="Y711">
        <f>'Bull DCF'!Z72</f>
        <v>0</v>
      </c>
      <c r="Z711">
        <f>'Bull DCF'!AA72</f>
        <v>0</v>
      </c>
      <c r="AA711">
        <f>'Bull DCF'!AB72</f>
        <v>0</v>
      </c>
      <c r="AB711">
        <f>'Bull DCF'!AC72</f>
        <v>0</v>
      </c>
      <c r="AC711">
        <f>'Bull DCF'!AD72</f>
        <v>0</v>
      </c>
    </row>
    <row r="712" spans="1:29">
      <c r="A712" t="str">
        <f>'Bear DCF'!B2</f>
        <v>Snap DCF Analysis</v>
      </c>
      <c r="B712">
        <f>'Bear DCF'!C2</f>
        <v>0</v>
      </c>
      <c r="C712">
        <f>'Bear DCF'!D2</f>
        <v>0</v>
      </c>
      <c r="D712">
        <f>'Bear DCF'!E2</f>
        <v>0</v>
      </c>
      <c r="E712">
        <f>'Bear DCF'!F2</f>
        <v>2014</v>
      </c>
      <c r="F712">
        <f>'Bear DCF'!G2</f>
        <v>2015</v>
      </c>
      <c r="G712">
        <f>'Bear DCF'!H2</f>
        <v>2016</v>
      </c>
      <c r="H712">
        <f>'Bear DCF'!I2</f>
        <v>2017</v>
      </c>
      <c r="I712">
        <f>'Bear DCF'!J2</f>
        <v>2018</v>
      </c>
      <c r="J712">
        <f>'Bear DCF'!K2</f>
        <v>2019</v>
      </c>
      <c r="K712">
        <f>'Bear DCF'!L2</f>
        <v>2020</v>
      </c>
      <c r="L712">
        <f>'Bear DCF'!M2</f>
        <v>2021</v>
      </c>
      <c r="M712">
        <f>'Bear DCF'!N2</f>
        <v>2022</v>
      </c>
      <c r="N712">
        <f>'Bear DCF'!O2</f>
        <v>2023</v>
      </c>
      <c r="O712">
        <f>'Bear DCF'!P2</f>
        <v>2024</v>
      </c>
      <c r="P712">
        <f>'Bear DCF'!Q2</f>
        <v>2025</v>
      </c>
      <c r="Q712" t="str">
        <f>'Bear DCF'!R2</f>
        <v>Terminal Year</v>
      </c>
      <c r="R712">
        <f>'Bear DCF'!S2</f>
        <v>0</v>
      </c>
      <c r="S712" t="str">
        <f>'Bear DCF'!T2</f>
        <v>'16-'25 CAGR</v>
      </c>
      <c r="T712">
        <f>'Bear DCF'!U2</f>
        <v>0</v>
      </c>
    </row>
    <row r="713" spans="1:29">
      <c r="A713" t="str">
        <f>'Bear DCF'!B3</f>
        <v>Discounted Cash Flow Analysis</v>
      </c>
      <c r="B713">
        <f>'Bear DCF'!C3</f>
        <v>0</v>
      </c>
      <c r="C713">
        <f>'Bear DCF'!D3</f>
        <v>0</v>
      </c>
      <c r="D713">
        <f>'Bear DCF'!E3</f>
        <v>0</v>
      </c>
      <c r="E713">
        <f>'Bear DCF'!F3</f>
        <v>0</v>
      </c>
      <c r="F713">
        <f>'Bear DCF'!G3</f>
        <v>0</v>
      </c>
      <c r="G713">
        <f>'Bear DCF'!H3</f>
        <v>0</v>
      </c>
      <c r="H713">
        <f>'Bear DCF'!I3</f>
        <v>0</v>
      </c>
      <c r="I713">
        <f>'Bear DCF'!J3</f>
        <v>0</v>
      </c>
      <c r="J713">
        <f>'Bear DCF'!K3</f>
        <v>0</v>
      </c>
      <c r="K713">
        <f>'Bear DCF'!L3</f>
        <v>0</v>
      </c>
      <c r="L713">
        <f>'Bear DCF'!M3</f>
        <v>0</v>
      </c>
      <c r="M713">
        <f>'Bear DCF'!N3</f>
        <v>0</v>
      </c>
      <c r="N713">
        <f>'Bear DCF'!O3</f>
        <v>0</v>
      </c>
      <c r="O713">
        <f>'Bear DCF'!P3</f>
        <v>0</v>
      </c>
      <c r="P713">
        <f>'Bear DCF'!Q3</f>
        <v>0</v>
      </c>
      <c r="Q713">
        <f>'Bear DCF'!R3</f>
        <v>0</v>
      </c>
      <c r="R713">
        <f>'Bear DCF'!S3</f>
        <v>0</v>
      </c>
      <c r="S713">
        <f>'Bear DCF'!T3</f>
        <v>0</v>
      </c>
      <c r="T713">
        <f>'Bear DCF'!U3</f>
        <v>0</v>
      </c>
    </row>
    <row r="714" spans="1:29">
      <c r="A714" t="str">
        <f>'Bear DCF'!B4</f>
        <v>Net revenue</v>
      </c>
      <c r="B714">
        <f>'Bear DCF'!C4</f>
        <v>0</v>
      </c>
      <c r="C714">
        <f>'Bear DCF'!D4</f>
        <v>0</v>
      </c>
      <c r="D714">
        <f>'Bear DCF'!E4</f>
        <v>0</v>
      </c>
      <c r="E714">
        <f>'Bear DCF'!F4</f>
        <v>0</v>
      </c>
      <c r="F714">
        <f>'Bear DCF'!G4</f>
        <v>58.663000000000004</v>
      </c>
      <c r="G714">
        <f>'Bear DCF'!H4</f>
        <v>404.48199999999997</v>
      </c>
      <c r="H714">
        <f>'Bear DCF'!I4</f>
        <v>794.61284999999998</v>
      </c>
      <c r="I714">
        <f>'Bear DCF'!J4</f>
        <v>1205.1206090926848</v>
      </c>
      <c r="J714">
        <f>'Bear DCF'!K4</f>
        <v>1717.1727685493711</v>
      </c>
      <c r="K714">
        <f>'Bear DCF'!L4</f>
        <v>2316.9047060348644</v>
      </c>
      <c r="L714">
        <f>'Bear DCF'!M4</f>
        <v>2975.8117073478938</v>
      </c>
      <c r="M714">
        <f>'Bear DCF'!N4</f>
        <v>3650.9533982851635</v>
      </c>
      <c r="N714">
        <f>'Bear DCF'!O4</f>
        <v>4259.4341804372352</v>
      </c>
      <c r="O714">
        <f>'Bear DCF'!P4</f>
        <v>4763.9413590902323</v>
      </c>
      <c r="P714">
        <f>'Bear DCF'!Q4</f>
        <v>5177.173381766901</v>
      </c>
      <c r="Q714">
        <f>'Bear DCF'!R4</f>
        <v>5332.4885832199079</v>
      </c>
      <c r="R714">
        <f>'Bear DCF'!S4</f>
        <v>0</v>
      </c>
      <c r="S714">
        <f>'Bear DCF'!T4</f>
        <v>0.32746017615619949</v>
      </c>
      <c r="T714">
        <f>'Bear DCF'!U4</f>
        <v>0</v>
      </c>
    </row>
    <row r="715" spans="1:29">
      <c r="A715" t="str">
        <f>'Bear DCF'!B5</f>
        <v>% change Y/Y</v>
      </c>
      <c r="B715">
        <f>'Bear DCF'!C5</f>
        <v>0</v>
      </c>
      <c r="C715">
        <f>'Bear DCF'!D5</f>
        <v>0</v>
      </c>
      <c r="D715">
        <f>'Bear DCF'!E5</f>
        <v>0</v>
      </c>
      <c r="E715">
        <f>'Bear DCF'!F5</f>
        <v>0</v>
      </c>
      <c r="F715">
        <f>'Bear DCF'!G5</f>
        <v>0</v>
      </c>
      <c r="G715">
        <f>'Bear DCF'!H5</f>
        <v>0</v>
      </c>
      <c r="H715">
        <f>'Bear DCF'!I5</f>
        <v>0.96451968196359794</v>
      </c>
      <c r="I715">
        <f>'Bear DCF'!J5</f>
        <v>0.51661354217048583</v>
      </c>
      <c r="J715">
        <f>'Bear DCF'!K5</f>
        <v>0.42489702324666218</v>
      </c>
      <c r="K715">
        <f>'Bear DCF'!L5</f>
        <v>0.34925544387250745</v>
      </c>
      <c r="L715">
        <f>'Bear DCF'!M5</f>
        <v>0.28439106692509525</v>
      </c>
      <c r="M715">
        <f>'Bear DCF'!N5</f>
        <v>0.22687648189238757</v>
      </c>
      <c r="N715">
        <f>'Bear DCF'!O5</f>
        <v>0.16666353025428154</v>
      </c>
      <c r="O715">
        <f>'Bear DCF'!P5</f>
        <v>0.11844464717170684</v>
      </c>
      <c r="P715">
        <f>'Bear DCF'!Q5</f>
        <v>8.6741626634040572E-2</v>
      </c>
      <c r="Q715">
        <f>'Bear DCF'!R5</f>
        <v>3.0000000000000027E-2</v>
      </c>
      <c r="R715">
        <f>'Bear DCF'!S5</f>
        <v>0</v>
      </c>
      <c r="S715">
        <f>'Bear DCF'!T5</f>
        <v>0</v>
      </c>
      <c r="T715">
        <f>'Bear DCF'!U5</f>
        <v>0</v>
      </c>
    </row>
    <row r="716" spans="1:29">
      <c r="A716">
        <f>'Bear DCF'!B6</f>
        <v>0</v>
      </c>
      <c r="B716">
        <f>'Bear DCF'!C6</f>
        <v>0</v>
      </c>
      <c r="C716">
        <f>'Bear DCF'!D6</f>
        <v>0</v>
      </c>
      <c r="D716">
        <f>'Bear DCF'!E6</f>
        <v>0</v>
      </c>
      <c r="E716">
        <f>'Bear DCF'!F6</f>
        <v>0</v>
      </c>
      <c r="F716">
        <f>'Bear DCF'!G6</f>
        <v>0</v>
      </c>
      <c r="G716">
        <f>'Bear DCF'!H6</f>
        <v>0</v>
      </c>
      <c r="H716">
        <f>'Bear DCF'!I6</f>
        <v>0</v>
      </c>
      <c r="I716">
        <f>'Bear DCF'!J6</f>
        <v>0</v>
      </c>
      <c r="J716">
        <f>'Bear DCF'!K6</f>
        <v>0</v>
      </c>
      <c r="K716">
        <f>'Bear DCF'!L6</f>
        <v>0</v>
      </c>
      <c r="L716">
        <f>'Bear DCF'!M6</f>
        <v>0</v>
      </c>
      <c r="M716">
        <f>'Bear DCF'!N6</f>
        <v>0</v>
      </c>
      <c r="N716">
        <f>'Bear DCF'!O6</f>
        <v>0</v>
      </c>
      <c r="O716">
        <f>'Bear DCF'!P6</f>
        <v>0</v>
      </c>
      <c r="P716">
        <f>'Bear DCF'!Q6</f>
        <v>0</v>
      </c>
      <c r="Q716">
        <f>'Bear DCF'!R6</f>
        <v>0</v>
      </c>
      <c r="R716">
        <f>'Bear DCF'!S6</f>
        <v>0</v>
      </c>
      <c r="S716">
        <f>'Bear DCF'!T6</f>
        <v>0</v>
      </c>
      <c r="T716">
        <f>'Bear DCF'!U6</f>
        <v>0</v>
      </c>
    </row>
    <row r="717" spans="1:29">
      <c r="A717" t="str">
        <f>'Bear DCF'!B7</f>
        <v>Adjusted EBITDA</v>
      </c>
      <c r="B717">
        <f>'Bear DCF'!C7</f>
        <v>0</v>
      </c>
      <c r="C717">
        <f>'Bear DCF'!D7</f>
        <v>0</v>
      </c>
      <c r="D717">
        <f>'Bear DCF'!E7</f>
        <v>0</v>
      </c>
      <c r="E717">
        <f>'Bear DCF'!F7</f>
        <v>0</v>
      </c>
      <c r="F717">
        <f>'Bear DCF'!G7</f>
        <v>-292.89799999999991</v>
      </c>
      <c r="G717">
        <f>'Bear DCF'!H7</f>
        <v>-459.428</v>
      </c>
      <c r="H717">
        <f>'Bear DCF'!I7</f>
        <v>-717.4155039880518</v>
      </c>
      <c r="I717">
        <f>'Bear DCF'!J7</f>
        <v>-716.83420852690472</v>
      </c>
      <c r="J717">
        <f>'Bear DCF'!K7</f>
        <v>-422.4636719028868</v>
      </c>
      <c r="K717">
        <f>'Bear DCF'!L7</f>
        <v>-196.38637980197768</v>
      </c>
      <c r="L717">
        <f>'Bear DCF'!M7</f>
        <v>98.826045987486793</v>
      </c>
      <c r="M717">
        <f>'Bear DCF'!N7</f>
        <v>439.83858429744237</v>
      </c>
      <c r="N717">
        <f>'Bear DCF'!O7</f>
        <v>761.10047434973842</v>
      </c>
      <c r="O717">
        <f>'Bear DCF'!P7</f>
        <v>1029.5962797668053</v>
      </c>
      <c r="P717">
        <f>'Bear DCF'!Q7</f>
        <v>1250.4154877358073</v>
      </c>
      <c r="Q717">
        <f>'Bear DCF'!R7</f>
        <v>1287.9279523678815</v>
      </c>
      <c r="R717">
        <f>'Bear DCF'!S7</f>
        <v>0</v>
      </c>
      <c r="S717">
        <f>'Bear DCF'!T7</f>
        <v>0</v>
      </c>
      <c r="T717">
        <f>'Bear DCF'!U7</f>
        <v>0</v>
      </c>
    </row>
    <row r="718" spans="1:29">
      <c r="A718" t="str">
        <f>'Bear DCF'!B8</f>
        <v>(-) Cash taxes</v>
      </c>
      <c r="B718">
        <f>'Bear DCF'!C8</f>
        <v>0</v>
      </c>
      <c r="C718">
        <f>'Bear DCF'!D8</f>
        <v>0</v>
      </c>
      <c r="D718">
        <f>'Bear DCF'!E8</f>
        <v>0</v>
      </c>
      <c r="E718">
        <f>'Bear DCF'!F8</f>
        <v>0</v>
      </c>
      <c r="F718">
        <f>'Bear DCF'!G8</f>
        <v>0</v>
      </c>
      <c r="G718">
        <f>'Bear DCF'!H8</f>
        <v>0</v>
      </c>
      <c r="H718">
        <f>'Bear DCF'!I8</f>
        <v>0</v>
      </c>
      <c r="I718">
        <f>'Bear DCF'!J8</f>
        <v>0</v>
      </c>
      <c r="J718">
        <f>'Bear DCF'!K8</f>
        <v>0</v>
      </c>
      <c r="K718">
        <f>'Bear DCF'!L8</f>
        <v>0</v>
      </c>
      <c r="L718">
        <f>'Bear DCF'!M8</f>
        <v>0</v>
      </c>
      <c r="M718">
        <f>'Bear DCF'!N8</f>
        <v>0</v>
      </c>
      <c r="N718">
        <f>'Bear DCF'!O8</f>
        <v>0</v>
      </c>
      <c r="O718">
        <f>'Bear DCF'!P8</f>
        <v>0</v>
      </c>
      <c r="P718">
        <f>'Bear DCF'!Q8</f>
        <v>0</v>
      </c>
      <c r="Q718">
        <f>'Bear DCF'!R8</f>
        <v>0</v>
      </c>
      <c r="R718">
        <f>'Bear DCF'!S8</f>
        <v>0</v>
      </c>
      <c r="S718">
        <f>'Bear DCF'!T8</f>
        <v>0</v>
      </c>
      <c r="T718">
        <f>'Bear DCF'!U8</f>
        <v>0</v>
      </c>
    </row>
    <row r="719" spans="1:29">
      <c r="A719" t="str">
        <f>'Bear DCF'!B9</f>
        <v>(+/-) Changes in working capital</v>
      </c>
      <c r="B719">
        <f>'Bear DCF'!C9</f>
        <v>0</v>
      </c>
      <c r="C719">
        <f>'Bear DCF'!D9</f>
        <v>0</v>
      </c>
      <c r="D719">
        <f>'Bear DCF'!E9</f>
        <v>0</v>
      </c>
      <c r="E719">
        <f>'Bear DCF'!F9</f>
        <v>0</v>
      </c>
      <c r="F719">
        <f>'Bear DCF'!G9</f>
        <v>-15.485999999999997</v>
      </c>
      <c r="G719">
        <f>'Bear DCF'!H9</f>
        <v>-150.49600000000001</v>
      </c>
      <c r="H719">
        <f>'Bear DCF'!I9</f>
        <v>0.42410534181192361</v>
      </c>
      <c r="I719">
        <f>'Bear DCF'!J9</f>
        <v>-255.60896239615363</v>
      </c>
      <c r="J719">
        <f>'Bear DCF'!K9</f>
        <v>289.38019574073701</v>
      </c>
      <c r="K719">
        <f>'Bear DCF'!L9</f>
        <v>418.33498741171724</v>
      </c>
      <c r="L719">
        <f>'Bear DCF'!M9</f>
        <v>337.86904390643843</v>
      </c>
      <c r="M719">
        <f>'Bear DCF'!N9</f>
        <v>116.31012674595092</v>
      </c>
      <c r="N719">
        <f>'Bear DCF'!O9</f>
        <v>5.0353665766048152</v>
      </c>
      <c r="O719">
        <f>'Bear DCF'!P9</f>
        <v>-36.063399009547766</v>
      </c>
      <c r="P719">
        <f>'Bear DCF'!Q9</f>
        <v>-47.886341471625883</v>
      </c>
      <c r="Q719">
        <f>'Bear DCF'!R9</f>
        <v>0</v>
      </c>
      <c r="R719">
        <f>'Bear DCF'!S9</f>
        <v>0</v>
      </c>
      <c r="S719">
        <f>'Bear DCF'!T9</f>
        <v>0</v>
      </c>
      <c r="T719">
        <f>'Bear DCF'!U9</f>
        <v>0</v>
      </c>
    </row>
    <row r="720" spans="1:29">
      <c r="A720" t="str">
        <f>'Bear DCF'!B10</f>
        <v>(-) Capex</v>
      </c>
      <c r="B720">
        <f>'Bear DCF'!C10</f>
        <v>0</v>
      </c>
      <c r="C720">
        <f>'Bear DCF'!D10</f>
        <v>0</v>
      </c>
      <c r="D720">
        <f>'Bear DCF'!E10</f>
        <v>0</v>
      </c>
      <c r="E720">
        <f>'Bear DCF'!F10</f>
        <v>0</v>
      </c>
      <c r="F720">
        <f>'Bear DCF'!G10</f>
        <v>28.305</v>
      </c>
      <c r="G720">
        <f>'Bear DCF'!H10</f>
        <v>67.013000000000005</v>
      </c>
      <c r="H720">
        <f>'Bear DCF'!I10</f>
        <v>81.40998880694444</v>
      </c>
      <c r="I720">
        <f>'Bear DCF'!J10</f>
        <v>90.423512693521033</v>
      </c>
      <c r="J720">
        <f>'Bear DCF'!K10</f>
        <v>97.237278551633537</v>
      </c>
      <c r="K720">
        <f>'Bear DCF'!L10</f>
        <v>102.02917270710759</v>
      </c>
      <c r="L720">
        <f>'Bear DCF'!M10</f>
        <v>104.98503094362508</v>
      </c>
      <c r="M720">
        <f>'Bear DCF'!N10</f>
        <v>107.02734594279111</v>
      </c>
      <c r="N720">
        <f>'Bear DCF'!O10</f>
        <v>106.78218759029599</v>
      </c>
      <c r="O720">
        <f>'Bear DCF'!P10</f>
        <v>105.25274209087962</v>
      </c>
      <c r="P720">
        <f>'Bear DCF'!Q10</f>
        <v>102.69859958207468</v>
      </c>
      <c r="Q720">
        <f>'Bear DCF'!R10</f>
        <v>0</v>
      </c>
      <c r="R720">
        <f>'Bear DCF'!S10</f>
        <v>0</v>
      </c>
      <c r="S720">
        <f>'Bear DCF'!T10</f>
        <v>0</v>
      </c>
      <c r="T720">
        <f>'Bear DCF'!U10</f>
        <v>0</v>
      </c>
    </row>
    <row r="721" spans="1:20">
      <c r="A721" t="str">
        <f>'Bear DCF'!B11</f>
        <v>(-) Stock-based compensation</v>
      </c>
      <c r="B721">
        <f>'Bear DCF'!C11</f>
        <v>0</v>
      </c>
      <c r="C721">
        <f>'Bear DCF'!D11</f>
        <v>0</v>
      </c>
      <c r="D721">
        <f>'Bear DCF'!E11</f>
        <v>0</v>
      </c>
      <c r="E721">
        <f>'Bear DCF'!F11</f>
        <v>0</v>
      </c>
      <c r="F721">
        <f>'Bear DCF'!G11</f>
        <v>73.524000000000001</v>
      </c>
      <c r="G721">
        <f>'Bear DCF'!H11</f>
        <v>31.842000000000002</v>
      </c>
      <c r="H721">
        <f>'Bear DCF'!I11</f>
        <v>75</v>
      </c>
      <c r="I721">
        <f>'Bear DCF'!J11</f>
        <v>338.68202951652762</v>
      </c>
      <c r="J721">
        <f>'Bear DCF'!K11</f>
        <v>361.85611828519086</v>
      </c>
      <c r="K721">
        <f>'Bear DCF'!L11</f>
        <v>370.2251915293773</v>
      </c>
      <c r="L721">
        <f>'Bear DCF'!M11</f>
        <v>377.7831527263815</v>
      </c>
      <c r="M721">
        <f>'Bear DCF'!N11</f>
        <v>373.82035498060645</v>
      </c>
      <c r="N721">
        <f>'Bear DCF'!O11</f>
        <v>368.80257220724889</v>
      </c>
      <c r="O721">
        <f>'Bear DCF'!P11</f>
        <v>362.90709159589414</v>
      </c>
      <c r="P721">
        <f>'Bear DCF'!Q11</f>
        <v>356.45236918096197</v>
      </c>
      <c r="Q721">
        <f>'Bear DCF'!R11</f>
        <v>0</v>
      </c>
      <c r="R721">
        <f>'Bear DCF'!S11</f>
        <v>0</v>
      </c>
      <c r="S721">
        <f>'Bear DCF'!T11</f>
        <v>0</v>
      </c>
      <c r="T721">
        <f>'Bear DCF'!U11</f>
        <v>0</v>
      </c>
    </row>
    <row r="722" spans="1:20">
      <c r="A722" t="str">
        <f>'Bear DCF'!B12</f>
        <v>Free cash flow (for valuation)</v>
      </c>
      <c r="B722">
        <f>'Bear DCF'!C12</f>
        <v>0</v>
      </c>
      <c r="C722">
        <f>'Bear DCF'!D12</f>
        <v>0</v>
      </c>
      <c r="D722">
        <f>'Bear DCF'!E12</f>
        <v>0</v>
      </c>
      <c r="E722">
        <f>'Bear DCF'!F12</f>
        <v>0</v>
      </c>
      <c r="F722">
        <f>'Bear DCF'!G12</f>
        <v>-410.21299999999991</v>
      </c>
      <c r="G722">
        <f>'Bear DCF'!H12</f>
        <v>-708.779</v>
      </c>
      <c r="H722">
        <f>'Bear DCF'!I12</f>
        <v>-873.40138745318427</v>
      </c>
      <c r="I722">
        <f>'Bear DCF'!J12</f>
        <v>-1401.548713133107</v>
      </c>
      <c r="J722">
        <f>'Bear DCF'!K12</f>
        <v>-592.1768729989742</v>
      </c>
      <c r="K722">
        <f>'Bear DCF'!L12</f>
        <v>-250.30575662674534</v>
      </c>
      <c r="L722">
        <f>'Bear DCF'!M12</f>
        <v>-46.073093776081343</v>
      </c>
      <c r="M722">
        <f>'Bear DCF'!N12</f>
        <v>75.301010119995695</v>
      </c>
      <c r="N722">
        <f>'Bear DCF'!O12</f>
        <v>290.55108112879833</v>
      </c>
      <c r="O722">
        <f>'Bear DCF'!P12</f>
        <v>525.37304707048384</v>
      </c>
      <c r="P722">
        <f>'Bear DCF'!Q12</f>
        <v>743.37817750114482</v>
      </c>
      <c r="Q722">
        <f>'Bear DCF'!R12</f>
        <v>643.96397618394076</v>
      </c>
      <c r="R722">
        <f>'Bear DCF'!S12</f>
        <v>0</v>
      </c>
      <c r="S722">
        <f>'Bear DCF'!T12</f>
        <v>0</v>
      </c>
      <c r="T722">
        <f>'Bear DCF'!U12</f>
        <v>0</v>
      </c>
    </row>
    <row r="723" spans="1:20">
      <c r="A723" t="str">
        <f>'Bear DCF'!B13</f>
        <v>% of revenue</v>
      </c>
      <c r="B723">
        <f>'Bear DCF'!C13</f>
        <v>0</v>
      </c>
      <c r="C723">
        <f>'Bear DCF'!D13</f>
        <v>0</v>
      </c>
      <c r="D723">
        <f>'Bear DCF'!E13</f>
        <v>0</v>
      </c>
      <c r="E723">
        <f>'Bear DCF'!F13</f>
        <v>0</v>
      </c>
      <c r="F723">
        <f>'Bear DCF'!G13</f>
        <v>0</v>
      </c>
      <c r="G723">
        <f>'Bear DCF'!H13</f>
        <v>0</v>
      </c>
      <c r="H723">
        <f>'Bear DCF'!I13</f>
        <v>0</v>
      </c>
      <c r="I723">
        <f>'Bear DCF'!J13</f>
        <v>0</v>
      </c>
      <c r="J723">
        <f>'Bear DCF'!K13</f>
        <v>0</v>
      </c>
      <c r="K723">
        <f>'Bear DCF'!L13</f>
        <v>0</v>
      </c>
      <c r="L723">
        <f>'Bear DCF'!M13</f>
        <v>0</v>
      </c>
      <c r="M723">
        <f>'Bear DCF'!N13</f>
        <v>0</v>
      </c>
      <c r="N723">
        <f>'Bear DCF'!O13</f>
        <v>0</v>
      </c>
      <c r="O723">
        <f>'Bear DCF'!P13</f>
        <v>0</v>
      </c>
      <c r="P723">
        <f>'Bear DCF'!Q13</f>
        <v>0</v>
      </c>
      <c r="Q723">
        <f>'Bear DCF'!R13</f>
        <v>0</v>
      </c>
      <c r="R723">
        <f>'Bear DCF'!S13</f>
        <v>0</v>
      </c>
      <c r="S723">
        <f>'Bear DCF'!T13</f>
        <v>0</v>
      </c>
      <c r="T723">
        <f>'Bear DCF'!U13</f>
        <v>0</v>
      </c>
    </row>
    <row r="724" spans="1:20">
      <c r="A724">
        <f>'Bear DCF'!B14</f>
        <v>0</v>
      </c>
      <c r="B724">
        <f>'Bear DCF'!C14</f>
        <v>0</v>
      </c>
      <c r="C724">
        <f>'Bear DCF'!D14</f>
        <v>0</v>
      </c>
      <c r="D724">
        <f>'Bear DCF'!E14</f>
        <v>0</v>
      </c>
      <c r="E724">
        <f>'Bear DCF'!F14</f>
        <v>0</v>
      </c>
      <c r="F724">
        <f>'Bear DCF'!G14</f>
        <v>0</v>
      </c>
      <c r="G724">
        <f>'Bear DCF'!H14</f>
        <v>0</v>
      </c>
      <c r="H724">
        <f>'Bear DCF'!I14</f>
        <v>0</v>
      </c>
      <c r="I724">
        <f>'Bear DCF'!J14</f>
        <v>0</v>
      </c>
      <c r="J724">
        <f>'Bear DCF'!K14</f>
        <v>0</v>
      </c>
      <c r="K724">
        <f>'Bear DCF'!L14</f>
        <v>0</v>
      </c>
      <c r="L724">
        <f>'Bear DCF'!M14</f>
        <v>0</v>
      </c>
      <c r="M724">
        <f>'Bear DCF'!N14</f>
        <v>0</v>
      </c>
      <c r="N724">
        <f>'Bear DCF'!O14</f>
        <v>0</v>
      </c>
      <c r="O724">
        <f>'Bear DCF'!P14</f>
        <v>0</v>
      </c>
      <c r="P724">
        <f>'Bear DCF'!Q14</f>
        <v>0</v>
      </c>
      <c r="Q724">
        <f>'Bear DCF'!R14</f>
        <v>0</v>
      </c>
      <c r="R724">
        <f>'Bear DCF'!S14</f>
        <v>0</v>
      </c>
      <c r="S724">
        <f>'Bear DCF'!T14</f>
        <v>0</v>
      </c>
      <c r="T724">
        <f>'Bear DCF'!U14</f>
        <v>0</v>
      </c>
    </row>
    <row r="725" spans="1:20">
      <c r="A725" t="str">
        <f>'Bear DCF'!B15</f>
        <v>EBITDA Margin</v>
      </c>
      <c r="B725">
        <f>'Bear DCF'!C15</f>
        <v>0</v>
      </c>
      <c r="C725">
        <f>'Bear DCF'!D15</f>
        <v>0</v>
      </c>
      <c r="D725">
        <f>'Bear DCF'!E15</f>
        <v>0</v>
      </c>
      <c r="E725">
        <f>'Bear DCF'!F15</f>
        <v>0</v>
      </c>
      <c r="F725">
        <f>'Bear DCF'!G15</f>
        <v>-4.9928916011796174</v>
      </c>
      <c r="G725">
        <f>'Bear DCF'!H15</f>
        <v>-1.1358428805237317</v>
      </c>
      <c r="H725">
        <f>'Bear DCF'!I15</f>
        <v>-0.90284910946009977</v>
      </c>
      <c r="I725">
        <f>'Bear DCF'!J15</f>
        <v>-0.59482362438942704</v>
      </c>
      <c r="J725">
        <f>'Bear DCF'!K15</f>
        <v>-0.2460228112397651</v>
      </c>
      <c r="K725">
        <f>'Bear DCF'!L15</f>
        <v>-8.4762389791193465E-2</v>
      </c>
      <c r="L725">
        <f>'Bear DCF'!M15</f>
        <v>3.320977793839068E-2</v>
      </c>
      <c r="M725">
        <f>'Bear DCF'!N15</f>
        <v>0.1204722537691203</v>
      </c>
      <c r="N725">
        <f>'Bear DCF'!O15</f>
        <v>0.17868581649772333</v>
      </c>
      <c r="O725">
        <f>'Bear DCF'!P15</f>
        <v>0.21612278618883479</v>
      </c>
      <c r="P725">
        <f>'Bear DCF'!Q15</f>
        <v>0.24152474632963847</v>
      </c>
      <c r="Q725">
        <f>'Bear DCF'!R15</f>
        <v>0.24152474632963847</v>
      </c>
      <c r="R725">
        <f>'Bear DCF'!S15</f>
        <v>0</v>
      </c>
      <c r="S725">
        <f>'Bear DCF'!T15</f>
        <v>0</v>
      </c>
      <c r="T725">
        <f>'Bear DCF'!U15</f>
        <v>0</v>
      </c>
    </row>
    <row r="726" spans="1:20">
      <c r="A726" t="str">
        <f>'Bear DCF'!B16</f>
        <v>Incremental EBITDA Margin</v>
      </c>
      <c r="B726">
        <f>'Bear DCF'!C16</f>
        <v>0</v>
      </c>
      <c r="C726">
        <f>'Bear DCF'!D16</f>
        <v>0</v>
      </c>
      <c r="D726">
        <f>'Bear DCF'!E16</f>
        <v>0</v>
      </c>
      <c r="E726">
        <f>'Bear DCF'!F16</f>
        <v>0</v>
      </c>
      <c r="F726">
        <f>'Bear DCF'!G16</f>
        <v>0</v>
      </c>
      <c r="G726">
        <f>'Bear DCF'!H16</f>
        <v>-0.48155248844048509</v>
      </c>
      <c r="H726">
        <f>'Bear DCF'!I16</f>
        <v>-0.66128455103730399</v>
      </c>
      <c r="I726">
        <f>'Bear DCF'!J16</f>
        <v>1.4160401314505559E-3</v>
      </c>
      <c r="J726">
        <f>'Bear DCF'!K16</f>
        <v>0.57488388865767159</v>
      </c>
      <c r="K726">
        <f>'Bear DCF'!L16</f>
        <v>0.37696390332118612</v>
      </c>
      <c r="L726">
        <f>'Bear DCF'!M16</f>
        <v>0.44803352400442437</v>
      </c>
      <c r="M726">
        <f>'Bear DCF'!N16</f>
        <v>0.50509773413124992</v>
      </c>
      <c r="N726">
        <f>'Bear DCF'!O16</f>
        <v>0.52797376593564493</v>
      </c>
      <c r="O726">
        <f>'Bear DCF'!P16</f>
        <v>0.53219422196119015</v>
      </c>
      <c r="P726">
        <f>'Bear DCF'!Q16</f>
        <v>0.53437099704584334</v>
      </c>
      <c r="Q726">
        <f>'Bear DCF'!R16</f>
        <v>0</v>
      </c>
      <c r="R726">
        <f>'Bear DCF'!S16</f>
        <v>0</v>
      </c>
      <c r="S726">
        <f>'Bear DCF'!T16</f>
        <v>0</v>
      </c>
      <c r="T726">
        <f>'Bear DCF'!U16</f>
        <v>0</v>
      </c>
    </row>
    <row r="727" spans="1:20">
      <c r="A727" t="str">
        <f>'Bear DCF'!B17</f>
        <v>UFCF / EBITDA</v>
      </c>
      <c r="B727">
        <f>'Bear DCF'!C17</f>
        <v>0</v>
      </c>
      <c r="C727">
        <f>'Bear DCF'!D17</f>
        <v>0</v>
      </c>
      <c r="D727">
        <f>'Bear DCF'!E17</f>
        <v>0</v>
      </c>
      <c r="E727">
        <f>'Bear DCF'!F17</f>
        <v>0</v>
      </c>
      <c r="F727">
        <f>'Bear DCF'!G17</f>
        <v>1.4005319257898656</v>
      </c>
      <c r="G727">
        <f>'Bear DCF'!H17</f>
        <v>1.5427422795301984</v>
      </c>
      <c r="H727">
        <f>'Bear DCF'!I17</f>
        <v>1.2174275334140678</v>
      </c>
      <c r="I727">
        <f>'Bear DCF'!J17</f>
        <v>1.9551922836011015</v>
      </c>
      <c r="J727">
        <f>'Bear DCF'!K17</f>
        <v>1.4017225915110163</v>
      </c>
      <c r="K727">
        <f>'Bear DCF'!L17</f>
        <v>1.274557618909907</v>
      </c>
      <c r="L727">
        <f>'Bear DCF'!M17</f>
        <v>-0.46620395783025709</v>
      </c>
      <c r="M727">
        <f>'Bear DCF'!N17</f>
        <v>0.17120146528362123</v>
      </c>
      <c r="N727">
        <f>'Bear DCF'!O17</f>
        <v>0.38175128109995798</v>
      </c>
      <c r="O727">
        <f>'Bear DCF'!P17</f>
        <v>0.510270925988074</v>
      </c>
      <c r="P727">
        <f>'Bear DCF'!Q17</f>
        <v>0.59450493439362184</v>
      </c>
      <c r="Q727">
        <f>'Bear DCF'!R17</f>
        <v>0.5</v>
      </c>
      <c r="R727">
        <f>'Bear DCF'!S17</f>
        <v>0</v>
      </c>
      <c r="S727">
        <f>'Bear DCF'!T17</f>
        <v>0</v>
      </c>
      <c r="T727">
        <f>'Bear DCF'!U17</f>
        <v>0</v>
      </c>
    </row>
    <row r="728" spans="1:20">
      <c r="A728">
        <f>'Bear DCF'!B18</f>
        <v>0</v>
      </c>
      <c r="B728">
        <f>'Bear DCF'!C18</f>
        <v>0</v>
      </c>
      <c r="C728">
        <f>'Bear DCF'!D18</f>
        <v>0</v>
      </c>
      <c r="D728">
        <f>'Bear DCF'!E18</f>
        <v>0</v>
      </c>
      <c r="E728">
        <f>'Bear DCF'!F18</f>
        <v>0</v>
      </c>
      <c r="F728">
        <f>'Bear DCF'!G18</f>
        <v>0</v>
      </c>
      <c r="G728">
        <f>'Bear DCF'!H18</f>
        <v>0</v>
      </c>
      <c r="H728">
        <f>'Bear DCF'!I18</f>
        <v>0</v>
      </c>
      <c r="I728">
        <f>'Bear DCF'!J18</f>
        <v>0</v>
      </c>
      <c r="J728">
        <f>'Bear DCF'!K18</f>
        <v>0</v>
      </c>
      <c r="K728">
        <f>'Bear DCF'!L18</f>
        <v>0</v>
      </c>
      <c r="L728">
        <f>'Bear DCF'!M18</f>
        <v>0</v>
      </c>
      <c r="M728">
        <f>'Bear DCF'!N18</f>
        <v>0</v>
      </c>
      <c r="N728">
        <f>'Bear DCF'!O18</f>
        <v>0</v>
      </c>
      <c r="O728">
        <f>'Bear DCF'!P18</f>
        <v>0</v>
      </c>
      <c r="P728">
        <f>'Bear DCF'!Q18</f>
        <v>0</v>
      </c>
      <c r="Q728">
        <f>'Bear DCF'!R18</f>
        <v>0</v>
      </c>
      <c r="R728">
        <f>'Bear DCF'!S18</f>
        <v>0</v>
      </c>
      <c r="S728">
        <f>'Bear DCF'!T18</f>
        <v>0</v>
      </c>
      <c r="T728">
        <f>'Bear DCF'!U18</f>
        <v>0</v>
      </c>
    </row>
    <row r="729" spans="1:20">
      <c r="A729" t="str">
        <f>'Bear DCF'!B19</f>
        <v>NPV Calculation</v>
      </c>
      <c r="B729">
        <f>'Bear DCF'!C19</f>
        <v>0</v>
      </c>
      <c r="C729">
        <f>'Bear DCF'!D19</f>
        <v>0</v>
      </c>
      <c r="D729">
        <f>'Bear DCF'!E19</f>
        <v>0</v>
      </c>
      <c r="E729">
        <f>'Bear DCF'!F19</f>
        <v>0</v>
      </c>
      <c r="F729">
        <f>'Bear DCF'!G19</f>
        <v>0</v>
      </c>
      <c r="G729">
        <f>'Bear DCF'!H19</f>
        <v>0</v>
      </c>
      <c r="H729">
        <f>'Bear DCF'!I19</f>
        <v>2017</v>
      </c>
      <c r="I729">
        <f>'Bear DCF'!J19</f>
        <v>2018</v>
      </c>
      <c r="J729">
        <f>'Bear DCF'!K19</f>
        <v>2019</v>
      </c>
      <c r="K729">
        <f>'Bear DCF'!L19</f>
        <v>2020</v>
      </c>
      <c r="L729">
        <f>'Bear DCF'!M19</f>
        <v>2021</v>
      </c>
      <c r="M729">
        <f>'Bear DCF'!N19</f>
        <v>2022</v>
      </c>
      <c r="N729">
        <f>'Bear DCF'!O19</f>
        <v>2023</v>
      </c>
      <c r="O729">
        <f>'Bear DCF'!P19</f>
        <v>2024</v>
      </c>
      <c r="P729">
        <f>'Bear DCF'!Q19</f>
        <v>2025</v>
      </c>
      <c r="Q729">
        <f>'Bear DCF'!R19</f>
        <v>0</v>
      </c>
      <c r="R729">
        <f>'Bear DCF'!S19</f>
        <v>0</v>
      </c>
      <c r="S729">
        <f>'Bear DCF'!T19</f>
        <v>0</v>
      </c>
      <c r="T729">
        <f>'Bear DCF'!U19</f>
        <v>0</v>
      </c>
    </row>
    <row r="730" spans="1:20">
      <c r="A730" t="str">
        <f>'Bear DCF'!B21</f>
        <v>Year for 1-year forward value</v>
      </c>
      <c r="B730">
        <f>'Bear DCF'!C21</f>
        <v>0</v>
      </c>
      <c r="C730">
        <f>'Bear DCF'!D21</f>
        <v>0</v>
      </c>
      <c r="D730">
        <f>'Bear DCF'!E21</f>
        <v>0</v>
      </c>
      <c r="E730">
        <f>'Bear DCF'!F21</f>
        <v>0</v>
      </c>
      <c r="F730">
        <f>'Bear DCF'!G21</f>
        <v>0</v>
      </c>
      <c r="G730">
        <f>'Bear DCF'!H21</f>
        <v>0</v>
      </c>
      <c r="H730">
        <f>'Bear DCF'!I21</f>
        <v>1</v>
      </c>
      <c r="I730">
        <f>'Bear DCF'!J21</f>
        <v>2</v>
      </c>
      <c r="J730">
        <f>'Bear DCF'!K21</f>
        <v>3</v>
      </c>
      <c r="K730">
        <f>'Bear DCF'!L21</f>
        <v>4</v>
      </c>
      <c r="L730">
        <f>'Bear DCF'!M21</f>
        <v>5</v>
      </c>
      <c r="M730">
        <f>'Bear DCF'!N21</f>
        <v>6</v>
      </c>
      <c r="N730">
        <f>'Bear DCF'!O21</f>
        <v>7</v>
      </c>
      <c r="O730">
        <f>'Bear DCF'!P21</f>
        <v>8</v>
      </c>
      <c r="P730">
        <f>'Bear DCF'!Q21</f>
        <v>9</v>
      </c>
      <c r="Q730">
        <f>'Bear DCF'!R21</f>
        <v>0</v>
      </c>
      <c r="R730">
        <f>'Bear DCF'!S21</f>
        <v>0</v>
      </c>
      <c r="S730">
        <f>'Bear DCF'!T21</f>
        <v>0</v>
      </c>
      <c r="T730">
        <f>'Bear DCF'!U21</f>
        <v>0</v>
      </c>
    </row>
    <row r="731" spans="1:20">
      <c r="A731" t="str">
        <f>'Bear DCF'!B22</f>
        <v>Discounted cash flows</v>
      </c>
      <c r="B731">
        <f>'Bear DCF'!C22</f>
        <v>0</v>
      </c>
      <c r="C731">
        <f>'Bear DCF'!D22</f>
        <v>0</v>
      </c>
      <c r="D731">
        <f>'Bear DCF'!E22</f>
        <v>0</v>
      </c>
      <c r="E731">
        <f>'Bear DCF'!F22</f>
        <v>0</v>
      </c>
      <c r="F731">
        <f>'Bear DCF'!G22</f>
        <v>0</v>
      </c>
      <c r="G731">
        <f>'Bear DCF'!H22</f>
        <v>0</v>
      </c>
      <c r="H731">
        <f>'Bear DCF'!I22</f>
        <v>-807.01083651134775</v>
      </c>
      <c r="I731">
        <f>'Bear DCF'!J22</f>
        <v>-1196.572933588975</v>
      </c>
      <c r="J731">
        <f>'Bear DCF'!K22</f>
        <v>-467.14091733762416</v>
      </c>
      <c r="K731">
        <f>'Bear DCF'!L22</f>
        <v>-182.44534777166271</v>
      </c>
      <c r="L731">
        <f>'Bear DCF'!M22</f>
        <v>-31.02950307648619</v>
      </c>
      <c r="M731">
        <f>'Bear DCF'!N22</f>
        <v>46.859077639613389</v>
      </c>
      <c r="N731">
        <f>'Bear DCF'!O22</f>
        <v>167.06324719487549</v>
      </c>
      <c r="O731">
        <f>'Bear DCF'!P22</f>
        <v>279.12047810080799</v>
      </c>
      <c r="P731">
        <f>'Bear DCF'!Q22</f>
        <v>364.92129595306994</v>
      </c>
      <c r="Q731">
        <f>'Bear DCF'!R22</f>
        <v>0</v>
      </c>
      <c r="R731">
        <f>'Bear DCF'!S22</f>
        <v>0</v>
      </c>
      <c r="S731">
        <f>'Bear DCF'!T22</f>
        <v>0</v>
      </c>
      <c r="T731">
        <f>'Bear DCF'!U22</f>
        <v>0</v>
      </c>
    </row>
    <row r="732" spans="1:20">
      <c r="A732">
        <f>'Bear DCF'!B23</f>
        <v>0</v>
      </c>
      <c r="B732">
        <f>'Bear DCF'!C23</f>
        <v>0</v>
      </c>
      <c r="C732">
        <f>'Bear DCF'!D23</f>
        <v>0</v>
      </c>
      <c r="D732">
        <f>'Bear DCF'!E23</f>
        <v>0</v>
      </c>
      <c r="E732">
        <f>'Bear DCF'!F23</f>
        <v>0</v>
      </c>
      <c r="F732">
        <f>'Bear DCF'!G23</f>
        <v>0</v>
      </c>
      <c r="G732">
        <f>'Bear DCF'!H23</f>
        <v>0</v>
      </c>
      <c r="H732">
        <f>'Bear DCF'!I23</f>
        <v>0</v>
      </c>
      <c r="I732">
        <f>'Bear DCF'!J23</f>
        <v>0</v>
      </c>
      <c r="J732">
        <f>'Bear DCF'!K23</f>
        <v>0</v>
      </c>
      <c r="K732">
        <f>'Bear DCF'!L23</f>
        <v>0</v>
      </c>
      <c r="L732">
        <f>'Bear DCF'!M23</f>
        <v>0</v>
      </c>
      <c r="M732">
        <f>'Bear DCF'!N23</f>
        <v>0</v>
      </c>
      <c r="N732">
        <f>'Bear DCF'!O23</f>
        <v>0</v>
      </c>
      <c r="O732">
        <f>'Bear DCF'!P23</f>
        <v>0</v>
      </c>
      <c r="P732">
        <f>'Bear DCF'!Q23</f>
        <v>0</v>
      </c>
      <c r="Q732">
        <f>'Bear DCF'!R23</f>
        <v>0</v>
      </c>
      <c r="R732">
        <f>'Bear DCF'!S23</f>
        <v>0</v>
      </c>
      <c r="S732">
        <f>'Bear DCF'!T23</f>
        <v>0</v>
      </c>
      <c r="T732">
        <f>'Bear DCF'!U23</f>
        <v>0</v>
      </c>
    </row>
    <row r="733" spans="1:20">
      <c r="A733" t="str">
        <f>'Bear DCF'!B24</f>
        <v>12 Months FV</v>
      </c>
      <c r="B733">
        <f>'Bear DCF'!C24</f>
        <v>0</v>
      </c>
      <c r="C733">
        <f>'Bear DCF'!D24</f>
        <v>0</v>
      </c>
      <c r="D733">
        <f>'Bear DCF'!E24</f>
        <v>0</v>
      </c>
      <c r="E733">
        <f>'Bear DCF'!F24</f>
        <v>0</v>
      </c>
      <c r="F733">
        <f>'Bear DCF'!G24</f>
        <v>0</v>
      </c>
      <c r="G733">
        <f>'Bear DCF'!H24</f>
        <v>0</v>
      </c>
      <c r="H733">
        <f>'Bear DCF'!I24</f>
        <v>0</v>
      </c>
      <c r="I733">
        <f>'Bear DCF'!J24</f>
        <v>0</v>
      </c>
      <c r="J733">
        <f>'Bear DCF'!K24</f>
        <v>0</v>
      </c>
      <c r="K733">
        <f>'Bear DCF'!L24</f>
        <v>0</v>
      </c>
      <c r="L733">
        <f>'Bear DCF'!M24</f>
        <v>0</v>
      </c>
      <c r="M733">
        <f>'Bear DCF'!N24</f>
        <v>0</v>
      </c>
      <c r="N733">
        <f>'Bear DCF'!O24</f>
        <v>0</v>
      </c>
      <c r="O733">
        <f>'Bear DCF'!P24</f>
        <v>0</v>
      </c>
      <c r="P733">
        <f>'Bear DCF'!Q24</f>
        <v>0</v>
      </c>
      <c r="Q733">
        <f>'Bear DCF'!R24</f>
        <v>0</v>
      </c>
      <c r="R733">
        <f>'Bear DCF'!S24</f>
        <v>0</v>
      </c>
      <c r="S733">
        <f>'Bear DCF'!T24</f>
        <v>0</v>
      </c>
      <c r="T733">
        <f>'Bear DCF'!U24</f>
        <v>0</v>
      </c>
    </row>
    <row r="734" spans="1:20">
      <c r="A734" t="str">
        <f>'Bear DCF'!B25</f>
        <v>Year for 1-year forward value</v>
      </c>
      <c r="B734">
        <f>'Bear DCF'!C25</f>
        <v>0</v>
      </c>
      <c r="C734">
        <f>'Bear DCF'!D25</f>
        <v>0</v>
      </c>
      <c r="D734">
        <f>'Bear DCF'!E25</f>
        <v>0</v>
      </c>
      <c r="E734">
        <f>'Bear DCF'!F25</f>
        <v>0</v>
      </c>
      <c r="F734">
        <f>'Bear DCF'!G25</f>
        <v>0</v>
      </c>
      <c r="G734">
        <f>'Bear DCF'!H25</f>
        <v>0</v>
      </c>
      <c r="H734">
        <f>'Bear DCF'!I25</f>
        <v>0</v>
      </c>
      <c r="I734">
        <f>'Bear DCF'!J25</f>
        <v>0</v>
      </c>
      <c r="J734">
        <f>'Bear DCF'!K25</f>
        <v>1</v>
      </c>
      <c r="K734">
        <f>'Bear DCF'!L25</f>
        <v>2</v>
      </c>
      <c r="L734">
        <f>'Bear DCF'!M25</f>
        <v>3</v>
      </c>
      <c r="M734">
        <f>'Bear DCF'!N25</f>
        <v>4</v>
      </c>
      <c r="N734">
        <f>'Bear DCF'!O25</f>
        <v>5</v>
      </c>
      <c r="O734">
        <f>'Bear DCF'!P25</f>
        <v>6</v>
      </c>
      <c r="P734">
        <f>'Bear DCF'!Q25</f>
        <v>7</v>
      </c>
      <c r="Q734">
        <f>'Bear DCF'!R25</f>
        <v>0</v>
      </c>
      <c r="R734">
        <f>'Bear DCF'!S25</f>
        <v>0</v>
      </c>
      <c r="S734">
        <f>'Bear DCF'!T25</f>
        <v>0</v>
      </c>
      <c r="T734">
        <f>'Bear DCF'!U25</f>
        <v>0</v>
      </c>
    </row>
    <row r="735" spans="1:20">
      <c r="A735" t="str">
        <f>'Bear DCF'!B26</f>
        <v>Discounted cash flows</v>
      </c>
      <c r="B735">
        <f>'Bear DCF'!C26</f>
        <v>0</v>
      </c>
      <c r="C735">
        <f>'Bear DCF'!D26</f>
        <v>0</v>
      </c>
      <c r="D735">
        <f>'Bear DCF'!E26</f>
        <v>0</v>
      </c>
      <c r="E735">
        <f>'Bear DCF'!F26</f>
        <v>0</v>
      </c>
      <c r="F735">
        <f>'Bear DCF'!G26</f>
        <v>0</v>
      </c>
      <c r="G735">
        <f>'Bear DCF'!H26</f>
        <v>0</v>
      </c>
      <c r="H735">
        <f>'Bear DCF'!I26</f>
        <v>0</v>
      </c>
      <c r="I735">
        <f>'Bear DCF'!J26</f>
        <v>0</v>
      </c>
      <c r="J735">
        <f>'Bear DCF'!K26</f>
        <v>-547.16326365716031</v>
      </c>
      <c r="K735">
        <f>'Bear DCF'!L26</f>
        <v>-213.69866826214832</v>
      </c>
      <c r="L735">
        <f>'Bear DCF'!M26</f>
        <v>-36.344930497105558</v>
      </c>
      <c r="M735">
        <f>'Bear DCF'!N26</f>
        <v>54.886148700873143</v>
      </c>
      <c r="N735">
        <f>'Bear DCF'!O26</f>
        <v>195.68157739914736</v>
      </c>
      <c r="O735">
        <f>'Bear DCF'!P26</f>
        <v>326.93447754824712</v>
      </c>
      <c r="P735">
        <f>'Bear DCF'!Q26</f>
        <v>427.43317885675702</v>
      </c>
      <c r="Q735">
        <f>'Bear DCF'!R26</f>
        <v>0</v>
      </c>
      <c r="R735">
        <f>'Bear DCF'!S26</f>
        <v>0</v>
      </c>
      <c r="S735">
        <f>'Bear DCF'!T26</f>
        <v>0</v>
      </c>
      <c r="T735">
        <f>'Bear DCF'!U26</f>
        <v>0</v>
      </c>
    </row>
    <row r="736" spans="1:20">
      <c r="A736">
        <f>'Bear DCF'!B27</f>
        <v>0</v>
      </c>
      <c r="B736">
        <f>'Bear DCF'!C27</f>
        <v>0</v>
      </c>
      <c r="C736">
        <f>'Bear DCF'!D27</f>
        <v>0</v>
      </c>
      <c r="D736">
        <f>'Bear DCF'!E27</f>
        <v>0</v>
      </c>
      <c r="E736">
        <f>'Bear DCF'!F27</f>
        <v>0</v>
      </c>
      <c r="F736">
        <f>'Bear DCF'!G27</f>
        <v>0</v>
      </c>
      <c r="G736">
        <f>'Bear DCF'!H27</f>
        <v>0</v>
      </c>
      <c r="H736">
        <f>'Bear DCF'!I27</f>
        <v>0</v>
      </c>
      <c r="I736">
        <f>'Bear DCF'!J27</f>
        <v>0</v>
      </c>
      <c r="J736">
        <f>'Bear DCF'!K27</f>
        <v>0</v>
      </c>
      <c r="K736">
        <f>'Bear DCF'!L27</f>
        <v>0</v>
      </c>
      <c r="L736">
        <f>'Bear DCF'!M27</f>
        <v>0</v>
      </c>
      <c r="M736">
        <f>'Bear DCF'!N27</f>
        <v>0</v>
      </c>
      <c r="N736">
        <f>'Bear DCF'!O27</f>
        <v>0</v>
      </c>
      <c r="O736">
        <f>'Bear DCF'!P27</f>
        <v>0</v>
      </c>
      <c r="P736">
        <f>'Bear DCF'!Q27</f>
        <v>0</v>
      </c>
      <c r="Q736">
        <f>'Bear DCF'!R27</f>
        <v>0</v>
      </c>
      <c r="R736">
        <f>'Bear DCF'!S27</f>
        <v>0</v>
      </c>
      <c r="S736">
        <f>'Bear DCF'!T27</f>
        <v>0</v>
      </c>
      <c r="T736">
        <f>'Bear DCF'!U27</f>
        <v>0</v>
      </c>
    </row>
    <row r="743" spans="1:20">
      <c r="A743">
        <f>'Bear DCF'!B28</f>
        <v>0</v>
      </c>
      <c r="B743">
        <f>'Bear DCF'!C28</f>
        <v>0</v>
      </c>
      <c r="C743">
        <f>'Bear DCF'!D28</f>
        <v>0</v>
      </c>
      <c r="D743">
        <f>'Bear DCF'!E28</f>
        <v>0</v>
      </c>
      <c r="E743">
        <f>'Bear DCF'!F28</f>
        <v>0</v>
      </c>
      <c r="F743">
        <f>'Bear DCF'!G28</f>
        <v>0</v>
      </c>
      <c r="G743">
        <f>'Bear DCF'!H28</f>
        <v>0</v>
      </c>
      <c r="H743">
        <f>'Bear DCF'!I28</f>
        <v>0</v>
      </c>
      <c r="I743">
        <f>'Bear DCF'!J28</f>
        <v>0</v>
      </c>
      <c r="J743">
        <f>'Bear DCF'!K28</f>
        <v>0</v>
      </c>
      <c r="K743">
        <f>'Bear DCF'!L28</f>
        <v>0</v>
      </c>
      <c r="L743">
        <f>'Bear DCF'!M28</f>
        <v>0</v>
      </c>
      <c r="M743">
        <f>'Bear DCF'!N28</f>
        <v>0</v>
      </c>
      <c r="N743">
        <f>'Bear DCF'!O28</f>
        <v>0</v>
      </c>
      <c r="O743">
        <f>'Bear DCF'!P28</f>
        <v>0</v>
      </c>
      <c r="P743">
        <f>'Bear DCF'!Q28</f>
        <v>0</v>
      </c>
      <c r="Q743">
        <f>'Bear DCF'!R28</f>
        <v>0</v>
      </c>
      <c r="R743">
        <f>'Bear DCF'!S28</f>
        <v>0</v>
      </c>
      <c r="S743">
        <f>'Bear DCF'!T28</f>
        <v>0</v>
      </c>
      <c r="T743">
        <f>'Bear DCF'!U28</f>
        <v>0</v>
      </c>
    </row>
    <row r="744" spans="1:20">
      <c r="A744" t="str">
        <f>'Bear DCF'!B29</f>
        <v>Fair value (Present)</v>
      </c>
      <c r="B744">
        <f>'Bear DCF'!C29</f>
        <v>0</v>
      </c>
      <c r="C744">
        <f>'Bear DCF'!D29</f>
        <v>0</v>
      </c>
      <c r="D744">
        <f>'Bear DCF'!E29</f>
        <v>0</v>
      </c>
      <c r="E744">
        <f>'Bear DCF'!F29</f>
        <v>0</v>
      </c>
      <c r="F744">
        <f>'Bear DCF'!G29</f>
        <v>0</v>
      </c>
      <c r="G744">
        <f>'Bear DCF'!H29</f>
        <v>0</v>
      </c>
      <c r="H744">
        <f>'Bear DCF'!I29</f>
        <v>0</v>
      </c>
      <c r="I744">
        <f>'Bear DCF'!J29</f>
        <v>0</v>
      </c>
      <c r="J744">
        <f>'Bear DCF'!K29</f>
        <v>0</v>
      </c>
      <c r="K744">
        <f>'Bear DCF'!L29</f>
        <v>0</v>
      </c>
      <c r="L744">
        <f>'Bear DCF'!M29</f>
        <v>0</v>
      </c>
      <c r="M744">
        <f>'Bear DCF'!N29</f>
        <v>0</v>
      </c>
      <c r="N744">
        <f>'Bear DCF'!O29</f>
        <v>0</v>
      </c>
      <c r="O744">
        <f>'Bear DCF'!P29</f>
        <v>0</v>
      </c>
      <c r="P744">
        <f>'Bear DCF'!Q29</f>
        <v>0</v>
      </c>
      <c r="Q744">
        <f>'Bear DCF'!R29</f>
        <v>0</v>
      </c>
      <c r="R744">
        <f>'Bear DCF'!S29</f>
        <v>0</v>
      </c>
      <c r="S744">
        <f>'Bear DCF'!T29</f>
        <v>0</v>
      </c>
      <c r="T744">
        <f>'Bear DCF'!U29</f>
        <v>0</v>
      </c>
    </row>
    <row r="745" spans="1:20">
      <c r="A745" t="str">
        <f>'Bear DCF'!B30</f>
        <v>PV of FCF</v>
      </c>
      <c r="B745">
        <f>'Bear DCF'!C30</f>
        <v>0</v>
      </c>
      <c r="C745">
        <f>'Bear DCF'!D30</f>
        <v>0</v>
      </c>
      <c r="D745">
        <f>'Bear DCF'!E30</f>
        <v>-1826.2354393977289</v>
      </c>
      <c r="E745">
        <f>'Bear DCF'!F30</f>
        <v>0</v>
      </c>
      <c r="F745">
        <f>'Bear DCF'!G30</f>
        <v>0</v>
      </c>
      <c r="G745">
        <f>'Bear DCF'!H30</f>
        <v>0</v>
      </c>
      <c r="H745">
        <f>'Bear DCF'!I30</f>
        <v>0</v>
      </c>
      <c r="I745">
        <f>'Bear DCF'!J30</f>
        <v>0</v>
      </c>
      <c r="J745">
        <f>'Bear DCF'!K30</f>
        <v>0</v>
      </c>
      <c r="K745">
        <f>'Bear DCF'!L30</f>
        <v>0</v>
      </c>
      <c r="L745">
        <f>'Bear DCF'!M30</f>
        <v>0</v>
      </c>
      <c r="M745">
        <f>'Bear DCF'!N30</f>
        <v>0</v>
      </c>
      <c r="N745">
        <f>'Bear DCF'!O30</f>
        <v>0</v>
      </c>
      <c r="O745">
        <f>'Bear DCF'!P30</f>
        <v>0</v>
      </c>
      <c r="P745">
        <f>'Bear DCF'!Q30</f>
        <v>0</v>
      </c>
      <c r="Q745">
        <f>'Bear DCF'!R30</f>
        <v>0</v>
      </c>
      <c r="R745">
        <f>'Bear DCF'!S30</f>
        <v>0</v>
      </c>
      <c r="S745">
        <f>'Bear DCF'!T30</f>
        <v>0</v>
      </c>
      <c r="T745">
        <f>'Bear DCF'!U30</f>
        <v>0</v>
      </c>
    </row>
    <row r="746" spans="1:20">
      <c r="A746" t="str">
        <f>'Bear DCF'!B31</f>
        <v>NPV of terminal value</v>
      </c>
      <c r="B746">
        <f>'Bear DCF'!C31</f>
        <v>0</v>
      </c>
      <c r="C746">
        <f>'Bear DCF'!D31</f>
        <v>0</v>
      </c>
      <c r="D746">
        <f>'Bear DCF'!E31</f>
        <v>6048.1344870998473</v>
      </c>
      <c r="E746">
        <f>'Bear DCF'!F31</f>
        <v>0</v>
      </c>
      <c r="F746">
        <f>'Bear DCF'!G31</f>
        <v>0</v>
      </c>
      <c r="G746">
        <f>'Bear DCF'!H31</f>
        <v>0</v>
      </c>
      <c r="H746">
        <f>'Bear DCF'!I31</f>
        <v>0</v>
      </c>
      <c r="I746">
        <f>'Bear DCF'!J31</f>
        <v>0</v>
      </c>
      <c r="J746">
        <f>'Bear DCF'!K31</f>
        <v>0</v>
      </c>
      <c r="K746">
        <f>'Bear DCF'!L31</f>
        <v>0</v>
      </c>
      <c r="L746">
        <f>'Bear DCF'!M31</f>
        <v>0</v>
      </c>
      <c r="M746">
        <f>'Bear DCF'!N31</f>
        <v>0</v>
      </c>
      <c r="N746">
        <f>'Bear DCF'!O31</f>
        <v>0</v>
      </c>
      <c r="O746">
        <f>'Bear DCF'!P31</f>
        <v>0</v>
      </c>
      <c r="P746">
        <f>'Bear DCF'!Q31</f>
        <v>0</v>
      </c>
      <c r="Q746">
        <f>'Bear DCF'!R31</f>
        <v>0</v>
      </c>
      <c r="R746">
        <f>'Bear DCF'!S31</f>
        <v>0</v>
      </c>
      <c r="S746">
        <f>'Bear DCF'!T31</f>
        <v>0</v>
      </c>
      <c r="T746">
        <f>'Bear DCF'!U31</f>
        <v>0</v>
      </c>
    </row>
    <row r="747" spans="1:20">
      <c r="A747" t="str">
        <f>'Bear DCF'!B32</f>
        <v>Enterprise value</v>
      </c>
      <c r="B747">
        <f>'Bear DCF'!C32</f>
        <v>0</v>
      </c>
      <c r="C747">
        <f>'Bear DCF'!D32</f>
        <v>0</v>
      </c>
      <c r="D747">
        <f>'Bear DCF'!E32</f>
        <v>4221.899047702118</v>
      </c>
      <c r="E747">
        <f>'Bear DCF'!F32</f>
        <v>0</v>
      </c>
      <c r="F747">
        <f>'Bear DCF'!G32</f>
        <v>0</v>
      </c>
      <c r="G747">
        <f>'Bear DCF'!H32</f>
        <v>0</v>
      </c>
      <c r="H747">
        <f>'Bear DCF'!I32</f>
        <v>0</v>
      </c>
      <c r="I747">
        <f>'Bear DCF'!J32</f>
        <v>0</v>
      </c>
      <c r="J747">
        <f>'Bear DCF'!K32</f>
        <v>0</v>
      </c>
      <c r="K747">
        <f>'Bear DCF'!L32</f>
        <v>0</v>
      </c>
      <c r="L747">
        <f>'Bear DCF'!M32</f>
        <v>0</v>
      </c>
      <c r="M747">
        <f>'Bear DCF'!N32</f>
        <v>0</v>
      </c>
      <c r="N747">
        <f>'Bear DCF'!O32</f>
        <v>0</v>
      </c>
      <c r="O747">
        <f>'Bear DCF'!P32</f>
        <v>0</v>
      </c>
      <c r="P747">
        <f>'Bear DCF'!Q32</f>
        <v>0</v>
      </c>
      <c r="Q747">
        <f>'Bear DCF'!R32</f>
        <v>0</v>
      </c>
      <c r="R747">
        <f>'Bear DCF'!S32</f>
        <v>0</v>
      </c>
      <c r="S747">
        <f>'Bear DCF'!T32</f>
        <v>0</v>
      </c>
      <c r="T747">
        <f>'Bear DCF'!U32</f>
        <v>0</v>
      </c>
    </row>
    <row r="748" spans="1:20">
      <c r="A748" t="str">
        <f>'Bear DCF'!B33</f>
        <v>(-) Debt</v>
      </c>
      <c r="B748">
        <f>'Bear DCF'!C33</f>
        <v>0</v>
      </c>
      <c r="C748">
        <f>'Bear DCF'!D33</f>
        <v>0</v>
      </c>
      <c r="D748">
        <f>'Bear DCF'!E33</f>
        <v>0</v>
      </c>
      <c r="E748">
        <f>'Bear DCF'!F33</f>
        <v>0</v>
      </c>
      <c r="F748">
        <f>'Bear DCF'!G33</f>
        <v>0</v>
      </c>
      <c r="G748">
        <f>'Bear DCF'!H33</f>
        <v>0</v>
      </c>
      <c r="H748">
        <f>'Bear DCF'!I33</f>
        <v>0</v>
      </c>
      <c r="I748">
        <f>'Bear DCF'!J33</f>
        <v>0</v>
      </c>
      <c r="J748">
        <f>'Bear DCF'!K33</f>
        <v>0</v>
      </c>
      <c r="K748">
        <f>'Bear DCF'!L33</f>
        <v>0</v>
      </c>
      <c r="L748">
        <f>'Bear DCF'!M33</f>
        <v>0</v>
      </c>
      <c r="M748">
        <f>'Bear DCF'!N33</f>
        <v>0</v>
      </c>
      <c r="N748">
        <f>'Bear DCF'!O33</f>
        <v>0</v>
      </c>
      <c r="O748">
        <f>'Bear DCF'!P33</f>
        <v>0</v>
      </c>
      <c r="P748">
        <f>'Bear DCF'!Q33</f>
        <v>0</v>
      </c>
      <c r="Q748">
        <f>'Bear DCF'!R33</f>
        <v>0</v>
      </c>
      <c r="R748">
        <f>'Bear DCF'!S33</f>
        <v>0</v>
      </c>
      <c r="S748">
        <f>'Bear DCF'!T33</f>
        <v>0</v>
      </c>
      <c r="T748">
        <f>'Bear DCF'!U33</f>
        <v>0</v>
      </c>
    </row>
    <row r="749" spans="1:20">
      <c r="A749" t="str">
        <f>'Bear DCF'!B34</f>
        <v>(+) Cash</v>
      </c>
      <c r="B749">
        <f>'Bear DCF'!C34</f>
        <v>0</v>
      </c>
      <c r="C749">
        <f>'Bear DCF'!D34</f>
        <v>0</v>
      </c>
      <c r="D749">
        <f>'Bear DCF'!E34</f>
        <v>2043.0390000000002</v>
      </c>
      <c r="E749">
        <f>'Bear DCF'!F34</f>
        <v>0</v>
      </c>
      <c r="F749">
        <f>'Bear DCF'!G34</f>
        <v>0</v>
      </c>
      <c r="G749">
        <f>'Bear DCF'!H34</f>
        <v>0</v>
      </c>
      <c r="H749">
        <f>'Bear DCF'!I34</f>
        <v>0</v>
      </c>
      <c r="I749">
        <f>'Bear DCF'!J34</f>
        <v>0</v>
      </c>
      <c r="J749">
        <f>'Bear DCF'!K34</f>
        <v>0</v>
      </c>
      <c r="K749">
        <f>'Bear DCF'!L34</f>
        <v>0</v>
      </c>
      <c r="L749">
        <f>'Bear DCF'!M34</f>
        <v>0</v>
      </c>
      <c r="M749">
        <f>'Bear DCF'!N34</f>
        <v>0</v>
      </c>
      <c r="N749">
        <f>'Bear DCF'!O34</f>
        <v>0</v>
      </c>
      <c r="O749">
        <f>'Bear DCF'!P34</f>
        <v>0</v>
      </c>
      <c r="P749">
        <f>'Bear DCF'!Q34</f>
        <v>0</v>
      </c>
      <c r="Q749">
        <f>'Bear DCF'!R34</f>
        <v>0</v>
      </c>
      <c r="R749">
        <f>'Bear DCF'!S34</f>
        <v>0</v>
      </c>
      <c r="S749">
        <f>'Bear DCF'!T34</f>
        <v>0</v>
      </c>
      <c r="T749">
        <f>'Bear DCF'!U34</f>
        <v>0</v>
      </c>
    </row>
    <row r="750" spans="1:20">
      <c r="A750" t="str">
        <f>'Bear DCF'!B35</f>
        <v>Equity value</v>
      </c>
      <c r="B750">
        <f>'Bear DCF'!C35</f>
        <v>0</v>
      </c>
      <c r="C750">
        <f>'Bear DCF'!D35</f>
        <v>0</v>
      </c>
      <c r="D750">
        <f>'Bear DCF'!E35</f>
        <v>6264.9380477021186</v>
      </c>
      <c r="E750">
        <f>'Bear DCF'!F35</f>
        <v>0</v>
      </c>
      <c r="F750">
        <f>'Bear DCF'!G35</f>
        <v>0</v>
      </c>
      <c r="G750">
        <f>'Bear DCF'!H35</f>
        <v>0</v>
      </c>
      <c r="H750">
        <f>'Bear DCF'!I35</f>
        <v>0</v>
      </c>
      <c r="I750">
        <f>'Bear DCF'!J35</f>
        <v>0</v>
      </c>
      <c r="J750">
        <f>'Bear DCF'!K35</f>
        <v>0</v>
      </c>
      <c r="K750">
        <f>'Bear DCF'!L35</f>
        <v>0</v>
      </c>
      <c r="L750">
        <f>'Bear DCF'!M35</f>
        <v>0</v>
      </c>
      <c r="M750">
        <f>'Bear DCF'!N35</f>
        <v>0</v>
      </c>
      <c r="N750">
        <f>'Bear DCF'!O35</f>
        <v>0</v>
      </c>
      <c r="O750">
        <f>'Bear DCF'!P35</f>
        <v>0</v>
      </c>
      <c r="P750">
        <f>'Bear DCF'!Q35</f>
        <v>0</v>
      </c>
      <c r="Q750">
        <f>'Bear DCF'!R35</f>
        <v>0</v>
      </c>
      <c r="R750">
        <f>'Bear DCF'!S35</f>
        <v>0</v>
      </c>
      <c r="S750">
        <f>'Bear DCF'!T35</f>
        <v>0</v>
      </c>
      <c r="T750">
        <f>'Bear DCF'!U35</f>
        <v>0</v>
      </c>
    </row>
    <row r="751" spans="1:20">
      <c r="A751" t="str">
        <f>'Bear DCF'!B36</f>
        <v>Fully Diluted Shares (for valuation)</v>
      </c>
      <c r="B751">
        <f>'Bear DCF'!C36</f>
        <v>0</v>
      </c>
      <c r="C751">
        <f>'Bear DCF'!D36</f>
        <v>0</v>
      </c>
      <c r="D751">
        <f>'Bear DCF'!E36</f>
        <v>1404.1021930973332</v>
      </c>
      <c r="E751">
        <f>'Bear DCF'!F36</f>
        <v>0</v>
      </c>
      <c r="F751">
        <f>'Bear DCF'!G36</f>
        <v>0</v>
      </c>
      <c r="G751">
        <f>'Bear DCF'!H36</f>
        <v>0</v>
      </c>
      <c r="H751">
        <f>'Bear DCF'!I36</f>
        <v>0</v>
      </c>
      <c r="I751">
        <f>'Bear DCF'!J36</f>
        <v>0</v>
      </c>
      <c r="J751">
        <f>'Bear DCF'!K36</f>
        <v>0</v>
      </c>
      <c r="K751">
        <f>'Bear DCF'!L36</f>
        <v>0</v>
      </c>
      <c r="L751">
        <f>'Bear DCF'!M36</f>
        <v>0</v>
      </c>
      <c r="M751">
        <f>'Bear DCF'!N36</f>
        <v>0</v>
      </c>
      <c r="N751">
        <f>'Bear DCF'!O36</f>
        <v>0</v>
      </c>
      <c r="O751">
        <f>'Bear DCF'!P36</f>
        <v>0</v>
      </c>
      <c r="P751">
        <f>'Bear DCF'!Q36</f>
        <v>0</v>
      </c>
      <c r="Q751">
        <f>'Bear DCF'!R36</f>
        <v>0</v>
      </c>
      <c r="R751">
        <f>'Bear DCF'!S36</f>
        <v>0</v>
      </c>
      <c r="S751">
        <f>'Bear DCF'!T36</f>
        <v>0</v>
      </c>
      <c r="T751">
        <f>'Bear DCF'!U36</f>
        <v>0</v>
      </c>
    </row>
    <row r="752" spans="1:20">
      <c r="A752" t="str">
        <f>'Bear DCF'!B37</f>
        <v>Equity value per share</v>
      </c>
      <c r="B752">
        <f>'Bear DCF'!C37</f>
        <v>0</v>
      </c>
      <c r="C752">
        <f>'Bear DCF'!D37</f>
        <v>0</v>
      </c>
      <c r="D752">
        <f>'Bear DCF'!E37</f>
        <v>4.4618818192158676</v>
      </c>
      <c r="E752">
        <f>'Bear DCF'!F37</f>
        <v>0</v>
      </c>
      <c r="F752">
        <f>'Bear DCF'!G37</f>
        <v>0</v>
      </c>
      <c r="G752">
        <f>'Bear DCF'!H37</f>
        <v>0</v>
      </c>
      <c r="H752">
        <f>'Bear DCF'!I37</f>
        <v>0</v>
      </c>
      <c r="I752">
        <f>'Bear DCF'!J37</f>
        <v>0</v>
      </c>
      <c r="J752">
        <f>'Bear DCF'!K37</f>
        <v>0</v>
      </c>
      <c r="K752">
        <f>'Bear DCF'!L37</f>
        <v>0</v>
      </c>
      <c r="L752">
        <f>'Bear DCF'!M37</f>
        <v>0</v>
      </c>
      <c r="M752">
        <f>'Bear DCF'!N37</f>
        <v>0</v>
      </c>
      <c r="N752">
        <f>'Bear DCF'!O37</f>
        <v>0</v>
      </c>
      <c r="O752">
        <f>'Bear DCF'!P37</f>
        <v>0</v>
      </c>
      <c r="P752">
        <f>'Bear DCF'!Q37</f>
        <v>0</v>
      </c>
      <c r="Q752">
        <f>'Bear DCF'!R37</f>
        <v>0</v>
      </c>
      <c r="R752">
        <f>'Bear DCF'!S37</f>
        <v>0</v>
      </c>
      <c r="S752">
        <f>'Bear DCF'!T37</f>
        <v>0</v>
      </c>
      <c r="T752">
        <f>'Bear DCF'!U37</f>
        <v>0</v>
      </c>
    </row>
    <row r="753" spans="1:20">
      <c r="A753">
        <f>'Bear DCF'!B38</f>
        <v>0</v>
      </c>
      <c r="B753">
        <f>'Bear DCF'!C38</f>
        <v>0</v>
      </c>
      <c r="C753">
        <f>'Bear DCF'!D38</f>
        <v>0</v>
      </c>
      <c r="D753">
        <f>'Bear DCF'!E38</f>
        <v>0</v>
      </c>
      <c r="E753">
        <f>'Bear DCF'!F38</f>
        <v>0</v>
      </c>
      <c r="F753">
        <f>'Bear DCF'!G38</f>
        <v>0</v>
      </c>
      <c r="G753">
        <f>'Bear DCF'!H38</f>
        <v>0</v>
      </c>
      <c r="H753">
        <f>'Bear DCF'!I38</f>
        <v>0</v>
      </c>
      <c r="I753">
        <f>'Bear DCF'!J38</f>
        <v>0</v>
      </c>
      <c r="J753">
        <f>'Bear DCF'!K38</f>
        <v>0</v>
      </c>
      <c r="K753">
        <f>'Bear DCF'!L38</f>
        <v>0</v>
      </c>
      <c r="L753">
        <f>'Bear DCF'!M38</f>
        <v>0</v>
      </c>
      <c r="M753">
        <f>'Bear DCF'!N38</f>
        <v>0</v>
      </c>
      <c r="N753">
        <f>'Bear DCF'!O38</f>
        <v>0</v>
      </c>
      <c r="O753">
        <f>'Bear DCF'!P38</f>
        <v>0</v>
      </c>
      <c r="P753">
        <f>'Bear DCF'!Q38</f>
        <v>0</v>
      </c>
      <c r="Q753">
        <f>'Bear DCF'!R38</f>
        <v>0</v>
      </c>
      <c r="R753">
        <f>'Bear DCF'!S38</f>
        <v>0</v>
      </c>
      <c r="S753">
        <f>'Bear DCF'!T38</f>
        <v>0</v>
      </c>
      <c r="T753">
        <f>'Bear DCF'!U38</f>
        <v>0</v>
      </c>
    </row>
    <row r="754" spans="1:20">
      <c r="A754" t="str">
        <f>'Bear DCF'!B39</f>
        <v>Fair value 12 months FV</v>
      </c>
      <c r="B754">
        <f>'Bear DCF'!C39</f>
        <v>0</v>
      </c>
      <c r="C754">
        <f>'Bear DCF'!D39</f>
        <v>0</v>
      </c>
      <c r="D754">
        <f>'Bear DCF'!E39</f>
        <v>0</v>
      </c>
      <c r="E754">
        <f>'Bear DCF'!F39</f>
        <v>0</v>
      </c>
      <c r="F754">
        <f>'Bear DCF'!G39</f>
        <v>0</v>
      </c>
      <c r="G754">
        <f>'Bear DCF'!H39</f>
        <v>0</v>
      </c>
      <c r="H754">
        <f>'Bear DCF'!I39</f>
        <v>0</v>
      </c>
      <c r="I754">
        <f>'Bear DCF'!J39</f>
        <v>0</v>
      </c>
      <c r="J754">
        <f>'Bear DCF'!K39</f>
        <v>0</v>
      </c>
      <c r="K754">
        <f>'Bear DCF'!L39</f>
        <v>0</v>
      </c>
      <c r="L754">
        <f>'Bear DCF'!M39</f>
        <v>0</v>
      </c>
      <c r="M754">
        <f>'Bear DCF'!N39</f>
        <v>0</v>
      </c>
      <c r="N754">
        <f>'Bear DCF'!O39</f>
        <v>0</v>
      </c>
      <c r="O754">
        <f>'Bear DCF'!P39</f>
        <v>0</v>
      </c>
      <c r="P754">
        <f>'Bear DCF'!Q39</f>
        <v>0</v>
      </c>
      <c r="Q754">
        <f>'Bear DCF'!R39</f>
        <v>0</v>
      </c>
      <c r="R754">
        <f>'Bear DCF'!S39</f>
        <v>0</v>
      </c>
      <c r="S754">
        <f>'Bear DCF'!T39</f>
        <v>0</v>
      </c>
      <c r="T754">
        <f>'Bear DCF'!U39</f>
        <v>0</v>
      </c>
    </row>
    <row r="755" spans="1:20">
      <c r="A755" t="str">
        <f>'Bear DCF'!B40</f>
        <v>PV of FCF</v>
      </c>
      <c r="B755">
        <f>'Bear DCF'!C40</f>
        <v>0</v>
      </c>
      <c r="C755">
        <f>'Bear DCF'!D40</f>
        <v>0</v>
      </c>
      <c r="D755">
        <f>'Bear DCF'!E40</f>
        <v>207.72852008861048</v>
      </c>
      <c r="E755">
        <f>'Bear DCF'!F40</f>
        <v>0</v>
      </c>
      <c r="F755">
        <f>'Bear DCF'!G40</f>
        <v>0</v>
      </c>
      <c r="G755">
        <f>'Bear DCF'!H40</f>
        <v>0</v>
      </c>
      <c r="H755">
        <f>'Bear DCF'!I40</f>
        <v>0</v>
      </c>
      <c r="I755">
        <f>'Bear DCF'!J40</f>
        <v>0</v>
      </c>
      <c r="J755">
        <f>'Bear DCF'!K40</f>
        <v>0</v>
      </c>
      <c r="K755">
        <f>'Bear DCF'!L40</f>
        <v>0</v>
      </c>
      <c r="L755">
        <f>'Bear DCF'!M40</f>
        <v>0</v>
      </c>
      <c r="M755">
        <f>'Bear DCF'!N40</f>
        <v>0</v>
      </c>
      <c r="N755">
        <f>'Bear DCF'!O40</f>
        <v>0</v>
      </c>
      <c r="O755">
        <f>'Bear DCF'!P40</f>
        <v>0</v>
      </c>
      <c r="P755">
        <f>'Bear DCF'!Q40</f>
        <v>0</v>
      </c>
      <c r="Q755">
        <f>'Bear DCF'!R40</f>
        <v>0</v>
      </c>
      <c r="R755">
        <f>'Bear DCF'!S40</f>
        <v>0</v>
      </c>
      <c r="S755">
        <f>'Bear DCF'!T40</f>
        <v>0</v>
      </c>
      <c r="T755">
        <f>'Bear DCF'!U40</f>
        <v>0</v>
      </c>
    </row>
    <row r="756" spans="1:20">
      <c r="A756" t="str">
        <f>'Bear DCF'!B41</f>
        <v>NPV of terminal value</v>
      </c>
      <c r="B756">
        <f>'Bear DCF'!C41</f>
        <v>0</v>
      </c>
      <c r="C756">
        <f>'Bear DCF'!D41</f>
        <v>0</v>
      </c>
      <c r="D756">
        <f>'Bear DCF'!E41</f>
        <v>7084.1942595389964</v>
      </c>
      <c r="E756">
        <f>'Bear DCF'!F41</f>
        <v>0</v>
      </c>
      <c r="F756">
        <f>'Bear DCF'!G41</f>
        <v>0</v>
      </c>
      <c r="G756">
        <f>'Bear DCF'!H41</f>
        <v>0</v>
      </c>
      <c r="H756">
        <f>'Bear DCF'!I41</f>
        <v>0</v>
      </c>
      <c r="I756">
        <f>'Bear DCF'!J41</f>
        <v>0</v>
      </c>
      <c r="J756">
        <f>'Bear DCF'!K41</f>
        <v>0</v>
      </c>
      <c r="K756">
        <f>'Bear DCF'!L41</f>
        <v>0</v>
      </c>
      <c r="L756">
        <f>'Bear DCF'!M41</f>
        <v>0</v>
      </c>
      <c r="M756">
        <f>'Bear DCF'!N41</f>
        <v>0</v>
      </c>
      <c r="N756">
        <f>'Bear DCF'!O41</f>
        <v>0</v>
      </c>
      <c r="O756">
        <f>'Bear DCF'!P41</f>
        <v>0</v>
      </c>
      <c r="P756">
        <f>'Bear DCF'!Q41</f>
        <v>0</v>
      </c>
      <c r="Q756">
        <f>'Bear DCF'!R41</f>
        <v>0</v>
      </c>
      <c r="R756">
        <f>'Bear DCF'!S41</f>
        <v>0</v>
      </c>
      <c r="S756">
        <f>'Bear DCF'!T41</f>
        <v>0</v>
      </c>
      <c r="T756">
        <f>'Bear DCF'!U41</f>
        <v>0</v>
      </c>
    </row>
    <row r="757" spans="1:20">
      <c r="A757" t="str">
        <f>'Bear DCF'!B42</f>
        <v>Enterprise value</v>
      </c>
      <c r="B757">
        <f>'Bear DCF'!C42</f>
        <v>0</v>
      </c>
      <c r="C757">
        <f>'Bear DCF'!D42</f>
        <v>0</v>
      </c>
      <c r="D757">
        <f>'Bear DCF'!E42</f>
        <v>7291.9227796276073</v>
      </c>
      <c r="E757">
        <f>'Bear DCF'!F42</f>
        <v>0</v>
      </c>
      <c r="F757">
        <f>'Bear DCF'!G42</f>
        <v>0</v>
      </c>
      <c r="G757">
        <f>'Bear DCF'!H42</f>
        <v>0</v>
      </c>
      <c r="H757">
        <f>'Bear DCF'!I42</f>
        <v>0</v>
      </c>
      <c r="I757">
        <f>'Bear DCF'!J42</f>
        <v>0</v>
      </c>
      <c r="J757">
        <f>'Bear DCF'!K42</f>
        <v>0</v>
      </c>
      <c r="K757">
        <f>'Bear DCF'!L42</f>
        <v>0</v>
      </c>
      <c r="L757">
        <f>'Bear DCF'!M42</f>
        <v>0</v>
      </c>
      <c r="M757">
        <f>'Bear DCF'!N42</f>
        <v>0</v>
      </c>
      <c r="N757">
        <f>'Bear DCF'!O42</f>
        <v>0</v>
      </c>
      <c r="O757">
        <f>'Bear DCF'!P42</f>
        <v>0</v>
      </c>
      <c r="P757">
        <f>'Bear DCF'!Q42</f>
        <v>0</v>
      </c>
      <c r="Q757">
        <f>'Bear DCF'!R42</f>
        <v>0</v>
      </c>
      <c r="R757">
        <f>'Bear DCF'!S42</f>
        <v>0</v>
      </c>
      <c r="S757">
        <f>'Bear DCF'!T42</f>
        <v>0</v>
      </c>
      <c r="T757">
        <f>'Bear DCF'!U42</f>
        <v>0</v>
      </c>
    </row>
    <row r="758" spans="1:20">
      <c r="A758" t="str">
        <f>'Bear DCF'!B43</f>
        <v>(-) Debt</v>
      </c>
      <c r="B758">
        <f>'Bear DCF'!C43</f>
        <v>0</v>
      </c>
      <c r="C758">
        <f>'Bear DCF'!D43</f>
        <v>0</v>
      </c>
      <c r="D758">
        <f>'Bear DCF'!E43</f>
        <v>0</v>
      </c>
      <c r="E758">
        <f>'Bear DCF'!F43</f>
        <v>0</v>
      </c>
      <c r="F758">
        <f>'Bear DCF'!G43</f>
        <v>0</v>
      </c>
      <c r="G758">
        <f>'Bear DCF'!H43</f>
        <v>0</v>
      </c>
      <c r="H758">
        <f>'Bear DCF'!I43</f>
        <v>0</v>
      </c>
      <c r="I758">
        <f>'Bear DCF'!J43</f>
        <v>0</v>
      </c>
      <c r="K758">
        <f>'Bear DCF'!L43</f>
        <v>0</v>
      </c>
      <c r="L758">
        <f>'Bear DCF'!M43</f>
        <v>0</v>
      </c>
      <c r="M758">
        <f>'Bear DCF'!N43</f>
        <v>0</v>
      </c>
      <c r="N758">
        <f>'Bear DCF'!O43</f>
        <v>0</v>
      </c>
      <c r="O758">
        <f>'Bear DCF'!P43</f>
        <v>0</v>
      </c>
      <c r="P758">
        <f>'Bear DCF'!Q43</f>
        <v>0</v>
      </c>
      <c r="Q758">
        <f>'Bear DCF'!R43</f>
        <v>0</v>
      </c>
      <c r="R758">
        <f>'Bear DCF'!S43</f>
        <v>0</v>
      </c>
      <c r="S758">
        <f>'Bear DCF'!T43</f>
        <v>0</v>
      </c>
      <c r="T758">
        <f>'Bear DCF'!U43</f>
        <v>0</v>
      </c>
    </row>
    <row r="759" spans="1:20">
      <c r="A759" t="str">
        <f>'Bear DCF'!B44</f>
        <v>(+) Cash</v>
      </c>
      <c r="B759">
        <f>'Bear DCF'!C44</f>
        <v>0</v>
      </c>
      <c r="C759">
        <f>'Bear DCF'!D44</f>
        <v>0</v>
      </c>
      <c r="D759">
        <f>'Bear DCF'!E44</f>
        <v>954.24216610161716</v>
      </c>
      <c r="E759">
        <f>'Bear DCF'!F44</f>
        <v>0</v>
      </c>
      <c r="F759">
        <f>'Bear DCF'!G44</f>
        <v>0</v>
      </c>
      <c r="G759">
        <f>'Bear DCF'!H44</f>
        <v>0</v>
      </c>
      <c r="H759">
        <f>'Bear DCF'!I44</f>
        <v>0</v>
      </c>
      <c r="I759">
        <f>'Bear DCF'!J44</f>
        <v>0</v>
      </c>
      <c r="J759">
        <f>'Bear DCF'!K43</f>
        <v>0</v>
      </c>
      <c r="K759">
        <f>'Bear DCF'!L44</f>
        <v>0</v>
      </c>
      <c r="L759">
        <f>'Bear DCF'!M44</f>
        <v>0</v>
      </c>
      <c r="M759">
        <f>'Bear DCF'!N44</f>
        <v>0</v>
      </c>
      <c r="N759">
        <f>'Bear DCF'!O44</f>
        <v>0</v>
      </c>
      <c r="O759">
        <f>'Bear DCF'!P44</f>
        <v>0</v>
      </c>
      <c r="P759">
        <f>'Bear DCF'!Q44</f>
        <v>0</v>
      </c>
      <c r="Q759">
        <f>'Bear DCF'!R44</f>
        <v>0</v>
      </c>
      <c r="R759">
        <f>'Bear DCF'!S44</f>
        <v>0</v>
      </c>
      <c r="S759">
        <f>'Bear DCF'!T44</f>
        <v>0</v>
      </c>
      <c r="T759">
        <f>'Bear DCF'!U44</f>
        <v>0</v>
      </c>
    </row>
    <row r="760" spans="1:20">
      <c r="A760" t="str">
        <f>'Bear DCF'!B45</f>
        <v>Equity value</v>
      </c>
      <c r="B760">
        <f>'Bear DCF'!C45</f>
        <v>0</v>
      </c>
      <c r="C760">
        <f>'Bear DCF'!D45</f>
        <v>0</v>
      </c>
      <c r="D760">
        <f>'Bear DCF'!E45</f>
        <v>8246.1649457292242</v>
      </c>
      <c r="E760">
        <f>'Bear DCF'!F45</f>
        <v>0</v>
      </c>
      <c r="F760">
        <f>'Bear DCF'!G45</f>
        <v>0</v>
      </c>
      <c r="G760">
        <f>'Bear DCF'!H45</f>
        <v>0</v>
      </c>
      <c r="H760">
        <f>'Bear DCF'!I45</f>
        <v>0</v>
      </c>
      <c r="I760">
        <f>'Bear DCF'!J45</f>
        <v>0</v>
      </c>
      <c r="J760">
        <f>'Bear DCF'!K45</f>
        <v>0</v>
      </c>
      <c r="K760">
        <f>'Bear DCF'!L45</f>
        <v>0</v>
      </c>
      <c r="L760">
        <f>'Bear DCF'!M45</f>
        <v>0</v>
      </c>
      <c r="M760">
        <f>'Bear DCF'!N45</f>
        <v>0</v>
      </c>
      <c r="N760">
        <f>'Bear DCF'!O45</f>
        <v>0</v>
      </c>
      <c r="O760">
        <f>'Bear DCF'!P45</f>
        <v>0</v>
      </c>
      <c r="P760">
        <f>'Bear DCF'!Q45</f>
        <v>0</v>
      </c>
      <c r="Q760">
        <f>'Bear DCF'!R45</f>
        <v>0</v>
      </c>
      <c r="R760">
        <f>'Bear DCF'!S45</f>
        <v>0</v>
      </c>
      <c r="S760">
        <f>'Bear DCF'!T45</f>
        <v>0</v>
      </c>
      <c r="T760">
        <f>'Bear DCF'!U45</f>
        <v>0</v>
      </c>
    </row>
    <row r="761" spans="1:20">
      <c r="A761" t="str">
        <f>'Bear DCF'!B46</f>
        <v>Fully Diluted Shares (for valuation)</v>
      </c>
      <c r="B761">
        <f>'Bear DCF'!C46</f>
        <v>0</v>
      </c>
      <c r="C761">
        <f>'Bear DCF'!D46</f>
        <v>0</v>
      </c>
      <c r="D761">
        <f>'Bear DCF'!E46</f>
        <v>1460</v>
      </c>
      <c r="E761">
        <f>'Bear DCF'!F46</f>
        <v>0</v>
      </c>
      <c r="F761">
        <f>'Bear DCF'!G46</f>
        <v>0</v>
      </c>
      <c r="G761">
        <f>'Bear DCF'!H46</f>
        <v>0</v>
      </c>
      <c r="H761">
        <f>'Bear DCF'!I46</f>
        <v>0</v>
      </c>
      <c r="I761">
        <f>'Bear DCF'!J46</f>
        <v>0</v>
      </c>
      <c r="J761">
        <f>'Bear DCF'!K46</f>
        <v>0</v>
      </c>
      <c r="K761">
        <f>'Bear DCF'!L46</f>
        <v>0</v>
      </c>
      <c r="L761">
        <f>'Bear DCF'!M46</f>
        <v>0</v>
      </c>
      <c r="M761">
        <f>'Bear DCF'!N46</f>
        <v>0</v>
      </c>
      <c r="N761">
        <f>'Bear DCF'!O46</f>
        <v>0</v>
      </c>
      <c r="O761">
        <f>'Bear DCF'!P46</f>
        <v>0</v>
      </c>
      <c r="P761">
        <f>'Bear DCF'!Q46</f>
        <v>0</v>
      </c>
      <c r="Q761">
        <f>'Bear DCF'!R46</f>
        <v>0</v>
      </c>
      <c r="R761">
        <f>'Bear DCF'!S46</f>
        <v>0</v>
      </c>
      <c r="S761">
        <f>'Bear DCF'!T46</f>
        <v>0</v>
      </c>
      <c r="T761">
        <f>'Bear DCF'!U46</f>
        <v>0</v>
      </c>
    </row>
    <row r="762" spans="1:20">
      <c r="A762" t="str">
        <f>'Bear DCF'!B47</f>
        <v>Equity value per share</v>
      </c>
      <c r="B762">
        <f>'Bear DCF'!C47</f>
        <v>0</v>
      </c>
      <c r="C762">
        <f>'Bear DCF'!D47</f>
        <v>0</v>
      </c>
      <c r="D762">
        <f>'Bear DCF'!E47</f>
        <v>5.6480581820063183</v>
      </c>
      <c r="E762">
        <f>'Bear DCF'!F47</f>
        <v>0</v>
      </c>
      <c r="F762">
        <f>'Bear DCF'!G47</f>
        <v>0</v>
      </c>
      <c r="G762">
        <f>'Bear DCF'!H47</f>
        <v>0</v>
      </c>
      <c r="H762">
        <f>'Bear DCF'!I47</f>
        <v>0</v>
      </c>
      <c r="I762">
        <f>'Bear DCF'!J47</f>
        <v>0</v>
      </c>
      <c r="J762">
        <f>'Bear DCF'!K47</f>
        <v>0</v>
      </c>
      <c r="K762">
        <f>'Bear DCF'!L47</f>
        <v>0</v>
      </c>
      <c r="L762">
        <f>'Bear DCF'!M47</f>
        <v>0</v>
      </c>
      <c r="M762">
        <f>'Bear DCF'!N47</f>
        <v>0</v>
      </c>
      <c r="N762">
        <f>'Bear DCF'!O47</f>
        <v>0</v>
      </c>
      <c r="O762">
        <f>'Bear DCF'!P47</f>
        <v>0</v>
      </c>
      <c r="P762">
        <f>'Bear DCF'!Q47</f>
        <v>0</v>
      </c>
      <c r="Q762">
        <f>'Bear DCF'!R47</f>
        <v>0</v>
      </c>
      <c r="R762">
        <f>'Bear DCF'!S47</f>
        <v>0</v>
      </c>
      <c r="S762">
        <f>'Bear DCF'!T47</f>
        <v>0</v>
      </c>
      <c r="T762">
        <f>'Bear DCF'!U47</f>
        <v>0</v>
      </c>
    </row>
    <row r="763" spans="1:20">
      <c r="A763">
        <f>'Bear DCF'!B48</f>
        <v>0</v>
      </c>
      <c r="B763">
        <f>'Bear DCF'!C48</f>
        <v>0</v>
      </c>
      <c r="C763">
        <f>'Bear DCF'!D48</f>
        <v>0</v>
      </c>
      <c r="D763">
        <f>'Bear DCF'!E48</f>
        <v>0</v>
      </c>
      <c r="E763">
        <f>'Bear DCF'!F48</f>
        <v>0</v>
      </c>
      <c r="F763">
        <f>'Bear DCF'!G48</f>
        <v>0</v>
      </c>
      <c r="G763">
        <f>'Bear DCF'!H48</f>
        <v>0</v>
      </c>
      <c r="H763">
        <f>'Bear DCF'!I48</f>
        <v>0</v>
      </c>
      <c r="I763">
        <f>'Bear DCF'!J48</f>
        <v>0</v>
      </c>
      <c r="J763">
        <f>'Bear DCF'!K48</f>
        <v>0</v>
      </c>
      <c r="K763">
        <f>'Bear DCF'!L48</f>
        <v>0</v>
      </c>
      <c r="L763">
        <f>'Bear DCF'!M48</f>
        <v>0</v>
      </c>
      <c r="M763">
        <f>'Bear DCF'!N48</f>
        <v>0</v>
      </c>
      <c r="N763">
        <f>'Bear DCF'!O48</f>
        <v>0</v>
      </c>
      <c r="O763">
        <f>'Bear DCF'!P48</f>
        <v>0</v>
      </c>
      <c r="P763">
        <f>'Bear DCF'!Q48</f>
        <v>0</v>
      </c>
      <c r="Q763">
        <f>'Bear DCF'!R48</f>
        <v>0</v>
      </c>
      <c r="R763">
        <f>'Bear DCF'!S48</f>
        <v>0</v>
      </c>
      <c r="S763">
        <f>'Bear DCF'!T48</f>
        <v>0</v>
      </c>
      <c r="T763">
        <f>'Bear DCF'!U48</f>
        <v>0</v>
      </c>
    </row>
    <row r="764" spans="1:20">
      <c r="A764" t="str">
        <f>'Bear DCF'!B49</f>
        <v>DCF Valuation Assumptions</v>
      </c>
      <c r="B764">
        <f>'Bear DCF'!C49</f>
        <v>0</v>
      </c>
      <c r="C764">
        <f>'Bear DCF'!D49</f>
        <v>0</v>
      </c>
      <c r="D764">
        <f>'Bear DCF'!E49</f>
        <v>0</v>
      </c>
      <c r="E764">
        <f>'Bear DCF'!F49</f>
        <v>0</v>
      </c>
      <c r="F764">
        <f>'Bear DCF'!G49</f>
        <v>0</v>
      </c>
      <c r="G764">
        <f>'Bear DCF'!H49</f>
        <v>0</v>
      </c>
      <c r="H764">
        <f>'Bear DCF'!I49</f>
        <v>0</v>
      </c>
      <c r="I764">
        <f>'Bear DCF'!J49</f>
        <v>0</v>
      </c>
      <c r="J764">
        <f>'Bear DCF'!K49</f>
        <v>0</v>
      </c>
      <c r="K764">
        <f>'Bear DCF'!L49</f>
        <v>0</v>
      </c>
      <c r="L764">
        <f>'Bear DCF'!M49</f>
        <v>0</v>
      </c>
      <c r="M764">
        <f>'Bear DCF'!N49</f>
        <v>0</v>
      </c>
      <c r="N764">
        <f>'Bear DCF'!O49</f>
        <v>0</v>
      </c>
      <c r="O764">
        <f>'Bear DCF'!P49</f>
        <v>0</v>
      </c>
      <c r="P764">
        <f>'Bear DCF'!Q49</f>
        <v>0</v>
      </c>
      <c r="Q764">
        <f>'Bear DCF'!R49</f>
        <v>0</v>
      </c>
      <c r="R764">
        <f>'Bear DCF'!S49</f>
        <v>0</v>
      </c>
      <c r="S764">
        <f>'Bear DCF'!T49</f>
        <v>0</v>
      </c>
      <c r="T764">
        <f>'Bear DCF'!U49</f>
        <v>0</v>
      </c>
    </row>
    <row r="766" spans="1:20">
      <c r="A766" t="str">
        <f>'Bear DCF'!B50</f>
        <v>Cost of Equity</v>
      </c>
      <c r="B766">
        <f>'Bear DCF'!C50</f>
        <v>0</v>
      </c>
      <c r="C766">
        <f>'Bear DCF'!D50</f>
        <v>0</v>
      </c>
      <c r="D766">
        <f>'Bear DCF'!E50</f>
        <v>8.3548199999999989E-2</v>
      </c>
      <c r="E766">
        <f>'Bear DCF'!F50</f>
        <v>0</v>
      </c>
      <c r="F766">
        <f>'Bear DCF'!G50</f>
        <v>0</v>
      </c>
      <c r="G766">
        <f>'Bear DCF'!H50</f>
        <v>0</v>
      </c>
      <c r="H766">
        <f>'Bear DCF'!I50</f>
        <v>0</v>
      </c>
      <c r="I766">
        <f>'Bear DCF'!J50</f>
        <v>0</v>
      </c>
      <c r="J766">
        <f>'Bear DCF'!K50</f>
        <v>0</v>
      </c>
      <c r="K766">
        <f>'Bear DCF'!L50</f>
        <v>0</v>
      </c>
      <c r="L766">
        <f>'Bear DCF'!M50</f>
        <v>0</v>
      </c>
      <c r="M766">
        <f>'Bear DCF'!N50</f>
        <v>0</v>
      </c>
      <c r="N766">
        <f>'Bear DCF'!O50</f>
        <v>0</v>
      </c>
      <c r="O766">
        <f>'Bear DCF'!P50</f>
        <v>0</v>
      </c>
      <c r="P766">
        <f>'Bear DCF'!Q50</f>
        <v>0</v>
      </c>
      <c r="Q766">
        <f>'Bear DCF'!R50</f>
        <v>0</v>
      </c>
      <c r="R766">
        <f>'Bear DCF'!S50</f>
        <v>0</v>
      </c>
      <c r="S766">
        <f>'Bear DCF'!T50</f>
        <v>0</v>
      </c>
      <c r="T766">
        <f>'Bear DCF'!U50</f>
        <v>0</v>
      </c>
    </row>
    <row r="767" spans="1:20">
      <c r="A767" t="str">
        <f>'Bear DCF'!B51</f>
        <v>Cost of Debt</v>
      </c>
      <c r="B767">
        <f>'Bear DCF'!C51</f>
        <v>0</v>
      </c>
      <c r="C767">
        <f>'Bear DCF'!D51</f>
        <v>0</v>
      </c>
      <c r="D767">
        <f>'Bear DCF'!E51</f>
        <v>0.03</v>
      </c>
      <c r="E767">
        <f>'Bear DCF'!F51</f>
        <v>0</v>
      </c>
      <c r="F767">
        <f>'Bear DCF'!G51</f>
        <v>0</v>
      </c>
      <c r="G767">
        <f>'Bear DCF'!H51</f>
        <v>0</v>
      </c>
      <c r="H767">
        <f>'Bear DCF'!I51</f>
        <v>0</v>
      </c>
      <c r="I767">
        <f>'Bear DCF'!J51</f>
        <v>0</v>
      </c>
      <c r="J767">
        <f>'Bear DCF'!K51</f>
        <v>0</v>
      </c>
      <c r="K767">
        <f>'Bear DCF'!L51</f>
        <v>0</v>
      </c>
      <c r="L767">
        <f>'Bear DCF'!M51</f>
        <v>0</v>
      </c>
      <c r="M767">
        <f>'Bear DCF'!N51</f>
        <v>0</v>
      </c>
      <c r="N767">
        <f>'Bear DCF'!O51</f>
        <v>0</v>
      </c>
      <c r="O767">
        <f>'Bear DCF'!P51</f>
        <v>0</v>
      </c>
      <c r="P767">
        <f>'Bear DCF'!Q51</f>
        <v>0</v>
      </c>
      <c r="Q767">
        <f>'Bear DCF'!R51</f>
        <v>0</v>
      </c>
      <c r="R767">
        <f>'Bear DCF'!S51</f>
        <v>0</v>
      </c>
      <c r="S767">
        <f>'Bear DCF'!T51</f>
        <v>0</v>
      </c>
      <c r="T767">
        <f>'Bear DCF'!U51</f>
        <v>0</v>
      </c>
    </row>
    <row r="768" spans="1:20">
      <c r="A768" t="str">
        <f>'Bear DCF'!B52</f>
        <v>Marginal Tax-Rate</v>
      </c>
      <c r="B768">
        <f>'Bear DCF'!C52</f>
        <v>0</v>
      </c>
      <c r="C768">
        <f>'Bear DCF'!D52</f>
        <v>0</v>
      </c>
      <c r="D768">
        <f>'Bear DCF'!E52</f>
        <v>0.35</v>
      </c>
      <c r="E768">
        <f>'Bear DCF'!F52</f>
        <v>0</v>
      </c>
      <c r="F768">
        <f>'Bear DCF'!G52</f>
        <v>0</v>
      </c>
      <c r="G768">
        <f>'Bear DCF'!H52</f>
        <v>0</v>
      </c>
      <c r="H768">
        <f>'Bear DCF'!I52</f>
        <v>0</v>
      </c>
      <c r="I768">
        <f>'Bear DCF'!J52</f>
        <v>0</v>
      </c>
      <c r="J768">
        <f>'Bear DCF'!K52</f>
        <v>0</v>
      </c>
      <c r="K768">
        <f>'Bear DCF'!L52</f>
        <v>0</v>
      </c>
      <c r="L768">
        <f>'Bear DCF'!M52</f>
        <v>0</v>
      </c>
      <c r="M768">
        <f>'Bear DCF'!N52</f>
        <v>0</v>
      </c>
      <c r="N768">
        <f>'Bear DCF'!O52</f>
        <v>0</v>
      </c>
      <c r="O768">
        <f>'Bear DCF'!P52</f>
        <v>0</v>
      </c>
      <c r="P768">
        <f>'Bear DCF'!Q52</f>
        <v>0</v>
      </c>
      <c r="Q768">
        <f>'Bear DCF'!R52</f>
        <v>0</v>
      </c>
      <c r="R768">
        <f>'Bear DCF'!S52</f>
        <v>0</v>
      </c>
      <c r="S768">
        <f>'Bear DCF'!T52</f>
        <v>0</v>
      </c>
      <c r="T768">
        <f>'Bear DCF'!U52</f>
        <v>0</v>
      </c>
    </row>
    <row r="769" spans="1:39">
      <c r="A769" t="str">
        <f>'Bear DCF'!B53</f>
        <v>Long-Term Debt / Total Cap.</v>
      </c>
      <c r="B769">
        <f>'Bear DCF'!C53</f>
        <v>0</v>
      </c>
      <c r="C769">
        <f>'Bear DCF'!D53</f>
        <v>0</v>
      </c>
      <c r="D769">
        <f>'Bear DCF'!E53</f>
        <v>0.02</v>
      </c>
      <c r="E769">
        <f>'Bear DCF'!F53</f>
        <v>0</v>
      </c>
      <c r="F769">
        <f>'Bear DCF'!G53</f>
        <v>0</v>
      </c>
      <c r="G769">
        <f>'Bear DCF'!H53</f>
        <v>0</v>
      </c>
      <c r="H769">
        <f>'Bear DCF'!I53</f>
        <v>0</v>
      </c>
      <c r="I769">
        <f>'Bear DCF'!J53</f>
        <v>0</v>
      </c>
      <c r="J769">
        <f>'Bear DCF'!K53</f>
        <v>0</v>
      </c>
      <c r="K769">
        <f>'Bear DCF'!L53</f>
        <v>0</v>
      </c>
      <c r="L769">
        <f>'Bear DCF'!M53</f>
        <v>0</v>
      </c>
      <c r="M769">
        <f>'Bear DCF'!N53</f>
        <v>0</v>
      </c>
      <c r="N769">
        <f>'Bear DCF'!O53</f>
        <v>0</v>
      </c>
      <c r="O769">
        <f>'Bear DCF'!P53</f>
        <v>0</v>
      </c>
      <c r="P769">
        <f>'Bear DCF'!Q53</f>
        <v>0</v>
      </c>
      <c r="Q769">
        <f>'Bear DCF'!R53</f>
        <v>0</v>
      </c>
      <c r="R769">
        <f>'Bear DCF'!S53</f>
        <v>0</v>
      </c>
      <c r="S769">
        <f>'Bear DCF'!T53</f>
        <v>0</v>
      </c>
      <c r="T769">
        <f>'Bear DCF'!U53</f>
        <v>0</v>
      </c>
    </row>
    <row r="770" spans="1:39">
      <c r="A770" t="str">
        <f>'Bear DCF'!B54</f>
        <v>WACC</v>
      </c>
      <c r="B770">
        <f>'Bear DCF'!C54</f>
        <v>0</v>
      </c>
      <c r="C770">
        <f>'Bear DCF'!D54</f>
        <v>0</v>
      </c>
      <c r="D770">
        <f>'Bear DCF'!E54</f>
        <v>8.2267235999999994E-2</v>
      </c>
      <c r="E770">
        <f>'Bear DCF'!F54</f>
        <v>0</v>
      </c>
      <c r="F770">
        <f>'Bear DCF'!G54</f>
        <v>0</v>
      </c>
      <c r="G770">
        <f>'Bear DCF'!H54</f>
        <v>0</v>
      </c>
      <c r="H770">
        <f>'Bear DCF'!I54</f>
        <v>0</v>
      </c>
      <c r="I770">
        <f>'Bear DCF'!J54</f>
        <v>0</v>
      </c>
      <c r="J770">
        <f>'Bear DCF'!K54</f>
        <v>0</v>
      </c>
      <c r="K770">
        <f>'Bear DCF'!L54</f>
        <v>0</v>
      </c>
      <c r="L770">
        <f>'Bear DCF'!M54</f>
        <v>0</v>
      </c>
      <c r="M770">
        <f>'Bear DCF'!N54</f>
        <v>0</v>
      </c>
      <c r="N770">
        <f>'Bear DCF'!O54</f>
        <v>0</v>
      </c>
      <c r="O770">
        <f>'Bear DCF'!P54</f>
        <v>0</v>
      </c>
      <c r="P770">
        <f>'Bear DCF'!Q54</f>
        <v>0</v>
      </c>
      <c r="Q770">
        <f>'Bear DCF'!R54</f>
        <v>0</v>
      </c>
      <c r="R770">
        <f>'Bear DCF'!S54</f>
        <v>0</v>
      </c>
      <c r="S770">
        <f>'Bear DCF'!T54</f>
        <v>0</v>
      </c>
      <c r="T770">
        <f>'Bear DCF'!U54</f>
        <v>0</v>
      </c>
    </row>
    <row r="771" spans="1:39">
      <c r="A771" t="str">
        <f>'Bear DCF'!B55</f>
        <v>Perpetual Growth Rate</v>
      </c>
      <c r="B771">
        <f>'Bear DCF'!C55</f>
        <v>0</v>
      </c>
      <c r="C771">
        <f>'Bear DCF'!D55</f>
        <v>0</v>
      </c>
      <c r="D771">
        <f>'Bear DCF'!E55</f>
        <v>0.03</v>
      </c>
      <c r="E771">
        <f>'Bear DCF'!F55</f>
        <v>0</v>
      </c>
      <c r="F771">
        <f>'Bear DCF'!G55</f>
        <v>0</v>
      </c>
      <c r="G771">
        <f>'Bear DCF'!H55</f>
        <v>0</v>
      </c>
      <c r="H771">
        <f>'Bear DCF'!I55</f>
        <v>0</v>
      </c>
      <c r="I771">
        <f>'Bear DCF'!J55</f>
        <v>0</v>
      </c>
      <c r="J771">
        <f>'Bear DCF'!K55</f>
        <v>0</v>
      </c>
      <c r="K771">
        <f>'Bear DCF'!L55</f>
        <v>0</v>
      </c>
      <c r="L771">
        <f>'Bear DCF'!M55</f>
        <v>0</v>
      </c>
      <c r="M771">
        <f>'Bear DCF'!N55</f>
        <v>0</v>
      </c>
      <c r="N771">
        <f>'Bear DCF'!O55</f>
        <v>0</v>
      </c>
      <c r="O771">
        <f>'Bear DCF'!P55</f>
        <v>0</v>
      </c>
      <c r="P771">
        <f>'Bear DCF'!Q55</f>
        <v>0</v>
      </c>
      <c r="Q771">
        <f>'Bear DCF'!R55</f>
        <v>0</v>
      </c>
      <c r="R771">
        <f>'Bear DCF'!S55</f>
        <v>0</v>
      </c>
      <c r="S771">
        <f>'Bear DCF'!T55</f>
        <v>0</v>
      </c>
      <c r="T771">
        <f>'Bear DCF'!U55</f>
        <v>0</v>
      </c>
    </row>
    <row r="772" spans="1:39">
      <c r="A772">
        <f>'Bear DCF'!B56</f>
        <v>0</v>
      </c>
      <c r="B772">
        <f>'Bear DCF'!C56</f>
        <v>0</v>
      </c>
      <c r="C772">
        <f>'Bear DCF'!D56</f>
        <v>0</v>
      </c>
      <c r="D772">
        <f>'Bear DCF'!E56</f>
        <v>0</v>
      </c>
      <c r="E772">
        <f>'Bear DCF'!F56</f>
        <v>0</v>
      </c>
      <c r="F772">
        <f>'Bear DCF'!G56</f>
        <v>0</v>
      </c>
      <c r="G772">
        <f>'Bear DCF'!H56</f>
        <v>0</v>
      </c>
      <c r="H772">
        <f>'Bear DCF'!I56</f>
        <v>0</v>
      </c>
      <c r="I772">
        <f>'Bear DCF'!J56</f>
        <v>0</v>
      </c>
      <c r="J772">
        <f>'Bear DCF'!K56</f>
        <v>0</v>
      </c>
      <c r="K772">
        <f>'Bear DCF'!L56</f>
        <v>0</v>
      </c>
      <c r="L772">
        <f>'Bear DCF'!M56</f>
        <v>0</v>
      </c>
      <c r="M772">
        <f>'Bear DCF'!N56</f>
        <v>0</v>
      </c>
      <c r="N772">
        <f>'Bear DCF'!O56</f>
        <v>0</v>
      </c>
      <c r="O772">
        <f>'Bear DCF'!P56</f>
        <v>0</v>
      </c>
      <c r="P772">
        <f>'Bear DCF'!Q56</f>
        <v>0</v>
      </c>
      <c r="Q772">
        <f>'Bear DCF'!R56</f>
        <v>0</v>
      </c>
      <c r="R772">
        <f>'Bear DCF'!S56</f>
        <v>0</v>
      </c>
      <c r="S772">
        <f>'Bear DCF'!T56</f>
        <v>0</v>
      </c>
      <c r="T772">
        <f>'Bear DCF'!U56</f>
        <v>0</v>
      </c>
    </row>
    <row r="773" spans="1:39">
      <c r="A773" t="str">
        <f>'Bear DCF'!B57</f>
        <v>Risk-free rate</v>
      </c>
      <c r="B773">
        <f>'Bear DCF'!C57</f>
        <v>0</v>
      </c>
      <c r="C773">
        <f>'Bear DCF'!D57</f>
        <v>0</v>
      </c>
      <c r="D773">
        <f>'Bear DCF'!E57</f>
        <v>2.4899999999999999E-2</v>
      </c>
      <c r="E773">
        <f>'Bear DCF'!F57</f>
        <v>0</v>
      </c>
      <c r="F773">
        <f>'Bear DCF'!G57</f>
        <v>0</v>
      </c>
      <c r="G773">
        <f>'Bear DCF'!H57</f>
        <v>0</v>
      </c>
      <c r="H773">
        <f>'Bear DCF'!I57</f>
        <v>0</v>
      </c>
      <c r="I773">
        <f>'Bear DCF'!J57</f>
        <v>0</v>
      </c>
      <c r="J773">
        <f>'Bear DCF'!K57</f>
        <v>0</v>
      </c>
      <c r="K773">
        <f>'Bear DCF'!L57</f>
        <v>0</v>
      </c>
      <c r="L773">
        <f>'Bear DCF'!M57</f>
        <v>0</v>
      </c>
      <c r="M773">
        <f>'Bear DCF'!N57</f>
        <v>0</v>
      </c>
      <c r="N773">
        <f>'Bear DCF'!O57</f>
        <v>0</v>
      </c>
      <c r="O773">
        <f>'Bear DCF'!P57</f>
        <v>0</v>
      </c>
      <c r="P773">
        <f>'Bear DCF'!Q57</f>
        <v>0</v>
      </c>
      <c r="Q773">
        <f>'Bear DCF'!R57</f>
        <v>0</v>
      </c>
      <c r="R773">
        <f>'Bear DCF'!S57</f>
        <v>0</v>
      </c>
      <c r="S773">
        <f>'Bear DCF'!T57</f>
        <v>0</v>
      </c>
      <c r="T773">
        <f>'Bear DCF'!U57</f>
        <v>0</v>
      </c>
    </row>
    <row r="774" spans="1:39">
      <c r="A774" t="str">
        <f>'Bear DCF'!B58</f>
        <v>Market Risk Premium</v>
      </c>
      <c r="B774">
        <f>'Bear DCF'!C58</f>
        <v>0</v>
      </c>
      <c r="C774">
        <f>'Bear DCF'!D58</f>
        <v>0</v>
      </c>
      <c r="D774">
        <f>'Bear DCF'!E58</f>
        <v>4.3799999999999999E-2</v>
      </c>
      <c r="E774">
        <f>'Bear DCF'!F58</f>
        <v>0</v>
      </c>
      <c r="F774">
        <f>'Bear DCF'!G58</f>
        <v>0</v>
      </c>
      <c r="G774">
        <f>'Bear DCF'!H58</f>
        <v>0</v>
      </c>
      <c r="H774">
        <f>'Bear DCF'!I58</f>
        <v>0</v>
      </c>
      <c r="I774">
        <f>'Bear DCF'!J58</f>
        <v>0</v>
      </c>
      <c r="J774">
        <f>'Bear DCF'!K58</f>
        <v>0</v>
      </c>
      <c r="K774">
        <f>'Bear DCF'!L58</f>
        <v>0</v>
      </c>
      <c r="L774">
        <f>'Bear DCF'!M58</f>
        <v>0</v>
      </c>
      <c r="M774">
        <f>'Bear DCF'!N58</f>
        <v>0</v>
      </c>
      <c r="N774">
        <f>'Bear DCF'!O58</f>
        <v>0</v>
      </c>
      <c r="O774">
        <f>'Bear DCF'!P58</f>
        <v>0</v>
      </c>
      <c r="P774">
        <f>'Bear DCF'!Q58</f>
        <v>0</v>
      </c>
      <c r="Q774">
        <f>'Bear DCF'!R58</f>
        <v>0</v>
      </c>
      <c r="R774">
        <f>'Bear DCF'!S58</f>
        <v>0</v>
      </c>
      <c r="S774">
        <f>'Bear DCF'!T58</f>
        <v>0</v>
      </c>
      <c r="T774">
        <f>'Bear DCF'!U58</f>
        <v>0</v>
      </c>
    </row>
    <row r="775" spans="1:39">
      <c r="A775" t="str">
        <f>'Bear DCF'!B59</f>
        <v>Equity Beta</v>
      </c>
      <c r="B775">
        <f>'Bear DCF'!C59</f>
        <v>0</v>
      </c>
      <c r="C775">
        <f>'Bear DCF'!D59</f>
        <v>0</v>
      </c>
      <c r="D775">
        <f>'Bear DCF'!E59</f>
        <v>1.339</v>
      </c>
      <c r="E775">
        <f>'Bear DCF'!F59</f>
        <v>0</v>
      </c>
      <c r="F775">
        <f>'Bear DCF'!G59</f>
        <v>0</v>
      </c>
      <c r="G775">
        <f>'Bear DCF'!H59</f>
        <v>0</v>
      </c>
      <c r="H775">
        <f>'Bear DCF'!I59</f>
        <v>0</v>
      </c>
      <c r="I775">
        <f>'Bear DCF'!J59</f>
        <v>0</v>
      </c>
      <c r="J775">
        <f>'Bear DCF'!K59</f>
        <v>0</v>
      </c>
      <c r="K775">
        <f>'Bear DCF'!L59</f>
        <v>0</v>
      </c>
      <c r="L775">
        <f>'Bear DCF'!M59</f>
        <v>0</v>
      </c>
      <c r="M775">
        <f>'Bear DCF'!N59</f>
        <v>0</v>
      </c>
      <c r="N775">
        <f>'Bear DCF'!O59</f>
        <v>0</v>
      </c>
      <c r="O775">
        <f>'Bear DCF'!P59</f>
        <v>0</v>
      </c>
      <c r="P775">
        <f>'Bear DCF'!Q59</f>
        <v>0</v>
      </c>
      <c r="Q775">
        <f>'Bear DCF'!R59</f>
        <v>0</v>
      </c>
      <c r="R775">
        <f>'Bear DCF'!S59</f>
        <v>0</v>
      </c>
      <c r="S775">
        <f>'Bear DCF'!T59</f>
        <v>0</v>
      </c>
      <c r="T775">
        <f>'Bear DCF'!U59</f>
        <v>0</v>
      </c>
    </row>
    <row r="776" spans="1:39">
      <c r="A776" t="str">
        <f>'Bear DCF'!B60</f>
        <v>Required Equity Return</v>
      </c>
      <c r="B776">
        <f>'Bear DCF'!C60</f>
        <v>0</v>
      </c>
      <c r="C776">
        <f>'Bear DCF'!D60</f>
        <v>0</v>
      </c>
      <c r="D776">
        <f>'Bear DCF'!E60</f>
        <v>8.3548199999999989E-2</v>
      </c>
      <c r="E776">
        <f>'Bear DCF'!F60</f>
        <v>0</v>
      </c>
      <c r="F776">
        <f>'Bear DCF'!G60</f>
        <v>0</v>
      </c>
      <c r="G776">
        <f>'Bear DCF'!H60</f>
        <v>0</v>
      </c>
      <c r="H776">
        <f>'Bear DCF'!I60</f>
        <v>0</v>
      </c>
      <c r="I776">
        <f>'Bear DCF'!J60</f>
        <v>0</v>
      </c>
      <c r="J776">
        <f>'Bear DCF'!K60</f>
        <v>0</v>
      </c>
      <c r="K776">
        <f>'Bear DCF'!L60</f>
        <v>0</v>
      </c>
      <c r="L776">
        <f>'Bear DCF'!M60</f>
        <v>0</v>
      </c>
      <c r="M776">
        <f>'Bear DCF'!N60</f>
        <v>0</v>
      </c>
      <c r="N776">
        <f>'Bear DCF'!O60</f>
        <v>0</v>
      </c>
      <c r="O776">
        <f>'Bear DCF'!P60</f>
        <v>0</v>
      </c>
      <c r="P776">
        <f>'Bear DCF'!Q60</f>
        <v>0</v>
      </c>
      <c r="Q776">
        <f>'Bear DCF'!R60</f>
        <v>0</v>
      </c>
      <c r="R776">
        <f>'Bear DCF'!S60</f>
        <v>0</v>
      </c>
      <c r="S776">
        <f>'Bear DCF'!T60</f>
        <v>0</v>
      </c>
      <c r="T776">
        <f>'Bear DCF'!U60</f>
        <v>0</v>
      </c>
    </row>
    <row r="777" spans="1:39">
      <c r="A777">
        <f>'Bear DCF'!B61</f>
        <v>0</v>
      </c>
      <c r="B777">
        <f>'Bear DCF'!C61</f>
        <v>0</v>
      </c>
      <c r="C777">
        <f>'Bear DCF'!D61</f>
        <v>0</v>
      </c>
      <c r="D777">
        <f>'Bear DCF'!E61</f>
        <v>0</v>
      </c>
      <c r="E777">
        <f>'Bear DCF'!F61</f>
        <v>0</v>
      </c>
      <c r="F777">
        <f>'Bear DCF'!G61</f>
        <v>0</v>
      </c>
      <c r="G777">
        <f>'Bear DCF'!H61</f>
        <v>0</v>
      </c>
      <c r="H777">
        <f>'Bear DCF'!I61</f>
        <v>0</v>
      </c>
      <c r="I777">
        <f>'Bear DCF'!J61</f>
        <v>0</v>
      </c>
      <c r="J777">
        <f>'Bear DCF'!K61</f>
        <v>0</v>
      </c>
      <c r="K777">
        <f>'Bear DCF'!L61</f>
        <v>0</v>
      </c>
      <c r="L777">
        <f>'Bear DCF'!M61</f>
        <v>0</v>
      </c>
      <c r="M777">
        <f>'Bear DCF'!N61</f>
        <v>0</v>
      </c>
      <c r="N777">
        <f>'Bear DCF'!O61</f>
        <v>0</v>
      </c>
      <c r="O777">
        <f>'Bear DCF'!P61</f>
        <v>0</v>
      </c>
      <c r="P777">
        <f>'Bear DCF'!Q61</f>
        <v>0</v>
      </c>
      <c r="Q777">
        <f>'Bear DCF'!R61</f>
        <v>0</v>
      </c>
      <c r="R777">
        <f>'Bear DCF'!S61</f>
        <v>0</v>
      </c>
      <c r="S777">
        <f>'Bear DCF'!T61</f>
        <v>0</v>
      </c>
      <c r="T777">
        <f>'Bear DCF'!U61</f>
        <v>0</v>
      </c>
    </row>
    <row r="779" spans="1:39">
      <c r="A779" t="str">
        <f>'Bear DCF'!B68</f>
        <v>Bear Case DCF Assumptions</v>
      </c>
      <c r="B779">
        <f>'Bear DCF'!C68</f>
        <v>0</v>
      </c>
      <c r="C779">
        <f>'Bear DCF'!D68</f>
        <v>0</v>
      </c>
      <c r="D779">
        <f>'Bear DCF'!E68</f>
        <v>0</v>
      </c>
      <c r="E779">
        <f>'Bear DCF'!F68</f>
        <v>0</v>
      </c>
      <c r="F779">
        <f>'Bear DCF'!G68</f>
        <v>0</v>
      </c>
      <c r="G779">
        <f>'Bear DCF'!H68</f>
        <v>0</v>
      </c>
      <c r="H779">
        <f>'Bear DCF'!I68</f>
        <v>0</v>
      </c>
      <c r="I779">
        <f>'Bear DCF'!J68</f>
        <v>0</v>
      </c>
      <c r="J779">
        <f>'Bear DCF'!K68</f>
        <v>0</v>
      </c>
      <c r="K779">
        <f>'Bear DCF'!L68</f>
        <v>0</v>
      </c>
      <c r="L779">
        <f>'Bear DCF'!M68</f>
        <v>0</v>
      </c>
      <c r="M779">
        <f>'Bear DCF'!N68</f>
        <v>0</v>
      </c>
      <c r="N779">
        <f>'Bear DCF'!O68</f>
        <v>0</v>
      </c>
      <c r="O779">
        <f>'Bear DCF'!P68</f>
        <v>0</v>
      </c>
      <c r="P779">
        <f>'Bear DCF'!Q68</f>
        <v>0</v>
      </c>
      <c r="Q779">
        <f>'Bear DCF'!R68</f>
        <v>0</v>
      </c>
      <c r="R779">
        <f>'Bear DCF'!S68</f>
        <v>0</v>
      </c>
      <c r="S779">
        <f>'Bear DCF'!T68</f>
        <v>0</v>
      </c>
      <c r="T779">
        <f>'Bear DCF'!U68</f>
        <v>0</v>
      </c>
    </row>
    <row r="780" spans="1:39">
      <c r="A780" t="str">
        <f>'Bear DCF'!B69</f>
        <v>Capex</v>
      </c>
      <c r="B780">
        <f>'Bear DCF'!C69</f>
        <v>0</v>
      </c>
      <c r="C780">
        <f>'Bear DCF'!D69</f>
        <v>0</v>
      </c>
      <c r="D780">
        <f>'Bear DCF'!E69</f>
        <v>0</v>
      </c>
      <c r="E780">
        <f>'Bear DCF'!F69</f>
        <v>0</v>
      </c>
      <c r="F780">
        <f>'Bear DCF'!G69</f>
        <v>0</v>
      </c>
      <c r="G780">
        <f>'Bear DCF'!H69</f>
        <v>66.640999999999991</v>
      </c>
      <c r="H780">
        <f>'Bear DCF'!I69</f>
        <v>81.40998880694444</v>
      </c>
      <c r="I780">
        <f>'Bear DCF'!J69</f>
        <v>90.423512693521033</v>
      </c>
      <c r="J780">
        <f>'Bear DCF'!K69</f>
        <v>97.237278551633537</v>
      </c>
      <c r="K780">
        <f>'Bear DCF'!L69</f>
        <v>102.02917270710759</v>
      </c>
      <c r="L780">
        <f>'Bear DCF'!M69</f>
        <v>104.98503094362508</v>
      </c>
      <c r="M780">
        <f>'Bear DCF'!N69</f>
        <v>107.02734594279111</v>
      </c>
      <c r="N780">
        <f>'Bear DCF'!O69</f>
        <v>106.78218759029599</v>
      </c>
      <c r="O780">
        <f>'Bear DCF'!P69</f>
        <v>105.25274209087962</v>
      </c>
      <c r="P780">
        <f>'Bear DCF'!Q69</f>
        <v>102.69859958207468</v>
      </c>
      <c r="Q780">
        <f>'Bear DCF'!R69</f>
        <v>0</v>
      </c>
      <c r="R780">
        <f>'Bear DCF'!S69</f>
        <v>0</v>
      </c>
      <c r="S780">
        <f>'Bear DCF'!T69</f>
        <v>0</v>
      </c>
      <c r="T780">
        <f>'Bear DCF'!U69</f>
        <v>0</v>
      </c>
    </row>
    <row r="781" spans="1:39">
      <c r="A781" t="str">
        <f>Model!I214</f>
        <v xml:space="preserve">Operating Cash Flow </v>
      </c>
      <c r="B781">
        <f>Model!J214</f>
        <v>0</v>
      </c>
      <c r="C781">
        <f>Model!K214</f>
        <v>0</v>
      </c>
      <c r="D781">
        <f>Model!L214</f>
        <v>0</v>
      </c>
      <c r="E781">
        <f>Model!M214</f>
        <v>0</v>
      </c>
      <c r="F781">
        <f>Model!N214</f>
        <v>0</v>
      </c>
      <c r="G781">
        <f>Model!O214</f>
        <v>0</v>
      </c>
      <c r="H781">
        <f>Model!P214</f>
        <v>0</v>
      </c>
      <c r="I781">
        <f>Model!Q214</f>
        <v>0</v>
      </c>
      <c r="J781">
        <f>Model!R214</f>
        <v>0</v>
      </c>
      <c r="K781">
        <f>Model!S214</f>
        <v>0</v>
      </c>
      <c r="L781">
        <f>Model!T214</f>
        <v>0</v>
      </c>
      <c r="M781">
        <f>Model!U214</f>
        <v>0</v>
      </c>
      <c r="N781">
        <f>Model!V214</f>
        <v>0</v>
      </c>
      <c r="O781">
        <f>Model!W214</f>
        <v>0</v>
      </c>
      <c r="P781">
        <f>Model!X214</f>
        <v>0</v>
      </c>
      <c r="Q781">
        <f>Model!Y214</f>
        <v>0</v>
      </c>
      <c r="R781">
        <f>Model!Z214</f>
        <v>-154.99700000000007</v>
      </c>
      <c r="S781">
        <f>Model!AA214</f>
        <v>-209.57400000000027</v>
      </c>
      <c r="T781">
        <f>Model!AB214</f>
        <v>-194.01299999999981</v>
      </c>
      <c r="U781">
        <f>Model!AC214</f>
        <v>-176.08300000000014</v>
      </c>
      <c r="V781">
        <f>Model!AD214</f>
        <v>-388.87845886481784</v>
      </c>
      <c r="W781">
        <f>Model!AE214</f>
        <v>-178.53798354468103</v>
      </c>
      <c r="X781">
        <f>Model!AF214</f>
        <v>-219.76611323026526</v>
      </c>
      <c r="Y781">
        <f>Model!AG214</f>
        <v>-203.09627825861833</v>
      </c>
      <c r="Z781">
        <f>Model!AH214</f>
        <v>0</v>
      </c>
      <c r="AA781">
        <f>Model!AI214</f>
        <v>0</v>
      </c>
      <c r="AB781">
        <f>Model!AJ214</f>
        <v>0</v>
      </c>
      <c r="AC781">
        <f>Model!AK214</f>
        <v>-306.62200000000001</v>
      </c>
      <c r="AD781">
        <f>Model!AL214</f>
        <v>-611.245</v>
      </c>
      <c r="AE781">
        <f>Model!AM214</f>
        <v>-734.66700000000037</v>
      </c>
      <c r="AF781">
        <f>Model!AN214</f>
        <v>-990.27883389838235</v>
      </c>
      <c r="AG781">
        <f>Model!AO214</f>
        <v>-76.237624246585483</v>
      </c>
      <c r="AH781">
        <f>Model!AP214</f>
        <v>365.96461037725908</v>
      </c>
      <c r="AI781">
        <f>Model!AQ214</f>
        <v>501.05350462196441</v>
      </c>
      <c r="AJ781">
        <f>Model!AR214</f>
        <v>754.75879422761943</v>
      </c>
      <c r="AK781">
        <f>Model!AS214</f>
        <v>1057.6643027257483</v>
      </c>
      <c r="AL781">
        <f>Model!AT214</f>
        <v>1440.6232346943223</v>
      </c>
      <c r="AM781">
        <f>Model!AU214</f>
        <v>1845.872268792989</v>
      </c>
    </row>
    <row r="782" spans="1:39">
      <c r="A782" t="str">
        <f>Model!I215</f>
        <v>Capex</v>
      </c>
      <c r="B782">
        <f>Model!J215</f>
        <v>0</v>
      </c>
      <c r="C782">
        <f>Model!K215</f>
        <v>0</v>
      </c>
      <c r="D782">
        <f>Model!L215</f>
        <v>0</v>
      </c>
      <c r="E782">
        <f>Model!M215</f>
        <v>0</v>
      </c>
      <c r="F782">
        <f>Model!N215</f>
        <v>0</v>
      </c>
      <c r="G782">
        <f>Model!O215</f>
        <v>0</v>
      </c>
      <c r="H782">
        <f>Model!P215</f>
        <v>0</v>
      </c>
      <c r="I782">
        <f>Model!Q215</f>
        <v>0</v>
      </c>
      <c r="J782">
        <f>Model!R215</f>
        <v>0</v>
      </c>
      <c r="K782">
        <f>Model!S215</f>
        <v>0</v>
      </c>
      <c r="L782">
        <f>Model!T215</f>
        <v>0</v>
      </c>
      <c r="M782">
        <f>Model!U215</f>
        <v>0</v>
      </c>
      <c r="N782">
        <f>Model!V215</f>
        <v>0</v>
      </c>
      <c r="O782">
        <f>Model!W215</f>
        <v>0</v>
      </c>
      <c r="P782">
        <f>Model!X215</f>
        <v>0</v>
      </c>
      <c r="Q782">
        <f>Model!Y215</f>
        <v>0</v>
      </c>
      <c r="R782">
        <f>Model!Z215</f>
        <v>17.992999999999999</v>
      </c>
      <c r="S782">
        <f>Model!AA215</f>
        <v>19.364999999999998</v>
      </c>
      <c r="T782">
        <f>Model!AB215</f>
        <v>25.948000000000004</v>
      </c>
      <c r="U782">
        <f>Model!AC215</f>
        <v>21.212</v>
      </c>
      <c r="V782">
        <f>Model!AD215</f>
        <v>21.492999999999999</v>
      </c>
      <c r="W782">
        <f>Model!AE215</f>
        <v>22.864999999999998</v>
      </c>
      <c r="X782">
        <f>Model!AF215</f>
        <v>29.448000000000004</v>
      </c>
      <c r="Y782">
        <f>Model!AG215</f>
        <v>24.712</v>
      </c>
      <c r="Z782">
        <f>Model!AH215</f>
        <v>0</v>
      </c>
      <c r="AA782">
        <f>Model!AI215</f>
        <v>0</v>
      </c>
      <c r="AB782">
        <f>Model!AJ215</f>
        <v>0</v>
      </c>
      <c r="AC782">
        <f>Model!AK215</f>
        <v>19.205000000000002</v>
      </c>
      <c r="AD782">
        <f>Model!AL215</f>
        <v>66.640999999999991</v>
      </c>
      <c r="AE782">
        <f>Model!AM215</f>
        <v>84.518000000000001</v>
      </c>
      <c r="AF782">
        <f>Model!AN215</f>
        <v>98.518000000000001</v>
      </c>
      <c r="AG782">
        <f>Model!AO215</f>
        <v>111.518</v>
      </c>
      <c r="AH782">
        <f>Model!AP215</f>
        <v>123.518</v>
      </c>
      <c r="AI782">
        <f>Model!AQ215</f>
        <v>134.518</v>
      </c>
      <c r="AJ782">
        <f>Model!AR215</f>
        <v>145.518</v>
      </c>
      <c r="AK782">
        <f>Model!AS215</f>
        <v>154.518</v>
      </c>
      <c r="AL782">
        <f>Model!AT215</f>
        <v>162.518</v>
      </c>
      <c r="AM782">
        <f>Model!AU215</f>
        <v>169.518</v>
      </c>
    </row>
    <row r="783" spans="1:39">
      <c r="A783" t="str">
        <f>Model!I216</f>
        <v>Free Cash Flow</v>
      </c>
      <c r="B783">
        <f>Model!J216</f>
        <v>0</v>
      </c>
      <c r="C783">
        <f>Model!K216</f>
        <v>0</v>
      </c>
      <c r="D783">
        <f>Model!L216</f>
        <v>0</v>
      </c>
      <c r="E783">
        <f>Model!M216</f>
        <v>0</v>
      </c>
      <c r="F783">
        <f>Model!N216</f>
        <v>0</v>
      </c>
      <c r="G783">
        <f>Model!O216</f>
        <v>0</v>
      </c>
      <c r="H783">
        <f>Model!P216</f>
        <v>0</v>
      </c>
      <c r="I783">
        <f>Model!Q216</f>
        <v>0</v>
      </c>
      <c r="J783">
        <f>Model!R216</f>
        <v>0</v>
      </c>
      <c r="K783">
        <f>Model!S216</f>
        <v>0</v>
      </c>
      <c r="L783">
        <f>Model!T216</f>
        <v>0</v>
      </c>
      <c r="M783">
        <f>Model!U216</f>
        <v>0</v>
      </c>
      <c r="N783">
        <f>Model!V216</f>
        <v>0</v>
      </c>
      <c r="O783">
        <f>Model!W216</f>
        <v>0</v>
      </c>
      <c r="P783">
        <f>Model!X216</f>
        <v>0</v>
      </c>
      <c r="Q783">
        <f>Model!Y216</f>
        <v>0</v>
      </c>
      <c r="R783">
        <f>Model!Z216</f>
        <v>-172.99000000000007</v>
      </c>
      <c r="S783">
        <f>Model!AA216</f>
        <v>-228.93900000000028</v>
      </c>
      <c r="T783">
        <f>Model!AB216</f>
        <v>-219.96099999999981</v>
      </c>
      <c r="U783">
        <f>Model!AC216</f>
        <v>-197.29500000000013</v>
      </c>
      <c r="V783">
        <f>Model!AD216</f>
        <v>-410.37145886481784</v>
      </c>
      <c r="W783">
        <f>Model!AE216</f>
        <v>-201.40298354468104</v>
      </c>
      <c r="X783">
        <f>Model!AF216</f>
        <v>-249.21411323026527</v>
      </c>
      <c r="Y783">
        <f>Model!AG216</f>
        <v>-227.80827825861832</v>
      </c>
      <c r="Z783">
        <f>Model!AH216</f>
        <v>0</v>
      </c>
      <c r="AA783">
        <f>Model!AI216</f>
        <v>0</v>
      </c>
      <c r="AB783">
        <f>Model!AJ216</f>
        <v>0</v>
      </c>
      <c r="AC783">
        <f>Model!AK216</f>
        <v>-325.827</v>
      </c>
      <c r="AD783">
        <f>Model!AL216</f>
        <v>-677.88599999999997</v>
      </c>
      <c r="AE783">
        <f>Model!AM216</f>
        <v>-819.1850000000004</v>
      </c>
      <c r="AF783">
        <f>Model!AN216</f>
        <v>-1088.7968338983824</v>
      </c>
      <c r="AG783">
        <f>Model!AO216</f>
        <v>-187.75562424658548</v>
      </c>
      <c r="AH783">
        <f>Model!AP216</f>
        <v>242.44661037725908</v>
      </c>
      <c r="AI783">
        <f>Model!AQ216</f>
        <v>366.53550462196438</v>
      </c>
      <c r="AJ783">
        <f>Model!AR216</f>
        <v>609.2407942276194</v>
      </c>
      <c r="AK783">
        <f>Model!AS216</f>
        <v>903.14630272574823</v>
      </c>
      <c r="AL783">
        <f>Model!AT216</f>
        <v>1278.1052346943222</v>
      </c>
      <c r="AM783">
        <f>Model!AU216</f>
        <v>1676.3542687929889</v>
      </c>
    </row>
    <row r="784" spans="1:39">
      <c r="A784" t="str">
        <f>Model!I217</f>
        <v xml:space="preserve">Y/Y % Change </v>
      </c>
      <c r="B784">
        <f>Model!J217</f>
        <v>0</v>
      </c>
      <c r="C784">
        <f>Model!K217</f>
        <v>0</v>
      </c>
      <c r="D784">
        <f>Model!L217</f>
        <v>0</v>
      </c>
      <c r="E784">
        <f>Model!M217</f>
        <v>0</v>
      </c>
      <c r="F784">
        <f>Model!N217</f>
        <v>0</v>
      </c>
      <c r="G784">
        <f>Model!O217</f>
        <v>0</v>
      </c>
      <c r="H784">
        <f>Model!P217</f>
        <v>0</v>
      </c>
      <c r="I784">
        <f>Model!Q217</f>
        <v>0</v>
      </c>
      <c r="J784">
        <f>Model!R217</f>
        <v>0</v>
      </c>
      <c r="K784">
        <f>Model!S217</f>
        <v>0</v>
      </c>
      <c r="L784">
        <f>Model!T217</f>
        <v>0</v>
      </c>
      <c r="M784">
        <f>Model!U217</f>
        <v>0</v>
      </c>
      <c r="N784">
        <f>Model!V217</f>
        <v>0</v>
      </c>
      <c r="O784">
        <f>Model!W217</f>
        <v>0</v>
      </c>
      <c r="P784">
        <f>Model!X217</f>
        <v>0</v>
      </c>
      <c r="Q784">
        <f>Model!Y217</f>
        <v>0</v>
      </c>
      <c r="R784">
        <f>Model!Z217</f>
        <v>0</v>
      </c>
      <c r="S784">
        <f>Model!AA217</f>
        <v>0</v>
      </c>
      <c r="T784">
        <f>Model!AB217</f>
        <v>0</v>
      </c>
      <c r="U784">
        <f>Model!AC217</f>
        <v>0</v>
      </c>
      <c r="V784">
        <f>Model!AD217</f>
        <v>0</v>
      </c>
      <c r="W784">
        <f>Model!AE217</f>
        <v>0</v>
      </c>
      <c r="X784">
        <f>Model!AF217</f>
        <v>0</v>
      </c>
      <c r="Y784">
        <f>Model!AG217</f>
        <v>0</v>
      </c>
      <c r="Z784">
        <f>Model!AH217</f>
        <v>0</v>
      </c>
      <c r="AA784">
        <f>Model!AI217</f>
        <v>0</v>
      </c>
      <c r="AB784">
        <f>Model!AJ217</f>
        <v>0</v>
      </c>
      <c r="AC784">
        <f>Model!AK217</f>
        <v>0</v>
      </c>
      <c r="AD784">
        <f>Model!AL217</f>
        <v>0</v>
      </c>
      <c r="AE784">
        <f>Model!AM217</f>
        <v>0</v>
      </c>
      <c r="AF784">
        <f>Model!AN217</f>
        <v>0</v>
      </c>
      <c r="AG784">
        <f>Model!AO217</f>
        <v>0</v>
      </c>
      <c r="AH784">
        <f>Model!AP217</f>
        <v>0</v>
      </c>
      <c r="AI784">
        <f>Model!AQ217</f>
        <v>0</v>
      </c>
      <c r="AJ784">
        <f>Model!AR217</f>
        <v>0</v>
      </c>
      <c r="AK784">
        <f>Model!AS217</f>
        <v>0</v>
      </c>
      <c r="AL784">
        <f>Model!AT217</f>
        <v>0</v>
      </c>
      <c r="AM784">
        <f>Model!AU217</f>
        <v>0</v>
      </c>
    </row>
    <row r="785" spans="1:39">
      <c r="A785" t="str">
        <f>'Expense Model'!I176</f>
        <v>Total Opex (ex-COGS)</v>
      </c>
      <c r="B785">
        <f>'Expense Model'!J176</f>
        <v>0</v>
      </c>
      <c r="C785">
        <f>'Expense Model'!K176</f>
        <v>0</v>
      </c>
      <c r="D785">
        <f>'Expense Model'!L176</f>
        <v>0</v>
      </c>
      <c r="E785">
        <f>'Expense Model'!M176</f>
        <v>0</v>
      </c>
      <c r="F785">
        <f>'Expense Model'!N176</f>
        <v>0</v>
      </c>
      <c r="G785">
        <f>'Expense Model'!O176</f>
        <v>0</v>
      </c>
      <c r="H785">
        <f>'Expense Model'!P176</f>
        <v>0</v>
      </c>
      <c r="I785">
        <f>'Expense Model'!Q176</f>
        <v>0</v>
      </c>
      <c r="J785">
        <f>'Expense Model'!R176</f>
        <v>82.016999999999996</v>
      </c>
      <c r="K785">
        <f>'Expense Model'!S176</f>
        <v>52.522999999999996</v>
      </c>
      <c r="L785">
        <f>'Expense Model'!T176</f>
        <v>57.4</v>
      </c>
      <c r="M785">
        <f>'Expense Model'!U176</f>
        <v>66.111000000000004</v>
      </c>
      <c r="N785">
        <f>'Expense Model'!V176</f>
        <v>66.846000000000004</v>
      </c>
      <c r="O785">
        <f>'Expense Model'!W176</f>
        <v>92.9</v>
      </c>
      <c r="P785">
        <f>'Expense Model'!X176</f>
        <v>131.392</v>
      </c>
      <c r="Q785">
        <f>'Expense Model'!Y176</f>
        <v>182.06900000000002</v>
      </c>
      <c r="R785">
        <f>'Expense Model'!Z176</f>
        <v>2200.0569999999998</v>
      </c>
      <c r="S785">
        <f>'Expense Model'!AA176</f>
        <v>478.54100000000005</v>
      </c>
      <c r="T785">
        <f>'Expense Model'!AB176</f>
        <v>459.05399999999997</v>
      </c>
      <c r="U785">
        <f>'Expense Model'!AC176</f>
        <v>455.411</v>
      </c>
      <c r="V785">
        <f>'Expense Model'!AD176</f>
        <v>365.411</v>
      </c>
      <c r="W785">
        <f>'Expense Model'!AE176</f>
        <v>403.54100000000005</v>
      </c>
      <c r="X785">
        <f>'Expense Model'!AF176</f>
        <v>425.15104457152836</v>
      </c>
      <c r="Y785">
        <f>'Expense Model'!AG176</f>
        <v>431.50804457152833</v>
      </c>
      <c r="Z785">
        <f>'Expense Model'!AH176</f>
        <v>0</v>
      </c>
      <c r="AA785">
        <f>'Expense Model'!AI176</f>
        <v>0</v>
      </c>
      <c r="AB785">
        <f>'Expense Model'!AJ176</f>
        <v>0</v>
      </c>
      <c r="AC785">
        <f>'Expense Model'!AK176</f>
        <v>258.05100000000004</v>
      </c>
      <c r="AD785">
        <f>'Expense Model'!AL176</f>
        <v>473.20699999999999</v>
      </c>
      <c r="AE785">
        <f>'Expense Model'!AM176</f>
        <v>3593.0630000000001</v>
      </c>
      <c r="AF785">
        <f>'Expense Model'!AN176</f>
        <v>1625.6110891430567</v>
      </c>
      <c r="AG785">
        <f>'Expense Model'!AO176</f>
        <v>1825.6110891430567</v>
      </c>
      <c r="AH785">
        <f>'Expense Model'!AP176</f>
        <v>2185.6110891430567</v>
      </c>
      <c r="AI785">
        <f>'Expense Model'!AQ176</f>
        <v>2580.6110891430567</v>
      </c>
      <c r="AJ785">
        <f>'Expense Model'!AR176</f>
        <v>2975.6110891430567</v>
      </c>
      <c r="AK785">
        <f>'Expense Model'!AS176</f>
        <v>3370.6110891430567</v>
      </c>
      <c r="AL785">
        <f>'Expense Model'!AT176</f>
        <v>3765.6110891430567</v>
      </c>
      <c r="AM785">
        <f>'Expense Model'!AU176</f>
        <v>4160.6110891430562</v>
      </c>
    </row>
    <row r="786" spans="1:39">
      <c r="A786" t="str">
        <f>'Expense Model'!I177</f>
        <v>Y/Y % Growth</v>
      </c>
      <c r="B786">
        <f>'Expense Model'!J177</f>
        <v>0</v>
      </c>
      <c r="C786">
        <f>'Expense Model'!K177</f>
        <v>0</v>
      </c>
      <c r="D786">
        <f>'Expense Model'!L177</f>
        <v>0</v>
      </c>
      <c r="E786">
        <f>'Expense Model'!M177</f>
        <v>0</v>
      </c>
      <c r="F786">
        <f>'Expense Model'!N177</f>
        <v>0</v>
      </c>
      <c r="G786">
        <f>'Expense Model'!O177</f>
        <v>0</v>
      </c>
      <c r="H786">
        <f>'Expense Model'!P177</f>
        <v>0</v>
      </c>
      <c r="I786">
        <f>'Expense Model'!Q177</f>
        <v>0</v>
      </c>
      <c r="J786">
        <f>'Expense Model'!R177</f>
        <v>0</v>
      </c>
      <c r="K786">
        <f>'Expense Model'!S177</f>
        <v>0</v>
      </c>
      <c r="L786">
        <f>'Expense Model'!T177</f>
        <v>0</v>
      </c>
      <c r="M786">
        <f>'Expense Model'!U177</f>
        <v>0</v>
      </c>
      <c r="N786">
        <f>'Expense Model'!V177</f>
        <v>-0.18497384688540175</v>
      </c>
      <c r="O786">
        <f>'Expense Model'!W177</f>
        <v>0.7687489290406111</v>
      </c>
      <c r="P786">
        <f>'Expense Model'!X177</f>
        <v>1.2890592334494775</v>
      </c>
      <c r="Q786">
        <f>'Expense Model'!Y177</f>
        <v>1.7539895025033658</v>
      </c>
      <c r="R786">
        <f>'Expense Model'!Z177</f>
        <v>31.912320856894951</v>
      </c>
      <c r="S786">
        <f>'Expense Model'!AA177</f>
        <v>4.1511410118406893</v>
      </c>
      <c r="T786">
        <f>'Expense Model'!AB177</f>
        <v>2.49377435460302</v>
      </c>
      <c r="U786">
        <f>'Expense Model'!AC177</f>
        <v>1.5013099429337227</v>
      </c>
      <c r="V786">
        <f>'Expense Model'!AD177</f>
        <v>-0.83390839419160501</v>
      </c>
      <c r="W786">
        <f>'Expense Model'!AE177</f>
        <v>-0.15672638290136054</v>
      </c>
      <c r="X786">
        <f>'Expense Model'!AF177</f>
        <v>-7.3853959291219851E-2</v>
      </c>
      <c r="Y786">
        <f>'Expense Model'!AG177</f>
        <v>-5.2486557040720694E-2</v>
      </c>
      <c r="Z786">
        <f>'Expense Model'!AH177</f>
        <v>0</v>
      </c>
      <c r="AA786">
        <f>'Expense Model'!AI177</f>
        <v>0</v>
      </c>
      <c r="AB786">
        <f>'Expense Model'!AJ177</f>
        <v>0</v>
      </c>
      <c r="AC786">
        <f>'Expense Model'!AK177</f>
        <v>0</v>
      </c>
      <c r="AD786">
        <f>'Expense Model'!AL177</f>
        <v>0.83377316886971919</v>
      </c>
      <c r="AE786">
        <f>'Expense Model'!AM177</f>
        <v>6.5930047526769471</v>
      </c>
      <c r="AF786">
        <f>'Expense Model'!AN177</f>
        <v>-0.54756955579597222</v>
      </c>
      <c r="AG786">
        <f>'Expense Model'!AO177</f>
        <v>0.12303065680084058</v>
      </c>
      <c r="AH786">
        <f>'Expense Model'!AP177</f>
        <v>0.1971942447879107</v>
      </c>
      <c r="AI786">
        <f>'Expense Model'!AQ177</f>
        <v>0.18072748713718934</v>
      </c>
      <c r="AJ786">
        <f>'Expense Model'!AR177</f>
        <v>0.15306452090429779</v>
      </c>
      <c r="AK786">
        <f>'Expense Model'!AS177</f>
        <v>0.1327458421704415</v>
      </c>
      <c r="AL786">
        <f>'Expense Model'!AT177</f>
        <v>0.11718943228790746</v>
      </c>
      <c r="AM786">
        <f>'Expense Model'!AU177</f>
        <v>0.10489665306618012</v>
      </c>
    </row>
    <row r="787" spans="1:39">
      <c r="A787" t="str">
        <f>'Expense Model'!I178</f>
        <v>Y/Y Abs Growth</v>
      </c>
      <c r="B787">
        <f>'Expense Model'!J178</f>
        <v>0</v>
      </c>
      <c r="C787">
        <f>'Expense Model'!K178</f>
        <v>0</v>
      </c>
      <c r="D787">
        <f>'Expense Model'!L178</f>
        <v>0</v>
      </c>
      <c r="E787">
        <f>'Expense Model'!M178</f>
        <v>0</v>
      </c>
      <c r="F787">
        <f>'Expense Model'!N178</f>
        <v>0</v>
      </c>
      <c r="G787">
        <f>'Expense Model'!O178</f>
        <v>0</v>
      </c>
      <c r="H787">
        <f>'Expense Model'!P178</f>
        <v>0</v>
      </c>
      <c r="I787">
        <f>'Expense Model'!Q178</f>
        <v>0</v>
      </c>
      <c r="J787">
        <f>'Expense Model'!R178</f>
        <v>0</v>
      </c>
      <c r="K787">
        <f>'Expense Model'!S178</f>
        <v>0</v>
      </c>
      <c r="L787">
        <f>'Expense Model'!T178</f>
        <v>0</v>
      </c>
      <c r="M787">
        <f>'Expense Model'!U178</f>
        <v>0</v>
      </c>
      <c r="N787">
        <f>'Expense Model'!V178</f>
        <v>-15.170999999999992</v>
      </c>
      <c r="O787">
        <f>'Expense Model'!W178</f>
        <v>40.37700000000001</v>
      </c>
      <c r="P787">
        <f>'Expense Model'!X178</f>
        <v>73.99199999999999</v>
      </c>
      <c r="Q787">
        <f>'Expense Model'!Y178</f>
        <v>115.95800000000001</v>
      </c>
      <c r="R787">
        <f>'Expense Model'!Z178</f>
        <v>2133.2109999999998</v>
      </c>
      <c r="S787">
        <f>'Expense Model'!AA178</f>
        <v>385.64100000000008</v>
      </c>
      <c r="T787">
        <f>'Expense Model'!AB178</f>
        <v>327.66199999999998</v>
      </c>
      <c r="U787">
        <f>'Expense Model'!AC178</f>
        <v>273.34199999999998</v>
      </c>
      <c r="V787">
        <f>'Expense Model'!AD178</f>
        <v>-1834.6459999999997</v>
      </c>
      <c r="W787">
        <f>'Expense Model'!AE178</f>
        <v>-75</v>
      </c>
      <c r="X787">
        <f>'Expense Model'!AF178</f>
        <v>-33.902955428471614</v>
      </c>
      <c r="Y787">
        <f>'Expense Model'!AG178</f>
        <v>-23.902955428471671</v>
      </c>
      <c r="Z787">
        <f>'Expense Model'!AH178</f>
        <v>0</v>
      </c>
      <c r="AA787">
        <f>'Expense Model'!AI178</f>
        <v>0</v>
      </c>
      <c r="AB787">
        <f>'Expense Model'!AJ178</f>
        <v>0</v>
      </c>
      <c r="AC787">
        <f>'Expense Model'!AK178</f>
        <v>0</v>
      </c>
      <c r="AD787">
        <f>'Expense Model'!AL178</f>
        <v>215.15599999999995</v>
      </c>
      <c r="AE787">
        <f>'Expense Model'!AM178</f>
        <v>3119.8560000000002</v>
      </c>
      <c r="AF787">
        <f>'Expense Model'!AN178</f>
        <v>-1967.4519108569434</v>
      </c>
      <c r="AG787">
        <f>'Expense Model'!AO178</f>
        <v>200</v>
      </c>
      <c r="AH787">
        <f>'Expense Model'!AP178</f>
        <v>360</v>
      </c>
      <c r="AI787">
        <f>'Expense Model'!AQ178</f>
        <v>395</v>
      </c>
      <c r="AJ787">
        <f>'Expense Model'!AR178</f>
        <v>395</v>
      </c>
      <c r="AK787">
        <f>'Expense Model'!AS178</f>
        <v>395</v>
      </c>
      <c r="AL787">
        <f>'Expense Model'!AT178</f>
        <v>395</v>
      </c>
      <c r="AM787">
        <f>'Expense Model'!AU178</f>
        <v>394.99999999999955</v>
      </c>
    </row>
    <row r="788" spans="1:39">
      <c r="A788" t="str">
        <f>'Expense Model'!I179</f>
        <v>Q/Q % Growth</v>
      </c>
      <c r="B788">
        <f>'Expense Model'!J179</f>
        <v>0</v>
      </c>
      <c r="C788">
        <f>'Expense Model'!K179</f>
        <v>0</v>
      </c>
      <c r="D788">
        <f>'Expense Model'!L179</f>
        <v>0</v>
      </c>
      <c r="E788">
        <f>'Expense Model'!M179</f>
        <v>0</v>
      </c>
      <c r="F788">
        <f>'Expense Model'!N179</f>
        <v>0</v>
      </c>
      <c r="G788">
        <f>'Expense Model'!O179</f>
        <v>0</v>
      </c>
      <c r="H788">
        <f>'Expense Model'!P179</f>
        <v>0</v>
      </c>
      <c r="I788">
        <f>'Expense Model'!Q179</f>
        <v>0</v>
      </c>
      <c r="J788">
        <f>'Expense Model'!R179</f>
        <v>0</v>
      </c>
      <c r="K788">
        <f>'Expense Model'!S179</f>
        <v>-0.35960837387370914</v>
      </c>
      <c r="L788">
        <f>'Expense Model'!T179</f>
        <v>9.28545589551244E-2</v>
      </c>
      <c r="M788">
        <f>'Expense Model'!U179</f>
        <v>0.15175958188153316</v>
      </c>
      <c r="N788">
        <f>'Expense Model'!V179</f>
        <v>1.1117665743975991E-2</v>
      </c>
      <c r="O788">
        <f>'Expense Model'!W179</f>
        <v>0.38976154145349007</v>
      </c>
      <c r="P788">
        <f>'Expense Model'!X179</f>
        <v>0.41433799784714731</v>
      </c>
      <c r="Q788">
        <f>'Expense Model'!Y179</f>
        <v>0.38569319288845616</v>
      </c>
      <c r="R788">
        <f>'Expense Model'!Z179</f>
        <v>11.083644112946189</v>
      </c>
      <c r="S788">
        <f>'Expense Model'!AA179</f>
        <v>-0.78248699920047526</v>
      </c>
      <c r="T788">
        <f>'Expense Model'!AB179</f>
        <v>-4.0721693647984392E-2</v>
      </c>
      <c r="U788">
        <f>'Expense Model'!AC179</f>
        <v>-7.9358855385204263E-3</v>
      </c>
      <c r="V788">
        <f>'Expense Model'!AD179</f>
        <v>-0.19762368497906291</v>
      </c>
      <c r="W788">
        <f>'Expense Model'!AE179</f>
        <v>0.10434825443131168</v>
      </c>
      <c r="X788">
        <f>'Expense Model'!AF179</f>
        <v>5.3551050752038254E-2</v>
      </c>
      <c r="Y788">
        <f>'Expense Model'!AG179</f>
        <v>1.4952333014744523E-2</v>
      </c>
      <c r="Z788">
        <f>'Expense Model'!AH179</f>
        <v>0</v>
      </c>
      <c r="AA788">
        <f>'Expense Model'!AI179</f>
        <v>0</v>
      </c>
      <c r="AB788">
        <f>'Expense Model'!AJ179</f>
        <v>0</v>
      </c>
      <c r="AC788">
        <f>'Expense Model'!AK179</f>
        <v>0</v>
      </c>
      <c r="AD788">
        <f>'Expense Model'!AL179</f>
        <v>0</v>
      </c>
      <c r="AE788">
        <f>'Expense Model'!AM179</f>
        <v>0</v>
      </c>
      <c r="AF788">
        <f>'Expense Model'!AN179</f>
        <v>0</v>
      </c>
      <c r="AG788">
        <f>'Expense Model'!AO179</f>
        <v>0</v>
      </c>
      <c r="AH788">
        <f>'Expense Model'!AP179</f>
        <v>0</v>
      </c>
      <c r="AI788">
        <f>'Expense Model'!AQ179</f>
        <v>0</v>
      </c>
      <c r="AJ788">
        <f>'Expense Model'!AR179</f>
        <v>0</v>
      </c>
      <c r="AK788">
        <f>'Expense Model'!AS179</f>
        <v>0</v>
      </c>
      <c r="AL788">
        <f>'Expense Model'!AT179</f>
        <v>0</v>
      </c>
      <c r="AM788">
        <f>'Expense Model'!AU179</f>
        <v>0</v>
      </c>
    </row>
    <row r="789" spans="1:39">
      <c r="A789" t="str">
        <f>'Expense Model'!I180</f>
        <v>Q/Q Abs Growth</v>
      </c>
      <c r="B789">
        <f>'Expense Model'!J180</f>
        <v>0</v>
      </c>
      <c r="C789">
        <f>'Expense Model'!K180</f>
        <v>0</v>
      </c>
      <c r="D789">
        <f>'Expense Model'!L180</f>
        <v>0</v>
      </c>
      <c r="E789">
        <f>'Expense Model'!M180</f>
        <v>0</v>
      </c>
      <c r="F789">
        <f>'Expense Model'!N180</f>
        <v>0</v>
      </c>
      <c r="G789">
        <f>'Expense Model'!O180</f>
        <v>0</v>
      </c>
      <c r="H789">
        <f>'Expense Model'!P180</f>
        <v>0</v>
      </c>
      <c r="I789">
        <f>'Expense Model'!Q180</f>
        <v>0</v>
      </c>
      <c r="J789">
        <f>'Expense Model'!R180</f>
        <v>0</v>
      </c>
      <c r="K789">
        <f>'Expense Model'!S180</f>
        <v>-29.494</v>
      </c>
      <c r="L789">
        <f>'Expense Model'!T180</f>
        <v>4.8770000000000024</v>
      </c>
      <c r="M789">
        <f>'Expense Model'!U180</f>
        <v>8.7110000000000056</v>
      </c>
      <c r="N789">
        <f>'Expense Model'!V180</f>
        <v>0.73499999999999943</v>
      </c>
      <c r="O789">
        <f>'Expense Model'!W180</f>
        <v>26.054000000000002</v>
      </c>
      <c r="P789">
        <f>'Expense Model'!X180</f>
        <v>38.49199999999999</v>
      </c>
      <c r="Q789">
        <f>'Expense Model'!Y180</f>
        <v>50.677000000000021</v>
      </c>
      <c r="R789">
        <f>'Expense Model'!Z180</f>
        <v>2017.9879999999998</v>
      </c>
      <c r="S789">
        <f>'Expense Model'!AA180</f>
        <v>-1721.5159999999996</v>
      </c>
      <c r="T789">
        <f>'Expense Model'!AB180</f>
        <v>-19.48700000000008</v>
      </c>
      <c r="U789">
        <f>'Expense Model'!AC180</f>
        <v>-3.6429999999999723</v>
      </c>
      <c r="V789">
        <f>'Expense Model'!AD180</f>
        <v>-90</v>
      </c>
      <c r="W789">
        <f>'Expense Model'!AE180</f>
        <v>38.130000000000052</v>
      </c>
      <c r="X789">
        <f>'Expense Model'!AF180</f>
        <v>21.610044571528306</v>
      </c>
      <c r="Y789">
        <f>'Expense Model'!AG180</f>
        <v>6.3569999999999709</v>
      </c>
      <c r="Z789">
        <f>'Expense Model'!AH180</f>
        <v>0</v>
      </c>
      <c r="AA789">
        <f>'Expense Model'!AI180</f>
        <v>0</v>
      </c>
      <c r="AB789">
        <f>'Expense Model'!AJ180</f>
        <v>0</v>
      </c>
      <c r="AC789">
        <f>'Expense Model'!AK180</f>
        <v>0</v>
      </c>
      <c r="AD789">
        <f>'Expense Model'!AL180</f>
        <v>0</v>
      </c>
      <c r="AE789">
        <f>'Expense Model'!AM180</f>
        <v>0</v>
      </c>
      <c r="AF789">
        <f>'Expense Model'!AN180</f>
        <v>0</v>
      </c>
      <c r="AG789">
        <f>'Expense Model'!AO180</f>
        <v>0</v>
      </c>
      <c r="AH789">
        <f>'Expense Model'!AP180</f>
        <v>0</v>
      </c>
      <c r="AI789">
        <f>'Expense Model'!AQ180</f>
        <v>0</v>
      </c>
      <c r="AJ789">
        <f>'Expense Model'!AR180</f>
        <v>0</v>
      </c>
      <c r="AK789">
        <f>'Expense Model'!AS180</f>
        <v>0</v>
      </c>
      <c r="AL789">
        <f>'Expense Model'!AT180</f>
        <v>0</v>
      </c>
      <c r="AM789">
        <f>'Expense Model'!AU180</f>
        <v>0</v>
      </c>
    </row>
    <row r="791" spans="1:39">
      <c r="A791" t="str">
        <f>'Expense Model'!I206</f>
        <v>Annualized adj. Opex per Employee (Thousand)</v>
      </c>
      <c r="B791">
        <f>'Expense Model'!J206</f>
        <v>0</v>
      </c>
      <c r="C791">
        <f>'Expense Model'!K206</f>
        <v>0</v>
      </c>
      <c r="D791">
        <f>'Expense Model'!L206</f>
        <v>0</v>
      </c>
      <c r="E791">
        <f>'Expense Model'!M206</f>
        <v>0</v>
      </c>
      <c r="F791">
        <f>'Expense Model'!N206</f>
        <v>0</v>
      </c>
      <c r="G791">
        <f>'Expense Model'!O206</f>
        <v>0</v>
      </c>
      <c r="H791">
        <f>'Expense Model'!P206</f>
        <v>0</v>
      </c>
      <c r="I791">
        <f>'Expense Model'!Q206</f>
        <v>0</v>
      </c>
      <c r="J791">
        <f>'Expense Model'!R206</f>
        <v>0</v>
      </c>
      <c r="K791">
        <f>'Expense Model'!S206</f>
        <v>459.26108374384228</v>
      </c>
      <c r="L791">
        <f>'Expense Model'!T206</f>
        <v>373.37667304015298</v>
      </c>
      <c r="M791">
        <f>'Expense Model'!U206</f>
        <v>393.9933333333334</v>
      </c>
      <c r="N791">
        <f>'Expense Model'!V206</f>
        <v>313.98212005108559</v>
      </c>
      <c r="O791">
        <f>'Expense Model'!W206</f>
        <v>332.84071630537227</v>
      </c>
      <c r="P791">
        <f>'Expense Model'!X206</f>
        <v>330.43170559094125</v>
      </c>
      <c r="Q791">
        <f>'Expense Model'!Y206</f>
        <v>377.45884884346418</v>
      </c>
      <c r="R791">
        <f>'Expense Model'!Z206</f>
        <v>350.86271186440672</v>
      </c>
      <c r="S791">
        <f>'Expense Model'!AA206</f>
        <v>366.6476923076923</v>
      </c>
      <c r="T791">
        <f>'Expense Model'!AB206</f>
        <v>324.82896551724139</v>
      </c>
      <c r="U791">
        <f>'Expense Model'!AC206</f>
        <v>357.6213750407299</v>
      </c>
      <c r="V791">
        <f>'Expense Model'!AD206</f>
        <v>421.78168866499425</v>
      </c>
      <c r="W791">
        <f>'Expense Model'!AE206</f>
        <v>427.88048710028886</v>
      </c>
      <c r="X791">
        <f>'Expense Model'!AF206</f>
        <v>453.4462264796237</v>
      </c>
      <c r="Y791">
        <f>'Expense Model'!AG206</f>
        <v>457.51106429523423</v>
      </c>
      <c r="Z791">
        <f>'Expense Model'!AH206</f>
        <v>0</v>
      </c>
      <c r="AA791">
        <f>'Expense Model'!AI206</f>
        <v>0</v>
      </c>
      <c r="AB791">
        <f>'Expense Model'!AJ206</f>
        <v>0</v>
      </c>
      <c r="AC791">
        <f>'Expense Model'!AK206</f>
        <v>308.35833333333335</v>
      </c>
      <c r="AD791">
        <f>'Expense Model'!AL206</f>
        <v>359.41195607970718</v>
      </c>
      <c r="AE791">
        <f>'Expense Model'!AM206</f>
        <v>387.6688311688311</v>
      </c>
      <c r="AF791">
        <f>'Expense Model'!AN206</f>
        <v>421.91414019446427</v>
      </c>
      <c r="AG791">
        <f>'Expense Model'!AO206</f>
        <v>462.78559281868479</v>
      </c>
      <c r="AH791">
        <f>'Expense Model'!AP206</f>
        <v>515.03106725044347</v>
      </c>
      <c r="AI791">
        <f>'Expense Model'!AQ206</f>
        <v>563.05448713714418</v>
      </c>
      <c r="AJ791">
        <f>'Expense Model'!AR206</f>
        <v>605.66532156254868</v>
      </c>
      <c r="AK791">
        <f>'Expense Model'!AS206</f>
        <v>641.27953934762468</v>
      </c>
      <c r="AL791">
        <f>'Expense Model'!AT206</f>
        <v>672.65056214514084</v>
      </c>
      <c r="AM791">
        <f>'Expense Model'!AU206</f>
        <v>701.92011810530278</v>
      </c>
    </row>
    <row r="792" spans="1:39">
      <c r="A792" t="str">
        <f>'Expense Model'!I207</f>
        <v>Y/Y % Growth</v>
      </c>
      <c r="B792">
        <f>'Expense Model'!J207</f>
        <v>0</v>
      </c>
      <c r="C792">
        <f>'Expense Model'!K207</f>
        <v>0</v>
      </c>
      <c r="D792">
        <f>'Expense Model'!L207</f>
        <v>0</v>
      </c>
      <c r="E792">
        <f>'Expense Model'!M207</f>
        <v>0</v>
      </c>
      <c r="F792">
        <f>'Expense Model'!N207</f>
        <v>0</v>
      </c>
      <c r="G792">
        <f>'Expense Model'!O207</f>
        <v>0</v>
      </c>
      <c r="H792">
        <f>'Expense Model'!P207</f>
        <v>0</v>
      </c>
      <c r="I792">
        <f>'Expense Model'!Q207</f>
        <v>0</v>
      </c>
      <c r="J792">
        <f>'Expense Model'!R207</f>
        <v>0</v>
      </c>
      <c r="K792">
        <f>'Expense Model'!S207</f>
        <v>0</v>
      </c>
      <c r="L792">
        <f>'Expense Model'!T207</f>
        <v>0</v>
      </c>
      <c r="M792">
        <f>'Expense Model'!U207</f>
        <v>0</v>
      </c>
      <c r="N792">
        <f>'Expense Model'!V207</f>
        <v>0</v>
      </c>
      <c r="O792">
        <f>'Expense Model'!W207</f>
        <v>-0.27526906135374252</v>
      </c>
      <c r="P792">
        <f>'Expense Model'!X207</f>
        <v>-0.11501781056523963</v>
      </c>
      <c r="Q792">
        <f>'Expense Model'!Y207</f>
        <v>-4.1966406766280051E-2</v>
      </c>
      <c r="R792">
        <f>'Expense Model'!Z207</f>
        <v>0.11746080256837743</v>
      </c>
      <c r="S792">
        <f>'Expense Model'!AA207</f>
        <v>0.10157103487093533</v>
      </c>
      <c r="T792">
        <f>'Expense Model'!AB207</f>
        <v>-1.695581864240292E-2</v>
      </c>
      <c r="U792">
        <f>'Expense Model'!AC207</f>
        <v>-5.2555328517310929E-2</v>
      </c>
      <c r="V792">
        <f>'Expense Model'!AD207</f>
        <v>0.20212742592035449</v>
      </c>
      <c r="W792">
        <f>'Expense Model'!AE207</f>
        <v>0.1670071735817984</v>
      </c>
      <c r="X792">
        <f>'Expense Model'!AF207</f>
        <v>0.39595379296787359</v>
      </c>
      <c r="Y792">
        <f>'Expense Model'!AG207</f>
        <v>0.27931688714951042</v>
      </c>
      <c r="Z792">
        <f>'Expense Model'!AH207</f>
        <v>0</v>
      </c>
      <c r="AA792">
        <f>'Expense Model'!AI207</f>
        <v>0</v>
      </c>
      <c r="AB792">
        <f>'Expense Model'!AJ207</f>
        <v>0</v>
      </c>
      <c r="AC792">
        <f>'Expense Model'!AK207</f>
        <v>0</v>
      </c>
      <c r="AD792">
        <f>'Expense Model'!AL207</f>
        <v>0.16556589275369182</v>
      </c>
      <c r="AE792">
        <f>'Expense Model'!AM207</f>
        <v>7.8619741528179299E-2</v>
      </c>
      <c r="AF792">
        <f>'Expense Model'!AN207</f>
        <v>8.8336503407773881E-2</v>
      </c>
      <c r="AG792">
        <f>'Expense Model'!AO207</f>
        <v>9.6871492871470233E-2</v>
      </c>
      <c r="AH792">
        <f>'Expense Model'!AP207</f>
        <v>0.11289347646616998</v>
      </c>
      <c r="AI792">
        <f>'Expense Model'!AQ207</f>
        <v>9.3243734097594677E-2</v>
      </c>
      <c r="AJ792">
        <f>'Expense Model'!AR207</f>
        <v>7.5677994579280705E-2</v>
      </c>
      <c r="AK792">
        <f>'Expense Model'!AS207</f>
        <v>5.8801811028564854E-2</v>
      </c>
      <c r="AL792">
        <f>'Expense Model'!AT207</f>
        <v>4.8919419492831517E-2</v>
      </c>
      <c r="AM792">
        <f>'Expense Model'!AU207</f>
        <v>4.351376124152595E-2</v>
      </c>
    </row>
    <row r="793" spans="1:39">
      <c r="A793" t="str">
        <f>'Base DCF'!B39</f>
        <v>Fair value 12 months FV</v>
      </c>
      <c r="B793">
        <f>'Base DCF'!C39</f>
        <v>0</v>
      </c>
      <c r="C793">
        <f>'Base DCF'!D39</f>
        <v>0</v>
      </c>
      <c r="D793">
        <f>'Base DCF'!E39</f>
        <v>0</v>
      </c>
      <c r="E793" t="str">
        <f>'Bull DCF'!B39</f>
        <v>Fair value 12 months FV</v>
      </c>
      <c r="F793">
        <f>'Bull DCF'!C39</f>
        <v>0</v>
      </c>
      <c r="G793">
        <f>'Bull DCF'!D39</f>
        <v>0</v>
      </c>
      <c r="H793">
        <f>'Bull DCF'!E39</f>
        <v>0</v>
      </c>
      <c r="I793" t="str">
        <f>'Bear DCF'!B39</f>
        <v>Fair value 12 months FV</v>
      </c>
      <c r="J793">
        <f>'Bear DCF'!C39</f>
        <v>0</v>
      </c>
      <c r="K793">
        <f>'Bear DCF'!D39</f>
        <v>0</v>
      </c>
      <c r="L793">
        <f>'Bear DCF'!E39</f>
        <v>0</v>
      </c>
    </row>
    <row r="794" spans="1:39">
      <c r="A794" t="str">
        <f>'Base DCF'!B40</f>
        <v>PV of FCF</v>
      </c>
      <c r="B794">
        <f>'Base DCF'!C40</f>
        <v>0</v>
      </c>
      <c r="C794">
        <f>'Base DCF'!D40</f>
        <v>0</v>
      </c>
      <c r="D794">
        <f>'Base DCF'!E40</f>
        <v>1066.4137497855336</v>
      </c>
      <c r="E794" t="str">
        <f>'Bull DCF'!B40</f>
        <v>PV of FCF</v>
      </c>
      <c r="F794">
        <f>'Bull DCF'!C40</f>
        <v>0</v>
      </c>
      <c r="G794">
        <f>'Bull DCF'!D40</f>
        <v>0</v>
      </c>
      <c r="H794">
        <f>'Bull DCF'!E40</f>
        <v>2525.1470272724273</v>
      </c>
      <c r="I794" t="str">
        <f>'Bear DCF'!B40</f>
        <v>PV of FCF</v>
      </c>
      <c r="J794">
        <f>'Bear DCF'!C40</f>
        <v>0</v>
      </c>
      <c r="K794">
        <f>'Bear DCF'!D40</f>
        <v>0</v>
      </c>
      <c r="L794">
        <f>'Bear DCF'!E40</f>
        <v>207.72852008861048</v>
      </c>
    </row>
    <row r="795" spans="1:39">
      <c r="A795" t="str">
        <f>'Base DCF'!B41</f>
        <v>NPV of terminal value</v>
      </c>
      <c r="B795">
        <f>'Base DCF'!C41</f>
        <v>0</v>
      </c>
      <c r="C795">
        <f>'Base DCF'!D41</f>
        <v>0</v>
      </c>
      <c r="D795">
        <f>'Base DCF'!E41</f>
        <v>16220.92208911882</v>
      </c>
      <c r="E795" t="str">
        <f>'Bull DCF'!B41</f>
        <v>NPV of terminal value</v>
      </c>
      <c r="F795">
        <f>'Bull DCF'!C41</f>
        <v>0</v>
      </c>
      <c r="G795">
        <f>'Bull DCF'!D41</f>
        <v>0</v>
      </c>
      <c r="H795">
        <f>'Bull DCF'!E41</f>
        <v>27068.019080801059</v>
      </c>
      <c r="I795" t="str">
        <f>'Bear DCF'!B41</f>
        <v>NPV of terminal value</v>
      </c>
      <c r="J795">
        <f>'Bear DCF'!C41</f>
        <v>0</v>
      </c>
      <c r="K795">
        <f>'Bear DCF'!D41</f>
        <v>0</v>
      </c>
      <c r="L795">
        <f>'Bear DCF'!E41</f>
        <v>7084.1942595389964</v>
      </c>
    </row>
    <row r="796" spans="1:39">
      <c r="A796" t="str">
        <f>'Base DCF'!B42</f>
        <v>Enterprise value</v>
      </c>
      <c r="B796">
        <f>'Base DCF'!C42</f>
        <v>0</v>
      </c>
      <c r="C796">
        <f>'Base DCF'!D42</f>
        <v>0</v>
      </c>
      <c r="D796">
        <f>'Base DCF'!E42</f>
        <v>17287.335838904353</v>
      </c>
      <c r="E796" t="str">
        <f>'Bull DCF'!B42</f>
        <v>Enterprise value</v>
      </c>
      <c r="F796">
        <f>'Bull DCF'!C42</f>
        <v>0</v>
      </c>
      <c r="G796">
        <f>'Bull DCF'!D42</f>
        <v>0</v>
      </c>
      <c r="H796">
        <f>'Bull DCF'!E42</f>
        <v>29593.166108073485</v>
      </c>
      <c r="I796" t="str">
        <f>'Bear DCF'!B42</f>
        <v>Enterprise value</v>
      </c>
      <c r="J796">
        <f>'Bear DCF'!C42</f>
        <v>0</v>
      </c>
      <c r="K796">
        <f>'Bear DCF'!D42</f>
        <v>0</v>
      </c>
      <c r="L796">
        <f>'Bear DCF'!E42</f>
        <v>7291.9227796276073</v>
      </c>
    </row>
    <row r="797" spans="1:39">
      <c r="A797" t="str">
        <f>'Base DCF'!B43</f>
        <v>(-) Debt</v>
      </c>
      <c r="B797">
        <f>'Base DCF'!C43</f>
        <v>0</v>
      </c>
      <c r="C797">
        <f>'Base DCF'!D43</f>
        <v>0</v>
      </c>
      <c r="D797">
        <f>'Base DCF'!E43</f>
        <v>0</v>
      </c>
      <c r="E797" t="str">
        <f>'Bull DCF'!B43</f>
        <v>(-) Debt</v>
      </c>
      <c r="F797">
        <f>'Bull DCF'!C43</f>
        <v>0</v>
      </c>
      <c r="G797">
        <f>'Bull DCF'!D43</f>
        <v>0</v>
      </c>
      <c r="H797">
        <f>'Bull DCF'!E43</f>
        <v>0</v>
      </c>
      <c r="I797" t="str">
        <f>'Bear DCF'!B43</f>
        <v>(-) Debt</v>
      </c>
      <c r="J797">
        <f>'Bear DCF'!C43</f>
        <v>0</v>
      </c>
      <c r="K797">
        <f>'Bear DCF'!D43</f>
        <v>0</v>
      </c>
      <c r="L797">
        <f>'Bear DCF'!E43</f>
        <v>0</v>
      </c>
    </row>
    <row r="798" spans="1:39">
      <c r="A798" t="str">
        <f>'Base DCF'!B44</f>
        <v>(+) Cash</v>
      </c>
      <c r="B798">
        <f>'Base DCF'!C44</f>
        <v>0</v>
      </c>
      <c r="C798">
        <f>'Base DCF'!D44</f>
        <v>0</v>
      </c>
      <c r="D798">
        <f>'Base DCF'!E44</f>
        <v>954.24216610161716</v>
      </c>
      <c r="E798" t="str">
        <f>'Bull DCF'!B44</f>
        <v>(+) Cash</v>
      </c>
      <c r="F798">
        <f>'Bull DCF'!C44</f>
        <v>0</v>
      </c>
      <c r="G798">
        <f>'Bull DCF'!D44</f>
        <v>0</v>
      </c>
      <c r="H798">
        <f>'Bull DCF'!E44</f>
        <v>954.24216610161716</v>
      </c>
      <c r="I798" t="str">
        <f>'Bear DCF'!B44</f>
        <v>(+) Cash</v>
      </c>
      <c r="J798">
        <f>'Bear DCF'!C44</f>
        <v>0</v>
      </c>
      <c r="K798">
        <f>'Bear DCF'!D44</f>
        <v>0</v>
      </c>
      <c r="L798">
        <f>'Bear DCF'!E44</f>
        <v>954.24216610161716</v>
      </c>
    </row>
    <row r="799" spans="1:39">
      <c r="A799" t="str">
        <f>'Base DCF'!B45</f>
        <v>Equity value</v>
      </c>
      <c r="B799">
        <f>'Base DCF'!C45</f>
        <v>0</v>
      </c>
      <c r="C799">
        <f>'Base DCF'!D45</f>
        <v>0</v>
      </c>
      <c r="D799">
        <f>'Base DCF'!E45</f>
        <v>18241.578005005969</v>
      </c>
      <c r="E799" t="str">
        <f>'Bull DCF'!B45</f>
        <v>Equity value</v>
      </c>
      <c r="F799">
        <f>'Bull DCF'!C45</f>
        <v>0</v>
      </c>
      <c r="G799">
        <f>'Bull DCF'!D45</f>
        <v>0</v>
      </c>
      <c r="H799">
        <f>'Bull DCF'!E45</f>
        <v>30547.408274175101</v>
      </c>
      <c r="I799" t="str">
        <f>'Bear DCF'!B45</f>
        <v>Equity value</v>
      </c>
      <c r="J799">
        <f>'Bear DCF'!C45</f>
        <v>0</v>
      </c>
      <c r="K799">
        <f>'Bear DCF'!D45</f>
        <v>0</v>
      </c>
      <c r="L799">
        <f>'Bear DCF'!E45</f>
        <v>8246.1649457292242</v>
      </c>
    </row>
    <row r="800" spans="1:39">
      <c r="A800" t="str">
        <f>'Base DCF'!B46</f>
        <v>Fully Diluted Shares (for valuation)</v>
      </c>
      <c r="B800">
        <f>'Base DCF'!C46</f>
        <v>0</v>
      </c>
      <c r="C800">
        <f>'Base DCF'!D46</f>
        <v>0</v>
      </c>
      <c r="D800">
        <f>'Base DCF'!E46</f>
        <v>1460</v>
      </c>
      <c r="E800" t="str">
        <f>'Bull DCF'!B46</f>
        <v>Fully Diluted Shares (for valuation)</v>
      </c>
      <c r="F800">
        <f>'Bull DCF'!C46</f>
        <v>0</v>
      </c>
      <c r="G800">
        <f>'Bull DCF'!D46</f>
        <v>0</v>
      </c>
      <c r="H800">
        <f>'Bull DCF'!E46</f>
        <v>1460</v>
      </c>
      <c r="I800" t="str">
        <f>'Bear DCF'!B46</f>
        <v>Fully Diluted Shares (for valuation)</v>
      </c>
      <c r="J800">
        <f>'Bear DCF'!C46</f>
        <v>0</v>
      </c>
      <c r="K800">
        <f>'Bear DCF'!D46</f>
        <v>0</v>
      </c>
      <c r="L800">
        <f>'Bear DCF'!E46</f>
        <v>1460</v>
      </c>
    </row>
    <row r="801" spans="1:42">
      <c r="A801" t="str">
        <f>'Base DCF'!B47</f>
        <v>Equity value per share</v>
      </c>
      <c r="B801">
        <f>'Base DCF'!C47</f>
        <v>0</v>
      </c>
      <c r="C801">
        <f>'Base DCF'!D47</f>
        <v>0</v>
      </c>
      <c r="D801">
        <f>'Base DCF'!E47</f>
        <v>12</v>
      </c>
      <c r="E801" t="str">
        <f>'Bull DCF'!B47</f>
        <v>Equity value per share</v>
      </c>
      <c r="F801">
        <f>'Bull DCF'!C47</f>
        <v>0</v>
      </c>
      <c r="G801">
        <f>'Bull DCF'!D47</f>
        <v>0</v>
      </c>
      <c r="H801">
        <f>'Bull DCF'!E47</f>
        <v>20.922882379571988</v>
      </c>
      <c r="I801" t="str">
        <f>'Bear DCF'!B47</f>
        <v>Equity value per share</v>
      </c>
      <c r="J801">
        <f>'Bear DCF'!C47</f>
        <v>0</v>
      </c>
      <c r="K801">
        <f>'Bear DCF'!D47</f>
        <v>0</v>
      </c>
      <c r="L801">
        <f>'Bear DCF'!E47</f>
        <v>5.6480581820063183</v>
      </c>
    </row>
    <row r="802" spans="1:42">
      <c r="A802" t="str">
        <f>'Expense Model'!I182</f>
        <v>Total adj. Opex (ex-COGS)</v>
      </c>
      <c r="B802">
        <f>'Expense Model'!J182</f>
        <v>0</v>
      </c>
      <c r="C802">
        <f>'Expense Model'!K182</f>
        <v>0</v>
      </c>
      <c r="D802">
        <f>'Expense Model'!L182</f>
        <v>0</v>
      </c>
      <c r="E802">
        <f>'Expense Model'!M182</f>
        <v>0</v>
      </c>
      <c r="F802">
        <f>'Expense Model'!N182</f>
        <v>0</v>
      </c>
      <c r="G802">
        <f>'Expense Model'!O182</f>
        <v>0</v>
      </c>
      <c r="H802">
        <f>'Expense Model'!P182</f>
        <v>0</v>
      </c>
      <c r="I802">
        <f>'Expense Model'!Q182</f>
        <v>0</v>
      </c>
      <c r="J802">
        <f>'Expense Model'!R182</f>
        <v>30.481999999999996</v>
      </c>
      <c r="K802">
        <f>'Expense Model'!S182</f>
        <v>46.614999999999995</v>
      </c>
      <c r="L802">
        <f>'Expense Model'!T182</f>
        <v>48.819000000000003</v>
      </c>
      <c r="M802">
        <f>'Expense Model'!U182</f>
        <v>59.099000000000004</v>
      </c>
      <c r="N802">
        <f>'Expense Model'!V182</f>
        <v>61.462000000000003</v>
      </c>
      <c r="O802">
        <f>'Expense Model'!W182</f>
        <v>88.286000000000001</v>
      </c>
      <c r="P802">
        <f>'Expense Model'!X182</f>
        <v>116.72499999999999</v>
      </c>
      <c r="Q802">
        <f>'Expense Model'!Y182</f>
        <v>175.42399999999998</v>
      </c>
      <c r="R802">
        <f>'Expense Model'!Z182</f>
        <v>207.00899999999996</v>
      </c>
      <c r="S802">
        <f>'Expense Model'!AA182</f>
        <v>238.321</v>
      </c>
      <c r="T802">
        <f>'Expense Model'!AB182</f>
        <v>235.501</v>
      </c>
      <c r="U802">
        <f>'Expense Model'!AC182</f>
        <v>274.38499999999999</v>
      </c>
      <c r="V802">
        <f>'Expense Model'!AD182</f>
        <v>297.25064508665469</v>
      </c>
      <c r="W802">
        <f>'Expense Model'!AE182</f>
        <v>304.75787693718075</v>
      </c>
      <c r="X802">
        <f>'Expense Model'!AF182</f>
        <v>326.36792150870912</v>
      </c>
      <c r="Y802">
        <f>'Expense Model'!AG182</f>
        <v>332.72492150870909</v>
      </c>
      <c r="Z802">
        <f>'Expense Model'!AH182</f>
        <v>0</v>
      </c>
      <c r="AA802">
        <f>'Expense Model'!AI182</f>
        <v>0</v>
      </c>
      <c r="AB802">
        <f>'Expense Model'!AJ182</f>
        <v>0</v>
      </c>
      <c r="AC802">
        <f>'Expense Model'!AK182</f>
        <v>185.01499999999999</v>
      </c>
      <c r="AD802">
        <f>'Expense Model'!AL182</f>
        <v>441.89699999999999</v>
      </c>
      <c r="AE802">
        <f>'Expense Model'!AM182</f>
        <v>955.21599999999989</v>
      </c>
      <c r="AF802">
        <f>'Expense Model'!AN182</f>
        <v>1261.1013650412535</v>
      </c>
      <c r="AG802">
        <f>'Expense Model'!AO182</f>
        <v>1415.6611284323567</v>
      </c>
      <c r="AH802">
        <f>'Expense Model'!AP182</f>
        <v>1742.8651315755005</v>
      </c>
      <c r="AI802">
        <f>'Expense Model'!AQ182</f>
        <v>2102.4454549700963</v>
      </c>
      <c r="AJ802">
        <f>'Expense Model'!AR182</f>
        <v>2473.5371732614485</v>
      </c>
      <c r="AK802">
        <f>'Expense Model'!AS182</f>
        <v>2843.433477467368</v>
      </c>
      <c r="AL802">
        <f>'Expense Model'!AT182</f>
        <v>3212.0745968835836</v>
      </c>
      <c r="AM802">
        <f>'Expense Model'!AU182</f>
        <v>3579.3977722706099</v>
      </c>
    </row>
    <row r="803" spans="1:42">
      <c r="A803" t="str">
        <f>'Expense Model'!I183</f>
        <v>Y/Y % Growth</v>
      </c>
      <c r="B803">
        <f>'Expense Model'!J183</f>
        <v>0</v>
      </c>
      <c r="C803">
        <f>'Expense Model'!K183</f>
        <v>0</v>
      </c>
      <c r="D803">
        <f>'Expense Model'!L183</f>
        <v>0</v>
      </c>
      <c r="E803">
        <f>'Expense Model'!M183</f>
        <v>0</v>
      </c>
      <c r="F803">
        <f>'Expense Model'!N183</f>
        <v>0</v>
      </c>
      <c r="G803">
        <f>'Expense Model'!O183</f>
        <v>0</v>
      </c>
      <c r="H803">
        <f>'Expense Model'!P183</f>
        <v>0</v>
      </c>
      <c r="I803">
        <f>'Expense Model'!Q183</f>
        <v>0</v>
      </c>
      <c r="J803">
        <f>'Expense Model'!R183</f>
        <v>0</v>
      </c>
      <c r="K803">
        <f>'Expense Model'!S183</f>
        <v>0</v>
      </c>
      <c r="L803">
        <f>'Expense Model'!T183</f>
        <v>0</v>
      </c>
      <c r="M803">
        <f>'Expense Model'!U183</f>
        <v>0</v>
      </c>
      <c r="N803">
        <f>'Expense Model'!V183</f>
        <v>1.0163375106620305</v>
      </c>
      <c r="O803">
        <f>'Expense Model'!W183</f>
        <v>0.89393971897457924</v>
      </c>
      <c r="P803">
        <f>'Expense Model'!X183</f>
        <v>1.3909748253753658</v>
      </c>
      <c r="Q803">
        <f>'Expense Model'!Y183</f>
        <v>1.9683074163691425</v>
      </c>
      <c r="R803">
        <f>'Expense Model'!Z183</f>
        <v>2.3680810907552625</v>
      </c>
      <c r="S803">
        <f>'Expense Model'!AA183</f>
        <v>1.6994200666017263</v>
      </c>
      <c r="T803">
        <f>'Expense Model'!AB183</f>
        <v>1.0175712143928037</v>
      </c>
      <c r="U803">
        <f>'Expense Model'!AC183</f>
        <v>0.56412463516964628</v>
      </c>
      <c r="V803">
        <f>'Expense Model'!AD183</f>
        <v>0.43593102274130469</v>
      </c>
      <c r="W803">
        <f>'Expense Model'!AE183</f>
        <v>0.27877055289790142</v>
      </c>
      <c r="X803">
        <f>'Expense Model'!AF183</f>
        <v>0.38584516205327835</v>
      </c>
      <c r="Y803">
        <f>'Expense Model'!AG183</f>
        <v>0.21262066624891696</v>
      </c>
      <c r="Z803">
        <f>'Expense Model'!AH183</f>
        <v>0</v>
      </c>
      <c r="AA803">
        <f>'Expense Model'!AI183</f>
        <v>0</v>
      </c>
      <c r="AB803">
        <f>'Expense Model'!AJ183</f>
        <v>0</v>
      </c>
      <c r="AC803">
        <f>'Expense Model'!AK183</f>
        <v>0</v>
      </c>
      <c r="AD803">
        <f>'Expense Model'!AL183</f>
        <v>1.3884387752344405</v>
      </c>
      <c r="AE803">
        <f>'Expense Model'!AM183</f>
        <v>1.1616258992480146</v>
      </c>
      <c r="AF803">
        <f>'Expense Model'!AN183</f>
        <v>0.32022638339522547</v>
      </c>
      <c r="AG803">
        <f>'Expense Model'!AO183</f>
        <v>0.12255934984738293</v>
      </c>
      <c r="AH803">
        <f>'Expense Model'!AP183</f>
        <v>0.23113158691125157</v>
      </c>
      <c r="AI803">
        <f>'Expense Model'!AQ183</f>
        <v>0.20631563330981639</v>
      </c>
      <c r="AJ803">
        <f>'Expense Model'!AR183</f>
        <v>0.17650480178408734</v>
      </c>
      <c r="AK803">
        <f>'Expense Model'!AS183</f>
        <v>0.14954143734100334</v>
      </c>
      <c r="AL803">
        <f>'Expense Model'!AT183</f>
        <v>0.12964647224473214</v>
      </c>
      <c r="AM803">
        <f>'Expense Model'!AU183</f>
        <v>0.11435698776840697</v>
      </c>
    </row>
    <row r="804" spans="1:42">
      <c r="A804" t="str">
        <f>'Expense Model'!I184</f>
        <v>Y/Y Abs Growth</v>
      </c>
      <c r="B804">
        <f>'Expense Model'!J184</f>
        <v>0</v>
      </c>
      <c r="C804">
        <f>'Expense Model'!K184</f>
        <v>0</v>
      </c>
      <c r="D804">
        <f>'Expense Model'!L184</f>
        <v>0</v>
      </c>
      <c r="E804">
        <f>'Expense Model'!M184</f>
        <v>0</v>
      </c>
      <c r="F804">
        <f>'Expense Model'!N184</f>
        <v>0</v>
      </c>
      <c r="G804">
        <f>'Expense Model'!O184</f>
        <v>0</v>
      </c>
      <c r="H804">
        <f>'Expense Model'!P184</f>
        <v>0</v>
      </c>
      <c r="I804">
        <f>'Expense Model'!Q184</f>
        <v>0</v>
      </c>
      <c r="J804">
        <f>'Expense Model'!R184</f>
        <v>0</v>
      </c>
      <c r="K804">
        <f>'Expense Model'!S184</f>
        <v>0</v>
      </c>
      <c r="L804">
        <f>'Expense Model'!T184</f>
        <v>0</v>
      </c>
      <c r="M804">
        <f>'Expense Model'!U184</f>
        <v>0</v>
      </c>
      <c r="N804">
        <f>'Expense Model'!V184</f>
        <v>30.980000000000008</v>
      </c>
      <c r="O804">
        <f>'Expense Model'!W184</f>
        <v>41.671000000000006</v>
      </c>
      <c r="P804">
        <f>'Expense Model'!X184</f>
        <v>67.905999999999992</v>
      </c>
      <c r="Q804">
        <f>'Expense Model'!Y184</f>
        <v>116.32499999999997</v>
      </c>
      <c r="R804">
        <f>'Expense Model'!Z184</f>
        <v>145.54699999999997</v>
      </c>
      <c r="S804">
        <f>'Expense Model'!AA184</f>
        <v>150.035</v>
      </c>
      <c r="T804">
        <f>'Expense Model'!AB184</f>
        <v>118.77600000000001</v>
      </c>
      <c r="U804">
        <f>'Expense Model'!AC184</f>
        <v>98.961000000000013</v>
      </c>
      <c r="V804">
        <f>'Expense Model'!AD184</f>
        <v>90.241645086654728</v>
      </c>
      <c r="W804">
        <f>'Expense Model'!AE184</f>
        <v>66.436876937180756</v>
      </c>
      <c r="X804">
        <f>'Expense Model'!AF184</f>
        <v>90.866921508709112</v>
      </c>
      <c r="Y804">
        <f>'Expense Model'!AG184</f>
        <v>58.339921508709097</v>
      </c>
      <c r="Z804">
        <f>'Expense Model'!AH184</f>
        <v>0</v>
      </c>
      <c r="AA804">
        <f>'Expense Model'!AI184</f>
        <v>0</v>
      </c>
      <c r="AB804">
        <f>'Expense Model'!AJ184</f>
        <v>0</v>
      </c>
      <c r="AC804">
        <f>'Expense Model'!AK184</f>
        <v>0</v>
      </c>
      <c r="AD804">
        <f>'Expense Model'!AL184</f>
        <v>256.88200000000001</v>
      </c>
      <c r="AE804">
        <f>'Expense Model'!AM184</f>
        <v>513.31899999999996</v>
      </c>
      <c r="AF804">
        <f>'Expense Model'!AN184</f>
        <v>305.88536504125364</v>
      </c>
      <c r="AG804">
        <f>'Expense Model'!AO184</f>
        <v>154.55976339110316</v>
      </c>
      <c r="AH804">
        <f>'Expense Model'!AP184</f>
        <v>327.20400314314384</v>
      </c>
      <c r="AI804">
        <f>'Expense Model'!AQ184</f>
        <v>359.58032339459578</v>
      </c>
      <c r="AJ804">
        <f>'Expense Model'!AR184</f>
        <v>371.09171829135221</v>
      </c>
      <c r="AK804">
        <f>'Expense Model'!AS184</f>
        <v>369.89630420591948</v>
      </c>
      <c r="AL804">
        <f>'Expense Model'!AT184</f>
        <v>368.64111941621559</v>
      </c>
      <c r="AM804">
        <f>'Expense Model'!AU184</f>
        <v>367.32317538702637</v>
      </c>
    </row>
    <row r="805" spans="1:42">
      <c r="A805" t="str">
        <f>'Expense Model'!I185</f>
        <v>Q/Q % Growth</v>
      </c>
      <c r="B805">
        <f>'Expense Model'!J185</f>
        <v>0</v>
      </c>
      <c r="C805">
        <f>'Expense Model'!K185</f>
        <v>0</v>
      </c>
      <c r="D805">
        <f>'Expense Model'!L185</f>
        <v>0</v>
      </c>
      <c r="E805">
        <f>'Expense Model'!M185</f>
        <v>0</v>
      </c>
      <c r="F805">
        <f>'Expense Model'!N185</f>
        <v>0</v>
      </c>
      <c r="G805">
        <f>'Expense Model'!O185</f>
        <v>0</v>
      </c>
      <c r="H805">
        <f>'Expense Model'!P185</f>
        <v>0</v>
      </c>
      <c r="I805">
        <f>'Expense Model'!Q185</f>
        <v>0</v>
      </c>
      <c r="J805">
        <f>'Expense Model'!R185</f>
        <v>0</v>
      </c>
      <c r="K805">
        <f>'Expense Model'!S185</f>
        <v>0.52926317170789328</v>
      </c>
      <c r="L805">
        <f>'Expense Model'!T185</f>
        <v>4.728091815939095E-2</v>
      </c>
      <c r="M805">
        <f>'Expense Model'!U185</f>
        <v>0.21057375202277795</v>
      </c>
      <c r="N805">
        <f>'Expense Model'!V185</f>
        <v>3.9983756070322674E-2</v>
      </c>
      <c r="O805">
        <f>'Expense Model'!W185</f>
        <v>0.43643226709186167</v>
      </c>
      <c r="P805">
        <f>'Expense Model'!X185</f>
        <v>0.32212355299821027</v>
      </c>
      <c r="Q805">
        <f>'Expense Model'!Y185</f>
        <v>0.50288284429213959</v>
      </c>
      <c r="R805">
        <f>'Expense Model'!Z185</f>
        <v>0.1800494801167456</v>
      </c>
      <c r="S805">
        <f>'Expense Model'!AA185</f>
        <v>0.15125912399943986</v>
      </c>
      <c r="T805">
        <f>'Expense Model'!AB185</f>
        <v>-1.1832780157854272E-2</v>
      </c>
      <c r="U805">
        <f>'Expense Model'!AC185</f>
        <v>0.16511182542749281</v>
      </c>
      <c r="V805">
        <f>'Expense Model'!AD185</f>
        <v>8.3334165813199412E-2</v>
      </c>
      <c r="W805">
        <f>'Expense Model'!AE185</f>
        <v>2.5255561172415897E-2</v>
      </c>
      <c r="X805">
        <f>'Expense Model'!AF185</f>
        <v>7.0908895903559532E-2</v>
      </c>
      <c r="Y805">
        <f>'Expense Model'!AG185</f>
        <v>1.947801723470044E-2</v>
      </c>
      <c r="Z805">
        <f>'Expense Model'!AH185</f>
        <v>0</v>
      </c>
      <c r="AA805">
        <f>'Expense Model'!AI185</f>
        <v>0</v>
      </c>
      <c r="AB805">
        <f>'Expense Model'!AJ185</f>
        <v>0</v>
      </c>
      <c r="AC805">
        <f>'Expense Model'!AK185</f>
        <v>0</v>
      </c>
      <c r="AD805">
        <f>'Expense Model'!AL185</f>
        <v>0</v>
      </c>
      <c r="AE805">
        <f>'Expense Model'!AM185</f>
        <v>0</v>
      </c>
      <c r="AF805">
        <f>'Expense Model'!AN185</f>
        <v>0</v>
      </c>
      <c r="AG805">
        <f>'Expense Model'!AO185</f>
        <v>0</v>
      </c>
      <c r="AH805">
        <f>'Expense Model'!AP185</f>
        <v>0</v>
      </c>
      <c r="AI805">
        <f>'Expense Model'!AQ185</f>
        <v>0</v>
      </c>
      <c r="AJ805">
        <f>'Expense Model'!AR185</f>
        <v>0</v>
      </c>
      <c r="AK805">
        <f>'Expense Model'!AS185</f>
        <v>0</v>
      </c>
      <c r="AL805">
        <f>'Expense Model'!AT185</f>
        <v>0</v>
      </c>
      <c r="AM805">
        <f>'Expense Model'!AU185</f>
        <v>0</v>
      </c>
    </row>
    <row r="806" spans="1:42">
      <c r="A806" t="str">
        <f>'Expense Model'!I186</f>
        <v>Q/Q Abs Growth</v>
      </c>
      <c r="B806">
        <f>'Expense Model'!J186</f>
        <v>0</v>
      </c>
      <c r="C806">
        <f>'Expense Model'!K186</f>
        <v>0</v>
      </c>
      <c r="D806">
        <f>'Expense Model'!L186</f>
        <v>0</v>
      </c>
      <c r="E806">
        <f>'Expense Model'!M186</f>
        <v>0</v>
      </c>
      <c r="F806">
        <f>'Expense Model'!N186</f>
        <v>0</v>
      </c>
      <c r="G806">
        <f>'Expense Model'!O186</f>
        <v>0</v>
      </c>
      <c r="H806">
        <f>'Expense Model'!P186</f>
        <v>0</v>
      </c>
      <c r="I806">
        <f>'Expense Model'!Q186</f>
        <v>0</v>
      </c>
      <c r="J806">
        <f>'Expense Model'!R186</f>
        <v>0</v>
      </c>
      <c r="K806">
        <f>'Expense Model'!S186</f>
        <v>16.132999999999999</v>
      </c>
      <c r="L806">
        <f>'Expense Model'!T186</f>
        <v>2.2040000000000077</v>
      </c>
      <c r="M806">
        <f>'Expense Model'!U186</f>
        <v>10.280000000000001</v>
      </c>
      <c r="N806">
        <f>'Expense Model'!V186</f>
        <v>2.3629999999999995</v>
      </c>
      <c r="O806">
        <f>'Expense Model'!W186</f>
        <v>26.823999999999998</v>
      </c>
      <c r="P806">
        <f>'Expense Model'!X186</f>
        <v>28.438999999999993</v>
      </c>
      <c r="Q806">
        <f>'Expense Model'!Y186</f>
        <v>58.698999999999984</v>
      </c>
      <c r="R806">
        <f>'Expense Model'!Z186</f>
        <v>31.58499999999998</v>
      </c>
      <c r="S806">
        <f>'Expense Model'!AA186</f>
        <v>31.31200000000004</v>
      </c>
      <c r="T806">
        <f>'Expense Model'!AB186</f>
        <v>-2.8199999999999932</v>
      </c>
      <c r="U806">
        <f>'Expense Model'!AC186</f>
        <v>38.883999999999986</v>
      </c>
      <c r="V806">
        <f>'Expense Model'!AD186</f>
        <v>22.865645086654695</v>
      </c>
      <c r="W806">
        <f>'Expense Model'!AE186</f>
        <v>7.5072318505260682</v>
      </c>
      <c r="X806">
        <f>'Expense Model'!AF186</f>
        <v>21.610044571528363</v>
      </c>
      <c r="Y806">
        <f>'Expense Model'!AG186</f>
        <v>6.3569999999999709</v>
      </c>
      <c r="Z806">
        <f>'Expense Model'!AH186</f>
        <v>0</v>
      </c>
      <c r="AA806">
        <f>'Expense Model'!AI186</f>
        <v>0</v>
      </c>
      <c r="AB806">
        <f>'Expense Model'!AJ186</f>
        <v>0</v>
      </c>
      <c r="AC806">
        <f>'Expense Model'!AK186</f>
        <v>0</v>
      </c>
      <c r="AD806">
        <f>'Expense Model'!AL186</f>
        <v>0</v>
      </c>
      <c r="AE806">
        <f>'Expense Model'!AM186</f>
        <v>0</v>
      </c>
      <c r="AF806">
        <f>'Expense Model'!AN186</f>
        <v>0</v>
      </c>
      <c r="AG806">
        <f>'Expense Model'!AO186</f>
        <v>0</v>
      </c>
      <c r="AH806">
        <f>'Expense Model'!AP186</f>
        <v>0</v>
      </c>
      <c r="AI806">
        <f>'Expense Model'!AQ186</f>
        <v>0</v>
      </c>
      <c r="AJ806">
        <f>'Expense Model'!AR186</f>
        <v>0</v>
      </c>
      <c r="AK806">
        <f>'Expense Model'!AS186</f>
        <v>0</v>
      </c>
      <c r="AL806">
        <f>'Expense Model'!AT186</f>
        <v>0</v>
      </c>
      <c r="AM806">
        <f>'Expense Model'!AU186</f>
        <v>0</v>
      </c>
    </row>
    <row r="807" spans="1:42">
      <c r="A807">
        <f>'Expense Model'!I187</f>
        <v>0</v>
      </c>
      <c r="B807">
        <f>'Expense Model'!J187</f>
        <v>0</v>
      </c>
      <c r="C807">
        <f>'Expense Model'!K187</f>
        <v>0</v>
      </c>
      <c r="D807">
        <f>'Expense Model'!L187</f>
        <v>0</v>
      </c>
      <c r="E807">
        <f>'Expense Model'!M187</f>
        <v>0</v>
      </c>
      <c r="F807">
        <f>'Expense Model'!N187</f>
        <v>0</v>
      </c>
      <c r="G807">
        <f>'Expense Model'!O187</f>
        <v>0</v>
      </c>
      <c r="H807">
        <f>'Expense Model'!P187</f>
        <v>0</v>
      </c>
      <c r="I807">
        <f>'Expense Model'!Q187</f>
        <v>0</v>
      </c>
      <c r="J807">
        <f>'Expense Model'!R187</f>
        <v>0</v>
      </c>
      <c r="K807">
        <f>'Expense Model'!S187</f>
        <v>0</v>
      </c>
      <c r="L807">
        <f>'Expense Model'!T187</f>
        <v>0</v>
      </c>
      <c r="M807">
        <f>'Expense Model'!U187</f>
        <v>0</v>
      </c>
      <c r="N807">
        <f>'Expense Model'!V187</f>
        <v>0</v>
      </c>
      <c r="O807">
        <f>'Expense Model'!W187</f>
        <v>0</v>
      </c>
      <c r="P807">
        <f>'Expense Model'!X187</f>
        <v>0</v>
      </c>
      <c r="Q807">
        <f>'Expense Model'!Y187</f>
        <v>0</v>
      </c>
      <c r="R807">
        <f>'Expense Model'!Z187</f>
        <v>0</v>
      </c>
      <c r="S807">
        <f>'Expense Model'!AA187</f>
        <v>0</v>
      </c>
      <c r="T807">
        <f>'Expense Model'!AB187</f>
        <v>0</v>
      </c>
      <c r="U807">
        <f>'Expense Model'!AC187</f>
        <v>0</v>
      </c>
      <c r="V807">
        <f>'Expense Model'!AD187</f>
        <v>0</v>
      </c>
      <c r="W807">
        <f>'Expense Model'!AE187</f>
        <v>0</v>
      </c>
      <c r="X807">
        <f>'Expense Model'!AF187</f>
        <v>0</v>
      </c>
      <c r="Y807">
        <f>'Expense Model'!AG187</f>
        <v>0</v>
      </c>
      <c r="Z807">
        <f>'Expense Model'!AH187</f>
        <v>0</v>
      </c>
      <c r="AA807">
        <f>'Expense Model'!AI187</f>
        <v>0</v>
      </c>
      <c r="AB807">
        <f>'Expense Model'!AJ187</f>
        <v>0</v>
      </c>
      <c r="AC807">
        <f>'Expense Model'!AK187</f>
        <v>0</v>
      </c>
      <c r="AD807">
        <f>'Expense Model'!AL187</f>
        <v>0</v>
      </c>
      <c r="AE807">
        <f>'Expense Model'!AM187</f>
        <v>0</v>
      </c>
      <c r="AF807">
        <f>'Expense Model'!AN187</f>
        <v>0</v>
      </c>
      <c r="AG807">
        <f>'Expense Model'!AO187</f>
        <v>0</v>
      </c>
      <c r="AH807">
        <f>'Expense Model'!AP187</f>
        <v>0</v>
      </c>
      <c r="AI807">
        <f>'Expense Model'!AQ187</f>
        <v>0</v>
      </c>
      <c r="AJ807">
        <f>'Expense Model'!AR187</f>
        <v>0</v>
      </c>
      <c r="AK807">
        <f>'Expense Model'!AS187</f>
        <v>0</v>
      </c>
      <c r="AL807">
        <f>'Expense Model'!AT187</f>
        <v>0</v>
      </c>
      <c r="AM807">
        <f>'Expense Model'!AU187</f>
        <v>0</v>
      </c>
    </row>
    <row r="808" spans="1:42">
      <c r="A808" t="str">
        <f>Model!I45</f>
        <v>EPS</v>
      </c>
      <c r="B808">
        <f>Model!J45</f>
        <v>0</v>
      </c>
      <c r="C808">
        <f>Model!K45</f>
        <v>0</v>
      </c>
      <c r="D808">
        <f>Model!L45</f>
        <v>0</v>
      </c>
      <c r="E808">
        <f>Model!M45</f>
        <v>0</v>
      </c>
      <c r="F808">
        <f>Model!N45</f>
        <v>0</v>
      </c>
      <c r="G808">
        <f>Model!O45</f>
        <v>0</v>
      </c>
      <c r="H808">
        <f>Model!P45</f>
        <v>0</v>
      </c>
      <c r="I808">
        <f>Model!Q45</f>
        <v>0</v>
      </c>
      <c r="J808">
        <f>Model!R45</f>
        <v>0</v>
      </c>
      <c r="K808">
        <f>Model!S45</f>
        <v>0</v>
      </c>
      <c r="L808">
        <f>Model!T45</f>
        <v>0</v>
      </c>
      <c r="M808">
        <f>Model!U45</f>
        <v>0</v>
      </c>
      <c r="N808">
        <f>Model!V45</f>
        <v>0</v>
      </c>
      <c r="O808">
        <f>Model!W45</f>
        <v>0</v>
      </c>
      <c r="P808">
        <f>Model!X45</f>
        <v>0</v>
      </c>
      <c r="Q808">
        <f>Model!Y45</f>
        <v>0</v>
      </c>
      <c r="R808">
        <f>Model!Z45</f>
        <v>-2.31</v>
      </c>
      <c r="S808">
        <f>Model!AA45</f>
        <v>-0.31147773958700931</v>
      </c>
      <c r="T808">
        <f>Model!AB45</f>
        <v>-0.30753573907009019</v>
      </c>
      <c r="U808">
        <f>Model!AC45</f>
        <v>-0.24646267605633806</v>
      </c>
      <c r="V808">
        <f>Model!AD45</f>
        <v>-0.20076548150644533</v>
      </c>
      <c r="W808">
        <f>Model!AE45</f>
        <v>-0.21323392967752242</v>
      </c>
      <c r="X808">
        <f>Model!AF45</f>
        <v>-0.22070557906327798</v>
      </c>
      <c r="Y808">
        <f>Model!AG45</f>
        <v>-0.17690104924090103</v>
      </c>
      <c r="Z808">
        <f>Model!AH45</f>
        <v>0</v>
      </c>
      <c r="AA808">
        <f>Model!AI45</f>
        <v>0</v>
      </c>
      <c r="AB808">
        <f>Model!AJ45</f>
        <v>0</v>
      </c>
      <c r="AC808">
        <f>Model!AK45</f>
        <v>0</v>
      </c>
      <c r="AD808">
        <f>Model!AL45</f>
        <v>0</v>
      </c>
      <c r="AE808">
        <f>Model!AM45</f>
        <v>-2.629943038997522</v>
      </c>
      <c r="AF808">
        <f>Model!AN45</f>
        <v>-0.81138416527565227</v>
      </c>
      <c r="AG808">
        <f>Model!AO45</f>
        <v>-0.61441783690634033</v>
      </c>
      <c r="AH808">
        <f>Model!AP45</f>
        <v>-0.4467228229473087</v>
      </c>
      <c r="AI808">
        <f>Model!AQ45</f>
        <v>-0.2051816329935828</v>
      </c>
      <c r="AJ808">
        <f>Model!AR45</f>
        <v>8.0514808929636139E-2</v>
      </c>
      <c r="AK808">
        <f>Model!AS45</f>
        <v>0.33041423266538639</v>
      </c>
      <c r="AL808">
        <f>Model!AT45</f>
        <v>0.56889104325265283</v>
      </c>
      <c r="AM808">
        <f>Model!AU45</f>
        <v>0.79014858667006715</v>
      </c>
    </row>
    <row r="809" spans="1:42">
      <c r="A809" t="str">
        <f>Model!I63</f>
        <v>Basic Shares Outstanding</v>
      </c>
      <c r="B809">
        <f>Model!J63</f>
        <v>0</v>
      </c>
      <c r="C809">
        <f>Model!K63</f>
        <v>0</v>
      </c>
      <c r="D809">
        <f>Model!L63</f>
        <v>0</v>
      </c>
      <c r="E809">
        <f>Model!M63</f>
        <v>0</v>
      </c>
      <c r="F809">
        <f>Model!N63</f>
        <v>0</v>
      </c>
      <c r="G809">
        <f>Model!O63</f>
        <v>0</v>
      </c>
      <c r="H809">
        <f>Model!P63</f>
        <v>0</v>
      </c>
      <c r="I809">
        <f>Model!Q63</f>
        <v>0</v>
      </c>
      <c r="J809">
        <f>Model!R63</f>
        <v>0</v>
      </c>
      <c r="K809">
        <f>Model!S63</f>
        <v>0</v>
      </c>
      <c r="L809">
        <f>Model!T63</f>
        <v>0</v>
      </c>
      <c r="M809">
        <f>Model!U63</f>
        <v>0</v>
      </c>
      <c r="N809">
        <f>Model!V63</f>
        <v>0</v>
      </c>
      <c r="O809">
        <f>Model!W63</f>
        <v>0</v>
      </c>
      <c r="P809">
        <f>Model!X63</f>
        <v>0</v>
      </c>
      <c r="Q809">
        <f>Model!Y63</f>
        <v>0</v>
      </c>
      <c r="R809">
        <f>Model!Z63</f>
        <v>1172.6199349999997</v>
      </c>
      <c r="S809">
        <f>Model!AA63</f>
        <v>1422.5510965486665</v>
      </c>
      <c r="T809">
        <f>Model!AB63</f>
        <v>1441</v>
      </c>
      <c r="U809">
        <f>Model!AC63</f>
        <v>1420</v>
      </c>
      <c r="V809">
        <f>Model!AD63</f>
        <v>1430</v>
      </c>
      <c r="W809">
        <f>Model!AE63</f>
        <v>1440</v>
      </c>
      <c r="X809">
        <f>Model!AF63</f>
        <v>1450</v>
      </c>
      <c r="Y809">
        <f>Model!AG63</f>
        <v>1460</v>
      </c>
      <c r="Z809">
        <f>Model!AH63</f>
        <v>0</v>
      </c>
      <c r="AA809">
        <f>Model!AI63</f>
        <v>0</v>
      </c>
      <c r="AB809">
        <f>Model!AJ63</f>
        <v>0</v>
      </c>
      <c r="AC809">
        <f>Model!AK63</f>
        <v>0</v>
      </c>
      <c r="AD809" t="str">
        <f>Model!AL63</f>
        <v>ND</v>
      </c>
      <c r="AE809">
        <f>Model!AM63</f>
        <v>1309.93939751379</v>
      </c>
      <c r="AF809">
        <f>Model!AN63</f>
        <v>1445</v>
      </c>
      <c r="AG809">
        <f>Model!AO63</f>
        <v>1480</v>
      </c>
      <c r="AH809">
        <f>Model!AP63</f>
        <v>1513</v>
      </c>
      <c r="AI809">
        <f>Model!AQ63</f>
        <v>1545</v>
      </c>
      <c r="AJ809">
        <f>Model!AR63</f>
        <v>1575</v>
      </c>
      <c r="AK809">
        <f>Model!AS63</f>
        <v>1605</v>
      </c>
      <c r="AL809">
        <f>Model!AT63</f>
        <v>1632</v>
      </c>
      <c r="AM809">
        <f>Model!AU63</f>
        <v>1659</v>
      </c>
      <c r="AN809">
        <f>Model!AV63</f>
        <v>0</v>
      </c>
      <c r="AO809">
        <f>Model!AW63</f>
        <v>0</v>
      </c>
      <c r="AP809">
        <f>Model!AX63</f>
        <v>0</v>
      </c>
    </row>
    <row r="810" spans="1:42">
      <c r="A810" t="str">
        <f>Model!I64</f>
        <v>Fully Diluted Shares Outstanding</v>
      </c>
      <c r="B810">
        <f>Model!J64</f>
        <v>0</v>
      </c>
      <c r="C810">
        <f>Model!K64</f>
        <v>0</v>
      </c>
      <c r="D810">
        <f>Model!L64</f>
        <v>0</v>
      </c>
      <c r="E810">
        <f>Model!M64</f>
        <v>0</v>
      </c>
      <c r="F810">
        <f>Model!N64</f>
        <v>0</v>
      </c>
      <c r="G810">
        <f>Model!O64</f>
        <v>0</v>
      </c>
      <c r="H810">
        <f>Model!P64</f>
        <v>0</v>
      </c>
      <c r="I810">
        <f>Model!Q64</f>
        <v>0</v>
      </c>
      <c r="J810">
        <f>Model!R64</f>
        <v>0</v>
      </c>
      <c r="K810">
        <f>Model!S64</f>
        <v>0</v>
      </c>
      <c r="L810">
        <f>Model!T64</f>
        <v>0</v>
      </c>
      <c r="M810">
        <f>Model!U64</f>
        <v>0</v>
      </c>
      <c r="N810">
        <f>Model!V64</f>
        <v>0</v>
      </c>
      <c r="O810">
        <f>Model!W64</f>
        <v>0</v>
      </c>
      <c r="P810">
        <f>Model!X64</f>
        <v>0</v>
      </c>
      <c r="Q810">
        <f>Model!Y64</f>
        <v>0</v>
      </c>
      <c r="R810">
        <f>Model!Z64</f>
        <v>1404.1021930973332</v>
      </c>
      <c r="S810">
        <f>Model!AA64</f>
        <v>1422.5510965486665</v>
      </c>
      <c r="T810">
        <f>Model!AB64</f>
        <v>1441</v>
      </c>
      <c r="U810">
        <f>Model!AC64</f>
        <v>1420</v>
      </c>
      <c r="V810">
        <f>Model!AD64</f>
        <v>1430</v>
      </c>
      <c r="W810">
        <f>Model!AE64</f>
        <v>1440</v>
      </c>
      <c r="X810">
        <f>Model!AF64</f>
        <v>1450</v>
      </c>
      <c r="Y810">
        <f>Model!AG64</f>
        <v>1460</v>
      </c>
      <c r="Z810">
        <f>Model!AH64</f>
        <v>0</v>
      </c>
      <c r="AA810">
        <f>Model!AI64</f>
        <v>0</v>
      </c>
      <c r="AB810">
        <f>Model!AJ64</f>
        <v>0</v>
      </c>
      <c r="AC810">
        <f>Model!AK64</f>
        <v>0</v>
      </c>
      <c r="AD810" t="str">
        <f>Model!AL64</f>
        <v>ND</v>
      </c>
      <c r="AE810">
        <f>Model!AM64</f>
        <v>1421.9133224114998</v>
      </c>
      <c r="AF810">
        <f>Model!AN64</f>
        <v>1445</v>
      </c>
      <c r="AG810">
        <f>Model!AO64</f>
        <v>1480</v>
      </c>
      <c r="AH810">
        <f>Model!AP64</f>
        <v>1513</v>
      </c>
      <c r="AI810">
        <f>Model!AQ64</f>
        <v>1545</v>
      </c>
      <c r="AJ810">
        <f>Model!AR64</f>
        <v>1575</v>
      </c>
      <c r="AK810">
        <f>Model!AS64</f>
        <v>1605</v>
      </c>
      <c r="AL810">
        <f>Model!AT64</f>
        <v>1632</v>
      </c>
      <c r="AM810">
        <f>Model!AU64</f>
        <v>1659</v>
      </c>
      <c r="AN810">
        <f>Model!AV64</f>
        <v>0</v>
      </c>
      <c r="AO810">
        <f>Model!AW64</f>
        <v>0</v>
      </c>
      <c r="AP810">
        <f>Model!AX64</f>
        <v>0</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43"/>
  <sheetViews>
    <sheetView workbookViewId="0">
      <selection activeCell="B42" sqref="B42"/>
    </sheetView>
  </sheetViews>
  <sheetFormatPr defaultRowHeight="12.75"/>
  <cols>
    <col min="1" max="1" width="29.5703125" style="670" bestFit="1" customWidth="1"/>
    <col min="2" max="2" width="19.85546875" style="718" customWidth="1"/>
    <col min="3" max="3" width="12" style="670" bestFit="1" customWidth="1"/>
    <col min="4" max="256" width="9.140625" style="670"/>
    <col min="257" max="257" width="29.5703125" style="670" bestFit="1" customWidth="1"/>
    <col min="258" max="258" width="19.85546875" style="670" customWidth="1"/>
    <col min="259" max="259" width="12" style="670" bestFit="1" customWidth="1"/>
    <col min="260" max="512" width="9.140625" style="670"/>
    <col min="513" max="513" width="29.5703125" style="670" bestFit="1" customWidth="1"/>
    <col min="514" max="514" width="19.85546875" style="670" customWidth="1"/>
    <col min="515" max="515" width="12" style="670" bestFit="1" customWidth="1"/>
    <col min="516" max="768" width="9.140625" style="670"/>
    <col min="769" max="769" width="29.5703125" style="670" bestFit="1" customWidth="1"/>
    <col min="770" max="770" width="19.85546875" style="670" customWidth="1"/>
    <col min="771" max="771" width="12" style="670" bestFit="1" customWidth="1"/>
    <col min="772" max="1024" width="9.140625" style="670"/>
    <col min="1025" max="1025" width="29.5703125" style="670" bestFit="1" customWidth="1"/>
    <col min="1026" max="1026" width="19.85546875" style="670" customWidth="1"/>
    <col min="1027" max="1027" width="12" style="670" bestFit="1" customWidth="1"/>
    <col min="1028" max="1280" width="9.140625" style="670"/>
    <col min="1281" max="1281" width="29.5703125" style="670" bestFit="1" customWidth="1"/>
    <col min="1282" max="1282" width="19.85546875" style="670" customWidth="1"/>
    <col min="1283" max="1283" width="12" style="670" bestFit="1" customWidth="1"/>
    <col min="1284" max="1536" width="9.140625" style="670"/>
    <col min="1537" max="1537" width="29.5703125" style="670" bestFit="1" customWidth="1"/>
    <col min="1538" max="1538" width="19.85546875" style="670" customWidth="1"/>
    <col min="1539" max="1539" width="12" style="670" bestFit="1" customWidth="1"/>
    <col min="1540" max="1792" width="9.140625" style="670"/>
    <col min="1793" max="1793" width="29.5703125" style="670" bestFit="1" customWidth="1"/>
    <col min="1794" max="1794" width="19.85546875" style="670" customWidth="1"/>
    <col min="1795" max="1795" width="12" style="670" bestFit="1" customWidth="1"/>
    <col min="1796" max="2048" width="9.140625" style="670"/>
    <col min="2049" max="2049" width="29.5703125" style="670" bestFit="1" customWidth="1"/>
    <col min="2050" max="2050" width="19.85546875" style="670" customWidth="1"/>
    <col min="2051" max="2051" width="12" style="670" bestFit="1" customWidth="1"/>
    <col min="2052" max="2304" width="9.140625" style="670"/>
    <col min="2305" max="2305" width="29.5703125" style="670" bestFit="1" customWidth="1"/>
    <col min="2306" max="2306" width="19.85546875" style="670" customWidth="1"/>
    <col min="2307" max="2307" width="12" style="670" bestFit="1" customWidth="1"/>
    <col min="2308" max="2560" width="9.140625" style="670"/>
    <col min="2561" max="2561" width="29.5703125" style="670" bestFit="1" customWidth="1"/>
    <col min="2562" max="2562" width="19.85546875" style="670" customWidth="1"/>
    <col min="2563" max="2563" width="12" style="670" bestFit="1" customWidth="1"/>
    <col min="2564" max="2816" width="9.140625" style="670"/>
    <col min="2817" max="2817" width="29.5703125" style="670" bestFit="1" customWidth="1"/>
    <col min="2818" max="2818" width="19.85546875" style="670" customWidth="1"/>
    <col min="2819" max="2819" width="12" style="670" bestFit="1" customWidth="1"/>
    <col min="2820" max="3072" width="9.140625" style="670"/>
    <col min="3073" max="3073" width="29.5703125" style="670" bestFit="1" customWidth="1"/>
    <col min="3074" max="3074" width="19.85546875" style="670" customWidth="1"/>
    <col min="3075" max="3075" width="12" style="670" bestFit="1" customWidth="1"/>
    <col min="3076" max="3328" width="9.140625" style="670"/>
    <col min="3329" max="3329" width="29.5703125" style="670" bestFit="1" customWidth="1"/>
    <col min="3330" max="3330" width="19.85546875" style="670" customWidth="1"/>
    <col min="3331" max="3331" width="12" style="670" bestFit="1" customWidth="1"/>
    <col min="3332" max="3584" width="9.140625" style="670"/>
    <col min="3585" max="3585" width="29.5703125" style="670" bestFit="1" customWidth="1"/>
    <col min="3586" max="3586" width="19.85546875" style="670" customWidth="1"/>
    <col min="3587" max="3587" width="12" style="670" bestFit="1" customWidth="1"/>
    <col min="3588" max="3840" width="9.140625" style="670"/>
    <col min="3841" max="3841" width="29.5703125" style="670" bestFit="1" customWidth="1"/>
    <col min="3842" max="3842" width="19.85546875" style="670" customWidth="1"/>
    <col min="3843" max="3843" width="12" style="670" bestFit="1" customWidth="1"/>
    <col min="3844" max="4096" width="9.140625" style="670"/>
    <col min="4097" max="4097" width="29.5703125" style="670" bestFit="1" customWidth="1"/>
    <col min="4098" max="4098" width="19.85546875" style="670" customWidth="1"/>
    <col min="4099" max="4099" width="12" style="670" bestFit="1" customWidth="1"/>
    <col min="4100" max="4352" width="9.140625" style="670"/>
    <col min="4353" max="4353" width="29.5703125" style="670" bestFit="1" customWidth="1"/>
    <col min="4354" max="4354" width="19.85546875" style="670" customWidth="1"/>
    <col min="4355" max="4355" width="12" style="670" bestFit="1" customWidth="1"/>
    <col min="4356" max="4608" width="9.140625" style="670"/>
    <col min="4609" max="4609" width="29.5703125" style="670" bestFit="1" customWidth="1"/>
    <col min="4610" max="4610" width="19.85546875" style="670" customWidth="1"/>
    <col min="4611" max="4611" width="12" style="670" bestFit="1" customWidth="1"/>
    <col min="4612" max="4864" width="9.140625" style="670"/>
    <col min="4865" max="4865" width="29.5703125" style="670" bestFit="1" customWidth="1"/>
    <col min="4866" max="4866" width="19.85546875" style="670" customWidth="1"/>
    <col min="4867" max="4867" width="12" style="670" bestFit="1" customWidth="1"/>
    <col min="4868" max="5120" width="9.140625" style="670"/>
    <col min="5121" max="5121" width="29.5703125" style="670" bestFit="1" customWidth="1"/>
    <col min="5122" max="5122" width="19.85546875" style="670" customWidth="1"/>
    <col min="5123" max="5123" width="12" style="670" bestFit="1" customWidth="1"/>
    <col min="5124" max="5376" width="9.140625" style="670"/>
    <col min="5377" max="5377" width="29.5703125" style="670" bestFit="1" customWidth="1"/>
    <col min="5378" max="5378" width="19.85546875" style="670" customWidth="1"/>
    <col min="5379" max="5379" width="12" style="670" bestFit="1" customWidth="1"/>
    <col min="5380" max="5632" width="9.140625" style="670"/>
    <col min="5633" max="5633" width="29.5703125" style="670" bestFit="1" customWidth="1"/>
    <col min="5634" max="5634" width="19.85546875" style="670" customWidth="1"/>
    <col min="5635" max="5635" width="12" style="670" bestFit="1" customWidth="1"/>
    <col min="5636" max="5888" width="9.140625" style="670"/>
    <col min="5889" max="5889" width="29.5703125" style="670" bestFit="1" customWidth="1"/>
    <col min="5890" max="5890" width="19.85546875" style="670" customWidth="1"/>
    <col min="5891" max="5891" width="12" style="670" bestFit="1" customWidth="1"/>
    <col min="5892" max="6144" width="9.140625" style="670"/>
    <col min="6145" max="6145" width="29.5703125" style="670" bestFit="1" customWidth="1"/>
    <col min="6146" max="6146" width="19.85546875" style="670" customWidth="1"/>
    <col min="6147" max="6147" width="12" style="670" bestFit="1" customWidth="1"/>
    <col min="6148" max="6400" width="9.140625" style="670"/>
    <col min="6401" max="6401" width="29.5703125" style="670" bestFit="1" customWidth="1"/>
    <col min="6402" max="6402" width="19.85546875" style="670" customWidth="1"/>
    <col min="6403" max="6403" width="12" style="670" bestFit="1" customWidth="1"/>
    <col min="6404" max="6656" width="9.140625" style="670"/>
    <col min="6657" max="6657" width="29.5703125" style="670" bestFit="1" customWidth="1"/>
    <col min="6658" max="6658" width="19.85546875" style="670" customWidth="1"/>
    <col min="6659" max="6659" width="12" style="670" bestFit="1" customWidth="1"/>
    <col min="6660" max="6912" width="9.140625" style="670"/>
    <col min="6913" max="6913" width="29.5703125" style="670" bestFit="1" customWidth="1"/>
    <col min="6914" max="6914" width="19.85546875" style="670" customWidth="1"/>
    <col min="6915" max="6915" width="12" style="670" bestFit="1" customWidth="1"/>
    <col min="6916" max="7168" width="9.140625" style="670"/>
    <col min="7169" max="7169" width="29.5703125" style="670" bestFit="1" customWidth="1"/>
    <col min="7170" max="7170" width="19.85546875" style="670" customWidth="1"/>
    <col min="7171" max="7171" width="12" style="670" bestFit="1" customWidth="1"/>
    <col min="7172" max="7424" width="9.140625" style="670"/>
    <col min="7425" max="7425" width="29.5703125" style="670" bestFit="1" customWidth="1"/>
    <col min="7426" max="7426" width="19.85546875" style="670" customWidth="1"/>
    <col min="7427" max="7427" width="12" style="670" bestFit="1" customWidth="1"/>
    <col min="7428" max="7680" width="9.140625" style="670"/>
    <col min="7681" max="7681" width="29.5703125" style="670" bestFit="1" customWidth="1"/>
    <col min="7682" max="7682" width="19.85546875" style="670" customWidth="1"/>
    <col min="7683" max="7683" width="12" style="670" bestFit="1" customWidth="1"/>
    <col min="7684" max="7936" width="9.140625" style="670"/>
    <col min="7937" max="7937" width="29.5703125" style="670" bestFit="1" customWidth="1"/>
    <col min="7938" max="7938" width="19.85546875" style="670" customWidth="1"/>
    <col min="7939" max="7939" width="12" style="670" bestFit="1" customWidth="1"/>
    <col min="7940" max="8192" width="9.140625" style="670"/>
    <col min="8193" max="8193" width="29.5703125" style="670" bestFit="1" customWidth="1"/>
    <col min="8194" max="8194" width="19.85546875" style="670" customWidth="1"/>
    <col min="8195" max="8195" width="12" style="670" bestFit="1" customWidth="1"/>
    <col min="8196" max="8448" width="9.140625" style="670"/>
    <col min="8449" max="8449" width="29.5703125" style="670" bestFit="1" customWidth="1"/>
    <col min="8450" max="8450" width="19.85546875" style="670" customWidth="1"/>
    <col min="8451" max="8451" width="12" style="670" bestFit="1" customWidth="1"/>
    <col min="8452" max="8704" width="9.140625" style="670"/>
    <col min="8705" max="8705" width="29.5703125" style="670" bestFit="1" customWidth="1"/>
    <col min="8706" max="8706" width="19.85546875" style="670" customWidth="1"/>
    <col min="8707" max="8707" width="12" style="670" bestFit="1" customWidth="1"/>
    <col min="8708" max="8960" width="9.140625" style="670"/>
    <col min="8961" max="8961" width="29.5703125" style="670" bestFit="1" customWidth="1"/>
    <col min="8962" max="8962" width="19.85546875" style="670" customWidth="1"/>
    <col min="8963" max="8963" width="12" style="670" bestFit="1" customWidth="1"/>
    <col min="8964" max="9216" width="9.140625" style="670"/>
    <col min="9217" max="9217" width="29.5703125" style="670" bestFit="1" customWidth="1"/>
    <col min="9218" max="9218" width="19.85546875" style="670" customWidth="1"/>
    <col min="9219" max="9219" width="12" style="670" bestFit="1" customWidth="1"/>
    <col min="9220" max="9472" width="9.140625" style="670"/>
    <col min="9473" max="9473" width="29.5703125" style="670" bestFit="1" customWidth="1"/>
    <col min="9474" max="9474" width="19.85546875" style="670" customWidth="1"/>
    <col min="9475" max="9475" width="12" style="670" bestFit="1" customWidth="1"/>
    <col min="9476" max="9728" width="9.140625" style="670"/>
    <col min="9729" max="9729" width="29.5703125" style="670" bestFit="1" customWidth="1"/>
    <col min="9730" max="9730" width="19.85546875" style="670" customWidth="1"/>
    <col min="9731" max="9731" width="12" style="670" bestFit="1" customWidth="1"/>
    <col min="9732" max="9984" width="9.140625" style="670"/>
    <col min="9985" max="9985" width="29.5703125" style="670" bestFit="1" customWidth="1"/>
    <col min="9986" max="9986" width="19.85546875" style="670" customWidth="1"/>
    <col min="9987" max="9987" width="12" style="670" bestFit="1" customWidth="1"/>
    <col min="9988" max="10240" width="9.140625" style="670"/>
    <col min="10241" max="10241" width="29.5703125" style="670" bestFit="1" customWidth="1"/>
    <col min="10242" max="10242" width="19.85546875" style="670" customWidth="1"/>
    <col min="10243" max="10243" width="12" style="670" bestFit="1" customWidth="1"/>
    <col min="10244" max="10496" width="9.140625" style="670"/>
    <col min="10497" max="10497" width="29.5703125" style="670" bestFit="1" customWidth="1"/>
    <col min="10498" max="10498" width="19.85546875" style="670" customWidth="1"/>
    <col min="10499" max="10499" width="12" style="670" bestFit="1" customWidth="1"/>
    <col min="10500" max="10752" width="9.140625" style="670"/>
    <col min="10753" max="10753" width="29.5703125" style="670" bestFit="1" customWidth="1"/>
    <col min="10754" max="10754" width="19.85546875" style="670" customWidth="1"/>
    <col min="10755" max="10755" width="12" style="670" bestFit="1" customWidth="1"/>
    <col min="10756" max="11008" width="9.140625" style="670"/>
    <col min="11009" max="11009" width="29.5703125" style="670" bestFit="1" customWidth="1"/>
    <col min="11010" max="11010" width="19.85546875" style="670" customWidth="1"/>
    <col min="11011" max="11011" width="12" style="670" bestFit="1" customWidth="1"/>
    <col min="11012" max="11264" width="9.140625" style="670"/>
    <col min="11265" max="11265" width="29.5703125" style="670" bestFit="1" customWidth="1"/>
    <col min="11266" max="11266" width="19.85546875" style="670" customWidth="1"/>
    <col min="11267" max="11267" width="12" style="670" bestFit="1" customWidth="1"/>
    <col min="11268" max="11520" width="9.140625" style="670"/>
    <col min="11521" max="11521" width="29.5703125" style="670" bestFit="1" customWidth="1"/>
    <col min="11522" max="11522" width="19.85546875" style="670" customWidth="1"/>
    <col min="11523" max="11523" width="12" style="670" bestFit="1" customWidth="1"/>
    <col min="11524" max="11776" width="9.140625" style="670"/>
    <col min="11777" max="11777" width="29.5703125" style="670" bestFit="1" customWidth="1"/>
    <col min="11778" max="11778" width="19.85546875" style="670" customWidth="1"/>
    <col min="11779" max="11779" width="12" style="670" bestFit="1" customWidth="1"/>
    <col min="11780" max="12032" width="9.140625" style="670"/>
    <col min="12033" max="12033" width="29.5703125" style="670" bestFit="1" customWidth="1"/>
    <col min="12034" max="12034" width="19.85546875" style="670" customWidth="1"/>
    <col min="12035" max="12035" width="12" style="670" bestFit="1" customWidth="1"/>
    <col min="12036" max="12288" width="9.140625" style="670"/>
    <col min="12289" max="12289" width="29.5703125" style="670" bestFit="1" customWidth="1"/>
    <col min="12290" max="12290" width="19.85546875" style="670" customWidth="1"/>
    <col min="12291" max="12291" width="12" style="670" bestFit="1" customWidth="1"/>
    <col min="12292" max="12544" width="9.140625" style="670"/>
    <col min="12545" max="12545" width="29.5703125" style="670" bestFit="1" customWidth="1"/>
    <col min="12546" max="12546" width="19.85546875" style="670" customWidth="1"/>
    <col min="12547" max="12547" width="12" style="670" bestFit="1" customWidth="1"/>
    <col min="12548" max="12800" width="9.140625" style="670"/>
    <col min="12801" max="12801" width="29.5703125" style="670" bestFit="1" customWidth="1"/>
    <col min="12802" max="12802" width="19.85546875" style="670" customWidth="1"/>
    <col min="12803" max="12803" width="12" style="670" bestFit="1" customWidth="1"/>
    <col min="12804" max="13056" width="9.140625" style="670"/>
    <col min="13057" max="13057" width="29.5703125" style="670" bestFit="1" customWidth="1"/>
    <col min="13058" max="13058" width="19.85546875" style="670" customWidth="1"/>
    <col min="13059" max="13059" width="12" style="670" bestFit="1" customWidth="1"/>
    <col min="13060" max="13312" width="9.140625" style="670"/>
    <col min="13313" max="13313" width="29.5703125" style="670" bestFit="1" customWidth="1"/>
    <col min="13314" max="13314" width="19.85546875" style="670" customWidth="1"/>
    <col min="13315" max="13315" width="12" style="670" bestFit="1" customWidth="1"/>
    <col min="13316" max="13568" width="9.140625" style="670"/>
    <col min="13569" max="13569" width="29.5703125" style="670" bestFit="1" customWidth="1"/>
    <col min="13570" max="13570" width="19.85546875" style="670" customWidth="1"/>
    <col min="13571" max="13571" width="12" style="670" bestFit="1" customWidth="1"/>
    <col min="13572" max="13824" width="9.140625" style="670"/>
    <col min="13825" max="13825" width="29.5703125" style="670" bestFit="1" customWidth="1"/>
    <col min="13826" max="13826" width="19.85546875" style="670" customWidth="1"/>
    <col min="13827" max="13827" width="12" style="670" bestFit="1" customWidth="1"/>
    <col min="13828" max="14080" width="9.140625" style="670"/>
    <col min="14081" max="14081" width="29.5703125" style="670" bestFit="1" customWidth="1"/>
    <col min="14082" max="14082" width="19.85546875" style="670" customWidth="1"/>
    <col min="14083" max="14083" width="12" style="670" bestFit="1" customWidth="1"/>
    <col min="14084" max="14336" width="9.140625" style="670"/>
    <col min="14337" max="14337" width="29.5703125" style="670" bestFit="1" customWidth="1"/>
    <col min="14338" max="14338" width="19.85546875" style="670" customWidth="1"/>
    <col min="14339" max="14339" width="12" style="670" bestFit="1" customWidth="1"/>
    <col min="14340" max="14592" width="9.140625" style="670"/>
    <col min="14593" max="14593" width="29.5703125" style="670" bestFit="1" customWidth="1"/>
    <col min="14594" max="14594" width="19.85546875" style="670" customWidth="1"/>
    <col min="14595" max="14595" width="12" style="670" bestFit="1" customWidth="1"/>
    <col min="14596" max="14848" width="9.140625" style="670"/>
    <col min="14849" max="14849" width="29.5703125" style="670" bestFit="1" customWidth="1"/>
    <col min="14850" max="14850" width="19.85546875" style="670" customWidth="1"/>
    <col min="14851" max="14851" width="12" style="670" bestFit="1" customWidth="1"/>
    <col min="14852" max="15104" width="9.140625" style="670"/>
    <col min="15105" max="15105" width="29.5703125" style="670" bestFit="1" customWidth="1"/>
    <col min="15106" max="15106" width="19.85546875" style="670" customWidth="1"/>
    <col min="15107" max="15107" width="12" style="670" bestFit="1" customWidth="1"/>
    <col min="15108" max="15360" width="9.140625" style="670"/>
    <col min="15361" max="15361" width="29.5703125" style="670" bestFit="1" customWidth="1"/>
    <col min="15362" max="15362" width="19.85546875" style="670" customWidth="1"/>
    <col min="15363" max="15363" width="12" style="670" bestFit="1" customWidth="1"/>
    <col min="15364" max="15616" width="9.140625" style="670"/>
    <col min="15617" max="15617" width="29.5703125" style="670" bestFit="1" customWidth="1"/>
    <col min="15618" max="15618" width="19.85546875" style="670" customWidth="1"/>
    <col min="15619" max="15619" width="12" style="670" bestFit="1" customWidth="1"/>
    <col min="15620" max="15872" width="9.140625" style="670"/>
    <col min="15873" max="15873" width="29.5703125" style="670" bestFit="1" customWidth="1"/>
    <col min="15874" max="15874" width="19.85546875" style="670" customWidth="1"/>
    <col min="15875" max="15875" width="12" style="670" bestFit="1" customWidth="1"/>
    <col min="15876" max="16128" width="9.140625" style="670"/>
    <col min="16129" max="16129" width="29.5703125" style="670" bestFit="1" customWidth="1"/>
    <col min="16130" max="16130" width="19.85546875" style="670" customWidth="1"/>
    <col min="16131" max="16131" width="12" style="670" bestFit="1" customWidth="1"/>
    <col min="16132" max="16384" width="9.140625" style="670"/>
  </cols>
  <sheetData>
    <row r="1" spans="1:2">
      <c r="A1" s="670" t="s">
        <v>753</v>
      </c>
      <c r="B1" s="717">
        <v>6.1</v>
      </c>
    </row>
    <row r="2" spans="1:2">
      <c r="A2" s="670" t="s">
        <v>754</v>
      </c>
      <c r="B2" s="721">
        <v>43209.371423611112</v>
      </c>
    </row>
    <row r="3" spans="1:2">
      <c r="A3" s="670" t="s">
        <v>755</v>
      </c>
      <c r="B3" s="718" t="s">
        <v>458</v>
      </c>
    </row>
    <row r="4" spans="1:2">
      <c r="A4" s="670" t="s">
        <v>756</v>
      </c>
      <c r="B4" s="718" t="s">
        <v>757</v>
      </c>
    </row>
    <row r="5" spans="1:2">
      <c r="A5" s="670" t="s">
        <v>758</v>
      </c>
      <c r="B5" s="718" t="s">
        <v>759</v>
      </c>
    </row>
    <row r="6" spans="1:2">
      <c r="A6" s="670" t="s">
        <v>760</v>
      </c>
    </row>
    <row r="7" spans="1:2">
      <c r="A7" s="670" t="s">
        <v>761</v>
      </c>
      <c r="B7" s="718" t="s">
        <v>412</v>
      </c>
    </row>
    <row r="8" spans="1:2">
      <c r="A8" s="670" t="s">
        <v>762</v>
      </c>
      <c r="B8" s="718" t="s">
        <v>763</v>
      </c>
    </row>
    <row r="9" spans="1:2">
      <c r="A9" s="670" t="s">
        <v>764</v>
      </c>
      <c r="B9" s="718" t="s">
        <v>802</v>
      </c>
    </row>
    <row r="10" spans="1:2">
      <c r="A10" s="670" t="s">
        <v>765</v>
      </c>
    </row>
    <row r="11" spans="1:2">
      <c r="A11" s="670" t="s">
        <v>766</v>
      </c>
    </row>
    <row r="12" spans="1:2">
      <c r="A12" s="670" t="s">
        <v>767</v>
      </c>
    </row>
    <row r="13" spans="1:2">
      <c r="A13" s="670" t="s">
        <v>768</v>
      </c>
    </row>
    <row r="14" spans="1:2">
      <c r="A14" s="670" t="s">
        <v>769</v>
      </c>
    </row>
    <row r="15" spans="1:2">
      <c r="A15" s="670" t="s">
        <v>770</v>
      </c>
    </row>
    <row r="16" spans="1:2">
      <c r="A16" s="670" t="s">
        <v>771</v>
      </c>
    </row>
    <row r="17" spans="1:4">
      <c r="A17" s="670" t="s">
        <v>772</v>
      </c>
      <c r="B17" s="718" t="s">
        <v>803</v>
      </c>
    </row>
    <row r="18" spans="1:4">
      <c r="A18" s="670" t="s">
        <v>773</v>
      </c>
      <c r="B18" s="718" t="s">
        <v>459</v>
      </c>
    </row>
    <row r="19" spans="1:4">
      <c r="A19" s="670" t="s">
        <v>774</v>
      </c>
      <c r="B19" s="718" t="s">
        <v>411</v>
      </c>
    </row>
    <row r="20" spans="1:4">
      <c r="A20" s="670" t="s">
        <v>775</v>
      </c>
      <c r="B20" s="719" t="s">
        <v>806</v>
      </c>
    </row>
    <row r="21" spans="1:4">
      <c r="A21" s="670" t="s">
        <v>776</v>
      </c>
      <c r="B21" s="718" t="s">
        <v>411</v>
      </c>
    </row>
    <row r="22" spans="1:4">
      <c r="A22" s="670" t="s">
        <v>777</v>
      </c>
      <c r="B22" s="719" t="s">
        <v>444</v>
      </c>
    </row>
    <row r="23" spans="1:4">
      <c r="A23" s="670" t="s">
        <v>421</v>
      </c>
      <c r="B23" s="717">
        <v>14.65</v>
      </c>
    </row>
    <row r="24" spans="1:4">
      <c r="A24" s="670" t="s">
        <v>420</v>
      </c>
      <c r="B24" s="718" t="s">
        <v>410</v>
      </c>
      <c r="D24" s="670" t="s">
        <v>778</v>
      </c>
    </row>
    <row r="25" spans="1:4">
      <c r="A25" s="670" t="s">
        <v>779</v>
      </c>
      <c r="B25" s="718" t="s">
        <v>807</v>
      </c>
    </row>
    <row r="26" spans="1:4">
      <c r="A26" s="670" t="s">
        <v>780</v>
      </c>
      <c r="B26" s="718">
        <v>0</v>
      </c>
    </row>
    <row r="27" spans="1:4">
      <c r="A27" s="670" t="s">
        <v>781</v>
      </c>
      <c r="B27" s="718" t="s">
        <v>782</v>
      </c>
    </row>
    <row r="28" spans="1:4">
      <c r="A28" s="670" t="s">
        <v>783</v>
      </c>
      <c r="B28" s="718" t="s">
        <v>784</v>
      </c>
    </row>
    <row r="29" spans="1:4">
      <c r="A29" s="670" t="s">
        <v>785</v>
      </c>
    </row>
    <row r="30" spans="1:4">
      <c r="A30" s="670" t="s">
        <v>786</v>
      </c>
    </row>
    <row r="31" spans="1:4">
      <c r="A31" s="670" t="s">
        <v>787</v>
      </c>
    </row>
    <row r="32" spans="1:4">
      <c r="A32" s="670" t="s">
        <v>788</v>
      </c>
      <c r="B32" s="717"/>
    </row>
    <row r="33" spans="1:2">
      <c r="A33" s="670" t="s">
        <v>789</v>
      </c>
      <c r="B33" s="717"/>
    </row>
    <row r="34" spans="1:2">
      <c r="A34" s="670" t="s">
        <v>790</v>
      </c>
      <c r="B34" s="717"/>
    </row>
    <row r="35" spans="1:2">
      <c r="A35" s="670" t="s">
        <v>791</v>
      </c>
      <c r="B35" s="718">
        <v>1000000</v>
      </c>
    </row>
    <row r="36" spans="1:2">
      <c r="A36" s="670" t="s">
        <v>792</v>
      </c>
      <c r="B36" s="718" t="s">
        <v>804</v>
      </c>
    </row>
    <row r="37" spans="1:2">
      <c r="A37" s="670" t="s">
        <v>793</v>
      </c>
      <c r="B37" s="718" t="s">
        <v>794</v>
      </c>
    </row>
    <row r="38" spans="1:2">
      <c r="A38" s="670" t="s">
        <v>795</v>
      </c>
      <c r="B38" s="718" t="s">
        <v>796</v>
      </c>
    </row>
    <row r="39" spans="1:2">
      <c r="A39" s="670" t="s">
        <v>797</v>
      </c>
      <c r="B39" s="718" t="s">
        <v>805</v>
      </c>
    </row>
    <row r="40" spans="1:2">
      <c r="A40" s="670" t="s">
        <v>798</v>
      </c>
      <c r="B40" s="718">
        <v>1500005604</v>
      </c>
    </row>
    <row r="41" spans="1:2">
      <c r="A41" s="670" t="s">
        <v>799</v>
      </c>
      <c r="B41" s="718">
        <v>1</v>
      </c>
    </row>
    <row r="42" spans="1:2">
      <c r="A42" s="720" t="s">
        <v>800</v>
      </c>
    </row>
    <row r="43" spans="1:2">
      <c r="A43" s="670" t="s">
        <v>801</v>
      </c>
    </row>
  </sheetData>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workbookViewId="0">
      <selection activeCell="E11" sqref="E11"/>
    </sheetView>
  </sheetViews>
  <sheetFormatPr defaultRowHeight="12.75"/>
  <cols>
    <col min="1" max="1" width="28.5703125" style="670" bestFit="1" customWidth="1"/>
    <col min="2" max="256" width="9.140625" style="670"/>
    <col min="257" max="257" width="28.5703125" style="670" bestFit="1" customWidth="1"/>
    <col min="258" max="512" width="9.140625" style="670"/>
    <col min="513" max="513" width="28.5703125" style="670" bestFit="1" customWidth="1"/>
    <col min="514" max="768" width="9.140625" style="670"/>
    <col min="769" max="769" width="28.5703125" style="670" bestFit="1" customWidth="1"/>
    <col min="770" max="1024" width="9.140625" style="670"/>
    <col min="1025" max="1025" width="28.5703125" style="670" bestFit="1" customWidth="1"/>
    <col min="1026" max="1280" width="9.140625" style="670"/>
    <col min="1281" max="1281" width="28.5703125" style="670" bestFit="1" customWidth="1"/>
    <col min="1282" max="1536" width="9.140625" style="670"/>
    <col min="1537" max="1537" width="28.5703125" style="670" bestFit="1" customWidth="1"/>
    <col min="1538" max="1792" width="9.140625" style="670"/>
    <col min="1793" max="1793" width="28.5703125" style="670" bestFit="1" customWidth="1"/>
    <col min="1794" max="2048" width="9.140625" style="670"/>
    <col min="2049" max="2049" width="28.5703125" style="670" bestFit="1" customWidth="1"/>
    <col min="2050" max="2304" width="9.140625" style="670"/>
    <col min="2305" max="2305" width="28.5703125" style="670" bestFit="1" customWidth="1"/>
    <col min="2306" max="2560" width="9.140625" style="670"/>
    <col min="2561" max="2561" width="28.5703125" style="670" bestFit="1" customWidth="1"/>
    <col min="2562" max="2816" width="9.140625" style="670"/>
    <col min="2817" max="2817" width="28.5703125" style="670" bestFit="1" customWidth="1"/>
    <col min="2818" max="3072" width="9.140625" style="670"/>
    <col min="3073" max="3073" width="28.5703125" style="670" bestFit="1" customWidth="1"/>
    <col min="3074" max="3328" width="9.140625" style="670"/>
    <col min="3329" max="3329" width="28.5703125" style="670" bestFit="1" customWidth="1"/>
    <col min="3330" max="3584" width="9.140625" style="670"/>
    <col min="3585" max="3585" width="28.5703125" style="670" bestFit="1" customWidth="1"/>
    <col min="3586" max="3840" width="9.140625" style="670"/>
    <col min="3841" max="3841" width="28.5703125" style="670" bestFit="1" customWidth="1"/>
    <col min="3842" max="4096" width="9.140625" style="670"/>
    <col min="4097" max="4097" width="28.5703125" style="670" bestFit="1" customWidth="1"/>
    <col min="4098" max="4352" width="9.140625" style="670"/>
    <col min="4353" max="4353" width="28.5703125" style="670" bestFit="1" customWidth="1"/>
    <col min="4354" max="4608" width="9.140625" style="670"/>
    <col min="4609" max="4609" width="28.5703125" style="670" bestFit="1" customWidth="1"/>
    <col min="4610" max="4864" width="9.140625" style="670"/>
    <col min="4865" max="4865" width="28.5703125" style="670" bestFit="1" customWidth="1"/>
    <col min="4866" max="5120" width="9.140625" style="670"/>
    <col min="5121" max="5121" width="28.5703125" style="670" bestFit="1" customWidth="1"/>
    <col min="5122" max="5376" width="9.140625" style="670"/>
    <col min="5377" max="5377" width="28.5703125" style="670" bestFit="1" customWidth="1"/>
    <col min="5378" max="5632" width="9.140625" style="670"/>
    <col min="5633" max="5633" width="28.5703125" style="670" bestFit="1" customWidth="1"/>
    <col min="5634" max="5888" width="9.140625" style="670"/>
    <col min="5889" max="5889" width="28.5703125" style="670" bestFit="1" customWidth="1"/>
    <col min="5890" max="6144" width="9.140625" style="670"/>
    <col min="6145" max="6145" width="28.5703125" style="670" bestFit="1" customWidth="1"/>
    <col min="6146" max="6400" width="9.140625" style="670"/>
    <col min="6401" max="6401" width="28.5703125" style="670" bestFit="1" customWidth="1"/>
    <col min="6402" max="6656" width="9.140625" style="670"/>
    <col min="6657" max="6657" width="28.5703125" style="670" bestFit="1" customWidth="1"/>
    <col min="6658" max="6912" width="9.140625" style="670"/>
    <col min="6913" max="6913" width="28.5703125" style="670" bestFit="1" customWidth="1"/>
    <col min="6914" max="7168" width="9.140625" style="670"/>
    <col min="7169" max="7169" width="28.5703125" style="670" bestFit="1" customWidth="1"/>
    <col min="7170" max="7424" width="9.140625" style="670"/>
    <col min="7425" max="7425" width="28.5703125" style="670" bestFit="1" customWidth="1"/>
    <col min="7426" max="7680" width="9.140625" style="670"/>
    <col min="7681" max="7681" width="28.5703125" style="670" bestFit="1" customWidth="1"/>
    <col min="7682" max="7936" width="9.140625" style="670"/>
    <col min="7937" max="7937" width="28.5703125" style="670" bestFit="1" customWidth="1"/>
    <col min="7938" max="8192" width="9.140625" style="670"/>
    <col min="8193" max="8193" width="28.5703125" style="670" bestFit="1" customWidth="1"/>
    <col min="8194" max="8448" width="9.140625" style="670"/>
    <col min="8449" max="8449" width="28.5703125" style="670" bestFit="1" customWidth="1"/>
    <col min="8450" max="8704" width="9.140625" style="670"/>
    <col min="8705" max="8705" width="28.5703125" style="670" bestFit="1" customWidth="1"/>
    <col min="8706" max="8960" width="9.140625" style="670"/>
    <col min="8961" max="8961" width="28.5703125" style="670" bestFit="1" customWidth="1"/>
    <col min="8962" max="9216" width="9.140625" style="670"/>
    <col min="9217" max="9217" width="28.5703125" style="670" bestFit="1" customWidth="1"/>
    <col min="9218" max="9472" width="9.140625" style="670"/>
    <col min="9473" max="9473" width="28.5703125" style="670" bestFit="1" customWidth="1"/>
    <col min="9474" max="9728" width="9.140625" style="670"/>
    <col min="9729" max="9729" width="28.5703125" style="670" bestFit="1" customWidth="1"/>
    <col min="9730" max="9984" width="9.140625" style="670"/>
    <col min="9985" max="9985" width="28.5703125" style="670" bestFit="1" customWidth="1"/>
    <col min="9986" max="10240" width="9.140625" style="670"/>
    <col min="10241" max="10241" width="28.5703125" style="670" bestFit="1" customWidth="1"/>
    <col min="10242" max="10496" width="9.140625" style="670"/>
    <col min="10497" max="10497" width="28.5703125" style="670" bestFit="1" customWidth="1"/>
    <col min="10498" max="10752" width="9.140625" style="670"/>
    <col min="10753" max="10753" width="28.5703125" style="670" bestFit="1" customWidth="1"/>
    <col min="10754" max="11008" width="9.140625" style="670"/>
    <col min="11009" max="11009" width="28.5703125" style="670" bestFit="1" customWidth="1"/>
    <col min="11010" max="11264" width="9.140625" style="670"/>
    <col min="11265" max="11265" width="28.5703125" style="670" bestFit="1" customWidth="1"/>
    <col min="11266" max="11520" width="9.140625" style="670"/>
    <col min="11521" max="11521" width="28.5703125" style="670" bestFit="1" customWidth="1"/>
    <col min="11522" max="11776" width="9.140625" style="670"/>
    <col min="11777" max="11777" width="28.5703125" style="670" bestFit="1" customWidth="1"/>
    <col min="11778" max="12032" width="9.140625" style="670"/>
    <col min="12033" max="12033" width="28.5703125" style="670" bestFit="1" customWidth="1"/>
    <col min="12034" max="12288" width="9.140625" style="670"/>
    <col min="12289" max="12289" width="28.5703125" style="670" bestFit="1" customWidth="1"/>
    <col min="12290" max="12544" width="9.140625" style="670"/>
    <col min="12545" max="12545" width="28.5703125" style="670" bestFit="1" customWidth="1"/>
    <col min="12546" max="12800" width="9.140625" style="670"/>
    <col min="12801" max="12801" width="28.5703125" style="670" bestFit="1" customWidth="1"/>
    <col min="12802" max="13056" width="9.140625" style="670"/>
    <col min="13057" max="13057" width="28.5703125" style="670" bestFit="1" customWidth="1"/>
    <col min="13058" max="13312" width="9.140625" style="670"/>
    <col min="13313" max="13313" width="28.5703125" style="670" bestFit="1" customWidth="1"/>
    <col min="13314" max="13568" width="9.140625" style="670"/>
    <col min="13569" max="13569" width="28.5703125" style="670" bestFit="1" customWidth="1"/>
    <col min="13570" max="13824" width="9.140625" style="670"/>
    <col min="13825" max="13825" width="28.5703125" style="670" bestFit="1" customWidth="1"/>
    <col min="13826" max="14080" width="9.140625" style="670"/>
    <col min="14081" max="14081" width="28.5703125" style="670" bestFit="1" customWidth="1"/>
    <col min="14082" max="14336" width="9.140625" style="670"/>
    <col min="14337" max="14337" width="28.5703125" style="670" bestFit="1" customWidth="1"/>
    <col min="14338" max="14592" width="9.140625" style="670"/>
    <col min="14593" max="14593" width="28.5703125" style="670" bestFit="1" customWidth="1"/>
    <col min="14594" max="14848" width="9.140625" style="670"/>
    <col min="14849" max="14849" width="28.5703125" style="670" bestFit="1" customWidth="1"/>
    <col min="14850" max="15104" width="9.140625" style="670"/>
    <col min="15105" max="15105" width="28.5703125" style="670" bestFit="1" customWidth="1"/>
    <col min="15106" max="15360" width="9.140625" style="670"/>
    <col min="15361" max="15361" width="28.5703125" style="670" bestFit="1" customWidth="1"/>
    <col min="15362" max="15616" width="9.140625" style="670"/>
    <col min="15617" max="15617" width="28.5703125" style="670" bestFit="1" customWidth="1"/>
    <col min="15618" max="15872" width="9.140625" style="670"/>
    <col min="15873" max="15873" width="28.5703125" style="670" bestFit="1" customWidth="1"/>
    <col min="15874" max="16128" width="9.140625" style="670"/>
    <col min="16129" max="16129" width="28.5703125" style="670" bestFit="1" customWidth="1"/>
    <col min="16130" max="16384" width="9.140625" style="670"/>
  </cols>
  <sheetData>
    <row r="1" spans="1:1">
      <c r="A1" s="722" t="s">
        <v>808</v>
      </c>
    </row>
    <row r="2" spans="1:1">
      <c r="A2" s="722" t="s">
        <v>813</v>
      </c>
    </row>
    <row r="3" spans="1:1">
      <c r="A3" s="722" t="s">
        <v>814</v>
      </c>
    </row>
    <row r="4" spans="1:1">
      <c r="A4" s="722" t="s">
        <v>815</v>
      </c>
    </row>
    <row r="5" spans="1:1">
      <c r="A5" s="722" t="s">
        <v>816</v>
      </c>
    </row>
    <row r="6" spans="1:1">
      <c r="A6" s="722" t="s">
        <v>809</v>
      </c>
    </row>
    <row r="7" spans="1:1">
      <c r="A7" s="722" t="s">
        <v>817</v>
      </c>
    </row>
    <row r="8" spans="1:1">
      <c r="A8" s="722" t="s">
        <v>818</v>
      </c>
    </row>
    <row r="9" spans="1:1">
      <c r="A9" s="722" t="s">
        <v>819</v>
      </c>
    </row>
    <row r="10" spans="1:1">
      <c r="A10" s="722" t="s">
        <v>810</v>
      </c>
    </row>
    <row r="11" spans="1:1">
      <c r="A11" s="722" t="s">
        <v>820</v>
      </c>
    </row>
    <row r="12" spans="1:1">
      <c r="A12" s="722" t="s">
        <v>811</v>
      </c>
    </row>
    <row r="13" spans="1:1">
      <c r="A13" s="722" t="s">
        <v>812</v>
      </c>
    </row>
  </sheetData>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90</vt:i4>
      </vt:variant>
    </vt:vector>
  </HeadingPairs>
  <TitlesOfParts>
    <vt:vector size="101" baseType="lpstr">
      <vt:lpstr>ImportantDisclosures</vt:lpstr>
      <vt:lpstr>MS v Con</vt:lpstr>
      <vt:lpstr>Model</vt:lpstr>
      <vt:lpstr>Revenue Model</vt:lpstr>
      <vt:lpstr>Expense Model</vt:lpstr>
      <vt:lpstr>Bear DCF</vt:lpstr>
      <vt:lpstr>Base DCF</vt:lpstr>
      <vt:lpstr>Bull DCF</vt:lpstr>
      <vt:lpstr>Outlinks</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fair_value</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Linking_2</vt:lpstr>
      <vt:lpstr>Linking_3</vt:lpstr>
      <vt:lpstr>Linking_4</vt:lpstr>
      <vt:lpstr>Linking_5</vt:lpstr>
      <vt:lpstr>Linking_6</vt:lpstr>
      <vt:lpstr>Linking_7</vt:lpstr>
      <vt:lpstr>Linking_8</vt:lpstr>
      <vt:lpstr>Linking_Range_1</vt:lpstr>
      <vt:lpstr>Linking_Range_102</vt:lpstr>
      <vt:lpstr>Linking_Range_2</vt:lpstr>
      <vt:lpstr>Linking_Range_3</vt:lpstr>
      <vt:lpstr>Linking_Range_4</vt:lpstr>
      <vt:lpstr>Linking_Range_5</vt:lpstr>
      <vt:lpstr>'MS v Con'!Linking_Range_66</vt:lpstr>
      <vt:lpstr>Linking_Range_94</vt:lpstr>
      <vt:lpstr>Linking_Text_1</vt:lpstr>
      <vt:lpstr>Linking_Text_2</vt:lpstr>
      <vt:lpstr>Linking_Text_3</vt:lpstr>
      <vt:lpstr>Linking_Text_4</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2016-12-19T23:02:51Z</dcterms:created>
  <dc:creator>Liu, Kevin (Research)</dc:creator>
  <cp:lastModifiedBy>Wang, Alaxandar (Research)</cp:lastModifiedBy>
  <cp:lastPrinted>2018-02-06T14:28:05Z</cp:lastPrinted>
  <dcterms:modified xsi:type="dcterms:W3CDTF">2018-04-19T12:55:36Z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5</vt:lpwstr>
  </property>
  <property fmtid="{D5CDD505-2E9C-101B-9397-08002B2CF9AE}" name="LinkingAutoNameNumberLinking_Text_" pid="3">
    <vt:lpwstr>4</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762838</vt:lpwstr>
  </property>
  <property fmtid="{D5CDD505-2E9C-101B-9397-08002B2CF9AE}" name="ERModPubCompanyName" pid="7">
    <vt:lpwstr>Snap Inc.</vt:lpwstr>
  </property>
  <property fmtid="{D5CDD505-2E9C-101B-9397-08002B2CF9AE}" name="MSDH34TAG" pid="8">
    <vt:lpwstr>.TEZUF76X5TAHATHESADREYAK-00-INB160+*94600-06=04f7b5f4/-43d1/-11e8/-9695/-5e5c95fbb3b1,MD=20180419091519/-0400,ZZ=000Z-1031.</vt:lpwstr>
  </property>
</Properties>
</file>